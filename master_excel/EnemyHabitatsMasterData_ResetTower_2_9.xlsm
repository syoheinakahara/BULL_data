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0" yWindow="460" windowWidth="27320" windowHeight="139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10" l="1"/>
  <c r="B46" i="10"/>
  <c r="O4" i="21"/>
  <c r="I4" i="21"/>
  <c r="G4" i="21"/>
  <c r="F4" i="21"/>
  <c r="D4" i="21"/>
  <c r="C4" i="21"/>
  <c r="O3" i="21"/>
  <c r="I3" i="21"/>
  <c r="G3" i="21"/>
  <c r="F3" i="21"/>
  <c r="D3" i="21"/>
  <c r="C3" i="2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31" i="9"/>
  <c r="N31" i="9"/>
  <c r="M31" i="9"/>
  <c r="L31" i="9"/>
  <c r="K31" i="9"/>
  <c r="J31" i="9"/>
  <c r="I31" i="9"/>
  <c r="H31" i="9"/>
  <c r="G31" i="9"/>
  <c r="E31" i="9"/>
  <c r="D31" i="9"/>
  <c r="A31" i="9"/>
  <c r="J44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J38" i="11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J29" i="11"/>
  <c r="O25" i="9"/>
  <c r="N25" i="9"/>
  <c r="M25" i="9"/>
  <c r="L25" i="9"/>
  <c r="K25" i="9"/>
  <c r="J25" i="9"/>
  <c r="I25" i="9"/>
  <c r="H25" i="9"/>
  <c r="G25" i="9"/>
  <c r="E25" i="9"/>
  <c r="D25" i="9"/>
  <c r="A25" i="9"/>
  <c r="J28" i="11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23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8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46" i="11"/>
  <c r="J45" i="11"/>
  <c r="J43" i="11"/>
  <c r="J42" i="11"/>
  <c r="J41" i="11"/>
  <c r="J40" i="11"/>
  <c r="J39" i="11"/>
  <c r="J37" i="11"/>
  <c r="J36" i="11"/>
  <c r="J35" i="11"/>
  <c r="J34" i="11"/>
  <c r="J33" i="11"/>
  <c r="J32" i="11"/>
  <c r="J31" i="11"/>
  <c r="J30" i="11"/>
  <c r="J27" i="11"/>
  <c r="J26" i="11"/>
  <c r="J25" i="11"/>
  <c r="J24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7" i="11"/>
  <c r="J6" i="11"/>
  <c r="J5" i="11"/>
  <c r="J4" i="1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B45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B42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B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B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B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B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B37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B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B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B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B33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B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B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B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B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B28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B27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B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B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B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B23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B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B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B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B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B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B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B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6" i="1"/>
  <c r="AF6" i="1"/>
  <c r="AI6" i="1"/>
  <c r="AG6" i="1"/>
  <c r="AE6" i="1"/>
  <c r="E2" i="9"/>
  <c r="X6" i="1"/>
  <c r="V6" i="1"/>
  <c r="T6" i="1"/>
  <c r="Q6" i="1"/>
  <c r="P6" i="1"/>
  <c r="O6" i="1"/>
  <c r="N6" i="1"/>
  <c r="M6" i="1"/>
  <c r="H6" i="1"/>
  <c r="G3" i="2"/>
  <c r="A3" i="2"/>
  <c r="G4" i="2"/>
  <c r="A4" i="2"/>
  <c r="G2" i="2"/>
  <c r="A2" i="2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4" i="2"/>
  <c r="E4" i="2"/>
  <c r="D4" i="2"/>
  <c r="H2" i="1"/>
  <c r="B4" i="2"/>
  <c r="H3" i="2"/>
  <c r="E3" i="2"/>
  <c r="D3" i="2"/>
  <c r="B3" i="2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O2" i="21"/>
  <c r="J2" i="11"/>
  <c r="B2" i="10"/>
  <c r="X2" i="1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<sst xmlns="http://schemas.openxmlformats.org/spreadsheetml/2006/main" count="791" uniqueCount="367">
  <si>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</si>
  <si>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</si>
  <si>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</si>
  <si>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</si>
  <si>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</si>
  <si>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</si>
  <si>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</si>
  <si>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</si>
  <si>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</si>
  <si>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</si>
  <si>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</si>
  <si>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</si>
  <si>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</si>
  <si>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</si>
  <si>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</si>
  <si>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</si>
  <si>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</si>
  <si>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</si>
  <si>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</si>
  <si>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</si>
  <si>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</si>
  <si>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</si>
  <si>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</si>
  <si>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</si>
  <si>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</si>
  <si>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</si>
  <si>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</si>
  <si>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</si>
  <si>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</si>
  <si>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</si>
  <si>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</si>
  <si>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</si>
  <si>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</si>
  <si>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</si>
  <si>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</si>
  <si>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</si>
  <si>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</si>
  <si>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</si>
  <si>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</si>
  <si>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</si>
  <si>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</si>
  <si>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</si>
  <si>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</si>
  <si>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</si>
  <si>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</si>
  <si>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</si>
  <si>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</si>
  <si>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</si>
  <si>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</si>
  <si>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</si>
  <si>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</si>
  <si>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</si>
  <si>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</si>
  <si>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</si>
  <si>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</si>
  <si>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</si>
  <si>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</si>
  <si>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</si>
  <si>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</si>
  <si>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</si>
  <si>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</si>
  <si>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</si>
  <si>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</si>
  <si>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</si>
  <si>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</si>
  <si>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</si>
  <si>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</si>
  <si>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</si>
  <si>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</si>
  <si>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</si>
  <si>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</si>
  <si>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</si>
  <si>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</si>
  <si>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</si>
  <si>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</si>
  <si>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</si>
  <si>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</si>
  <si>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</si>
  <si>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</si>
  <si>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</si>
  <si>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</si>
  <si>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</si>
  <si>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</si>
  <si>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</si>
  <si>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</si>
  <si>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</si>
  <si>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</si>
  <si>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</si>
  <si>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</si>
  <si>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</si>
  <si>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</si>
  <si>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</si>
  <si>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</si>
  <si>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</si>
  <si>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</si>
  <si>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</si>
  <si>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</si>
  <si>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</si>
  <si>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</si>
  <si>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</si>
  <si>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</si>
  <si>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</si>
  <si>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</si>
  <si>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</si>
  <si>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</si>
  <si>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</si>
  <si>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</si>
  <si>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</si>
  <si>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</si>
  <si>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</si>
  <si>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</si>
  <si>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</si>
  <si>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</si>
  <si>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</si>
  <si>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</si>
  <si>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</si>
  <si>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</si>
  <si>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</si>
  <si>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</si>
  <si>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</si>
  <si>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</si>
  <si>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</si>
  <si>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</si>
  <si>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</si>
  <si>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</si>
  <si>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</si>
  <si>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</si>
  <si>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</si>
  <si>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</si>
  <si>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</si>
  <si>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</si>
  <si>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</si>
  <si>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</si>
  <si>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</si>
  <si>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</si>
  <si>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</si>
  <si>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</si>
  <si>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</si>
  <si>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</si>
  <si>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</si>
  <si>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</si>
  <si>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</si>
  <si>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</si>
  <si>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</si>
  <si>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</si>
  <si>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</si>
  <si>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</si>
  <si>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</si>
  <si>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</si>
  <si>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</si>
  <si>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</si>
  <si>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</si>
  <si>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</si>
  <si>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</si>
  <si>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</si>
  <si>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</si>
  <si>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</si>
  <si>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</si>
  <si>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</si>
  <si>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</si>
  <si>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</si>
  <si>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</si>
  <si>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</si>
  <si>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</si>
  <si>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</si>
  <si>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</si>
  <si>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</si>
  <si>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</si>
  <si>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</si>
  <si>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</si>
  <si>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</si>
  <si>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</si>
  <si>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</si>
  <si>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</si>
  <si>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</si>
  <si>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</si>
  <si>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</si>
  <si>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</si>
  <si>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</si>
  <si>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</si>
  <si>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</si>
  <si>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</si>
  <si>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</si>
  <si>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</si>
  <si>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</si>
  <si>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</si>
  <si>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</si>
  <si>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</si>
  <si>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</si>
  <si>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</si>
  <si>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</si>
  <si>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</si>
  <si>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</si>
  <si>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</si>
  <si>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</si>
  <si>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</si>
  <si>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</si>
  <si>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</si>
  <si>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</si>
  <si>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</si>
  <si>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</si>
  <si>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</si>
  <si>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</si>
  <si>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</si>
  <si>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</si>
  <si>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</si>
  <si>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</si>
  <si>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</si>
  <si>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</si>
  <si>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</si>
  <si>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</si>
  <si>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</si>
  <si>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</si>
  <si>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</si>
  <si>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</si>
  <si>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</si>
  <si>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</si>
  <si>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</si>
  <si>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</si>
  <si>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</si>
  <si>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</si>
  <si>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</si>
  <si>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</si>
  <si>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</si>
  <si>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</si>
  <si>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</si>
  <si>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</si>
  <si>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</si>
  <si>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</si>
  <si>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</si>
  <si>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</si>
  <si>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</si>
  <si>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</si>
  <si>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</si>
  <si>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</si>
  <si>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</si>
  <si>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</si>
  <si>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</si>
  <si>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</si>
  <si>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</si>
  <si>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</si>
  <si>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</si>
  <si>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</si>
  <si>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</si>
  <si>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</si>
  <si>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</si>
  <si>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</si>
  <si>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</si>
  <si>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</si>
  <si>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</si>
  <si>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</si>
  <si>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</si>
  <si>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</si>
  <si>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</si>
  <si>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13400_9</t>
    <phoneticPr fontId="5"/>
  </si>
  <si>
    <t>サイクロプス</t>
    <phoneticPr fontId="5"/>
  </si>
  <si>
    <t>予備</t>
    <rPh sb="0" eb="2">
      <t>ヨｂ</t>
    </rPh>
    <phoneticPr fontId="5"/>
  </si>
  <si>
    <t>全体攻撃</t>
    <rPh sb="0" eb="4">
      <t>ゼｎ</t>
    </rPh>
    <phoneticPr fontId="5"/>
  </si>
  <si>
    <t>オルトロス</t>
    <phoneticPr fontId="5"/>
  </si>
  <si>
    <t>状態異常耐性</t>
    <rPh sb="0" eb="6">
      <t>ｊｙ</t>
    </rPh>
    <phoneticPr fontId="5"/>
  </si>
  <si>
    <t>状態異常耐性</t>
    <rPh sb="0" eb="6">
      <t>ジョウタイ</t>
    </rPh>
    <phoneticPr fontId="5"/>
  </si>
  <si>
    <t>フェニックス</t>
    <phoneticPr fontId="5"/>
  </si>
  <si>
    <t>予備枠</t>
    <rPh sb="0" eb="3">
      <t>ヨｂ</t>
    </rPh>
    <phoneticPr fontId="5"/>
  </si>
  <si>
    <t>デルピュネー1</t>
    <phoneticPr fontId="5"/>
  </si>
  <si>
    <t>黄パネルを吸収して防御力UP</t>
    <rPh sb="0" eb="1">
      <t>kiパネル</t>
    </rPh>
    <rPh sb="5" eb="7">
      <t>キュウシュ</t>
    </rPh>
    <rPh sb="9" eb="12">
      <t>ボ</t>
    </rPh>
    <phoneticPr fontId="5"/>
  </si>
  <si>
    <t>デルピュネー2</t>
    <phoneticPr fontId="5"/>
  </si>
  <si>
    <t>緑パネルを吸収して防御力UP</t>
    <rPh sb="0" eb="1">
      <t>ミドｒ</t>
    </rPh>
    <rPh sb="5" eb="7">
      <t>キュウシュ</t>
    </rPh>
    <rPh sb="9" eb="12">
      <t>ボ</t>
    </rPh>
    <phoneticPr fontId="5"/>
  </si>
  <si>
    <t>[effect:nothing]</t>
    <phoneticPr fontId="5"/>
  </si>
  <si>
    <t>[effect:fix_speed, target:myself, turn:1],[effect:enhance_enemy, target:myself, turn:-1, status:attack, val:0.3, calc:mul, animation:enemy_enhance_attack]</t>
    <phoneticPr fontId="5"/>
  </si>
  <si>
    <t>[effect:damage_fix, target:unit_one, color:green, val:40000]</t>
    <phoneticPr fontId="5"/>
  </si>
  <si>
    <t>[effect:break_enchance_enemy, target:myself, val:100, lowest_val:500, count:-1, status:defense, turn:-1, block01:block_yellow, calc:add, animation:enemy_enhance_defense]</t>
    <phoneticPr fontId="5"/>
  </si>
  <si>
    <t>[effect:break_enchance_enemy, target:myself, val:100, lowest_val:500, count:-1, status:defense, turn:-1, block01:block_green, calc:add, animation:enemy_enhance_defense]</t>
    <phoneticPr fontId="5"/>
  </si>
  <si>
    <t>[effect:damage_gravity, val:0.5, animation:fevergauge_down],[effect:heal, target:myself, val:0.3, animation:enemy_heal]</t>
    <phoneticPr fontId="5"/>
  </si>
  <si>
    <t>old</t>
    <phoneticPr fontId="5"/>
  </si>
  <si>
    <t>[effect:spread, val:0.25]</t>
    <phoneticPr fontId="5"/>
  </si>
  <si>
    <t>[effect:break_enchance_enemy, target:myself, val:400, lowest_val:800, count:-1, status:defense, turn:-1, block01:block_red, calc:add, animation:enemy_enhance_defense]</t>
    <phoneticPr fontId="5"/>
  </si>
  <si>
    <t>緑パネル吸収して防御力UP</t>
    <rPh sb="0" eb="1">
      <t>ミドｒ</t>
    </rPh>
    <rPh sb="4" eb="6">
      <t>キュウシュ</t>
    </rPh>
    <rPh sb="8" eb="11">
      <t>ボ</t>
    </rPh>
    <phoneticPr fontId="5"/>
  </si>
  <si>
    <t>緑パネルを吸収して攻撃</t>
    <rPh sb="0" eb="1">
      <t>ミドｒ</t>
    </rPh>
    <rPh sb="5" eb="7">
      <t>キュウシュ</t>
    </rPh>
    <rPh sb="9" eb="11">
      <t>コウゲｋ</t>
    </rPh>
    <phoneticPr fontId="5"/>
  </si>
  <si>
    <t>ターン経過で強くなる攻撃</t>
    <rPh sb="3" eb="5">
      <t>ケイｋ</t>
    </rPh>
    <rPh sb="6" eb="7">
      <t>ツヨｋ</t>
    </rPh>
    <rPh sb="10" eb="12">
      <t>コウゲｋ</t>
    </rPh>
    <phoneticPr fontId="5"/>
  </si>
  <si>
    <t>2ターン後に超強力な攻撃</t>
    <rPh sb="6" eb="9">
      <t>チョウキョ</t>
    </rPh>
    <rPh sb="10" eb="12">
      <t>コウゲｋ</t>
    </rPh>
    <phoneticPr fontId="5"/>
  </si>
  <si>
    <t>次のターンに超強力な攻撃</t>
    <rPh sb="0" eb="1">
      <t>ツｇ</t>
    </rPh>
    <rPh sb="6" eb="9">
      <t>チョウキョ</t>
    </rPh>
    <rPh sb="10" eb="12">
      <t>コウゲｋ</t>
    </rPh>
    <phoneticPr fontId="5"/>
  </si>
  <si>
    <t>赤パネルを吸収して防御力UP</t>
    <rPh sb="0" eb="1">
      <t>アｋ</t>
    </rPh>
    <rPh sb="5" eb="7">
      <t>キュ</t>
    </rPh>
    <rPh sb="9" eb="12">
      <t>ボ</t>
    </rPh>
    <phoneticPr fontId="5"/>
  </si>
  <si>
    <t>オルトロスが倒されると攻撃力UP</t>
    <rPh sb="6" eb="7">
      <t>タオサｒ</t>
    </rPh>
    <rPh sb="11" eb="14">
      <t>コウゲキ</t>
    </rPh>
    <phoneticPr fontId="5"/>
  </si>
  <si>
    <t>[effect:enhance_enemy, target:myself, turn:-1, status:attack, val:0.3, calc:mul, animation:enemy_enhance_attack]</t>
    <phoneticPr fontId="5"/>
  </si>
  <si>
    <t>[effect:fix_speed, target:myself, turn:1],[effect:tolerance, target:myself, turn:-1, count:-1, tolerance_effect:all, animation:enemy_tolerance],[effect:degrade_unit, target:unit_all, turn:3, status:action, val:1, calc:add, animation:enemy_tap_down]</t>
    <phoneticPr fontId="5"/>
  </si>
  <si>
    <t>[effect:fix_speed, target:myself, turn:1],[effect:tolerance, target:myself, turn:-1, count:-1, tolerance_effect:all, animation:enemy_tolerance],[effect:panel_freeze, target:normal, color:block_red, count:-1]</t>
    <phoneticPr fontId="5"/>
  </si>
  <si>
    <t>[effect:critical, val:1.4, animation:enemy_critical],[effect:heal, target:myself, val:0.2, animation:enemy_heal]</t>
    <phoneticPr fontId="5"/>
  </si>
  <si>
    <t>[effect:break_attack, target:unit_one, val:0.15, lowest_val:1500, count:-1, color:green, block01:block_yellow],[effect:heal, target:myself, val:0.1, animation:enemy_heal]</t>
    <phoneticPr fontId="5"/>
  </si>
  <si>
    <t>bit</t>
    <phoneticPr fontId="5"/>
  </si>
  <si>
    <t>bit</t>
    <phoneticPr fontId="5"/>
  </si>
  <si>
    <t>unit</t>
  </si>
  <si>
    <t>link</t>
  </si>
  <si>
    <t>目標を捕捉…</t>
    <phoneticPr fontId="5"/>
  </si>
  <si>
    <t>状態異常耐性+
攻撃タイプ以外に大ダメージの2回連続全体攻撃</t>
    <rPh sb="0" eb="6">
      <t>ｊｙ</t>
    </rPh>
    <rPh sb="8" eb="10">
      <t>コウゲｋ</t>
    </rPh>
    <rPh sb="13" eb="15">
      <t>イガ</t>
    </rPh>
    <rPh sb="16" eb="17">
      <t>ダ</t>
    </rPh>
    <rPh sb="23" eb="24">
      <t>カ</t>
    </rPh>
    <rPh sb="24" eb="26">
      <t>レンゾク</t>
    </rPh>
    <phoneticPr fontId="5"/>
  </si>
  <si>
    <t>グリーンバレット</t>
    <phoneticPr fontId="5"/>
  </si>
  <si>
    <t>バレッジウォール</t>
    <phoneticPr fontId="5"/>
  </si>
  <si>
    <t>塔の結界・アタック</t>
    <rPh sb="0" eb="1">
      <t>トウノケｋｋ</t>
    </rPh>
    <phoneticPr fontId="5"/>
  </si>
  <si>
    <t>燃やすぜェ！！</t>
    <phoneticPr fontId="5"/>
  </si>
  <si>
    <t>焼き尽くすゼェ！！</t>
    <rPh sb="0" eb="1">
      <t>ヤｋ</t>
    </rPh>
    <phoneticPr fontId="5"/>
  </si>
  <si>
    <t>燃えてきたゼェ！！</t>
    <rPh sb="0" eb="1">
      <t>モエテキゼ</t>
    </rPh>
    <phoneticPr fontId="5"/>
  </si>
  <si>
    <t>私が相手になります</t>
    <rPh sb="0" eb="1">
      <t>ワタｓ</t>
    </rPh>
    <rPh sb="2" eb="4">
      <t>ア</t>
    </rPh>
    <phoneticPr fontId="5"/>
  </si>
  <si>
    <t>破滅の独奏</t>
    <rPh sb="0" eb="2">
      <t>ハｍ</t>
    </rPh>
    <phoneticPr fontId="5"/>
  </si>
  <si>
    <t>葬送の竪琴</t>
    <rPh sb="0" eb="2">
      <t>ソウソウ</t>
    </rPh>
    <rPh sb="3" eb="5">
      <t>タｔ</t>
    </rPh>
    <phoneticPr fontId="5"/>
  </si>
  <si>
    <t>メロディが変化する…！</t>
    <rPh sb="5" eb="7">
      <t>ヘｎ</t>
    </rPh>
    <phoneticPr fontId="5"/>
  </si>
  <si>
    <t>炎鎖縛</t>
    <phoneticPr fontId="5"/>
  </si>
  <si>
    <t>ボクに挑むつもりか？</t>
    <phoneticPr fontId="5"/>
  </si>
  <si>
    <t>ヒートウェイブ</t>
    <phoneticPr fontId="5"/>
  </si>
  <si>
    <t>女王陛下に反逆する罪は重い</t>
    <phoneticPr fontId="5"/>
  </si>
  <si>
    <t>再生の竜鱗</t>
    <rPh sb="0" eb="2">
      <t>サイセ</t>
    </rPh>
    <rPh sb="3" eb="5">
      <t>リュウリン</t>
    </rPh>
    <phoneticPr fontId="5"/>
  </si>
  <si>
    <t>好きにさせると思ったか？</t>
    <rPh sb="0" eb="1">
      <t>スｋ</t>
    </rPh>
    <rPh sb="7" eb="8">
      <t>オモｔｔ</t>
    </rPh>
    <phoneticPr fontId="5"/>
  </si>
  <si>
    <t>本気で相手をしてやろう！</t>
    <phoneticPr fontId="5"/>
  </si>
  <si>
    <t>絶望の深淵に沈め！</t>
    <phoneticPr fontId="5"/>
  </si>
  <si>
    <t>反逆者風情に時間をかけたな…</t>
    <rPh sb="0" eb="3">
      <t>ハｎ</t>
    </rPh>
    <rPh sb="3" eb="5">
      <t>フゼ</t>
    </rPh>
    <rPh sb="6" eb="8">
      <t>ジカｎ</t>
    </rPh>
    <phoneticPr fontId="5"/>
  </si>
  <si>
    <t>ぐうっ…ワタシを倒すとは…</t>
    <rPh sb="8" eb="9">
      <t>タオｓ</t>
    </rPh>
    <phoneticPr fontId="5"/>
  </si>
  <si>
    <t>女王陛下の期待を裏切る
訳にはいかないのだよ！！</t>
    <phoneticPr fontId="5"/>
  </si>
  <si>
    <t>女王陛下直々に処罰されるがいい…</t>
    <rPh sb="4" eb="5">
      <t>ジ</t>
    </rPh>
    <rPh sb="7" eb="9">
      <t>ショバｔ</t>
    </rPh>
    <phoneticPr fontId="5"/>
  </si>
  <si>
    <t>見切れるかな？</t>
    <rPh sb="0" eb="2">
      <t>ミキｒ</t>
    </rPh>
    <phoneticPr fontId="5"/>
  </si>
  <si>
    <t>竜鱗の耐久力を知るがよい</t>
    <phoneticPr fontId="5"/>
  </si>
  <si>
    <t>竜鱗の耐久力を知るがよい</t>
    <phoneticPr fontId="5"/>
  </si>
  <si>
    <t>singleonly</t>
    <phoneticPr fontId="5"/>
  </si>
  <si>
    <t>singleonly</t>
    <phoneticPr fontId="5"/>
  </si>
  <si>
    <t>[effect:break_attack, target:unit_one, val:0.16, lowest_val:1000, count:-1, color:red, block01:block_green]</t>
    <phoneticPr fontId="5"/>
  </si>
  <si>
    <t>[effect:damage_fix, target:unit_one, color:green, val:3500]</t>
    <phoneticPr fontId="5"/>
  </si>
  <si>
    <t>[effect:damage_fix, target:unit_one, color:green, val:4500]</t>
    <phoneticPr fontId="5"/>
  </si>
  <si>
    <t>[effect:damage_fix, target:unit_one, color:green, val:5500]</t>
    <phoneticPr fontId="5"/>
  </si>
  <si>
    <t>[effect:damage_fix, target:unit_one, color:green, val:6500]</t>
    <phoneticPr fontId="5"/>
  </si>
  <si>
    <t>[effect:damage_fix, target:unit_one, color:green, val:7500]</t>
    <phoneticPr fontId="5"/>
  </si>
  <si>
    <t>[effect:damage_fix, target:unit_one, color:green, val:8500]</t>
    <phoneticPr fontId="5"/>
  </si>
  <si>
    <t>もうお前にかまっている時間はない！</t>
    <rPh sb="11" eb="13">
      <t>ジカｎ</t>
    </rPh>
    <phoneticPr fontId="5"/>
  </si>
  <si>
    <t>これで終わりにしてやろう</t>
    <phoneticPr fontId="5"/>
  </si>
  <si>
    <t>消えるなんてありえないッ！</t>
    <phoneticPr fontId="5"/>
  </si>
  <si>
    <t>[effect:fix_speed, target:myself, turn:2],[effect:tolerance, target:myself, turn:-1, count:-1, tolerance_effect:all, animation:enemy_tolerance],[effect:damage_anti_type, target:unit_all, type:attack, val1:0.01, val2:20],[effect:damage_anti_type, target:unit_all, type:attack, val1:0.01, val2:20]</t>
    <phoneticPr fontId="5"/>
  </si>
  <si>
    <t>[effect:damage_fix, target:unit_one, color:green, val:40000],[effect:damage_fix, target:unit_one, color:green, val:40000]</t>
    <phoneticPr fontId="5"/>
  </si>
  <si>
    <t>状態異常耐性+
3ターン全ユニットのタップ数を1DOWN</t>
    <rPh sb="0" eb="6">
      <t>ｊｙ</t>
    </rPh>
    <rPh sb="12" eb="13">
      <t>ゼｎ</t>
    </rPh>
    <phoneticPr fontId="5"/>
  </si>
  <si>
    <t>単体攻撃+
赤パネルを緑パネルに6個変換</t>
    <rPh sb="0" eb="4">
      <t>タンタ</t>
    </rPh>
    <rPh sb="6" eb="7">
      <t>アｋ</t>
    </rPh>
    <rPh sb="11" eb="12">
      <t>ミドリパネｒ</t>
    </rPh>
    <rPh sb="17" eb="18">
      <t>コ</t>
    </rPh>
    <rPh sb="18" eb="20">
      <t>ヘｎ</t>
    </rPh>
    <phoneticPr fontId="5"/>
  </si>
  <si>
    <t>残りHPの50%ダメージ！+
自己回復</t>
    <rPh sb="15" eb="19">
      <t>ジｋ</t>
    </rPh>
    <phoneticPr fontId="5"/>
  </si>
  <si>
    <t>超大ダメージ</t>
    <rPh sb="0" eb="2">
      <t>チョ</t>
    </rPh>
    <phoneticPr fontId="5"/>
  </si>
  <si>
    <t>[effect:critical, val:1.2, animation:enemy_critical],[effect:heal, target:myself, val:0.133, animation:enemy_heal]</t>
    <phoneticPr fontId="5"/>
  </si>
  <si>
    <t>[effect:critical, val:1.3, animation:enemy_critical],[effect:heal, target:myself, val:0.166, animation:enemy_heal]</t>
    <phoneticPr fontId="5"/>
  </si>
  <si>
    <t>自身の行動頻度と攻撃力UP</t>
    <phoneticPr fontId="5"/>
  </si>
  <si>
    <t>単体攻撃+
赤パネルを黄パネルに10個変換</t>
    <phoneticPr fontId="5"/>
  </si>
  <si>
    <t>単体攻撃+
赤パネルを緑パネルに10個変換</t>
    <rPh sb="6" eb="7">
      <t>アカパネｒ</t>
    </rPh>
    <rPh sb="11" eb="12">
      <t>ミドｒ</t>
    </rPh>
    <rPh sb="19" eb="21">
      <t>ヘｎ</t>
    </rPh>
    <phoneticPr fontId="5"/>
  </si>
  <si>
    <t>単体攻撃+
赤パネルを黄パネルに10個変換</t>
    <rPh sb="6" eb="7">
      <t>アカパネｒ</t>
    </rPh>
    <rPh sb="11" eb="12">
      <t>キパネｒ</t>
    </rPh>
    <rPh sb="18" eb="19">
      <t>コ</t>
    </rPh>
    <rPh sb="19" eb="21">
      <t>ヘｎ</t>
    </rPh>
    <phoneticPr fontId="5"/>
  </si>
  <si>
    <t>ターン経過で威力が上がる攻撃+
自己回復</t>
    <rPh sb="6" eb="8">
      <t>イリョｋ</t>
    </rPh>
    <rPh sb="9" eb="10">
      <t>アガｒ</t>
    </rPh>
    <rPh sb="12" eb="14">
      <t>コウゲｋ</t>
    </rPh>
    <rPh sb="16" eb="18">
      <t>ジ</t>
    </rPh>
    <rPh sb="18" eb="20">
      <t>カ</t>
    </rPh>
    <phoneticPr fontId="5"/>
  </si>
  <si>
    <t>黄パネルを吸収して単体攻撃+
自己回復</t>
    <rPh sb="0" eb="1">
      <t>キパネｒ</t>
    </rPh>
    <rPh sb="5" eb="7">
      <t>キュウシュ</t>
    </rPh>
    <rPh sb="9" eb="13">
      <t>タンタ</t>
    </rPh>
    <rPh sb="15" eb="17">
      <t>ジｋ</t>
    </rPh>
    <rPh sb="17" eb="19">
      <t>カ</t>
    </rPh>
    <phoneticPr fontId="5"/>
  </si>
  <si>
    <t>オルトロスは緑パネルを吸収して
強力な攻撃を行います
緑パネルをこまめに消して対応しましょう</t>
    <phoneticPr fontId="5"/>
  </si>
  <si>
    <t>フェニックスは攻撃力を
大きく下げるスキルを使用します
スキルで解除するか
優先して倒すようにしましょう</t>
    <phoneticPr fontId="5"/>
  </si>
  <si>
    <t>デルピュネーは特定のタイミングで
自己回復のスキルを使用します
徐々に回復量が大きくなるので
時間をかけると不利になってしまいます</t>
    <phoneticPr fontId="5"/>
  </si>
  <si>
    <t>単体攻撃+
2ターンユニット1体の攻撃力20%DOWN</t>
    <phoneticPr fontId="5"/>
  </si>
  <si>
    <t>5ターン全ユニットの攻撃力30%DOWN</t>
    <rPh sb="4" eb="5">
      <t>ゼｎ</t>
    </rPh>
    <rPh sb="10" eb="13">
      <t>コウゲｋ</t>
    </rPh>
    <phoneticPr fontId="5"/>
  </si>
  <si>
    <t>[effect:fix_speed, target:myself, turn:1],[effect:tolerance, target:myself, turn:-1, count:-1, tolerance_effect:all, animation:enemy_tolerance]</t>
    <phoneticPr fontId="5"/>
  </si>
  <si>
    <t>[effect:fix_speed, target:myself, turn:1],[effect:tolerance, target:myself, turn:-1, count:-1, tolerance_effect:all, animation:enemy_tolerance]</t>
    <phoneticPr fontId="5"/>
  </si>
  <si>
    <t>[effect:rush, count:1, val:0.8],[effect:force_change_block, new_block:block_green, target:block_red, count:6, val:0, animation:change_block]</t>
    <phoneticPr fontId="5"/>
  </si>
  <si>
    <t>[effect:break_enchance_enemy, target:myself, val:100, lowest_val:500, count:-1, status:defense, turn:-1, block01:block_green, calc:add, animation:enemy_enhance_defense]</t>
    <phoneticPr fontId="5"/>
  </si>
  <si>
    <t>[effect:rush, count:1, val:0.7],[effect:force_change_block, new_block:block_yellow, target:block_red, count:10, val:0, animation:change_block]</t>
    <phoneticPr fontId="5"/>
  </si>
  <si>
    <t>[effect:rush, count:1, val:0.8],,[effect:force_change_block, new_block:block_green, target:block_red, count:10, val:0, animation:change_block]</t>
    <phoneticPr fontId="5"/>
  </si>
  <si>
    <t>[effect:rush, count:1, val:0.85],[effect:force_change_block, new_block:block_yellow, target:block_red, count:10, val:0, animation:change_block]</t>
    <phoneticPr fontId="5"/>
  </si>
  <si>
    <t>2連続超大ダメージ</t>
  </si>
  <si>
    <t>2連続超大ダメージ</t>
    <rPh sb="1" eb="3">
      <t>レｎ</t>
    </rPh>
    <rPh sb="3" eb="5">
      <t>チョ</t>
    </rPh>
    <phoneticPr fontId="5"/>
  </si>
  <si>
    <t xml:space="preserve">[effect:damage_abnormal, target:unit_one, val:1, status:attack, turn:2, val_abnormal:0.2, calc:mul, animation:attack_break01] </t>
    <phoneticPr fontId="5"/>
  </si>
  <si>
    <t>[effect:attack_break, target:unit_all, turn:5, val:0.3, calc:mul, animation:attack_break01]</t>
    <phoneticPr fontId="5"/>
  </si>
  <si>
    <t>[effect:fix_speed, target:myself, turn:1],[effect:tolerance, target:myself, turn:-1, count:-1, tolerance_effect:all, animation:enemy_tolerance],[effect:attack_break, target:unit_all, turn:5, val:0.3, calc:mul, animation:attack_break01],[effect:degrade_unit, target:unit_all, turn:3, status:action, val:1, calc:add, animation:enemy_tap_down]</t>
    <phoneticPr fontId="5"/>
  </si>
  <si>
    <t>次のターンに超強力な連続攻撃</t>
    <rPh sb="0" eb="1">
      <t>ツｇ</t>
    </rPh>
    <rPh sb="6" eb="9">
      <t>チョウキョ</t>
    </rPh>
    <rPh sb="10" eb="12">
      <t>レンゾｋ</t>
    </rPh>
    <rPh sb="12" eb="14">
      <t>コウゲｋ</t>
    </rPh>
    <phoneticPr fontId="5"/>
  </si>
  <si>
    <t>状態異常耐性+
赤パネルをプロテクト
【12ターン後に超強力な攻撃】</t>
    <rPh sb="0" eb="6">
      <t>ｊｙ</t>
    </rPh>
    <rPh sb="8" eb="9">
      <t>アカパネｒ</t>
    </rPh>
    <phoneticPr fontId="5"/>
  </si>
  <si>
    <t>状態異常耐性+
5ターン全ユニットの攻撃力30%DOWN+
3ターン全ユニットのタップ数を1DOWN
【12ターン後に超強力な攻撃】</t>
    <rPh sb="0" eb="6">
      <t>ｊｙ</t>
    </rPh>
    <rPh sb="34" eb="35">
      <t>ゼｎ</t>
    </rPh>
    <phoneticPr fontId="5"/>
  </si>
  <si>
    <t>終わりにしましょう…</t>
    <rPh sb="0" eb="1">
      <t>オワｒ</t>
    </rPh>
    <phoneticPr fontId="5"/>
  </si>
  <si>
    <t>[effect:enemy_message, val1:1.3, val2:2.1]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</si>
</sst>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1" applyNumberFormat="0" applyAlignment="0" applyProtection="0"/>
    <xf numFmtId="0" fontId="33" fillId="17" borderId="0" applyNumberFormat="0" applyBorder="0" applyAlignment="0" applyProtection="0"/>
    <xf numFmtId="0" fontId="34" fillId="18" borderId="12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3" applyNumberFormat="0" applyAlignment="0" applyProtection="0"/>
    <xf numFmtId="0" fontId="38" fillId="0" borderId="0" applyNumberFormat="0" applyFill="0" applyBorder="0" applyAlignment="0" applyProtection="0"/>
    <xf numFmtId="0" fontId="39" fillId="0" borderId="14" applyNumberFormat="0" applyFill="0" applyAlignment="0" applyProtection="0"/>
    <xf numFmtId="0" fontId="40" fillId="0" borderId="15" applyNumberFormat="0" applyFill="0" applyAlignment="0" applyProtection="0"/>
    <xf numFmtId="0" fontId="41" fillId="0" borderId="16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7" applyNumberFormat="0" applyFill="0" applyAlignment="0" applyProtection="0"/>
    <xf numFmtId="0" fontId="46" fillId="18" borderId="18" applyNumberFormat="0" applyAlignment="0" applyProtection="0"/>
    <xf numFmtId="0" fontId="46" fillId="29" borderId="18" applyNumberFormat="0" applyAlignment="0" applyProtection="0"/>
    <xf numFmtId="0" fontId="34" fillId="17" borderId="12" applyNumberFormat="0" applyAlignment="0" applyProtection="0"/>
    <xf numFmtId="0" fontId="47" fillId="0" borderId="19" applyNumberFormat="0" applyFill="0" applyAlignment="0" applyProtection="0"/>
    <xf numFmtId="0" fontId="48" fillId="29" borderId="12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0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0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0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16" fillId="6" borderId="6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6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6" xfId="0" applyFont="1" applyFill="1" applyBorder="1"/>
    <xf numFmtId="22" fontId="30" fillId="0" borderId="6" xfId="0" quotePrefix="1" applyNumberFormat="1" applyFont="1" applyFill="1" applyBorder="1"/>
    <xf numFmtId="0" fontId="30" fillId="0" borderId="6" xfId="0" quotePrefix="1" applyFont="1" applyFill="1" applyBorder="1"/>
    <xf numFmtId="0" fontId="2" fillId="0" borderId="6" xfId="615" applyBorder="1"/>
    <xf numFmtId="0" fontId="2" fillId="6" borderId="6" xfId="615" applyFill="1" applyBorder="1"/>
    <xf numFmtId="0" fontId="4" fillId="31" borderId="6" xfId="0" applyFont="1" applyFill="1" applyBorder="1" applyAlignment="1">
      <alignment horizontal="left" vertical="center"/>
    </xf>
    <xf numFmtId="1" fontId="32" fillId="31" borderId="6" xfId="0" applyNumberFormat="1" applyFont="1" applyFill="1" applyBorder="1" applyAlignment="1">
      <alignment vertical="center"/>
    </xf>
    <xf numFmtId="0" fontId="16" fillId="0" borderId="6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0" xfId="0" applyNumberFormat="1" applyFont="1" applyFill="1" applyBorder="1" applyAlignment="1">
      <alignment vertical="top" wrapText="1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vertical="center"/>
    </xf>
    <xf numFmtId="38" fontId="16" fillId="0" borderId="6" xfId="628" applyFont="1" applyFill="1" applyBorder="1" applyAlignment="1">
      <alignment wrapText="1"/>
    </xf>
    <xf numFmtId="0" fontId="16" fillId="13" borderId="6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48001</v>
          </cell>
        </row>
        <row r="236">
          <cell r="A236">
            <v>48002</v>
          </cell>
        </row>
        <row r="237">
          <cell r="A237">
            <v>48003</v>
          </cell>
        </row>
        <row r="238">
          <cell r="A238">
            <v>48004</v>
          </cell>
        </row>
        <row r="239">
          <cell r="A239">
            <v>48005</v>
          </cell>
        </row>
        <row r="240">
          <cell r="A240">
            <v>48006</v>
          </cell>
        </row>
        <row r="241">
          <cell r="A241">
            <v>48007</v>
          </cell>
        </row>
        <row r="242">
          <cell r="A242">
            <v>48008</v>
          </cell>
        </row>
        <row r="243">
          <cell r="A243">
            <v>48009</v>
          </cell>
        </row>
        <row r="244">
          <cell r="A244">
            <v>48010</v>
          </cell>
        </row>
        <row r="245">
          <cell r="A245">
            <v>48011</v>
          </cell>
        </row>
        <row r="246">
          <cell r="A246">
            <v>48012</v>
          </cell>
        </row>
        <row r="247">
          <cell r="A247">
            <v>48501</v>
          </cell>
        </row>
        <row r="248">
          <cell r="A248">
            <v>48502</v>
          </cell>
        </row>
        <row r="249">
          <cell r="A249">
            <v>48701</v>
          </cell>
        </row>
        <row r="250">
          <cell r="A250">
            <v>41001</v>
          </cell>
        </row>
        <row r="251">
          <cell r="A251">
            <v>41002</v>
          </cell>
        </row>
        <row r="252">
          <cell r="A252">
            <v>41003</v>
          </cell>
        </row>
        <row r="253">
          <cell r="A253">
            <v>41004</v>
          </cell>
        </row>
        <row r="254">
          <cell r="A254">
            <v>41005</v>
          </cell>
        </row>
        <row r="255">
          <cell r="A255">
            <v>41006</v>
          </cell>
        </row>
        <row r="256">
          <cell r="A256">
            <v>41007</v>
          </cell>
        </row>
        <row r="257">
          <cell r="A257">
            <v>41008</v>
          </cell>
        </row>
        <row r="258">
          <cell r="A258">
            <v>41009</v>
          </cell>
        </row>
        <row r="259">
          <cell r="A259">
            <v>41010</v>
          </cell>
        </row>
        <row r="260">
          <cell r="A260">
            <v>41011</v>
          </cell>
        </row>
        <row r="261">
          <cell r="A261">
            <v>41012</v>
          </cell>
        </row>
        <row r="262">
          <cell r="A262">
            <v>41013</v>
          </cell>
        </row>
        <row r="263">
          <cell r="A263">
            <v>41014</v>
          </cell>
        </row>
        <row r="264">
          <cell r="A264">
            <v>41015</v>
          </cell>
        </row>
        <row r="265">
          <cell r="A265">
            <v>47001</v>
          </cell>
        </row>
        <row r="266">
          <cell r="A266">
            <v>47002</v>
          </cell>
        </row>
        <row r="267">
          <cell r="A267">
            <v>47003</v>
          </cell>
        </row>
        <row r="268">
          <cell r="A268">
            <v>47004</v>
          </cell>
        </row>
        <row r="269">
          <cell r="A269">
            <v>47005</v>
          </cell>
        </row>
        <row r="270">
          <cell r="A270">
            <v>47006</v>
          </cell>
        </row>
        <row r="271">
          <cell r="A271">
            <v>47007</v>
          </cell>
        </row>
        <row r="272">
          <cell r="A272">
            <v>47008</v>
          </cell>
        </row>
        <row r="273">
          <cell r="A273">
            <v>47009</v>
          </cell>
        </row>
        <row r="274">
          <cell r="A274">
            <v>47010</v>
          </cell>
        </row>
        <row r="275">
          <cell r="A275">
            <v>47011</v>
          </cell>
        </row>
        <row r="276">
          <cell r="A276">
            <v>47012</v>
          </cell>
        </row>
        <row r="277">
          <cell r="A277">
            <v>49001</v>
          </cell>
        </row>
        <row r="278">
          <cell r="A278">
            <v>49002</v>
          </cell>
        </row>
        <row r="279">
          <cell r="A279">
            <v>49003</v>
          </cell>
        </row>
        <row r="280">
          <cell r="A280">
            <v>49004</v>
          </cell>
        </row>
        <row r="281">
          <cell r="A281">
            <v>49005</v>
          </cell>
        </row>
        <row r="282">
          <cell r="A282">
            <v>49006</v>
          </cell>
        </row>
        <row r="283">
          <cell r="A283">
            <v>49007</v>
          </cell>
        </row>
        <row r="284">
          <cell r="A284">
            <v>49008</v>
          </cell>
        </row>
        <row r="285">
          <cell r="A285">
            <v>49009</v>
          </cell>
        </row>
        <row r="286">
          <cell r="A286">
            <v>49010</v>
          </cell>
        </row>
        <row r="287">
          <cell r="A287">
            <v>49011</v>
          </cell>
        </row>
        <row r="288">
          <cell r="A288">
            <v>49012</v>
          </cell>
        </row>
        <row r="289">
          <cell r="A289">
            <v>49013</v>
          </cell>
        </row>
        <row r="290">
          <cell r="A290">
            <v>49014</v>
          </cell>
        </row>
        <row r="291">
          <cell r="A291">
            <v>49015</v>
          </cell>
        </row>
        <row r="292">
          <cell r="A292">
            <v>50001</v>
          </cell>
        </row>
        <row r="293">
          <cell r="A293">
            <v>50002</v>
          </cell>
        </row>
        <row r="294">
          <cell r="A294">
            <v>50003</v>
          </cell>
        </row>
        <row r="295">
          <cell r="A295">
            <v>50004</v>
          </cell>
        </row>
        <row r="296">
          <cell r="A296">
            <v>50005</v>
          </cell>
        </row>
        <row r="297">
          <cell r="A297">
            <v>50006</v>
          </cell>
        </row>
        <row r="298">
          <cell r="A298">
            <v>50007</v>
          </cell>
        </row>
        <row r="299">
          <cell r="A299">
            <v>50008</v>
          </cell>
        </row>
        <row r="300">
          <cell r="A300">
            <v>50009</v>
          </cell>
        </row>
        <row r="301">
          <cell r="A301">
            <v>50010</v>
          </cell>
        </row>
        <row r="302">
          <cell r="A302">
            <v>50011</v>
          </cell>
        </row>
        <row r="303">
          <cell r="A303">
            <v>50012</v>
          </cell>
        </row>
        <row r="304">
          <cell r="A304">
            <v>50013</v>
          </cell>
        </row>
        <row r="305">
          <cell r="A305">
            <v>50014</v>
          </cell>
        </row>
        <row r="306">
          <cell r="A306">
            <v>51001</v>
          </cell>
        </row>
        <row r="307">
          <cell r="A307">
            <v>51002</v>
          </cell>
        </row>
        <row r="308">
          <cell r="A308">
            <v>58001</v>
          </cell>
        </row>
        <row r="309">
          <cell r="A309">
            <v>59001</v>
          </cell>
        </row>
        <row r="310">
          <cell r="A310">
            <v>59002</v>
          </cell>
        </row>
        <row r="311">
          <cell r="A311">
            <v>60001</v>
          </cell>
        </row>
        <row r="312">
          <cell r="A312">
            <v>60002</v>
          </cell>
        </row>
        <row r="313">
          <cell r="A313">
            <v>60003</v>
          </cell>
        </row>
        <row r="314">
          <cell r="A314">
            <v>60004</v>
          </cell>
        </row>
        <row r="315">
          <cell r="A315">
            <v>60005</v>
          </cell>
        </row>
        <row r="316">
          <cell r="A316">
            <v>60006</v>
          </cell>
        </row>
        <row r="317">
          <cell r="A317">
            <v>60007</v>
          </cell>
        </row>
        <row r="318">
          <cell r="A318">
            <v>60010</v>
          </cell>
        </row>
        <row r="319">
          <cell r="A319">
            <v>60011</v>
          </cell>
        </row>
        <row r="320">
          <cell r="A320">
            <v>61011</v>
          </cell>
        </row>
        <row r="321">
          <cell r="A321">
            <v>60012</v>
          </cell>
        </row>
        <row r="322">
          <cell r="A322">
            <v>60013</v>
          </cell>
        </row>
        <row r="323">
          <cell r="A323">
            <v>60014</v>
          </cell>
        </row>
        <row r="324">
          <cell r="A324">
            <v>60015</v>
          </cell>
        </row>
        <row r="325">
          <cell r="A325">
            <v>60016</v>
          </cell>
        </row>
        <row r="326">
          <cell r="A326">
            <v>60017</v>
          </cell>
        </row>
        <row r="327">
          <cell r="A327">
            <v>60018</v>
          </cell>
        </row>
        <row r="328">
          <cell r="A328">
            <v>60019</v>
          </cell>
        </row>
        <row r="329">
          <cell r="A329">
            <v>60020</v>
          </cell>
        </row>
        <row r="330">
          <cell r="A330">
            <v>60025</v>
          </cell>
        </row>
        <row r="331">
          <cell r="A331">
            <v>60026</v>
          </cell>
        </row>
        <row r="332">
          <cell r="A332">
            <v>60027</v>
          </cell>
        </row>
        <row r="333">
          <cell r="A333">
            <v>60028</v>
          </cell>
        </row>
        <row r="334">
          <cell r="A334">
            <v>65525</v>
          </cell>
        </row>
        <row r="335">
          <cell r="A335">
            <v>65526</v>
          </cell>
        </row>
        <row r="336">
          <cell r="A336">
            <v>65527</v>
          </cell>
        </row>
        <row r="337">
          <cell r="A337">
            <v>65528</v>
          </cell>
        </row>
        <row r="338">
          <cell r="A338">
            <v>65529</v>
          </cell>
        </row>
        <row r="339">
          <cell r="A339">
            <v>65530</v>
          </cell>
        </row>
        <row r="340">
          <cell r="A340">
            <v>65531</v>
          </cell>
        </row>
        <row r="341">
          <cell r="A341">
            <v>65532</v>
          </cell>
        </row>
        <row r="342">
          <cell r="A342">
            <v>65533</v>
          </cell>
        </row>
        <row r="343">
          <cell r="A343">
            <v>65534</v>
          </cell>
        </row>
        <row r="344">
          <cell r="A344">
            <v>65535</v>
          </cell>
        </row>
        <row r="345">
          <cell r="A345">
            <v>60021</v>
          </cell>
        </row>
        <row r="346">
          <cell r="A346">
            <v>60022</v>
          </cell>
        </row>
        <row r="347">
          <cell r="A347">
            <v>60023</v>
          </cell>
        </row>
        <row r="348">
          <cell r="A3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41001_1</v>
          </cell>
        </row>
        <row r="789">
          <cell r="A789" t="str">
            <v>41001_2</v>
          </cell>
        </row>
        <row r="790">
          <cell r="A790" t="str">
            <v>41001_3</v>
          </cell>
        </row>
        <row r="791">
          <cell r="A791" t="str">
            <v>41002_1</v>
          </cell>
        </row>
        <row r="792">
          <cell r="A792" t="str">
            <v>41002_2</v>
          </cell>
        </row>
        <row r="793">
          <cell r="A793" t="str">
            <v>41002_3</v>
          </cell>
        </row>
        <row r="794">
          <cell r="A794" t="str">
            <v>41003_1</v>
          </cell>
        </row>
        <row r="795">
          <cell r="A795" t="str">
            <v>41003_2</v>
          </cell>
        </row>
        <row r="796">
          <cell r="A796" t="str">
            <v>41003_3</v>
          </cell>
        </row>
        <row r="797">
          <cell r="A797" t="str">
            <v>41004_1</v>
          </cell>
        </row>
        <row r="798">
          <cell r="A798" t="str">
            <v>41004_2</v>
          </cell>
        </row>
        <row r="799">
          <cell r="A799" t="str">
            <v>41004_3</v>
          </cell>
        </row>
        <row r="800">
          <cell r="A800" t="str">
            <v>41005_1</v>
          </cell>
        </row>
        <row r="801">
          <cell r="A801" t="str">
            <v>41005_2</v>
          </cell>
        </row>
        <row r="802">
          <cell r="A802" t="str">
            <v>41005_3</v>
          </cell>
        </row>
        <row r="803">
          <cell r="A803" t="str">
            <v>41006_1</v>
          </cell>
        </row>
        <row r="804">
          <cell r="A804" t="str">
            <v>41006_2</v>
          </cell>
        </row>
        <row r="805">
          <cell r="A805" t="str">
            <v>41006_3</v>
          </cell>
        </row>
        <row r="806">
          <cell r="A806" t="str">
            <v>41007_1</v>
          </cell>
        </row>
        <row r="807">
          <cell r="A807" t="str">
            <v>41007_2</v>
          </cell>
        </row>
        <row r="808">
          <cell r="A808" t="str">
            <v>41007_3</v>
          </cell>
        </row>
        <row r="809">
          <cell r="A809" t="str">
            <v>41008_1</v>
          </cell>
        </row>
        <row r="810">
          <cell r="A810" t="str">
            <v>41008_2</v>
          </cell>
        </row>
        <row r="811">
          <cell r="A811" t="str">
            <v>41008_3</v>
          </cell>
        </row>
        <row r="812">
          <cell r="A812" t="str">
            <v>41009_1</v>
          </cell>
        </row>
        <row r="813">
          <cell r="A813" t="str">
            <v>41009_2</v>
          </cell>
        </row>
        <row r="814">
          <cell r="A814" t="str">
            <v>41009_3</v>
          </cell>
        </row>
        <row r="815">
          <cell r="A815" t="str">
            <v>41010_1</v>
          </cell>
        </row>
        <row r="816">
          <cell r="A816" t="str">
            <v>41010_2</v>
          </cell>
        </row>
        <row r="817">
          <cell r="A817" t="str">
            <v>41010_3</v>
          </cell>
        </row>
        <row r="818">
          <cell r="A818" t="str">
            <v>41011_1</v>
          </cell>
        </row>
        <row r="819">
          <cell r="A819" t="str">
            <v>41011_2</v>
          </cell>
        </row>
        <row r="820">
          <cell r="A820" t="str">
            <v>41012_1</v>
          </cell>
        </row>
        <row r="821">
          <cell r="A821" t="str">
            <v>41012_2</v>
          </cell>
        </row>
        <row r="822">
          <cell r="A822" t="str">
            <v>41013_1</v>
          </cell>
        </row>
        <row r="823">
          <cell r="A823" t="str">
            <v>41013_2</v>
          </cell>
        </row>
        <row r="824">
          <cell r="A824" t="str">
            <v>41014_1</v>
          </cell>
        </row>
        <row r="825">
          <cell r="A825" t="str">
            <v>41014_2</v>
          </cell>
        </row>
        <row r="826">
          <cell r="A826" t="str">
            <v>41015_1</v>
          </cell>
        </row>
        <row r="827">
          <cell r="A827" t="str">
            <v>41015_2</v>
          </cell>
        </row>
        <row r="828">
          <cell r="A828" t="str">
            <v>47001_1</v>
          </cell>
        </row>
        <row r="829">
          <cell r="A829" t="str">
            <v>47001_2</v>
          </cell>
        </row>
        <row r="830">
          <cell r="A830" t="str">
            <v>47002_1</v>
          </cell>
        </row>
        <row r="831">
          <cell r="A831" t="str">
            <v>47002_2</v>
          </cell>
        </row>
        <row r="832">
          <cell r="A832" t="str">
            <v>47003_1</v>
          </cell>
        </row>
        <row r="833">
          <cell r="A833" t="str">
            <v>47003_2</v>
          </cell>
        </row>
        <row r="834">
          <cell r="A834" t="str">
            <v>47003_3</v>
          </cell>
        </row>
        <row r="835">
          <cell r="A835" t="str">
            <v>47003_4</v>
          </cell>
        </row>
        <row r="836">
          <cell r="A836" t="str">
            <v>47004_1</v>
          </cell>
        </row>
        <row r="837">
          <cell r="A837" t="str">
            <v>47004_2</v>
          </cell>
        </row>
        <row r="838">
          <cell r="A838" t="str">
            <v>47004_3</v>
          </cell>
        </row>
        <row r="839">
          <cell r="A839" t="str">
            <v>47004_4</v>
          </cell>
        </row>
        <row r="840">
          <cell r="A840" t="str">
            <v>47005_1</v>
          </cell>
        </row>
        <row r="841">
          <cell r="A841" t="str">
            <v>47006_1</v>
          </cell>
        </row>
        <row r="842">
          <cell r="A842" t="str">
            <v>47006_2</v>
          </cell>
        </row>
        <row r="843">
          <cell r="A843" t="str">
            <v>47007_1</v>
          </cell>
        </row>
        <row r="844">
          <cell r="A844" t="str">
            <v>47007_2</v>
          </cell>
        </row>
        <row r="845">
          <cell r="A845" t="str">
            <v>47008_1</v>
          </cell>
        </row>
        <row r="846">
          <cell r="A846" t="str">
            <v>47008_2</v>
          </cell>
        </row>
        <row r="847">
          <cell r="A847" t="str">
            <v>47009_1</v>
          </cell>
        </row>
        <row r="848">
          <cell r="A848" t="str">
            <v>47009_2</v>
          </cell>
        </row>
        <row r="849">
          <cell r="A849" t="str">
            <v>47010_1</v>
          </cell>
        </row>
        <row r="850">
          <cell r="A850" t="str">
            <v>47010_2</v>
          </cell>
        </row>
        <row r="851">
          <cell r="A851" t="str">
            <v>47011_1</v>
          </cell>
        </row>
        <row r="852">
          <cell r="A852" t="str">
            <v>47012_1</v>
          </cell>
        </row>
        <row r="853">
          <cell r="A853" t="str">
            <v>47012_2</v>
          </cell>
        </row>
        <row r="854">
          <cell r="A854" t="str">
            <v>48001_1</v>
          </cell>
        </row>
        <row r="855">
          <cell r="A855" t="str">
            <v>48002_1</v>
          </cell>
        </row>
        <row r="856">
          <cell r="A856" t="str">
            <v>48002_2</v>
          </cell>
        </row>
        <row r="857">
          <cell r="A857" t="str">
            <v>48002_3</v>
          </cell>
        </row>
        <row r="858">
          <cell r="A858" t="str">
            <v>48003_1</v>
          </cell>
        </row>
        <row r="859">
          <cell r="A859" t="str">
            <v>48003_2</v>
          </cell>
        </row>
        <row r="860">
          <cell r="A860" t="str">
            <v>48004_1</v>
          </cell>
        </row>
        <row r="861">
          <cell r="A861" t="str">
            <v>48004_2</v>
          </cell>
        </row>
        <row r="862">
          <cell r="A862" t="str">
            <v>48005_1</v>
          </cell>
        </row>
        <row r="863">
          <cell r="A863" t="str">
            <v>48005_2</v>
          </cell>
        </row>
        <row r="864">
          <cell r="A864" t="str">
            <v>48006_1</v>
          </cell>
        </row>
        <row r="865">
          <cell r="A865" t="str">
            <v>48006_2</v>
          </cell>
        </row>
        <row r="866">
          <cell r="A866" t="str">
            <v>48007_1</v>
          </cell>
        </row>
        <row r="867">
          <cell r="A867" t="str">
            <v>48007_2</v>
          </cell>
        </row>
        <row r="868">
          <cell r="A868" t="str">
            <v>48008_1</v>
          </cell>
        </row>
        <row r="869">
          <cell r="A869" t="str">
            <v>48008_2</v>
          </cell>
        </row>
        <row r="870">
          <cell r="A870" t="str">
            <v>48009_1</v>
          </cell>
        </row>
        <row r="871">
          <cell r="A871" t="str">
            <v>48009_2</v>
          </cell>
        </row>
        <row r="872">
          <cell r="A872" t="str">
            <v>48010_1</v>
          </cell>
        </row>
        <row r="873">
          <cell r="A873" t="str">
            <v>48011_1</v>
          </cell>
        </row>
        <row r="874">
          <cell r="A874" t="str">
            <v>48011_2</v>
          </cell>
        </row>
        <row r="875">
          <cell r="A875" t="str">
            <v>48012_1</v>
          </cell>
        </row>
        <row r="876">
          <cell r="A876" t="str">
            <v>48012_2</v>
          </cell>
        </row>
        <row r="877">
          <cell r="A877" t="str">
            <v>48501_1</v>
          </cell>
        </row>
        <row r="878">
          <cell r="A878" t="str">
            <v>48501_2</v>
          </cell>
        </row>
        <row r="879">
          <cell r="A879" t="str">
            <v>48502_1</v>
          </cell>
        </row>
        <row r="880">
          <cell r="A880" t="str">
            <v>48502_2</v>
          </cell>
        </row>
        <row r="881">
          <cell r="A881" t="str">
            <v>48701_1</v>
          </cell>
        </row>
        <row r="882">
          <cell r="A882" t="str">
            <v>48701_2</v>
          </cell>
        </row>
        <row r="883">
          <cell r="A883" t="str">
            <v>49001_1</v>
          </cell>
        </row>
        <row r="884">
          <cell r="A884" t="str">
            <v>49002_1</v>
          </cell>
        </row>
        <row r="885">
          <cell r="A885" t="str">
            <v>49002_2</v>
          </cell>
        </row>
        <row r="886">
          <cell r="A886" t="str">
            <v>49003_1</v>
          </cell>
        </row>
        <row r="887">
          <cell r="A887" t="str">
            <v>49003_2</v>
          </cell>
        </row>
        <row r="888">
          <cell r="A888" t="str">
            <v>49004_1</v>
          </cell>
        </row>
        <row r="889">
          <cell r="A889" t="str">
            <v>49004_2</v>
          </cell>
        </row>
        <row r="890">
          <cell r="A890" t="str">
            <v>49004_3</v>
          </cell>
        </row>
        <row r="891">
          <cell r="A891" t="str">
            <v>49005_1</v>
          </cell>
        </row>
        <row r="892">
          <cell r="A892" t="str">
            <v>49006_1</v>
          </cell>
        </row>
        <row r="893">
          <cell r="A893" t="str">
            <v>49006_2</v>
          </cell>
        </row>
        <row r="894">
          <cell r="A894" t="str">
            <v>49007_1</v>
          </cell>
        </row>
        <row r="895">
          <cell r="A895" t="str">
            <v>49007_2</v>
          </cell>
        </row>
        <row r="896">
          <cell r="A896" t="str">
            <v>49007_3</v>
          </cell>
        </row>
        <row r="897">
          <cell r="A897" t="str">
            <v>49008_1</v>
          </cell>
        </row>
        <row r="898">
          <cell r="A898" t="str">
            <v>49009_1</v>
          </cell>
        </row>
        <row r="899">
          <cell r="A899" t="str">
            <v>49010_1</v>
          </cell>
        </row>
        <row r="900">
          <cell r="A900" t="str">
            <v>49011_1</v>
          </cell>
        </row>
        <row r="901">
          <cell r="A901" t="str">
            <v>49012_1</v>
          </cell>
        </row>
        <row r="902">
          <cell r="A902" t="str">
            <v>49013_1</v>
          </cell>
        </row>
        <row r="903">
          <cell r="A903" t="str">
            <v>49014_1</v>
          </cell>
        </row>
        <row r="904">
          <cell r="A904" t="str">
            <v>49014_2</v>
          </cell>
        </row>
        <row r="905">
          <cell r="A905" t="str">
            <v>49015_1</v>
          </cell>
        </row>
        <row r="906">
          <cell r="A906" t="str">
            <v>49015_2</v>
          </cell>
        </row>
        <row r="907">
          <cell r="A907" t="str">
            <v>49015_3</v>
          </cell>
        </row>
        <row r="908">
          <cell r="A908" t="str">
            <v>50001_1</v>
          </cell>
        </row>
        <row r="909">
          <cell r="A909" t="str">
            <v>50002_1</v>
          </cell>
        </row>
        <row r="910">
          <cell r="A910" t="str">
            <v>50003_1</v>
          </cell>
        </row>
        <row r="911">
          <cell r="A911" t="str">
            <v>50004_1</v>
          </cell>
        </row>
        <row r="912">
          <cell r="A912" t="str">
            <v>50005_1</v>
          </cell>
        </row>
        <row r="913">
          <cell r="A913" t="str">
            <v>50006_1</v>
          </cell>
        </row>
        <row r="914">
          <cell r="A914" t="str">
            <v>50007_1</v>
          </cell>
        </row>
        <row r="915">
          <cell r="A915" t="str">
            <v>50008_1</v>
          </cell>
        </row>
        <row r="916">
          <cell r="A916" t="str">
            <v>50009_1</v>
          </cell>
        </row>
        <row r="917">
          <cell r="A917" t="str">
            <v>50010_1</v>
          </cell>
        </row>
        <row r="918">
          <cell r="A918" t="str">
            <v>50011_1</v>
          </cell>
        </row>
        <row r="919">
          <cell r="A919" t="str">
            <v>50012_1</v>
          </cell>
        </row>
        <row r="920">
          <cell r="A920" t="str">
            <v>50013_1</v>
          </cell>
        </row>
        <row r="921">
          <cell r="A921" t="str">
            <v>50014_1</v>
          </cell>
        </row>
        <row r="922">
          <cell r="A922" t="str">
            <v>51001_1</v>
          </cell>
        </row>
        <row r="923">
          <cell r="A923" t="str">
            <v>51002_1</v>
          </cell>
        </row>
        <row r="924">
          <cell r="A924" t="str">
            <v>58001_1</v>
          </cell>
        </row>
        <row r="925">
          <cell r="A925" t="str">
            <v>59001_1</v>
          </cell>
        </row>
        <row r="926">
          <cell r="A926" t="str">
            <v>59002_1</v>
          </cell>
        </row>
        <row r="927">
          <cell r="A927" t="str">
            <v>60001_1</v>
          </cell>
        </row>
        <row r="928">
          <cell r="A928" t="str">
            <v>60002_1</v>
          </cell>
        </row>
        <row r="929">
          <cell r="A929" t="str">
            <v>60002_2</v>
          </cell>
        </row>
        <row r="930">
          <cell r="A930" t="str">
            <v>60003_1</v>
          </cell>
        </row>
        <row r="931">
          <cell r="A931" t="str">
            <v>60003_2</v>
          </cell>
        </row>
        <row r="932">
          <cell r="A932" t="str">
            <v>60003_3</v>
          </cell>
        </row>
        <row r="933">
          <cell r="A933" t="str">
            <v>60004_1</v>
          </cell>
        </row>
        <row r="934">
          <cell r="A934" t="str">
            <v>60005_1</v>
          </cell>
        </row>
        <row r="935">
          <cell r="A935" t="str">
            <v>60006_1</v>
          </cell>
        </row>
        <row r="936">
          <cell r="A936" t="str">
            <v>60006_2</v>
          </cell>
        </row>
        <row r="937">
          <cell r="A937" t="str">
            <v>60006_3</v>
          </cell>
        </row>
        <row r="938">
          <cell r="A938" t="str">
            <v>60007_1</v>
          </cell>
        </row>
        <row r="939">
          <cell r="A939" t="str">
            <v>60007_2</v>
          </cell>
        </row>
        <row r="940">
          <cell r="A940" t="str">
            <v>60007_3</v>
          </cell>
        </row>
        <row r="941">
          <cell r="A941" t="str">
            <v>60010_1</v>
          </cell>
        </row>
        <row r="942">
          <cell r="A942" t="str">
            <v>60011_1</v>
          </cell>
        </row>
        <row r="943">
          <cell r="A943" t="str">
            <v>60011_2</v>
          </cell>
        </row>
        <row r="944">
          <cell r="A944" t="str">
            <v>60012_1</v>
          </cell>
        </row>
        <row r="945">
          <cell r="A945" t="str">
            <v>60013_1</v>
          </cell>
        </row>
        <row r="946">
          <cell r="A946" t="str">
            <v>60013_2</v>
          </cell>
        </row>
        <row r="947">
          <cell r="A947" t="str">
            <v>60013_3</v>
          </cell>
        </row>
        <row r="948">
          <cell r="A948" t="str">
            <v>60014_1</v>
          </cell>
        </row>
        <row r="949">
          <cell r="A949" t="str">
            <v>60015_1</v>
          </cell>
        </row>
        <row r="950">
          <cell r="A950" t="str">
            <v>60016_1</v>
          </cell>
        </row>
        <row r="951">
          <cell r="A951" t="str">
            <v>60017_1</v>
          </cell>
        </row>
        <row r="952">
          <cell r="A952" t="str">
            <v>60018_1</v>
          </cell>
        </row>
        <row r="953">
          <cell r="A953" t="str">
            <v>60019_1</v>
          </cell>
        </row>
        <row r="954">
          <cell r="A954" t="str">
            <v>60020_1</v>
          </cell>
        </row>
        <row r="955">
          <cell r="A955" t="str">
            <v>60021_3</v>
          </cell>
        </row>
        <row r="956">
          <cell r="A956" t="str">
            <v>60022_3</v>
          </cell>
        </row>
        <row r="957">
          <cell r="A957" t="str">
            <v>60023_3</v>
          </cell>
        </row>
        <row r="958">
          <cell r="A958" t="str">
            <v>60024_3</v>
          </cell>
        </row>
        <row r="959">
          <cell r="A959" t="str">
            <v>60025_1</v>
          </cell>
        </row>
        <row r="960">
          <cell r="A960" t="str">
            <v>60026_1</v>
          </cell>
        </row>
        <row r="961">
          <cell r="A961" t="str">
            <v>61011_1</v>
          </cell>
        </row>
        <row r="962">
          <cell r="A962" t="str">
            <v>60027_1</v>
          </cell>
        </row>
        <row r="963">
          <cell r="A963" t="str">
            <v>60028_1</v>
          </cell>
        </row>
        <row r="964">
          <cell r="A964" t="str">
            <v>65525_1</v>
          </cell>
        </row>
        <row r="965">
          <cell r="A965" t="str">
            <v>65526_1</v>
          </cell>
        </row>
        <row r="966">
          <cell r="A966" t="str">
            <v>65526_2</v>
          </cell>
        </row>
        <row r="967">
          <cell r="A967" t="str">
            <v>65527_1</v>
          </cell>
        </row>
        <row r="968">
          <cell r="A968" t="str">
            <v>65528_1</v>
          </cell>
        </row>
        <row r="969">
          <cell r="A969" t="str">
            <v>65529_1</v>
          </cell>
        </row>
        <row r="970">
          <cell r="A970" t="str">
            <v>65530_1</v>
          </cell>
        </row>
        <row r="971">
          <cell r="A971" t="str">
            <v>65531_1</v>
          </cell>
        </row>
        <row r="972">
          <cell r="A972" t="str">
            <v>65531_2</v>
          </cell>
        </row>
        <row r="973">
          <cell r="A973" t="str">
            <v>65532_1</v>
          </cell>
        </row>
        <row r="974">
          <cell r="A974" t="str">
            <v>65532_2</v>
          </cell>
        </row>
        <row r="975">
          <cell r="A975" t="str">
            <v>65533_1</v>
          </cell>
        </row>
        <row r="976">
          <cell r="A976" t="str">
            <v>65533_2</v>
          </cell>
        </row>
        <row r="977">
          <cell r="A977" t="str">
            <v>65534_1</v>
          </cell>
        </row>
        <row r="978">
          <cell r="A978" t="str">
            <v>65534_2</v>
          </cell>
        </row>
        <row r="979">
          <cell r="A979" t="str">
            <v>65535_1</v>
          </cell>
        </row>
        <row r="980">
          <cell r="A980" t="str">
            <v>65535_2</v>
          </cell>
        </row>
        <row r="981">
          <cell r="A981" t="str">
            <v>65535_3</v>
          </cell>
        </row>
        <row r="982">
          <cell r="A982" t="str">
            <v>65535_4</v>
          </cell>
        </row>
        <row r="983">
          <cell r="A983" t="str">
            <v>65535_5</v>
          </cell>
        </row>
        <row r="984">
          <cell r="A984" t="str">
            <v>65535_6</v>
          </cell>
        </row>
        <row r="985">
          <cell r="A985" t="str">
            <v>65535_7</v>
          </cell>
        </row>
        <row r="986">
          <cell r="A986" t="str">
            <v>65535_8</v>
          </cell>
        </row>
        <row r="987">
          <cell r="A987" t="str">
            <v>65535_9</v>
          </cell>
        </row>
        <row r="988">
          <cell r="A98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1387</v>
          </cell>
        </row>
        <row r="1373">
          <cell r="A1373">
            <v>1388</v>
          </cell>
        </row>
        <row r="1374">
          <cell r="A1374">
            <v>1389</v>
          </cell>
        </row>
        <row r="1375">
          <cell r="A1375">
            <v>1390</v>
          </cell>
        </row>
        <row r="1376">
          <cell r="A1376">
            <v>1399</v>
          </cell>
        </row>
        <row r="1377">
          <cell r="A1377">
            <v>1400</v>
          </cell>
        </row>
        <row r="1378">
          <cell r="A1378">
            <v>1401</v>
          </cell>
        </row>
        <row r="1379">
          <cell r="A1379">
            <v>1402</v>
          </cell>
        </row>
        <row r="1380">
          <cell r="A1380">
            <v>1403</v>
          </cell>
        </row>
        <row r="1381">
          <cell r="A1381">
            <v>1404</v>
          </cell>
        </row>
        <row r="1382">
          <cell r="A1382">
            <v>1405</v>
          </cell>
        </row>
        <row r="1383">
          <cell r="A1383">
            <v>1406</v>
          </cell>
        </row>
        <row r="1384">
          <cell r="A1384">
            <v>1407</v>
          </cell>
        </row>
        <row r="1385">
          <cell r="A1385">
            <v>1408</v>
          </cell>
        </row>
        <row r="1386">
          <cell r="A1386">
            <v>1409</v>
          </cell>
        </row>
        <row r="1387">
          <cell r="A1387">
            <v>1410</v>
          </cell>
        </row>
        <row r="1388">
          <cell r="A1388">
            <v>1411</v>
          </cell>
        </row>
        <row r="1389">
          <cell r="A1389">
            <v>1412</v>
          </cell>
        </row>
        <row r="1390">
          <cell r="A1390">
            <v>1413</v>
          </cell>
        </row>
        <row r="1391">
          <cell r="A1391">
            <v>1414</v>
          </cell>
        </row>
        <row r="1392">
          <cell r="A1392">
            <v>1415</v>
          </cell>
        </row>
        <row r="1393">
          <cell r="A1393">
            <v>1416</v>
          </cell>
        </row>
        <row r="1394">
          <cell r="A1394">
            <v>1417</v>
          </cell>
        </row>
        <row r="1395">
          <cell r="A1395">
            <v>1418</v>
          </cell>
        </row>
        <row r="1396">
          <cell r="A1396">
            <v>1419</v>
          </cell>
        </row>
        <row r="1397">
          <cell r="A1397">
            <v>1420</v>
          </cell>
        </row>
        <row r="1398">
          <cell r="A1398">
            <v>1421</v>
          </cell>
        </row>
        <row r="1399">
          <cell r="A1399">
            <v>1422</v>
          </cell>
        </row>
        <row r="1400">
          <cell r="A1400">
            <v>1423</v>
          </cell>
        </row>
        <row r="1401">
          <cell r="A1401">
            <v>1424</v>
          </cell>
        </row>
        <row r="1402">
          <cell r="A1402">
            <v>1425</v>
          </cell>
        </row>
        <row r="1403">
          <cell r="A1403">
            <v>1426</v>
          </cell>
        </row>
        <row r="1404">
          <cell r="A1404">
            <v>1431</v>
          </cell>
        </row>
        <row r="1405">
          <cell r="A1405">
            <v>1432</v>
          </cell>
        </row>
        <row r="1406">
          <cell r="A1406">
            <v>1433</v>
          </cell>
        </row>
        <row r="1407">
          <cell r="A1407">
            <v>1434</v>
          </cell>
        </row>
        <row r="1408">
          <cell r="A1408">
            <v>1435</v>
          </cell>
        </row>
        <row r="1409">
          <cell r="A1409">
            <v>1452</v>
          </cell>
        </row>
        <row r="1410">
          <cell r="A1410">
            <v>1453</v>
          </cell>
        </row>
        <row r="1411">
          <cell r="A1411">
            <v>1454</v>
          </cell>
        </row>
        <row r="1412">
          <cell r="A1412">
            <v>1455</v>
          </cell>
        </row>
        <row r="1413">
          <cell r="A1413">
            <v>1456</v>
          </cell>
        </row>
        <row r="1414">
          <cell r="A1414">
            <v>1457</v>
          </cell>
        </row>
        <row r="1415">
          <cell r="A1415">
            <v>1458</v>
          </cell>
        </row>
        <row r="1416">
          <cell r="A1416">
            <v>1459</v>
          </cell>
        </row>
        <row r="1417">
          <cell r="A1417">
            <v>1460</v>
          </cell>
        </row>
        <row r="1418">
          <cell r="A1418">
            <v>1461</v>
          </cell>
        </row>
        <row r="1419">
          <cell r="A1419">
            <v>1462</v>
          </cell>
        </row>
        <row r="1420">
          <cell r="A1420">
            <v>1463</v>
          </cell>
        </row>
        <row r="1421">
          <cell r="A1421">
            <v>1464</v>
          </cell>
        </row>
        <row r="1422">
          <cell r="A1422">
            <v>1465</v>
          </cell>
        </row>
        <row r="1423">
          <cell r="A1423">
            <v>1466</v>
          </cell>
        </row>
        <row r="1424">
          <cell r="A1424">
            <v>1467</v>
          </cell>
        </row>
        <row r="1425">
          <cell r="A1425">
            <v>1468</v>
          </cell>
        </row>
        <row r="1426">
          <cell r="A1426">
            <v>1469</v>
          </cell>
        </row>
        <row r="1427">
          <cell r="A1427">
            <v>1470</v>
          </cell>
        </row>
        <row r="1428">
          <cell r="A1428">
            <v>1471</v>
          </cell>
        </row>
        <row r="1429">
          <cell r="A1429">
            <v>1488</v>
          </cell>
        </row>
        <row r="1430">
          <cell r="A1430">
            <v>1489</v>
          </cell>
        </row>
        <row r="1431">
          <cell r="A1431">
            <v>1495</v>
          </cell>
        </row>
        <row r="1432">
          <cell r="A1432">
            <v>1496</v>
          </cell>
        </row>
        <row r="1433">
          <cell r="A1433">
            <v>1497</v>
          </cell>
        </row>
        <row r="1434">
          <cell r="A1434">
            <v>1498</v>
          </cell>
        </row>
        <row r="1435">
          <cell r="A1435">
            <v>1499</v>
          </cell>
        </row>
        <row r="1436">
          <cell r="A1436">
            <v>1500</v>
          </cell>
        </row>
        <row r="1437">
          <cell r="A1437">
            <v>1501</v>
          </cell>
        </row>
        <row r="1438">
          <cell r="A1438">
            <v>1502</v>
          </cell>
        </row>
        <row r="1439">
          <cell r="A1439">
            <v>1503</v>
          </cell>
        </row>
        <row r="1440">
          <cell r="A1440">
            <v>1504</v>
          </cell>
        </row>
        <row r="1441">
          <cell r="A1441">
            <v>1505</v>
          </cell>
        </row>
        <row r="1442">
          <cell r="A1442">
            <v>1506</v>
          </cell>
        </row>
        <row r="1443">
          <cell r="A1443">
            <v>1507</v>
          </cell>
        </row>
        <row r="1444">
          <cell r="A1444">
            <v>1508</v>
          </cell>
        </row>
        <row r="1445">
          <cell r="A1445">
            <v>1509</v>
          </cell>
        </row>
        <row r="1446">
          <cell r="A1446">
            <v>1510</v>
          </cell>
        </row>
        <row r="1447">
          <cell r="A1447">
            <v>1511</v>
          </cell>
        </row>
        <row r="1448">
          <cell r="A1448">
            <v>1512</v>
          </cell>
        </row>
        <row r="1449">
          <cell r="A1449">
            <v>1513</v>
          </cell>
        </row>
        <row r="1450">
          <cell r="A1450">
            <v>1514</v>
          </cell>
        </row>
        <row r="1451">
          <cell r="A1451">
            <v>1515</v>
          </cell>
        </row>
        <row r="1452">
          <cell r="A1452">
            <v>1516</v>
          </cell>
        </row>
        <row r="1453">
          <cell r="A1453">
            <v>1517</v>
          </cell>
        </row>
        <row r="1454">
          <cell r="A1454">
            <v>1518</v>
          </cell>
        </row>
        <row r="1455">
          <cell r="A1455">
            <v>1519</v>
          </cell>
        </row>
        <row r="1456">
          <cell r="A1456">
            <v>1520</v>
          </cell>
        </row>
        <row r="1457">
          <cell r="A1457">
            <v>1521</v>
          </cell>
        </row>
        <row r="1458">
          <cell r="A1458">
            <v>1522</v>
          </cell>
        </row>
        <row r="1459">
          <cell r="A1459">
            <v>1523</v>
          </cell>
        </row>
        <row r="1460">
          <cell r="A1460">
            <v>1524</v>
          </cell>
        </row>
        <row r="1461">
          <cell r="A1461">
            <v>1525</v>
          </cell>
        </row>
        <row r="1462">
          <cell r="A1462">
            <v>1526</v>
          </cell>
        </row>
        <row r="1463">
          <cell r="A1463">
            <v>1527</v>
          </cell>
        </row>
        <row r="1464">
          <cell r="A1464">
            <v>1528</v>
          </cell>
        </row>
        <row r="1465">
          <cell r="A1465">
            <v>1529</v>
          </cell>
        </row>
        <row r="1466">
          <cell r="A1466">
            <v>1530</v>
          </cell>
        </row>
        <row r="1467">
          <cell r="A1467">
            <v>1531</v>
          </cell>
        </row>
        <row r="1468">
          <cell r="A1468">
            <v>1532</v>
          </cell>
        </row>
        <row r="1469">
          <cell r="A1469">
            <v>1533</v>
          </cell>
        </row>
        <row r="1470">
          <cell r="A1470">
            <v>1534</v>
          </cell>
        </row>
        <row r="1471">
          <cell r="A1471">
            <v>1535</v>
          </cell>
        </row>
        <row r="1472">
          <cell r="A1472">
            <v>1536</v>
          </cell>
        </row>
        <row r="1473">
          <cell r="A1473">
            <v>1537</v>
          </cell>
        </row>
        <row r="1474">
          <cell r="A1474">
            <v>1538</v>
          </cell>
        </row>
        <row r="1475">
          <cell r="A1475">
            <v>1539</v>
          </cell>
        </row>
        <row r="1476">
          <cell r="A1476">
            <v>1540</v>
          </cell>
        </row>
        <row r="1477">
          <cell r="A1477">
            <v>1541</v>
          </cell>
        </row>
        <row r="1478">
          <cell r="A1478">
            <v>1542</v>
          </cell>
        </row>
        <row r="1479">
          <cell r="A1479">
            <v>1543</v>
          </cell>
        </row>
        <row r="1480">
          <cell r="A1480">
            <v>1544</v>
          </cell>
        </row>
        <row r="1481">
          <cell r="A1481">
            <v>1545</v>
          </cell>
        </row>
        <row r="1482">
          <cell r="A1482">
            <v>1546</v>
          </cell>
        </row>
        <row r="1483">
          <cell r="A1483">
            <v>1547</v>
          </cell>
        </row>
        <row r="1484">
          <cell r="A1484">
            <v>1548</v>
          </cell>
        </row>
        <row r="1485">
          <cell r="A1485">
            <v>1549</v>
          </cell>
        </row>
        <row r="1486">
          <cell r="A1486">
            <v>1550</v>
          </cell>
        </row>
        <row r="1487">
          <cell r="A1487">
            <v>5001</v>
          </cell>
        </row>
        <row r="1488">
          <cell r="A1488">
            <v>5002</v>
          </cell>
        </row>
        <row r="1489">
          <cell r="A1489">
            <v>5003</v>
          </cell>
        </row>
        <row r="1490">
          <cell r="A1490">
            <v>5004</v>
          </cell>
        </row>
        <row r="1491">
          <cell r="A1491">
            <v>5005</v>
          </cell>
        </row>
        <row r="1492">
          <cell r="A1492">
            <v>5006</v>
          </cell>
        </row>
        <row r="1493">
          <cell r="A1493">
            <v>5007</v>
          </cell>
        </row>
        <row r="1494">
          <cell r="A1494">
            <v>5008</v>
          </cell>
        </row>
        <row r="1495">
          <cell r="A1495">
            <v>6001</v>
          </cell>
        </row>
        <row r="1496">
          <cell r="A1496">
            <v>6002</v>
          </cell>
        </row>
        <row r="1497">
          <cell r="A1497">
            <v>6003</v>
          </cell>
        </row>
        <row r="1498">
          <cell r="A1498">
            <v>6004</v>
          </cell>
        </row>
        <row r="1499">
          <cell r="A1499">
            <v>6005</v>
          </cell>
        </row>
        <row r="1500">
          <cell r="A1500">
            <v>6006</v>
          </cell>
        </row>
        <row r="1501">
          <cell r="A1501">
            <v>6007</v>
          </cell>
        </row>
        <row r="1502">
          <cell r="A1502">
            <v>6008</v>
          </cell>
        </row>
        <row r="1503">
          <cell r="A1503">
            <v>6009</v>
          </cell>
        </row>
        <row r="1504">
          <cell r="A1504">
            <v>6010</v>
          </cell>
        </row>
        <row r="1505">
          <cell r="A1505">
            <v>6011</v>
          </cell>
        </row>
        <row r="1506">
          <cell r="A1506">
            <v>6012</v>
          </cell>
        </row>
        <row r="1507">
          <cell r="A1507">
            <v>6013</v>
          </cell>
        </row>
        <row r="1508">
          <cell r="A1508">
            <v>6014</v>
          </cell>
        </row>
        <row r="1509">
          <cell r="A1509">
            <v>6015</v>
          </cell>
        </row>
        <row r="1510">
          <cell r="A1510">
            <v>6016</v>
          </cell>
        </row>
        <row r="1511">
          <cell r="A1511">
            <v>6017</v>
          </cell>
        </row>
        <row r="1512">
          <cell r="A1512">
            <v>6018</v>
          </cell>
        </row>
        <row r="1513">
          <cell r="A1513">
            <v>6019</v>
          </cell>
        </row>
        <row r="1514">
          <cell r="A1514">
            <v>6020</v>
          </cell>
        </row>
        <row r="1515">
          <cell r="A1515">
            <v>8001</v>
          </cell>
        </row>
        <row r="1516">
          <cell r="A1516">
            <v>8002</v>
          </cell>
        </row>
        <row r="1517">
          <cell r="A1517">
            <v>8003</v>
          </cell>
        </row>
        <row r="1518">
          <cell r="A1518">
            <v>8004</v>
          </cell>
        </row>
        <row r="1519">
          <cell r="A1519">
            <v>8005</v>
          </cell>
        </row>
        <row r="1520">
          <cell r="A1520">
            <v>8006</v>
          </cell>
        </row>
        <row r="1521">
          <cell r="A1521">
            <v>8007</v>
          </cell>
        </row>
        <row r="1522">
          <cell r="A1522">
            <v>8008</v>
          </cell>
        </row>
        <row r="1523">
          <cell r="A1523">
            <v>8009</v>
          </cell>
        </row>
        <row r="1524">
          <cell r="A1524">
            <v>8010</v>
          </cell>
        </row>
        <row r="1525">
          <cell r="A1525">
            <v>8011</v>
          </cell>
        </row>
        <row r="1526">
          <cell r="A1526">
            <v>8012</v>
          </cell>
        </row>
        <row r="1527">
          <cell r="A1527">
            <v>8013</v>
          </cell>
        </row>
        <row r="1528">
          <cell r="A1528">
            <v>8014</v>
          </cell>
        </row>
        <row r="1529">
          <cell r="A1529">
            <v>8015</v>
          </cell>
        </row>
        <row r="1530">
          <cell r="A1530">
            <v>8016</v>
          </cell>
        </row>
        <row r="1531">
          <cell r="A1531">
            <v>8017</v>
          </cell>
        </row>
        <row r="1532">
          <cell r="A1532">
            <v>8018</v>
          </cell>
        </row>
        <row r="1533">
          <cell r="A1533">
            <v>8019</v>
          </cell>
        </row>
        <row r="1534">
          <cell r="A1534">
            <v>8020</v>
          </cell>
        </row>
        <row r="1535">
          <cell r="A1535">
            <v>8021</v>
          </cell>
        </row>
        <row r="1536">
          <cell r="A1536">
            <v>8022</v>
          </cell>
        </row>
        <row r="1537">
          <cell r="A1537">
            <v>8023</v>
          </cell>
        </row>
        <row r="1538">
          <cell r="A1538">
            <v>8024</v>
          </cell>
        </row>
        <row r="1539">
          <cell r="A1539">
            <v>8025</v>
          </cell>
        </row>
        <row r="1540">
          <cell r="A1540">
            <v>8026</v>
          </cell>
        </row>
        <row r="1541">
          <cell r="A1541">
            <v>8027</v>
          </cell>
        </row>
        <row r="1542">
          <cell r="A1542">
            <v>8028</v>
          </cell>
        </row>
        <row r="1543">
          <cell r="A1543">
            <v>8029</v>
          </cell>
        </row>
        <row r="1544">
          <cell r="A1544">
            <v>8030</v>
          </cell>
        </row>
        <row r="1545">
          <cell r="A1545">
            <v>8031</v>
          </cell>
        </row>
        <row r="1546">
          <cell r="A1546">
            <v>8032</v>
          </cell>
        </row>
        <row r="1547">
          <cell r="A1547">
            <v>8033</v>
          </cell>
        </row>
        <row r="1548">
          <cell r="A1548">
            <v>8034</v>
          </cell>
        </row>
        <row r="1549">
          <cell r="A1549">
            <v>8035</v>
          </cell>
        </row>
        <row r="1550">
          <cell r="A1550">
            <v>8036</v>
          </cell>
        </row>
        <row r="1551">
          <cell r="A1551">
            <v>8037</v>
          </cell>
        </row>
        <row r="1552">
          <cell r="A1552">
            <v>8038</v>
          </cell>
        </row>
        <row r="1553">
          <cell r="A1553">
            <v>8039</v>
          </cell>
        </row>
        <row r="1554">
          <cell r="A1554">
            <v>8040</v>
          </cell>
        </row>
        <row r="1555">
          <cell r="A1555">
            <v>8041</v>
          </cell>
        </row>
        <row r="1556">
          <cell r="A1556">
            <v>8042</v>
          </cell>
        </row>
        <row r="1557">
          <cell r="A1557">
            <v>8043</v>
          </cell>
        </row>
        <row r="1558">
          <cell r="A1558">
            <v>8044</v>
          </cell>
        </row>
        <row r="1559">
          <cell r="A1559">
            <v>8045</v>
          </cell>
        </row>
        <row r="1560">
          <cell r="A1560">
            <v>8046</v>
          </cell>
        </row>
        <row r="1561">
          <cell r="A1561">
            <v>8047</v>
          </cell>
        </row>
        <row r="1562">
          <cell r="A1562">
            <v>8048</v>
          </cell>
        </row>
        <row r="1563">
          <cell r="A1563">
            <v>8049</v>
          </cell>
        </row>
        <row r="1564">
          <cell r="A1564">
            <v>8050</v>
          </cell>
        </row>
        <row r="1565">
          <cell r="A1565">
            <v>8051</v>
          </cell>
        </row>
        <row r="1566">
          <cell r="A1566">
            <v>8052</v>
          </cell>
        </row>
        <row r="1567">
          <cell r="A1567">
            <v>8053</v>
          </cell>
        </row>
        <row r="1568">
          <cell r="A1568">
            <v>8054</v>
          </cell>
        </row>
        <row r="1569">
          <cell r="A1569">
            <v>8055</v>
          </cell>
        </row>
        <row r="1570">
          <cell r="A1570">
            <v>8056</v>
          </cell>
        </row>
        <row r="1571">
          <cell r="A1571">
            <v>8057</v>
          </cell>
        </row>
        <row r="1572">
          <cell r="A1572">
            <v>8058</v>
          </cell>
        </row>
        <row r="1573">
          <cell r="A1573">
            <v>8059</v>
          </cell>
        </row>
        <row r="1574">
          <cell r="A1574">
            <v>8060</v>
          </cell>
        </row>
        <row r="1575">
          <cell r="A1575">
            <v>8061</v>
          </cell>
        </row>
        <row r="1576">
          <cell r="A1576">
            <v>8062</v>
          </cell>
        </row>
        <row r="1577">
          <cell r="A1577">
            <v>8063</v>
          </cell>
        </row>
        <row r="1578">
          <cell r="A1578">
            <v>8064</v>
          </cell>
        </row>
        <row r="1579">
          <cell r="A1579">
            <v>8065</v>
          </cell>
        </row>
        <row r="1580">
          <cell r="A1580">
            <v>8066</v>
          </cell>
        </row>
        <row r="1581">
          <cell r="A1581">
            <v>8067</v>
          </cell>
        </row>
        <row r="1582">
          <cell r="A1582">
            <v>8068</v>
          </cell>
        </row>
        <row r="1583">
          <cell r="A1583">
            <v>8069</v>
          </cell>
        </row>
        <row r="1584">
          <cell r="A1584">
            <v>8070</v>
          </cell>
        </row>
        <row r="1585">
          <cell r="A1585">
            <v>8071</v>
          </cell>
        </row>
        <row r="1586">
          <cell r="A1586">
            <v>8072</v>
          </cell>
        </row>
        <row r="1587">
          <cell r="A1587">
            <v>8073</v>
          </cell>
        </row>
        <row r="1588">
          <cell r="A1588">
            <v>8074</v>
          </cell>
        </row>
        <row r="1589">
          <cell r="A1589">
            <v>8075</v>
          </cell>
        </row>
        <row r="1590">
          <cell r="A1590">
            <v>8076</v>
          </cell>
        </row>
        <row r="1591">
          <cell r="A1591">
            <v>8077</v>
          </cell>
        </row>
        <row r="1592">
          <cell r="A1592">
            <v>8078</v>
          </cell>
        </row>
        <row r="1593">
          <cell r="A1593">
            <v>8079</v>
          </cell>
        </row>
        <row r="1594">
          <cell r="A1594">
            <v>8080</v>
          </cell>
        </row>
        <row r="1595">
          <cell r="A1595">
            <v>8081</v>
          </cell>
        </row>
        <row r="1596">
          <cell r="A1596">
            <v>8082</v>
          </cell>
        </row>
        <row r="1597">
          <cell r="A1597">
            <v>8083</v>
          </cell>
        </row>
        <row r="1598">
          <cell r="A1598">
            <v>8084</v>
          </cell>
        </row>
        <row r="1599">
          <cell r="A1599">
            <v>8087</v>
          </cell>
        </row>
        <row r="1600">
          <cell r="A1600">
            <v>8088</v>
          </cell>
        </row>
        <row r="1601">
          <cell r="A1601">
            <v>8089</v>
          </cell>
        </row>
        <row r="1602">
          <cell r="A1602">
            <v>8090</v>
          </cell>
        </row>
        <row r="1603">
          <cell r="A1603">
            <v>8095</v>
          </cell>
        </row>
        <row r="1604">
          <cell r="A1604">
            <v>8096</v>
          </cell>
        </row>
        <row r="1605">
          <cell r="A1605">
            <v>8097</v>
          </cell>
        </row>
        <row r="1606">
          <cell r="A1606">
            <v>8098</v>
          </cell>
        </row>
        <row r="1607">
          <cell r="A1607">
            <v>8099</v>
          </cell>
        </row>
        <row r="1608">
          <cell r="A1608">
            <v>8100</v>
          </cell>
        </row>
        <row r="1609">
          <cell r="A1609">
            <v>8101</v>
          </cell>
        </row>
        <row r="1610">
          <cell r="A1610">
            <v>8102</v>
          </cell>
        </row>
        <row r="1611">
          <cell r="A1611">
            <v>9001</v>
          </cell>
        </row>
        <row r="1612">
          <cell r="A1612">
            <v>9002</v>
          </cell>
        </row>
        <row r="1613">
          <cell r="A1613">
            <v>9003</v>
          </cell>
        </row>
        <row r="1614">
          <cell r="A1614">
            <v>9004</v>
          </cell>
        </row>
        <row r="1615">
          <cell r="A1615">
            <v>9005</v>
          </cell>
        </row>
        <row r="1616">
          <cell r="A1616">
            <v>9006</v>
          </cell>
        </row>
        <row r="1617">
          <cell r="A1617">
            <v>9007</v>
          </cell>
        </row>
        <row r="1618">
          <cell r="A1618">
            <v>9008</v>
          </cell>
        </row>
        <row r="1619">
          <cell r="A1619">
            <v>10001</v>
          </cell>
        </row>
        <row r="1620">
          <cell r="A1620">
            <v>10002</v>
          </cell>
        </row>
        <row r="1621">
          <cell r="A1621">
            <v>10003</v>
          </cell>
        </row>
        <row r="1622">
          <cell r="A1622">
            <v>10004</v>
          </cell>
        </row>
        <row r="1623">
          <cell r="A1623">
            <v>10005</v>
          </cell>
        </row>
        <row r="1624">
          <cell r="A1624">
            <v>10006</v>
          </cell>
        </row>
        <row r="1625">
          <cell r="A1625">
            <v>10007</v>
          </cell>
        </row>
        <row r="1626">
          <cell r="A1626">
            <v>10008</v>
          </cell>
        </row>
        <row r="1627">
          <cell r="A1627">
            <v>10009</v>
          </cell>
        </row>
        <row r="1628">
          <cell r="A1628">
            <v>10010</v>
          </cell>
        </row>
        <row r="1629">
          <cell r="A1629">
            <v>10011</v>
          </cell>
        </row>
        <row r="1630">
          <cell r="A1630">
            <v>10012</v>
          </cell>
        </row>
        <row r="1631">
          <cell r="A1631">
            <v>10013</v>
          </cell>
        </row>
        <row r="1632">
          <cell r="A1632">
            <v>10014</v>
          </cell>
        </row>
        <row r="1633">
          <cell r="A1633">
            <v>10015</v>
          </cell>
        </row>
        <row r="1634">
          <cell r="A1634">
            <v>10016</v>
          </cell>
        </row>
        <row r="1635">
          <cell r="A1635">
            <v>10017</v>
          </cell>
        </row>
        <row r="1636">
          <cell r="A1636">
            <v>10018</v>
          </cell>
        </row>
        <row r="1637">
          <cell r="A1637">
            <v>10019</v>
          </cell>
        </row>
        <row r="1638">
          <cell r="A1638">
            <v>10020</v>
          </cell>
        </row>
        <row r="1639">
          <cell r="A1639">
            <v>10021</v>
          </cell>
        </row>
        <row r="1640">
          <cell r="A1640">
            <v>10022</v>
          </cell>
        </row>
        <row r="1641">
          <cell r="A1641">
            <v>10023</v>
          </cell>
        </row>
        <row r="1642">
          <cell r="A1642">
            <v>10024</v>
          </cell>
        </row>
        <row r="1643">
          <cell r="A1643">
            <v>10025</v>
          </cell>
        </row>
        <row r="1644">
          <cell r="A1644">
            <v>10026</v>
          </cell>
        </row>
        <row r="1645">
          <cell r="A1645">
            <v>10027</v>
          </cell>
        </row>
        <row r="1646">
          <cell r="A1646">
            <v>10028</v>
          </cell>
        </row>
        <row r="1647">
          <cell r="A1647">
            <v>10029</v>
          </cell>
        </row>
        <row r="1648">
          <cell r="A1648">
            <v>10030</v>
          </cell>
        </row>
        <row r="1649">
          <cell r="A1649">
            <v>10031</v>
          </cell>
        </row>
        <row r="1650">
          <cell r="A1650">
            <v>10032</v>
          </cell>
        </row>
        <row r="1651">
          <cell r="A1651">
            <v>10033</v>
          </cell>
        </row>
        <row r="1652">
          <cell r="A1652">
            <v>10034</v>
          </cell>
        </row>
        <row r="1653">
          <cell r="A1653">
            <v>10035</v>
          </cell>
        </row>
        <row r="1654">
          <cell r="A1654">
            <v>10036</v>
          </cell>
        </row>
        <row r="1655">
          <cell r="A1655">
            <v>10037</v>
          </cell>
        </row>
        <row r="1656">
          <cell r="A1656">
            <v>10038</v>
          </cell>
        </row>
        <row r="1657">
          <cell r="A1657">
            <v>10039</v>
          </cell>
        </row>
        <row r="1658">
          <cell r="A1658">
            <v>10040</v>
          </cell>
        </row>
        <row r="1659">
          <cell r="A1659">
            <v>10041</v>
          </cell>
        </row>
        <row r="1660">
          <cell r="A1660">
            <v>10042</v>
          </cell>
        </row>
        <row r="1661">
          <cell r="A1661">
            <v>10043</v>
          </cell>
        </row>
        <row r="1662">
          <cell r="A1662">
            <v>10044</v>
          </cell>
        </row>
        <row r="1663">
          <cell r="A1663">
            <v>10045</v>
          </cell>
        </row>
        <row r="1664">
          <cell r="A1664">
            <v>10046</v>
          </cell>
        </row>
        <row r="1665">
          <cell r="A1665">
            <v>10047</v>
          </cell>
        </row>
        <row r="1666">
          <cell r="A1666">
            <v>10048</v>
          </cell>
        </row>
        <row r="1667">
          <cell r="A1667">
            <v>10049</v>
          </cell>
        </row>
        <row r="1668">
          <cell r="A1668">
            <v>10050</v>
          </cell>
        </row>
        <row r="1669">
          <cell r="A1669">
            <v>10051</v>
          </cell>
        </row>
        <row r="1670">
          <cell r="A1670">
            <v>10052</v>
          </cell>
        </row>
        <row r="1671">
          <cell r="A1671">
            <v>10053</v>
          </cell>
        </row>
        <row r="1672">
          <cell r="A1672">
            <v>10054</v>
          </cell>
        </row>
        <row r="1673">
          <cell r="A1673">
            <v>10055</v>
          </cell>
        </row>
        <row r="1674">
          <cell r="A1674">
            <v>10056</v>
          </cell>
        </row>
        <row r="1675">
          <cell r="A1675">
            <v>10057</v>
          </cell>
        </row>
        <row r="1676">
          <cell r="A1676">
            <v>10058</v>
          </cell>
        </row>
        <row r="1677">
          <cell r="A1677">
            <v>10059</v>
          </cell>
        </row>
        <row r="1678">
          <cell r="A1678">
            <v>10060</v>
          </cell>
        </row>
        <row r="1679">
          <cell r="A1679">
            <v>10061</v>
          </cell>
        </row>
        <row r="1680">
          <cell r="A1680">
            <v>10062</v>
          </cell>
        </row>
        <row r="1681">
          <cell r="A1681">
            <v>10063</v>
          </cell>
        </row>
        <row r="1682">
          <cell r="A1682">
            <v>10064</v>
          </cell>
        </row>
        <row r="1683">
          <cell r="A1683">
            <v>10065</v>
          </cell>
        </row>
        <row r="1684">
          <cell r="A1684">
            <v>10066</v>
          </cell>
        </row>
        <row r="1685">
          <cell r="A1685">
            <v>10067</v>
          </cell>
        </row>
        <row r="1686">
          <cell r="A1686">
            <v>10068</v>
          </cell>
        </row>
        <row r="1687">
          <cell r="A1687">
            <v>10069</v>
          </cell>
        </row>
        <row r="1688">
          <cell r="A1688">
            <v>10070</v>
          </cell>
        </row>
        <row r="1689">
          <cell r="A1689">
            <v>10071</v>
          </cell>
        </row>
        <row r="1690">
          <cell r="A1690">
            <v>10072</v>
          </cell>
        </row>
        <row r="1691">
          <cell r="A1691">
            <v>10073</v>
          </cell>
        </row>
        <row r="1692">
          <cell r="A1692">
            <v>10074</v>
          </cell>
        </row>
        <row r="1693">
          <cell r="A1693">
            <v>10075</v>
          </cell>
        </row>
        <row r="1694">
          <cell r="A1694">
            <v>10076</v>
          </cell>
        </row>
        <row r="1695">
          <cell r="A1695">
            <v>10077</v>
          </cell>
        </row>
        <row r="1696">
          <cell r="A1696">
            <v>10078</v>
          </cell>
        </row>
        <row r="1697">
          <cell r="A1697">
            <v>10079</v>
          </cell>
        </row>
        <row r="1698">
          <cell r="A1698">
            <v>10080</v>
          </cell>
        </row>
        <row r="1699">
          <cell r="A1699">
            <v>10081</v>
          </cell>
        </row>
        <row r="1700">
          <cell r="A1700">
            <v>10082</v>
          </cell>
        </row>
        <row r="1701">
          <cell r="A1701">
            <v>10083</v>
          </cell>
        </row>
        <row r="1702">
          <cell r="A1702">
            <v>10084</v>
          </cell>
        </row>
        <row r="1703">
          <cell r="A1703">
            <v>10085</v>
          </cell>
        </row>
        <row r="1704">
          <cell r="A1704">
            <v>10086</v>
          </cell>
        </row>
        <row r="1705">
          <cell r="A1705">
            <v>10087</v>
          </cell>
        </row>
        <row r="1706">
          <cell r="A1706">
            <v>10088</v>
          </cell>
        </row>
        <row r="1707">
          <cell r="A1707">
            <v>10089</v>
          </cell>
        </row>
        <row r="1708">
          <cell r="A1708">
            <v>10090</v>
          </cell>
        </row>
        <row r="1709">
          <cell r="A1709">
            <v>10101</v>
          </cell>
        </row>
        <row r="1710">
          <cell r="A1710">
            <v>10102</v>
          </cell>
        </row>
        <row r="1711">
          <cell r="A171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21" sqref="C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129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273</v>
      </c>
      <c r="B2" s="54" t="s">
        <v>106</v>
      </c>
      <c r="C2" s="59" t="s">
        <v>254</v>
      </c>
      <c r="D2" s="54" t="s">
        <v>107</v>
      </c>
      <c r="E2" s="53" t="str">
        <f>B2&amp;C2&amp;D2</f>
        <v>floors_13400_9.tmp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273</v>
      </c>
      <c r="B3" s="54" t="s">
        <v>109</v>
      </c>
      <c r="C3" s="59" t="s">
        <v>254</v>
      </c>
      <c r="D3" s="54" t="s">
        <v>107</v>
      </c>
      <c r="E3" s="53" t="str">
        <f>B3&amp;C3&amp;D3</f>
        <v>enemy_habitats_13400_9.tmp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176</v>
      </c>
    </row>
    <row r="4" spans="1:30" x14ac:dyDescent="0.15">
      <c r="A4" s="58" t="s">
        <v>273</v>
      </c>
      <c r="B4" s="54" t="s">
        <v>111</v>
      </c>
      <c r="C4" s="59" t="s">
        <v>254</v>
      </c>
      <c r="D4" s="54" t="s">
        <v>107</v>
      </c>
      <c r="E4" s="53" t="str">
        <f>B4&amp;C4&amp;D4</f>
        <v>enemy_habitat_S_13400_9.tmp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273</v>
      </c>
      <c r="B5" s="54" t="s">
        <v>113</v>
      </c>
      <c r="C5" s="59" t="s">
        <v>254</v>
      </c>
      <c r="D5" s="54" t="s">
        <v>107</v>
      </c>
      <c r="E5" s="53" t="str">
        <f>B5&amp;C5&amp;D5</f>
        <v>enemy_skill_sets_13400_9.tmp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273</v>
      </c>
      <c r="B6" s="54" t="s">
        <v>115</v>
      </c>
      <c r="C6" s="59" t="s">
        <v>254</v>
      </c>
      <c r="D6" s="54" t="s">
        <v>116</v>
      </c>
      <c r="E6" s="53" t="str">
        <f t="shared" ref="E6:E10" si="0">B6&amp;C6&amp;D6</f>
        <v>enemy_skills_tmp_13400_9.tmp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273</v>
      </c>
      <c r="B7" s="54" t="s">
        <v>117</v>
      </c>
      <c r="C7" s="59" t="s">
        <v>254</v>
      </c>
      <c r="D7" s="54" t="s">
        <v>107</v>
      </c>
      <c r="E7" s="53" t="str">
        <f>B7&amp;C7&amp;D7</f>
        <v>enemy_skills_i18n_13400_9.tmp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273</v>
      </c>
      <c r="B8" s="54" t="s">
        <v>119</v>
      </c>
      <c r="C8" s="59" t="s">
        <v>254</v>
      </c>
      <c r="D8" s="54" t="s">
        <v>120</v>
      </c>
      <c r="E8" s="53" t="str">
        <f t="shared" si="0"/>
        <v>enemy_skill_triggers_13400_9.tmp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273</v>
      </c>
      <c r="B9" s="64" t="s">
        <v>175</v>
      </c>
      <c r="C9" s="59" t="s">
        <v>254</v>
      </c>
      <c r="D9" s="64" t="s">
        <v>169</v>
      </c>
      <c r="E9" s="65" t="str">
        <f t="shared" si="0"/>
        <v>stage_bug_bonuses_13400_9.tmp</v>
      </c>
      <c r="F9" s="64" t="s">
        <v>170</v>
      </c>
      <c r="G9" s="61" t="s">
        <v>149</v>
      </c>
      <c r="H9" s="61" t="s">
        <v>171</v>
      </c>
      <c r="I9" s="61" t="s">
        <v>172</v>
      </c>
      <c r="J9" s="63" t="s">
        <v>173</v>
      </c>
      <c r="K9" s="61" t="s">
        <v>174</v>
      </c>
      <c r="L9" s="61" t="s">
        <v>155</v>
      </c>
      <c r="M9" s="61" t="s">
        <v>156</v>
      </c>
      <c r="N9" s="61" t="s">
        <v>157</v>
      </c>
      <c r="O9" s="61" t="s">
        <v>158</v>
      </c>
      <c r="P9" s="61" t="s">
        <v>159</v>
      </c>
      <c r="Q9" s="61" t="s">
        <v>160</v>
      </c>
      <c r="R9" s="61" t="s">
        <v>161</v>
      </c>
      <c r="S9" s="61" t="s">
        <v>162</v>
      </c>
      <c r="T9" s="61" t="s">
        <v>163</v>
      </c>
      <c r="U9" s="61" t="s">
        <v>164</v>
      </c>
      <c r="V9" s="61" t="s">
        <v>165</v>
      </c>
      <c r="W9" s="61" t="s">
        <v>166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185</v>
      </c>
      <c r="B10" s="64" t="s">
        <v>198</v>
      </c>
      <c r="C10" s="59" t="s">
        <v>254</v>
      </c>
      <c r="D10" s="64" t="s">
        <v>178</v>
      </c>
      <c r="E10" s="65" t="str">
        <f t="shared" si="0"/>
        <v>stage_hints_data_c_13400_9.tmp</v>
      </c>
      <c r="F10" s="64" t="s">
        <v>206</v>
      </c>
      <c r="G10" s="69" t="s">
        <v>179</v>
      </c>
      <c r="H10" s="69" t="s">
        <v>171</v>
      </c>
      <c r="I10" s="70" t="s">
        <v>180</v>
      </c>
      <c r="J10" s="63" t="s">
        <v>181</v>
      </c>
      <c r="K10" s="63" t="s">
        <v>182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1" customFormat="1" x14ac:dyDescent="0.15">
      <c r="A11" s="58" t="s">
        <v>273</v>
      </c>
      <c r="B11" s="64" t="s">
        <v>199</v>
      </c>
      <c r="C11" s="59" t="s">
        <v>254</v>
      </c>
      <c r="D11" s="64" t="s">
        <v>169</v>
      </c>
      <c r="E11" s="65" t="str">
        <f t="shared" ref="E11:E13" si="1">B11&amp;C11&amp;D11</f>
        <v>stage_hints_data_f_13400_9.tmp</v>
      </c>
      <c r="F11" s="64" t="s">
        <v>207</v>
      </c>
      <c r="G11" s="69" t="s">
        <v>179</v>
      </c>
      <c r="H11" s="69" t="s">
        <v>171</v>
      </c>
      <c r="I11" s="70" t="s">
        <v>180</v>
      </c>
      <c r="J11" s="63" t="s">
        <v>181</v>
      </c>
      <c r="K11" s="63" t="s">
        <v>182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1" customFormat="1" x14ac:dyDescent="0.15">
      <c r="A12" s="58" t="s">
        <v>273</v>
      </c>
      <c r="B12" s="64" t="s">
        <v>200</v>
      </c>
      <c r="C12" s="59" t="s">
        <v>254</v>
      </c>
      <c r="D12" s="64" t="s">
        <v>169</v>
      </c>
      <c r="E12" s="65" t="str">
        <f t="shared" si="1"/>
        <v>stage_hints_i18n_13400_9.tmp</v>
      </c>
      <c r="F12" s="64" t="s">
        <v>208</v>
      </c>
      <c r="G12" s="70" t="s">
        <v>201</v>
      </c>
      <c r="H12" s="89" t="s">
        <v>202</v>
      </c>
      <c r="I12" s="69" t="s">
        <v>203</v>
      </c>
      <c r="J12" s="97" t="s">
        <v>204</v>
      </c>
      <c r="K12" s="63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1" customFormat="1" x14ac:dyDescent="0.15">
      <c r="A13" s="58" t="s">
        <v>273</v>
      </c>
      <c r="B13" s="64" t="s">
        <v>246</v>
      </c>
      <c r="C13" s="59" t="s">
        <v>254</v>
      </c>
      <c r="D13" s="64" t="s">
        <v>227</v>
      </c>
      <c r="E13" s="65" t="str">
        <f t="shared" si="1"/>
        <v>stage_bonuses_13400_9.tmp</v>
      </c>
      <c r="F13" s="64" t="s">
        <v>226</v>
      </c>
      <c r="G13" s="69" t="s">
        <v>228</v>
      </c>
      <c r="H13" s="69" t="s">
        <v>229</v>
      </c>
      <c r="I13" s="69" t="s">
        <v>230</v>
      </c>
      <c r="J13" s="69" t="s">
        <v>231</v>
      </c>
      <c r="K13" s="69" t="s">
        <v>232</v>
      </c>
      <c r="L13" s="69" t="s">
        <v>233</v>
      </c>
      <c r="M13" s="69" t="s">
        <v>234</v>
      </c>
      <c r="N13" s="69" t="s">
        <v>235</v>
      </c>
      <c r="O13" s="69" t="s">
        <v>236</v>
      </c>
      <c r="P13" s="69" t="s">
        <v>237</v>
      </c>
      <c r="Q13" s="69" t="s">
        <v>238</v>
      </c>
      <c r="R13" s="69" t="s">
        <v>239</v>
      </c>
      <c r="S13" s="69" t="s">
        <v>240</v>
      </c>
      <c r="T13" s="69" t="s">
        <v>241</v>
      </c>
      <c r="U13" s="69" t="s">
        <v>242</v>
      </c>
      <c r="V13" s="69" t="s">
        <v>243</v>
      </c>
      <c r="W13" s="69" t="s">
        <v>244</v>
      </c>
      <c r="X13" s="69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I5" sqref="I5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7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20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13400_9-1</v>
      </c>
      <c r="B2" s="14" t="str">
        <f>IF(COUNTIF(enemy_habitats!$H:$H,A2),"OK","NG")</f>
        <v>OK</v>
      </c>
      <c r="C2" s="106">
        <v>13400</v>
      </c>
      <c r="D2" s="10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6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8">
        <v>9</v>
      </c>
      <c r="G2" s="20" t="str">
        <f>C2&amp;"_"&amp;F2</f>
        <v>13400_9</v>
      </c>
      <c r="H2" s="13" t="str">
        <f ca="1">VLOOKUP($G2,OFFSET([2]stages!$A$1,0,0,COUNTA([2]stages!$A:$A),MATCH(H$1,[2]stages!$2:$2,0)-MATCH($G$1,[2]stages!$2:$2,0)+1),MATCH(H$1,[2]stages!$2:$2,0)-MATCH($G$1,[2]stages!$2:$2,0)+1,FALSE)</f>
        <v>9階 攻撃タイプ限定</v>
      </c>
      <c r="I2" s="18">
        <v>1</v>
      </c>
      <c r="J2" s="11">
        <v>60</v>
      </c>
      <c r="K2" s="11">
        <v>60</v>
      </c>
    </row>
    <row r="3" spans="1:11" ht="21" customHeight="1" x14ac:dyDescent="0.15">
      <c r="A3" s="14" t="str">
        <f t="shared" ref="A3:A4" si="0">G3&amp;"-"&amp;I3</f>
        <v>13400_9-2</v>
      </c>
      <c r="B3" s="14" t="str">
        <f>IF(COUNTIF(enemy_habitats!$H:$H,A3),"OK","NG")</f>
        <v>OK</v>
      </c>
      <c r="C3" s="106">
        <v>13400</v>
      </c>
      <c r="D3" s="10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6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8">
        <v>9</v>
      </c>
      <c r="G3" s="20" t="str">
        <f t="shared" ref="G3:G4" si="1">C3&amp;"_"&amp;F3</f>
        <v>13400_9</v>
      </c>
      <c r="H3" s="13" t="str">
        <f ca="1">VLOOKUP($G3,OFFSET([2]stages!$A$1,0,0,COUNTA([2]stages!$A:$A),MATCH(H$1,[2]stages!$2:$2,0)-MATCH($G$1,[2]stages!$2:$2,0)+1),MATCH(H$1,[2]stages!$2:$2,0)-MATCH($G$1,[2]stages!$2:$2,0)+1,FALSE)</f>
        <v>9階 攻撃タイプ限定</v>
      </c>
      <c r="I3" s="18">
        <v>2</v>
      </c>
      <c r="J3" s="11">
        <v>60</v>
      </c>
      <c r="K3" s="11">
        <v>60</v>
      </c>
    </row>
    <row r="4" spans="1:11" ht="21" customHeight="1" x14ac:dyDescent="0.15">
      <c r="A4" s="14" t="str">
        <f t="shared" si="0"/>
        <v>13400_9-3</v>
      </c>
      <c r="B4" s="14" t="str">
        <f>IF(COUNTIF(enemy_habitats!$H:$H,A4),"OK","NG")</f>
        <v>OK</v>
      </c>
      <c r="C4" s="106">
        <v>13400</v>
      </c>
      <c r="D4" s="10" t="str">
        <f ca="1">VLOOKUP($C4,OFFSET([2]quests!$A$1,0,0,COUNTA([2]quests!$A:$A),MATCH(D$1,[2]quests!$1:$1,0)-MATCH($C$1,[2]quests!$1:$1,0)+1),MATCH(D$1,[2]quests!$1:$1,0)-MATCH($C$1,[2]quests!$1:$1,0)+1,FALSE)</f>
        <v>タワーオブザクイーン -エルフラム-</v>
      </c>
      <c r="E4" s="16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8">
        <v>9</v>
      </c>
      <c r="G4" s="20" t="str">
        <f t="shared" si="1"/>
        <v>13400_9</v>
      </c>
      <c r="H4" s="13" t="str">
        <f ca="1">VLOOKUP($G4,OFFSET([2]stages!$A$1,0,0,COUNTA([2]stages!$A:$A),MATCH(H$1,[2]stages!$2:$2,0)-MATCH($G$1,[2]stages!$2:$2,0)+1),MATCH(H$1,[2]stages!$2:$2,0)-MATCH($G$1,[2]stages!$2:$2,0)+1,FALSE)</f>
        <v>9階 攻撃タイプ限定</v>
      </c>
      <c r="I4" s="18">
        <v>3</v>
      </c>
      <c r="J4" s="11">
        <v>60</v>
      </c>
      <c r="K4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5" sqref="U5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7.6640625" style="3" customWidth="1"/>
    <col min="4" max="4" width="10.83203125" style="9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8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9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4" bestFit="1" customWidth="1" outlineLevel="1"/>
    <col min="32" max="32" width="8" style="9" bestFit="1" customWidth="1" outlineLevel="1"/>
    <col min="33" max="33" width="12" style="9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54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98" t="s">
        <v>247</v>
      </c>
      <c r="U1" s="23" t="s">
        <v>50</v>
      </c>
      <c r="V1" s="98" t="s">
        <v>248</v>
      </c>
      <c r="W1" s="23" t="s">
        <v>52</v>
      </c>
      <c r="X1" s="26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0" t="s">
        <v>9</v>
      </c>
      <c r="AE1" s="31" t="s">
        <v>16</v>
      </c>
      <c r="AF1" s="31" t="s">
        <v>17</v>
      </c>
      <c r="AG1" s="31" t="s">
        <v>27</v>
      </c>
      <c r="AH1" s="30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3" t="s">
        <v>177</v>
      </c>
    </row>
    <row r="2" spans="1:42" ht="21" customHeight="1" x14ac:dyDescent="0.15">
      <c r="A2" s="14" t="str">
        <f t="shared" ref="A2" si="0">B2&amp;"_"&amp;C2&amp;"-"&amp;G2&amp;"/"&amp;L2&amp;"&lt;lv"&amp;R2&amp;"&gt;s"&amp;AC2</f>
        <v>13400_9-1/736&lt;lv70&gt;s2</v>
      </c>
      <c r="B2" s="19">
        <v>13400</v>
      </c>
      <c r="C2" s="18">
        <v>9</v>
      </c>
      <c r="D2" s="2" t="str">
        <f>B2&amp;"_"&amp;C2</f>
        <v>13400_9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9階 攻撃タイプ限定</v>
      </c>
      <c r="G2" s="18">
        <v>1</v>
      </c>
      <c r="H2" s="13" t="str">
        <f>B2&amp;"_"&amp;C2&amp;"-"&amp;G2</f>
        <v>13400_9-1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 t="s">
        <v>53</v>
      </c>
      <c r="L2" s="103">
        <v>736</v>
      </c>
      <c r="M2" s="102" t="str">
        <f ca="1">VLOOKUP($L2,OFFSET([3]enemies!$A$1,0,0,COUNTA([3]enemies!$A:$A),MATCH(M$1,[3]enemies!$1:$1,0)-MATCH($L$1,[3]enemies!$1:$1,0)+1),MATCH(M$1,[3]enemies!$1:$1,0)-MATCH($L$1,[3]enemies!$1:$1,0)+1,FALSE)</f>
        <v>オルトロス</v>
      </c>
      <c r="N2" s="15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5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5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70</v>
      </c>
      <c r="S2" s="22">
        <v>1.5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202167</v>
      </c>
      <c r="U2" s="22">
        <v>0.4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2765.6000000000004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状態異常耐性+_x000D_攻撃タイプ以外に大ダメージの2回連続全体攻撃</v>
      </c>
      <c r="Y2" s="44">
        <v>13400351</v>
      </c>
      <c r="Z2" s="6">
        <v>1</v>
      </c>
      <c r="AA2" s="6">
        <v>100</v>
      </c>
      <c r="AB2" s="6">
        <v>0</v>
      </c>
      <c r="AC2" s="101">
        <v>2</v>
      </c>
      <c r="AD2" s="21">
        <f t="shared" ref="AD2" si="1">L2</f>
        <v>736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オルトロス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1">
        <f ca="1">AF2</f>
        <v>4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4" t="str">
        <f t="shared" ref="A3:A6" si="2">B3&amp;"_"&amp;C3&amp;"-"&amp;G3&amp;"/"&amp;L3&amp;"&lt;lv"&amp;R3&amp;"&gt;s"&amp;AC3</f>
        <v>13400_9-1/1200&lt;lv70&gt;s1</v>
      </c>
      <c r="B3" s="19">
        <v>13400</v>
      </c>
      <c r="C3" s="18">
        <v>9</v>
      </c>
      <c r="D3" s="2" t="str">
        <f t="shared" ref="D3:D6" si="3">B3&amp;"_"&amp;C3</f>
        <v>13400_9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9階 攻撃タイプ限定</v>
      </c>
      <c r="G3" s="18">
        <v>1</v>
      </c>
      <c r="H3" s="13" t="str">
        <f t="shared" ref="H3:H6" si="4">B3&amp;"_"&amp;C3&amp;"-"&amp;G3</f>
        <v>13400_9-1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 t="s">
        <v>53</v>
      </c>
      <c r="L3" s="103">
        <v>1200</v>
      </c>
      <c r="M3" s="102" t="str">
        <f ca="1">VLOOKUP($L3,OFFSET([3]enemies!$A$1,0,0,COUNTA([3]enemies!$A:$A),MATCH(M$1,[3]enemies!$1:$1,0)-MATCH($L$1,[3]enemies!$1:$1,0)+1),MATCH(M$1,[3]enemies!$1:$1,0)-MATCH($L$1,[3]enemies!$1:$1,0)+1,FALSE)</f>
        <v>サイクロプス</v>
      </c>
      <c r="N3" s="15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5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5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70</v>
      </c>
      <c r="S3" s="22">
        <v>1.3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108751.5</v>
      </c>
      <c r="U3" s="22">
        <v>0.4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2558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状態異常耐性+_x000D_3ターン全ユニットのタップ数を1DOWN</v>
      </c>
      <c r="Y3" s="44">
        <v>13400350</v>
      </c>
      <c r="Z3" s="6">
        <v>1</v>
      </c>
      <c r="AA3" s="6">
        <v>100</v>
      </c>
      <c r="AB3" s="6">
        <v>1</v>
      </c>
      <c r="AC3" s="101">
        <v>1</v>
      </c>
      <c r="AD3" s="21">
        <f t="shared" ref="AD3:AD6" si="5">L3</f>
        <v>1200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サイクロプス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1">
        <f t="shared" ref="AI3:AI6" ca="1" si="6">AF3</f>
        <v>4</v>
      </c>
      <c r="AJ3" s="7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4" t="str">
        <f t="shared" si="2"/>
        <v>13400_9-2/840&lt;lv70&gt;s1</v>
      </c>
      <c r="B4" s="19">
        <v>13400</v>
      </c>
      <c r="C4" s="18">
        <v>9</v>
      </c>
      <c r="D4" s="2" t="str">
        <f t="shared" si="3"/>
        <v>13400_9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9階 攻撃タイプ限定</v>
      </c>
      <c r="G4" s="18">
        <v>2</v>
      </c>
      <c r="H4" s="13" t="str">
        <f t="shared" si="4"/>
        <v>13400_9-2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 t="s">
        <v>53</v>
      </c>
      <c r="L4" s="103">
        <v>840</v>
      </c>
      <c r="M4" s="102" t="str">
        <f ca="1">VLOOKUP($L4,OFFSET([3]enemies!$A$1,0,0,COUNTA([3]enemies!$A:$A),MATCH(M$1,[3]enemies!$1:$1,0)-MATCH($L$1,[3]enemies!$1:$1,0)+1),MATCH(M$1,[3]enemies!$1:$1,0)-MATCH($L$1,[3]enemies!$1:$1,0)+1,FALSE)</f>
        <v>フェニックス</v>
      </c>
      <c r="N4" s="15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5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70</v>
      </c>
      <c r="S4" s="22">
        <v>2.5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336945</v>
      </c>
      <c r="U4" s="22">
        <v>0.5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3457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44">
        <v>13400353</v>
      </c>
      <c r="Z4" s="6">
        <v>1</v>
      </c>
      <c r="AA4" s="6">
        <v>100</v>
      </c>
      <c r="AB4" s="6">
        <v>0</v>
      </c>
      <c r="AC4" s="101">
        <v>1</v>
      </c>
      <c r="AD4" s="21">
        <f t="shared" si="5"/>
        <v>840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フェニックス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1">
        <f t="shared" ca="1" si="6"/>
        <v>4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  <row r="5" spans="1:42" ht="21" customHeight="1" x14ac:dyDescent="0.15">
      <c r="A5" s="14" t="str">
        <f t="shared" si="2"/>
        <v>13400_9-2/1210&lt;lv70&gt;s1</v>
      </c>
      <c r="B5" s="19">
        <v>13400</v>
      </c>
      <c r="C5" s="18">
        <v>9</v>
      </c>
      <c r="D5" s="2" t="str">
        <f t="shared" si="3"/>
        <v>13400_9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-エルフラム-</v>
      </c>
      <c r="F5" s="4" t="str">
        <f ca="1">VLOOKUP($D5,OFFSET([2]stages!$A$1,0,0,COUNTA([2]stages!$A:$A),MATCH(F$1,[2]stages!$2:$2,0)-MATCH($D$1,[2]stages!$2:$2,0)+1),MATCH(F$1,[2]stages!$2:$2,0)-MATCH($D$1,[2]stages!$2:$2,0)+1,FALSE)</f>
        <v>9階 攻撃タイプ限定</v>
      </c>
      <c r="G5" s="18">
        <v>2</v>
      </c>
      <c r="H5" s="13" t="str">
        <f t="shared" si="4"/>
        <v>13400_9-2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 t="s">
        <v>53</v>
      </c>
      <c r="L5" s="103">
        <v>1210</v>
      </c>
      <c r="M5" s="102" t="str">
        <f ca="1">VLOOKUP($L5,OFFSET([3]enemies!$A$1,0,0,COUNTA([3]enemies!$A:$A),MATCH(M$1,[3]enemies!$1:$1,0)-MATCH($L$1,[3]enemies!$1:$1,0)+1),MATCH(M$1,[3]enemies!$1:$1,0)-MATCH($L$1,[3]enemies!$1:$1,0)+1,FALSE)</f>
        <v>ケンタウロス</v>
      </c>
      <c r="N5" s="15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5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70</v>
      </c>
      <c r="S5" s="22">
        <v>4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364068</v>
      </c>
      <c r="U5" s="22">
        <v>0.1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963.90000000000009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44">
        <v>13400352</v>
      </c>
      <c r="Z5" s="6">
        <v>1</v>
      </c>
      <c r="AA5" s="6">
        <v>100</v>
      </c>
      <c r="AB5" s="6">
        <v>0</v>
      </c>
      <c r="AC5" s="101">
        <v>1</v>
      </c>
      <c r="AD5" s="21">
        <f t="shared" si="5"/>
        <v>1210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ケンタウロス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1">
        <f t="shared" ca="1" si="6"/>
        <v>4</v>
      </c>
      <c r="AJ5" s="7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6">
        <v>1</v>
      </c>
    </row>
    <row r="6" spans="1:42" ht="21" customHeight="1" x14ac:dyDescent="0.15">
      <c r="A6" s="14" t="str">
        <f t="shared" si="2"/>
        <v>13400_9-3/1204&lt;lv70&gt;s1</v>
      </c>
      <c r="B6" s="19">
        <v>13400</v>
      </c>
      <c r="C6" s="18">
        <v>9</v>
      </c>
      <c r="D6" s="2" t="str">
        <f t="shared" si="3"/>
        <v>13400_9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-エルフラム-</v>
      </c>
      <c r="F6" s="4" t="str">
        <f ca="1">VLOOKUP($D6,OFFSET([2]stages!$A$1,0,0,COUNTA([2]stages!$A:$A),MATCH(F$1,[2]stages!$2:$2,0)-MATCH($D$1,[2]stages!$2:$2,0)+1),MATCH(F$1,[2]stages!$2:$2,0)-MATCH($D$1,[2]stages!$2:$2,0)+1,FALSE)</f>
        <v>9階 攻撃タイプ限定</v>
      </c>
      <c r="G6" s="18">
        <v>3</v>
      </c>
      <c r="H6" s="13" t="str">
        <f t="shared" si="4"/>
        <v>13400_9-3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>
        <v>1</v>
      </c>
      <c r="L6" s="103">
        <v>1204</v>
      </c>
      <c r="M6" s="102" t="str">
        <f ca="1">VLOOKUP($L6,OFFSET([3]enemies!$A$1,0,0,COUNTA([3]enemies!$A:$A),MATCH(M$1,[3]enemies!$1:$1,0)-MATCH($L$1,[3]enemies!$1:$1,0)+1),MATCH(M$1,[3]enemies!$1:$1,0)-MATCH($L$1,[3]enemies!$1:$1,0)+1,FALSE)</f>
        <v>デルピュネー</v>
      </c>
      <c r="N6" s="15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5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70</v>
      </c>
      <c r="S6" s="22">
        <v>5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595110</v>
      </c>
      <c r="U6" s="22">
        <v>0.7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7265.9999999999991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状態異常耐性+_x000D_5ターン全ユニットの攻撃力30%DOWN+_x000D_3ターン全ユニットのタップ数を1DOWN_x000D_【12ターン後に超強力な攻撃】</v>
      </c>
      <c r="Y6" s="44">
        <v>13400354</v>
      </c>
      <c r="Z6" s="6">
        <v>1</v>
      </c>
      <c r="AA6" s="6">
        <v>100</v>
      </c>
      <c r="AB6" s="6">
        <v>0</v>
      </c>
      <c r="AC6" s="101">
        <v>1</v>
      </c>
      <c r="AD6" s="21">
        <f t="shared" si="5"/>
        <v>1204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デルピュネー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1">
        <f t="shared" ca="1" si="6"/>
        <v>5</v>
      </c>
      <c r="AJ6" s="7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80" zoomScaleNormal="80" zoomScalePageLayoutView="8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8" sqref="V8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54</v>
      </c>
      <c r="L1" s="33" t="s">
        <v>55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98" t="s">
        <v>247</v>
      </c>
      <c r="V1" s="23" t="s">
        <v>50</v>
      </c>
      <c r="W1" s="98" t="s">
        <v>248</v>
      </c>
      <c r="X1" s="23" t="s">
        <v>52</v>
      </c>
      <c r="Y1" s="25" t="s">
        <v>128</v>
      </c>
      <c r="Z1" s="26" t="s">
        <v>127</v>
      </c>
      <c r="AA1" s="25" t="s">
        <v>8</v>
      </c>
    </row>
    <row r="2" spans="1:27" ht="21" customHeight="1" x14ac:dyDescent="0.15">
      <c r="A2" s="14" t="str">
        <f>B2&amp;"_"&amp;C2&amp;"-"&amp;G2&amp;"/"&amp;M2&amp;"&lt;lv"&amp;S2&amp;"&gt;sq"&amp;K2&amp;"st"&amp;L2</f>
        <v>13400_9-3/1205&lt;lv70&gt;sq1st2</v>
      </c>
      <c r="B2" s="19">
        <v>13400</v>
      </c>
      <c r="C2" s="107">
        <v>9</v>
      </c>
      <c r="D2" s="13" t="str">
        <f>B2&amp;"_"&amp;C2</f>
        <v>13400_9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9階 攻撃タイプ限定</v>
      </c>
      <c r="G2" s="107">
        <v>3</v>
      </c>
      <c r="H2" s="13" t="str">
        <f>B2&amp;"_"&amp;C2&amp;"-"&amp;G2</f>
        <v>13400_9-3</v>
      </c>
      <c r="I2" s="4" t="e">
        <f ca="1">VLOOKUP($H2,OFFSET([5]floors!$A$1,0,0,COUNTA([5]floors!$A:$A),MATCH(I$1,[5]floors!$1:$1,0)-MATCH($H$1,[5]floors!$1:$1,0)+1),MATCH(I$1,[5]floors!$1:$1,0)-MATCH($H$1,[5]floors!$1:$1,0)+1,FALSE)</f>
        <v>#VALUE!</v>
      </c>
      <c r="J2" s="4" t="e">
        <f ca="1">VLOOKUP($H2,OFFSET([5]floors!$A$1,0,0,COUNTA([5]floors!$A:$A),MATCH(J$1,[5]floors!$1:$1,0)-MATCH($H$1,[5]floors!$1:$1,0)+1),MATCH(J$1,[5]floors!$1:$1,0)-MATCH($H$1,[5]floors!$1:$1,0)+1,FALSE)</f>
        <v>#VALUE!</v>
      </c>
      <c r="K2" s="35">
        <v>1</v>
      </c>
      <c r="L2" s="35">
        <v>2</v>
      </c>
      <c r="M2" s="103">
        <v>1205</v>
      </c>
      <c r="N2" s="15" t="str">
        <f ca="1">VLOOKUP($M2,OFFSET([3]enemies!$A$1,0,0,COUNTA([3]enemies!$A:$A),MATCH(N$1,[3]enemies!$1:$1,0)-MATCH($M$1,[3]enemies!$1:$1,0)+1),MATCH(N$1,[3]enemies!$1:$1,0)-MATCH($M$1,[3]enemies!$1:$1,0)+1,FALSE)</f>
        <v>襲奪の竜鱗姫 デルピュネー</v>
      </c>
      <c r="O2" s="15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70</v>
      </c>
      <c r="T2" s="22">
        <v>5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595110</v>
      </c>
      <c r="V2" s="22">
        <v>0.8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8304</v>
      </c>
      <c r="X2" s="5">
        <v>0</v>
      </c>
      <c r="Y2" s="4" t="e">
        <f ca="1">VLOOKUP($Z2,OFFSET([6]enemy_skill_sets!$B$1,0,0,COUNTA([6]enemy_skill_sets!$B:$B),MATCH(N$1,[6]enemy_skill_sets!$1:$1,0)-MATCH($Z$1,[6]enemy_skill_sets!$1:$1,0)+2),MATCH(N$1,[6]enemy_skill_sets!$1:$1,0)-MATCH($Z$1,[6]enemy_skill_sets!$1:$1,0)+2,FALSE)</f>
        <v>#N/A</v>
      </c>
      <c r="Z2" s="44">
        <v>13400355</v>
      </c>
      <c r="AA2" s="108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20" activePane="bottomRight" state="frozen"/>
      <selection pane="topRight"/>
      <selection pane="bottomLeft"/>
      <selection pane="bottomRight" activeCell="F16" sqref="F16:F17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60</v>
      </c>
      <c r="B1" s="37" t="s">
        <v>61</v>
      </c>
      <c r="C1" s="37" t="s">
        <v>62</v>
      </c>
      <c r="D1" s="38" t="s">
        <v>63</v>
      </c>
      <c r="E1" s="38" t="s">
        <v>64</v>
      </c>
      <c r="F1" s="3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1" t="s">
        <v>71</v>
      </c>
      <c r="L1" s="41" t="s">
        <v>72</v>
      </c>
      <c r="M1" s="40" t="s">
        <v>73</v>
      </c>
      <c r="N1" s="40" t="s">
        <v>74</v>
      </c>
      <c r="O1" s="40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" si="0">B2&amp;"_"&amp;C2</f>
        <v>13400350_13400350</v>
      </c>
      <c r="B2" s="44">
        <v>13400350</v>
      </c>
      <c r="C2" s="44">
        <v>13400350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目標を捕捉…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状態異常耐性+_x000D_3ターン全ユニットのタップ数を1DOWN</v>
      </c>
      <c r="F2" s="44">
        <v>13400350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5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4"/>
      <c r="Q2" s="44"/>
      <c r="R2" s="44"/>
    </row>
    <row r="3" spans="1:18" ht="21" customHeight="1" x14ac:dyDescent="0.15">
      <c r="A3" s="36" t="str">
        <f t="shared" ref="A3:A37" si="1">B3&amp;"_"&amp;C3</f>
        <v>13400350_13400351</v>
      </c>
      <c r="B3" s="44">
        <v>13400350</v>
      </c>
      <c r="C3" s="44">
        <v>13400351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グリーンバレット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単体攻撃+_x000D_赤パネルを緑パネルに6個変換</v>
      </c>
      <c r="F3" s="44">
        <v>13400351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" s="44"/>
      <c r="Q3" s="44"/>
      <c r="R3" s="44"/>
    </row>
    <row r="4" spans="1:18" ht="21" customHeight="1" x14ac:dyDescent="0.15">
      <c r="A4" s="36" t="str">
        <f t="shared" si="1"/>
        <v>13400350_13400352</v>
      </c>
      <c r="B4" s="44">
        <v>13400350</v>
      </c>
      <c r="C4" s="44">
        <v>13400352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バレッジウォール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緑パネル吸収して防御力UP</v>
      </c>
      <c r="F4" s="44">
        <v>13400352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5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5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4"/>
      <c r="Q4" s="44"/>
      <c r="R4" s="44"/>
    </row>
    <row r="5" spans="1:18" ht="21" customHeight="1" x14ac:dyDescent="0.15">
      <c r="A5" s="36" t="str">
        <f t="shared" si="1"/>
        <v>13400351_13400355</v>
      </c>
      <c r="B5" s="44">
        <v>13400351</v>
      </c>
      <c r="C5" s="44">
        <v>13400355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塔の結界・アタック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状態異常耐性+_x000D_攻撃タイプ以外に大ダメージの2回連続全体攻撃</v>
      </c>
      <c r="F5" s="44">
        <v>13400355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4"/>
      <c r="Q5" s="44"/>
      <c r="R5" s="44"/>
    </row>
    <row r="6" spans="1:18" ht="21" customHeight="1" x14ac:dyDescent="0.15">
      <c r="A6" s="36" t="str">
        <f t="shared" si="1"/>
        <v>13400351_13400356</v>
      </c>
      <c r="B6" s="44">
        <v>13400351</v>
      </c>
      <c r="C6" s="44">
        <v>13400356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燃やすぜェ！！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4">
        <v>13400356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5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4"/>
      <c r="Q6" s="44"/>
      <c r="R6" s="44"/>
    </row>
    <row r="7" spans="1:18" ht="21" customHeight="1" x14ac:dyDescent="0.15">
      <c r="A7" s="36" t="str">
        <f t="shared" si="1"/>
        <v>13400351_13400357</v>
      </c>
      <c r="B7" s="44">
        <v>13400351</v>
      </c>
      <c r="C7" s="44">
        <v>13400357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焼き尽くすゼェ！！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7" s="44">
        <v>13400357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5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5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4"/>
      <c r="Q7" s="44"/>
      <c r="R7" s="44"/>
    </row>
    <row r="8" spans="1:18" ht="21" customHeight="1" x14ac:dyDescent="0.15">
      <c r="A8" s="36" t="str">
        <f t="shared" si="1"/>
        <v>13400351_13400358</v>
      </c>
      <c r="B8" s="44">
        <v>13400351</v>
      </c>
      <c r="C8" s="44">
        <v>13400358</v>
      </c>
      <c r="D8" s="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燃えてきたゼェ！！</v>
      </c>
      <c r="E8" s="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自身の行動頻度と攻撃力UP</v>
      </c>
      <c r="F8" s="44">
        <v>13400358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5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5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4"/>
      <c r="Q8" s="44"/>
      <c r="R8" s="44"/>
    </row>
    <row r="9" spans="1:18" ht="21" customHeight="1" x14ac:dyDescent="0.15">
      <c r="A9" s="36" t="str">
        <f t="shared" si="1"/>
        <v>13400352_13400360</v>
      </c>
      <c r="B9" s="44">
        <v>13400352</v>
      </c>
      <c r="C9" s="44">
        <v>13400360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私が相手になります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9" s="44">
        <v>13400360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5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4"/>
      <c r="Q9" s="44"/>
      <c r="R9" s="44"/>
    </row>
    <row r="10" spans="1:18" ht="21" customHeight="1" x14ac:dyDescent="0.15">
      <c r="A10" s="36" t="str">
        <f t="shared" si="1"/>
        <v>13400352_13400361</v>
      </c>
      <c r="B10" s="44">
        <v>13400352</v>
      </c>
      <c r="C10" s="44">
        <v>13400361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0" s="44">
        <v>13400361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5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4"/>
      <c r="Q10" s="44"/>
      <c r="R10" s="44"/>
    </row>
    <row r="11" spans="1:18" ht="21" customHeight="1" x14ac:dyDescent="0.15">
      <c r="A11" s="36" t="str">
        <f t="shared" si="1"/>
        <v>13400352_13400362</v>
      </c>
      <c r="B11" s="44">
        <v>13400352</v>
      </c>
      <c r="C11" s="44">
        <v>13400362</v>
      </c>
      <c r="D11" s="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1" s="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1" s="44">
        <v>13400362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5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5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/>
      <c r="Q11" s="44"/>
      <c r="R11" s="44"/>
    </row>
    <row r="12" spans="1:18" ht="21" customHeight="1" x14ac:dyDescent="0.15">
      <c r="A12" s="36" t="str">
        <f t="shared" si="1"/>
        <v>13400352_13400363</v>
      </c>
      <c r="B12" s="44">
        <v>13400352</v>
      </c>
      <c r="C12" s="44">
        <v>13400363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2" s="44">
        <v>13400363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4"/>
      <c r="Q12" s="44"/>
      <c r="R12" s="44"/>
    </row>
    <row r="13" spans="1:18" ht="21" customHeight="1" x14ac:dyDescent="0.15">
      <c r="A13" s="36" t="str">
        <f t="shared" si="1"/>
        <v>13400352_13400364</v>
      </c>
      <c r="B13" s="44">
        <v>13400352</v>
      </c>
      <c r="C13" s="44">
        <v>13400364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3" s="44">
        <v>13400364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5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" s="4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4"/>
      <c r="Q13" s="44"/>
      <c r="R13" s="44"/>
    </row>
    <row r="14" spans="1:18" ht="22" customHeight="1" x14ac:dyDescent="0.15">
      <c r="A14" s="36" t="str">
        <f t="shared" si="1"/>
        <v>13400352_13400365</v>
      </c>
      <c r="B14" s="44">
        <v>13400352</v>
      </c>
      <c r="C14" s="44">
        <v>13400365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4" s="44">
        <v>13400365</v>
      </c>
      <c r="G14" s="4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4" s="4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5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5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4" s="4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4"/>
      <c r="Q14" s="44"/>
      <c r="R14" s="44"/>
    </row>
    <row r="15" spans="1:18" ht="21" customHeight="1" x14ac:dyDescent="0.15">
      <c r="A15" s="36" t="str">
        <f t="shared" si="1"/>
        <v>13400352_13400366</v>
      </c>
      <c r="B15" s="44">
        <v>13400352</v>
      </c>
      <c r="C15" s="44">
        <v>13400366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葬送の竪琴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15" s="44">
        <v>13400366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5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5" s="4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4"/>
      <c r="Q15" s="44"/>
      <c r="R15" s="44"/>
    </row>
    <row r="16" spans="1:18" ht="22" customHeight="1" x14ac:dyDescent="0.15">
      <c r="A16" s="36" t="str">
        <f t="shared" ref="A16:A17" si="2">B16&amp;"_"&amp;C16</f>
        <v>13400352_13400367</v>
      </c>
      <c r="B16" s="44">
        <v>13400352</v>
      </c>
      <c r="C16" s="44">
        <v>13400367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終わりにしましょう…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2ターン後に超強力な攻撃</v>
      </c>
      <c r="F16" s="44">
        <v>13400367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4"/>
      <c r="Q16" s="44"/>
      <c r="R16" s="44"/>
    </row>
    <row r="17" spans="1:18" ht="22" customHeight="1" x14ac:dyDescent="0.15">
      <c r="A17" s="36" t="str">
        <f t="shared" si="2"/>
        <v>13400352_13400368</v>
      </c>
      <c r="B17" s="44">
        <v>13400352</v>
      </c>
      <c r="C17" s="44">
        <v>13400368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メロディが変化する…！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次のターンに超強力な攻撃</v>
      </c>
      <c r="F17" s="44">
        <v>13400368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4"/>
      <c r="Q17" s="44"/>
      <c r="R17" s="44"/>
    </row>
    <row r="18" spans="1:18" ht="21" customHeight="1" x14ac:dyDescent="0.15">
      <c r="A18" s="36" t="str">
        <f t="shared" si="1"/>
        <v>13400352_13400369</v>
      </c>
      <c r="B18" s="44">
        <v>13400352</v>
      </c>
      <c r="C18" s="44">
        <v>13400369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破滅の独奏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超大ダメージ</v>
      </c>
      <c r="F18" s="44">
        <v>13400369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5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5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4"/>
      <c r="Q18" s="44"/>
      <c r="R18" s="44"/>
    </row>
    <row r="19" spans="1:18" ht="21" customHeight="1" x14ac:dyDescent="0.15">
      <c r="A19" s="36" t="str">
        <f t="shared" si="1"/>
        <v>13400353_13400370</v>
      </c>
      <c r="B19" s="44">
        <v>13400353</v>
      </c>
      <c r="C19" s="44">
        <v>13400370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ボクに挑むつもりか？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9" s="44">
        <v>13400370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5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4"/>
      <c r="Q19" s="44"/>
      <c r="R19" s="44"/>
    </row>
    <row r="20" spans="1:18" ht="21" customHeight="1" x14ac:dyDescent="0.15">
      <c r="A20" s="36" t="str">
        <f t="shared" si="1"/>
        <v>13400353_13400371</v>
      </c>
      <c r="B20" s="44">
        <v>13400353</v>
      </c>
      <c r="C20" s="44">
        <v>13400371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ヒートウェイブ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単体攻撃+_x000D_2ターンユニット1体の攻撃力20%DOWN</v>
      </c>
      <c r="F20" s="44">
        <v>13400371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4"/>
      <c r="Q20" s="44"/>
      <c r="R20" s="44"/>
    </row>
    <row r="21" spans="1:18" ht="21" customHeight="1" x14ac:dyDescent="0.15">
      <c r="A21" s="36" t="str">
        <f t="shared" si="1"/>
        <v>13400353_13400372</v>
      </c>
      <c r="B21" s="44">
        <v>13400353</v>
      </c>
      <c r="C21" s="44">
        <v>13400372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炎鎖縛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5ターン全ユニットの攻撃力30%DOWN</v>
      </c>
      <c r="F21" s="44">
        <v>13400372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5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" s="4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4"/>
      <c r="Q21" s="44"/>
      <c r="R21" s="44"/>
    </row>
    <row r="22" spans="1:18" ht="21" customHeight="1" x14ac:dyDescent="0.15">
      <c r="A22" s="36" t="str">
        <f t="shared" si="1"/>
        <v>13400353_13400373</v>
      </c>
      <c r="B22" s="44">
        <v>13400353</v>
      </c>
      <c r="C22" s="44">
        <v>13400373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消えるなんてありえないッ！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赤パネルを吸収して防御力UP</v>
      </c>
      <c r="F22" s="44">
        <v>13400373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5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5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2" s="4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4"/>
      <c r="Q22" s="44"/>
      <c r="R22" s="44"/>
    </row>
    <row r="23" spans="1:18" ht="21" customHeight="1" x14ac:dyDescent="0.15">
      <c r="A23" s="36" t="str">
        <f t="shared" si="1"/>
        <v>13400354_13400375</v>
      </c>
      <c r="B23" s="44">
        <v>13400354</v>
      </c>
      <c r="C23" s="44">
        <v>13400375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女王陛下に反逆する罪は重い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状態異常耐性+_x000D_5ターン全ユニットの攻撃力30%DOWN+_x000D_3ターン全ユニットのタップ数を1DOWN_x000D_【12ターン後に超強力な攻撃】</v>
      </c>
      <c r="F23" s="44">
        <v>13400375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4"/>
      <c r="Q23" s="44"/>
      <c r="R23" s="44"/>
    </row>
    <row r="24" spans="1:18" ht="21" customHeight="1" x14ac:dyDescent="0.15">
      <c r="A24" s="36" t="str">
        <f t="shared" si="1"/>
        <v>13400354_13400376</v>
      </c>
      <c r="B24" s="44">
        <v>13400354</v>
      </c>
      <c r="C24" s="44">
        <v>13400376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好きにさせると思ったか？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単体攻撃+_x000D_赤パネルを黄パネルに10個変換</v>
      </c>
      <c r="F24" s="44">
        <v>13400376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4"/>
      <c r="Q24" s="44"/>
      <c r="R24" s="44"/>
    </row>
    <row r="25" spans="1:18" ht="21" customHeight="1" x14ac:dyDescent="0.15">
      <c r="A25" s="36" t="str">
        <f t="shared" si="1"/>
        <v>13400354_13400377</v>
      </c>
      <c r="B25" s="44">
        <v>13400354</v>
      </c>
      <c r="C25" s="44">
        <v>13400377</v>
      </c>
      <c r="D25" s="4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好きにさせると思ったか？</v>
      </c>
      <c r="E25" s="4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単体攻撃+_x000D_赤パネルを緑パネルに10個変換</v>
      </c>
      <c r="F25" s="44">
        <v>13400377</v>
      </c>
      <c r="G25" s="4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5" s="4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5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5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4"/>
      <c r="Q25" s="44"/>
      <c r="R25" s="44"/>
    </row>
    <row r="26" spans="1:18" ht="21" customHeight="1" x14ac:dyDescent="0.15">
      <c r="A26" s="36" t="str">
        <f t="shared" si="1"/>
        <v>13400354_13400378</v>
      </c>
      <c r="B26" s="44">
        <v>13400354</v>
      </c>
      <c r="C26" s="44">
        <v>13400378</v>
      </c>
      <c r="D26" s="4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再生の竜鱗</v>
      </c>
      <c r="E26" s="4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ターン経過で威力が上がる攻撃+_x000D_自己回復</v>
      </c>
      <c r="F26" s="44">
        <v>13400378</v>
      </c>
      <c r="G26" s="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5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4"/>
      <c r="Q26" s="44"/>
      <c r="R26" s="44"/>
    </row>
    <row r="27" spans="1:18" ht="21" customHeight="1" x14ac:dyDescent="0.15">
      <c r="A27" s="36" t="str">
        <f t="shared" si="1"/>
        <v>13400354_13400379</v>
      </c>
      <c r="B27" s="44">
        <v>13400354</v>
      </c>
      <c r="C27" s="44">
        <v>13400379</v>
      </c>
      <c r="D27" s="4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再生の竜鱗</v>
      </c>
      <c r="E27" s="4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ターン経過で威力が上がる攻撃+_x000D_自己回復</v>
      </c>
      <c r="F27" s="44">
        <v>13400379</v>
      </c>
      <c r="G27" s="4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5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5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7" s="4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4"/>
      <c r="Q27" s="44"/>
      <c r="R27" s="44"/>
    </row>
    <row r="28" spans="1:18" ht="21" customHeight="1" x14ac:dyDescent="0.15">
      <c r="A28" s="36" t="str">
        <f t="shared" si="1"/>
        <v>13400354_13400380</v>
      </c>
      <c r="B28" s="44">
        <v>13400354</v>
      </c>
      <c r="C28" s="44">
        <v>13400380</v>
      </c>
      <c r="D28" s="4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再生の竜鱗</v>
      </c>
      <c r="E28" s="4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ターン経過で威力が上がる攻撃+_x000D_自己回復</v>
      </c>
      <c r="F28" s="44">
        <v>13400380</v>
      </c>
      <c r="G28" s="4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5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5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8" s="4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4"/>
      <c r="Q28" s="44"/>
      <c r="R28" s="44"/>
    </row>
    <row r="29" spans="1:18" ht="21" customHeight="1" x14ac:dyDescent="0.15">
      <c r="A29" s="36" t="str">
        <f t="shared" si="1"/>
        <v>13400354_13400381</v>
      </c>
      <c r="B29" s="44">
        <v>13400354</v>
      </c>
      <c r="C29" s="44">
        <v>13400381</v>
      </c>
      <c r="D29" s="4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竜鱗の耐久力を知るがよい</v>
      </c>
      <c r="E29" s="4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黄パネルを吸収して防御力UP</v>
      </c>
      <c r="F29" s="44">
        <v>13400381</v>
      </c>
      <c r="G29" s="4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9" s="4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5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9" s="4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4"/>
      <c r="Q29" s="44"/>
      <c r="R29" s="44"/>
    </row>
    <row r="30" spans="1:18" ht="21" customHeight="1" x14ac:dyDescent="0.15">
      <c r="A30" s="36" t="str">
        <f t="shared" si="1"/>
        <v>13400354_13400382</v>
      </c>
      <c r="B30" s="44">
        <v>13400354</v>
      </c>
      <c r="C30" s="44">
        <v>13400382</v>
      </c>
      <c r="D30" s="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女王陛下の期待を裏切る_x000D_訳にはいかないのだよ！！</v>
      </c>
      <c r="E30" s="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2連続超大ダメージ</v>
      </c>
      <c r="F30" s="44">
        <v>13400382</v>
      </c>
      <c r="G30" s="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0" s="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5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30" s="4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4"/>
      <c r="Q30" s="44"/>
      <c r="R30" s="44"/>
    </row>
    <row r="31" spans="1:18" ht="21" customHeight="1" x14ac:dyDescent="0.15">
      <c r="A31" s="36" t="str">
        <f t="shared" ref="A31" si="3">B31&amp;"_"&amp;C31</f>
        <v>13400354_13400383</v>
      </c>
      <c r="B31" s="44">
        <v>13400354</v>
      </c>
      <c r="C31" s="44">
        <v>13400383</v>
      </c>
      <c r="D31" s="43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もうお前にかまっている時間はない！</v>
      </c>
      <c r="E31" s="43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次のターンに超強力な連続攻撃</v>
      </c>
      <c r="F31" s="44">
        <v>13400383</v>
      </c>
      <c r="G31" s="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5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1" s="4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5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5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5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31" s="4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4"/>
      <c r="Q31" s="44"/>
      <c r="R31" s="44"/>
    </row>
    <row r="32" spans="1:18" ht="21" customHeight="1" x14ac:dyDescent="0.15">
      <c r="A32" s="36" t="str">
        <f t="shared" si="1"/>
        <v>13400355_13400385</v>
      </c>
      <c r="B32" s="44">
        <v>13400355</v>
      </c>
      <c r="C32" s="44">
        <v>13400385</v>
      </c>
      <c r="D32" s="4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本気で相手をしてやろう！</v>
      </c>
      <c r="E32" s="4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状態異常耐性+_x000D_赤パネルをプロテクト_x000D_【12ターン後に超強力な攻撃】</v>
      </c>
      <c r="F32" s="44">
        <v>13400385</v>
      </c>
      <c r="G32" s="4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2" s="4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5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4"/>
      <c r="Q32" s="44"/>
      <c r="R32" s="44"/>
    </row>
    <row r="33" spans="1:18" ht="21" customHeight="1" x14ac:dyDescent="0.15">
      <c r="A33" s="36" t="str">
        <f t="shared" si="1"/>
        <v>13400355_13400386</v>
      </c>
      <c r="B33" s="44">
        <v>13400355</v>
      </c>
      <c r="C33" s="44">
        <v>13400386</v>
      </c>
      <c r="D33" s="4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見切れるかな？</v>
      </c>
      <c r="E33" s="4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単体攻撃+_x000D_赤パネルを黄パネルに10個変換</v>
      </c>
      <c r="F33" s="44">
        <v>13400386</v>
      </c>
      <c r="G33" s="4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3" s="4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5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4"/>
      <c r="Q33" s="44"/>
      <c r="R33" s="44"/>
    </row>
    <row r="34" spans="1:18" ht="21" customHeight="1" x14ac:dyDescent="0.15">
      <c r="A34" s="36" t="str">
        <f t="shared" si="1"/>
        <v>13400355_13400387</v>
      </c>
      <c r="B34" s="44">
        <v>13400355</v>
      </c>
      <c r="C34" s="44">
        <v>13400387</v>
      </c>
      <c r="D34" s="4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再生の竜鱗</v>
      </c>
      <c r="E34" s="4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黄パネルを吸収して単体攻撃+_x000D_自己回復</v>
      </c>
      <c r="F34" s="44">
        <v>13400387</v>
      </c>
      <c r="G34" s="4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5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5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4"/>
      <c r="Q34" s="44"/>
      <c r="R34" s="44"/>
    </row>
    <row r="35" spans="1:18" ht="21" customHeight="1" x14ac:dyDescent="0.15">
      <c r="A35" s="36" t="str">
        <f t="shared" si="1"/>
        <v>13400355_13400388</v>
      </c>
      <c r="B35" s="44">
        <v>13400355</v>
      </c>
      <c r="C35" s="44">
        <v>13400388</v>
      </c>
      <c r="D35" s="4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竜鱗の耐久力を知るがよい</v>
      </c>
      <c r="E35" s="4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緑パネルを吸収して防御力UP</v>
      </c>
      <c r="F35" s="44">
        <v>13400388</v>
      </c>
      <c r="G35" s="4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5" s="4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5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5" s="4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4"/>
      <c r="Q35" s="44"/>
      <c r="R35" s="44"/>
    </row>
    <row r="36" spans="1:18" ht="21" customHeight="1" x14ac:dyDescent="0.15">
      <c r="A36" s="36" t="str">
        <f t="shared" si="1"/>
        <v>13400355_13400389</v>
      </c>
      <c r="B36" s="44">
        <v>13400355</v>
      </c>
      <c r="C36" s="44">
        <v>13400389</v>
      </c>
      <c r="D36" s="4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絶望の深淵に沈め！</v>
      </c>
      <c r="E36" s="4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残りHPの50%ダメージ！+_x000D_自己回復</v>
      </c>
      <c r="F36" s="44">
        <v>13400389</v>
      </c>
      <c r="G36" s="4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5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6" s="4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5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6" s="4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4"/>
      <c r="Q36" s="44"/>
      <c r="R36" s="44"/>
    </row>
    <row r="37" spans="1:18" ht="21" customHeight="1" x14ac:dyDescent="0.15">
      <c r="A37" s="36" t="str">
        <f t="shared" si="1"/>
        <v>13400355_13400390</v>
      </c>
      <c r="B37" s="44">
        <v>13400355</v>
      </c>
      <c r="C37" s="44">
        <v>13400390</v>
      </c>
      <c r="D37" s="4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反逆者風情に時間をかけたな…</v>
      </c>
      <c r="E37" s="4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2連続超大ダメージ</v>
      </c>
      <c r="F37" s="44">
        <v>13400390</v>
      </c>
      <c r="G37" s="4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5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7" s="4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5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12</v>
      </c>
      <c r="N37" s="4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4"/>
      <c r="Q37" s="44"/>
      <c r="R37" s="44"/>
    </row>
    <row r="38" spans="1:18" ht="21" customHeight="1" x14ac:dyDescent="0.15">
      <c r="A38" s="36" t="str">
        <f t="shared" ref="A38" si="4">B38&amp;"_"&amp;C38</f>
        <v>13400355_13400391</v>
      </c>
      <c r="B38" s="44">
        <v>13400355</v>
      </c>
      <c r="C38" s="44">
        <v>13400391</v>
      </c>
      <c r="D38" s="4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ぐうっ…ワタシを倒すとは…</v>
      </c>
      <c r="E38" s="4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女王陛下直々に処罰されるがいい…</v>
      </c>
      <c r="F38" s="44">
        <v>13400391</v>
      </c>
      <c r="G38" s="4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5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38" s="4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5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5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8" s="4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4"/>
      <c r="Q38" s="44"/>
      <c r="R38" s="44"/>
    </row>
    <row r="39" spans="1:18" ht="21" customHeight="1" x14ac:dyDescent="0.15">
      <c r="A39" s="36" t="str">
        <f t="shared" ref="A39" si="5">B39&amp;"_"&amp;C39</f>
        <v>13400355_13400392</v>
      </c>
      <c r="B39" s="44">
        <v>13400355</v>
      </c>
      <c r="C39" s="44">
        <v>13400392</v>
      </c>
      <c r="D39" s="4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これで終わりにしてやろう</v>
      </c>
      <c r="E39" s="4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次のターンに超強力な連続攻撃</v>
      </c>
      <c r="F39" s="44">
        <v>13400392</v>
      </c>
      <c r="G39" s="4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5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9" s="4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5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5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5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39" s="4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4"/>
      <c r="Q39" s="44"/>
      <c r="R39" s="4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46"/>
  <sheetViews>
    <sheetView showGridLines="0" tabSelected="1" topLeftCell="B1" zoomScale="130" zoomScaleNormal="130" zoomScalePageLayoutView="130" workbookViewId="0">
      <pane ySplit="1" topLeftCell="A33" activePane="bottomLeft" state="frozenSplit"/>
      <selection pane="bottomLeft" activeCell="B44" sqref="B44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33" style="46" customWidth="1"/>
    <col min="3" max="4" width="4.33203125" style="46" customWidth="1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.6640625" style="46" customWidth="1" collapsed="1"/>
    <col min="13" max="18" width="2.6640625" style="46" hidden="1" customWidth="1" outlineLevel="1"/>
    <col min="19" max="19" width="2.6640625" style="46" customWidth="1" collapsed="1"/>
    <col min="20" max="24" width="2.6640625" style="46" hidden="1" customWidth="1" outlineLevel="1"/>
    <col min="25" max="25" width="2.6640625" style="46" customWidth="1" collapsed="1"/>
    <col min="26" max="28" width="2.6640625" style="46" customWidth="1"/>
    <col min="29" max="29" width="44.83203125" style="46" customWidth="1"/>
    <col min="30" max="30" width="52.1640625" style="46" customWidth="1"/>
    <col min="31" max="16384" width="12.83203125" style="46"/>
  </cols>
  <sheetData>
    <row r="1" spans="1:29" ht="21" customHeight="1" x14ac:dyDescent="0.15">
      <c r="A1" s="37" t="s">
        <v>79</v>
      </c>
      <c r="B1" s="37" t="s">
        <v>80</v>
      </c>
      <c r="C1" s="37" t="s">
        <v>81</v>
      </c>
      <c r="D1" s="37" t="s">
        <v>126</v>
      </c>
      <c r="E1" s="37" t="s">
        <v>82</v>
      </c>
      <c r="F1" s="37" t="s">
        <v>83</v>
      </c>
      <c r="G1" s="38" t="s">
        <v>131</v>
      </c>
      <c r="H1" s="38" t="s">
        <v>137</v>
      </c>
      <c r="I1" s="38" t="s">
        <v>139</v>
      </c>
      <c r="J1" s="38" t="s">
        <v>138</v>
      </c>
      <c r="K1" s="38" t="s">
        <v>140</v>
      </c>
      <c r="L1" s="38" t="s">
        <v>132</v>
      </c>
      <c r="M1" s="38" t="s">
        <v>130</v>
      </c>
      <c r="N1" s="38" t="s">
        <v>133</v>
      </c>
      <c r="O1" s="38" t="s">
        <v>141</v>
      </c>
      <c r="P1" s="38" t="s">
        <v>142</v>
      </c>
      <c r="Q1" s="38" t="s">
        <v>143</v>
      </c>
      <c r="R1" s="38" t="s">
        <v>144</v>
      </c>
      <c r="S1" s="38" t="s">
        <v>134</v>
      </c>
      <c r="T1" s="38" t="s">
        <v>135</v>
      </c>
      <c r="U1" s="38" t="s">
        <v>145</v>
      </c>
      <c r="V1" s="38" t="s">
        <v>146</v>
      </c>
      <c r="W1" s="38" t="s">
        <v>147</v>
      </c>
      <c r="X1" s="38" t="s">
        <v>148</v>
      </c>
      <c r="Y1" s="38" t="s">
        <v>136</v>
      </c>
      <c r="Z1" s="38" t="s">
        <v>76</v>
      </c>
      <c r="AA1" s="38" t="s">
        <v>77</v>
      </c>
      <c r="AB1" s="38" t="s">
        <v>78</v>
      </c>
      <c r="AC1" s="38" t="s">
        <v>252</v>
      </c>
    </row>
    <row r="2" spans="1:29" ht="21" customHeight="1" x14ac:dyDescent="0.15">
      <c r="A2" s="44">
        <v>13400350</v>
      </c>
      <c r="B2" s="45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LEN(F2)*0.1)),"0.0")&amp;"]"&amp;IF(LEN(AC2)&gt;0, ","&amp;AC2,AC2)</f>
        <v>[effect:enemy_message, val1:1.2, val2:2.8],[effect:fix_speed, target:myself, turn:1],[effect:tolerance, target:myself, turn:-1, count:-1, tolerance_effect:all, animation:enemy_tolerance],[effect:degrade_unit, target:unit_all, turn:3, status:action, val:1, calc:add, animation:enemy_tap_down]</v>
      </c>
      <c r="C2" s="47">
        <v>3</v>
      </c>
      <c r="D2" s="47" t="s">
        <v>251</v>
      </c>
      <c r="E2" s="48" t="s">
        <v>292</v>
      </c>
      <c r="F2" s="48" t="s">
        <v>333</v>
      </c>
      <c r="G2" s="60" t="str">
        <f>IFERROR(LEFT(B2,FIND("],",B2)),B2)</f>
        <v>[effect:enemy_message, val1:1.2, val2:2.8]</v>
      </c>
      <c r="H2" s="60">
        <f>FIND("effect:",G2)+7</f>
        <v>9</v>
      </c>
      <c r="I2" s="60">
        <f>IFERROR(FIND(",",G2),LEN(G2))</f>
        <v>22</v>
      </c>
      <c r="J2" s="60" t="e">
        <f>FIND("target:",G2)+7</f>
        <v>#VALUE!</v>
      </c>
      <c r="K2" s="60">
        <f>FIND(",",G2,I2+1)</f>
        <v>32</v>
      </c>
      <c r="L2" s="60" t="str">
        <f>IFERROR(VLOOKUP(MID(G2,J2,K2-J2),[7]skilldef!$C:$D,2,FALSE),"-") &amp; " / " &amp; IFERROR(VLOOKUP(MID(G2,H2,I2-H2),[7]skilldef!$A:$B,2,FALSE),"-")</f>
        <v>- / -</v>
      </c>
      <c r="M2" s="60" t="str">
        <f>IFERROR(RIGHT(B2,LEN(B2)-FIND("],",B2)-1),"none")</f>
        <v>[effect:fix_speed, target:myself, turn:1],[effect:tolerance, target:myself, turn:-1, count:-1, tolerance_effect:all, animation:enemy_tolerance],[effect:degrade_unit, target:unit_all, turn:3, status:action, val:1, calc:add, animation:enemy_tap_down]</v>
      </c>
      <c r="N2" s="45" t="str">
        <f>IFERROR(LEFT(M2,FIND("],",M2)+S7),M2)</f>
        <v>[effect:fix_speed, target:myself, turn:1],[effect:tolerance, target:myself, turn:-1, count:-1, tolerance_effect:all, animation:enemy_tolerance],[effect:degrade_unit, target:unit_all, turn:3, status:action, val:1, calc:add, animation:enemy_tap_down]</v>
      </c>
      <c r="O2" s="60">
        <f>FIND("effect:",N2)+7</f>
        <v>9</v>
      </c>
      <c r="P2" s="60">
        <f>IFERROR(FIND(",",N2),LEN(N2))</f>
        <v>18</v>
      </c>
      <c r="Q2" s="60">
        <f>FIND("target:",N2)+7</f>
        <v>27</v>
      </c>
      <c r="R2" s="60">
        <f>FIND(",",N2,P2+1)</f>
        <v>33</v>
      </c>
      <c r="S2" s="60" t="str">
        <f>IFERROR(VLOOKUP(MID(N2,Q2,R2-Q2),[7]skilldef!$C:$D,2,FALSE),"-") &amp; " / " &amp; IFERROR(VLOOKUP(MID(N2,O2,P2-O2),[7]skilldef!$A:$B,2,FALSE),"-")</f>
        <v>自分自身に / 行動値設定</v>
      </c>
      <c r="T2" s="45" t="str">
        <f>IFERROR(RIGHT(M2,LEN(M2)-FIND("],",M2)-1),"none")</f>
        <v>[effect:tolerance, target:myself, turn:-1, count:-1, tolerance_effect:all, animation:enemy_tolerance],[effect:degrade_unit, target:unit_all, turn:3, status:action, val:1, calc:add, animation:enemy_tap_down]</v>
      </c>
      <c r="U2" s="60">
        <f>FIND("effect:",T2)+7</f>
        <v>9</v>
      </c>
      <c r="V2" s="60">
        <f>IFERROR(FIND(",",T2),LEN(T2))</f>
        <v>18</v>
      </c>
      <c r="W2" s="60">
        <f>FIND("target:",T2)+7</f>
        <v>27</v>
      </c>
      <c r="X2" s="60">
        <f>FIND(",",T2,V2+1)</f>
        <v>33</v>
      </c>
      <c r="Y2" s="60" t="str">
        <f>IFERROR(VLOOKUP(MID(T2,W2,X2-W2),[7]skilldef!$C:$D,2,FALSE),"-") &amp; " / " &amp; IFERROR(VLOOKUP(MID(T2,U2,V2-U2),[7]skilldef!$A:$B,2,FALSE),"-")</f>
        <v>自分自身に / 状態異常耐性</v>
      </c>
      <c r="Z2" s="47"/>
      <c r="AA2" s="49"/>
      <c r="AB2" s="47"/>
      <c r="AC2" s="100" t="s">
        <v>284</v>
      </c>
    </row>
    <row r="3" spans="1:29" ht="21" customHeight="1" x14ac:dyDescent="0.15">
      <c r="A3" s="44">
        <v>13400351</v>
      </c>
      <c r="B3" s="45" t="str">
        <f t="shared" ref="B3:B30" si="0"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LEN(F3)*0.1)),"0.0")&amp;"]"&amp;IF(LEN(AC3)&gt;0, ","&amp;AC3,AC3)</f>
        <v>[effect:enemy_message, val1:1.2, val2:2.0],[effect:rush, count:1, val:0.8],[effect:force_change_block, new_block:block_green, target:block_red, count:6, val:0, animation:change_block]</v>
      </c>
      <c r="C3" s="47">
        <v>3</v>
      </c>
      <c r="D3" s="47" t="s">
        <v>196</v>
      </c>
      <c r="E3" s="48" t="s">
        <v>294</v>
      </c>
      <c r="F3" s="48" t="s">
        <v>334</v>
      </c>
      <c r="G3" s="60" t="str">
        <f t="shared" ref="G3:G30" si="1">IFERROR(LEFT(B3,FIND("],",B3)),B3)</f>
        <v>[effect:enemy_message, val1:1.2, val2:2.0]</v>
      </c>
      <c r="H3" s="60">
        <f t="shared" ref="H3:H46" si="2">FIND("effect:",G3)+7</f>
        <v>9</v>
      </c>
      <c r="I3" s="60">
        <f t="shared" ref="I3:I30" si="3">IFERROR(FIND(",",G3),LEN(G3))</f>
        <v>22</v>
      </c>
      <c r="J3" s="60" t="e">
        <f t="shared" ref="J3:J30" si="4">FIND("target:",G3)+7</f>
        <v>#VALUE!</v>
      </c>
      <c r="K3" s="60">
        <f t="shared" ref="K3:K30" si="5">FIND(",",G3,I3+1)</f>
        <v>32</v>
      </c>
      <c r="L3" s="60" t="str">
        <f>IFERROR(VLOOKUP(MID(G3,J3,K3-J3),[7]skilldef!$C:$D,2,FALSE),"-") &amp; " / " &amp; IFERROR(VLOOKUP(MID(G3,H3,I3-H3),[7]skilldef!$A:$B,2,FALSE),"-")</f>
        <v>- / -</v>
      </c>
      <c r="M3" s="60" t="str">
        <f t="shared" ref="M3:M30" si="6">IFERROR(RIGHT(B3,LEN(B3)-FIND("],",B3)-1),"none")</f>
        <v>[effect:rush, count:1, val:0.8],[effect:force_change_block, new_block:block_green, target:block_red, count:6, val:0, animation:change_block]</v>
      </c>
      <c r="N3" s="45" t="str">
        <f t="shared" ref="N3:N30" si="7">IFERROR(LEFT(M3,FIND("],",M3)+S8),M3)</f>
        <v>[effect:rush, count:1, val:0.8],[effect:force_change_block, new_block:block_green, target:block_red, count:6, val:0, animation:change_block]</v>
      </c>
      <c r="O3" s="60">
        <f t="shared" ref="O3:O46" si="8">FIND("effect:",N3)+7</f>
        <v>9</v>
      </c>
      <c r="P3" s="60">
        <f t="shared" ref="P3:P30" si="9">IFERROR(FIND(",",N3),LEN(N3))</f>
        <v>13</v>
      </c>
      <c r="Q3" s="60">
        <f t="shared" ref="Q3:Q30" si="10">FIND("target:",N3)+7</f>
        <v>91</v>
      </c>
      <c r="R3" s="60">
        <f t="shared" ref="R3:R30" si="11">FIND(",",N3,P3+1)</f>
        <v>22</v>
      </c>
      <c r="S3" s="60" t="str">
        <f>IFERROR(VLOOKUP(MID(N3,Q3,R3-Q3),[7]skilldef!$C:$D,2,FALSE),"-") &amp; " / " &amp; IFERROR(VLOOKUP(MID(N3,O3,P3-O3),[7]skilldef!$A:$B,2,FALSE),"-")</f>
        <v>- / 連続攻撃</v>
      </c>
      <c r="T3" s="45" t="str">
        <f t="shared" ref="T3:T30" si="12">IFERROR(RIGHT(M3,LEN(M3)-FIND("],",M3)-1),"none")</f>
        <v>[effect:force_change_block, new_block:block_green, target:block_red, count:6, val:0, animation:change_block]</v>
      </c>
      <c r="U3" s="60">
        <f t="shared" ref="U3:U46" si="13">FIND("effect:",T3)+7</f>
        <v>9</v>
      </c>
      <c r="V3" s="60">
        <f t="shared" ref="V3:V30" si="14">IFERROR(FIND(",",T3),LEN(T3))</f>
        <v>27</v>
      </c>
      <c r="W3" s="60">
        <f t="shared" ref="W3:W30" si="15">FIND("target:",T3)+7</f>
        <v>59</v>
      </c>
      <c r="X3" s="60">
        <f t="shared" ref="X3:X30" si="16">FIND(",",T3,V3+1)</f>
        <v>50</v>
      </c>
      <c r="Y3" s="60" t="str">
        <f>IFERROR(VLOOKUP(MID(T3,W3,X3-W3),[7]skilldef!$C:$D,2,FALSE),"-") &amp; " / " &amp; IFERROR(VLOOKUP(MID(T3,U3,V3-U3),[7]skilldef!$A:$B,2,FALSE),"-")</f>
        <v>- / -</v>
      </c>
      <c r="Z3" s="47"/>
      <c r="AA3" s="49"/>
      <c r="AB3" s="47"/>
      <c r="AC3" s="100" t="s">
        <v>352</v>
      </c>
    </row>
    <row r="4" spans="1:29" ht="21" customHeight="1" x14ac:dyDescent="0.15">
      <c r="A4" s="44">
        <v>13400352</v>
      </c>
      <c r="B4" s="45" t="str">
        <f t="shared" si="0"/>
        <v>[effect:enemy_message, val1:1.2, val2:1.3],[effect:break_enchance_enemy, target:myself, val:100, lowest_val:500, count:-1, status:defense, turn:-1, block01:block_green, calc:add, animation:enemy_enhance_defense]</v>
      </c>
      <c r="C4" s="47">
        <v>3</v>
      </c>
      <c r="D4" s="47" t="s">
        <v>196</v>
      </c>
      <c r="E4" s="48" t="s">
        <v>295</v>
      </c>
      <c r="F4" s="48" t="s">
        <v>276</v>
      </c>
      <c r="G4" s="60" t="str">
        <f t="shared" si="1"/>
        <v>[effect:enemy_message, val1:1.2, val2:1.3]</v>
      </c>
      <c r="H4" s="60">
        <f t="shared" si="2"/>
        <v>9</v>
      </c>
      <c r="I4" s="60">
        <f t="shared" si="3"/>
        <v>22</v>
      </c>
      <c r="J4" s="60" t="e">
        <f t="shared" si="4"/>
        <v>#VALUE!</v>
      </c>
      <c r="K4" s="60">
        <f t="shared" si="5"/>
        <v>32</v>
      </c>
      <c r="L4" s="60" t="str">
        <f>IFERROR(VLOOKUP(MID(G4,J4,K4-J4),[7]skilldef!$C:$D,2,FALSE),"-") &amp; " / " &amp; IFERROR(VLOOKUP(MID(G4,H4,I4-H4),[7]skilldef!$A:$B,2,FALSE),"-")</f>
        <v>- / -</v>
      </c>
      <c r="M4" s="60" t="str">
        <f t="shared" si="6"/>
        <v>[effect:break_enchance_enemy, target:myself, val:100, lowest_val:500, count:-1, status:defense, turn:-1, block01:block_green, calc:add, animation:enemy_enhance_defense]</v>
      </c>
      <c r="N4" s="45" t="str">
        <f t="shared" si="7"/>
        <v>[effect:break_enchance_enemy, target:myself, val:100, lowest_val:500, count:-1, status:defense, turn:-1, block01:block_green, calc:add, animation:enemy_enhance_defense]</v>
      </c>
      <c r="O4" s="60">
        <f t="shared" si="8"/>
        <v>9</v>
      </c>
      <c r="P4" s="60">
        <f t="shared" si="9"/>
        <v>29</v>
      </c>
      <c r="Q4" s="60">
        <f t="shared" si="10"/>
        <v>38</v>
      </c>
      <c r="R4" s="60">
        <f t="shared" si="11"/>
        <v>44</v>
      </c>
      <c r="S4" s="60" t="str">
        <f>IFERROR(VLOOKUP(MID(N4,Q4,R4-Q4),[7]skilldef!$C:$D,2,FALSE),"-") &amp; " / " &amp; IFERROR(VLOOKUP(MID(N4,O4,P4-O4),[7]skilldef!$A:$B,2,FALSE),"-")</f>
        <v>自分自身に / -</v>
      </c>
      <c r="T4" s="45" t="str">
        <f t="shared" si="12"/>
        <v>none</v>
      </c>
      <c r="U4" s="60" t="e">
        <f t="shared" si="13"/>
        <v>#VALUE!</v>
      </c>
      <c r="V4" s="60">
        <f t="shared" si="14"/>
        <v>4</v>
      </c>
      <c r="W4" s="60" t="e">
        <f t="shared" si="15"/>
        <v>#VALUE!</v>
      </c>
      <c r="X4" s="60" t="e">
        <f t="shared" si="16"/>
        <v>#VALUE!</v>
      </c>
      <c r="Y4" s="60" t="str">
        <f>IFERROR(VLOOKUP(MID(T4,W4,X4-W4),[7]skilldef!$C:$D,2,FALSE),"-") &amp; " / " &amp; IFERROR(VLOOKUP(MID(T4,U4,V4-U4),[7]skilldef!$A:$B,2,FALSE),"-")</f>
        <v>- / -</v>
      </c>
      <c r="Z4" s="47"/>
      <c r="AA4" s="49"/>
      <c r="AB4" s="47"/>
      <c r="AC4" s="100" t="s">
        <v>353</v>
      </c>
    </row>
    <row r="5" spans="1:29" ht="21" customHeight="1" x14ac:dyDescent="0.15">
      <c r="A5" s="44">
        <v>13400353</v>
      </c>
      <c r="B5" s="45" t="str">
        <f t="shared" si="0"/>
        <v>[effect:enemy_message, val1:1.2, val2:1.6],[effect:enhance_enemy, target:myself, turn:-1, status:attack, val:0.3, calc:mul, animation:enemy_enhance_attack]</v>
      </c>
      <c r="C5" s="47">
        <v>1</v>
      </c>
      <c r="D5" s="47" t="s">
        <v>196</v>
      </c>
      <c r="E5" s="48" t="s">
        <v>255</v>
      </c>
      <c r="F5" s="48" t="s">
        <v>282</v>
      </c>
      <c r="G5" s="60" t="str">
        <f t="shared" si="1"/>
        <v>[effect:enemy_message, val1:1.2, val2:1.6]</v>
      </c>
      <c r="H5" s="60">
        <f t="shared" si="2"/>
        <v>9</v>
      </c>
      <c r="I5" s="60">
        <f t="shared" si="3"/>
        <v>22</v>
      </c>
      <c r="J5" s="60" t="e">
        <f t="shared" si="4"/>
        <v>#VALUE!</v>
      </c>
      <c r="K5" s="60">
        <f t="shared" si="5"/>
        <v>32</v>
      </c>
      <c r="L5" s="60" t="str">
        <f>IFERROR(VLOOKUP(MID(G5,J5,K5-J5),[7]skilldef!$C:$D,2,FALSE),"-") &amp; " / " &amp; IFERROR(VLOOKUP(MID(G5,H5,I5-H5),[7]skilldef!$A:$B,2,FALSE),"-")</f>
        <v>- / -</v>
      </c>
      <c r="M5" s="60" t="str">
        <f t="shared" si="6"/>
        <v>[effect:enhance_enemy, target:myself, turn:-1, status:attack, val:0.3, calc:mul, animation:enemy_enhance_attack]</v>
      </c>
      <c r="N5" s="45" t="str">
        <f t="shared" si="7"/>
        <v>[effect:enhance_enemy, target:myself, turn:-1, status:attack, val:0.3, calc:mul, animation:enemy_enhance_attack]</v>
      </c>
      <c r="O5" s="60">
        <f t="shared" si="8"/>
        <v>9</v>
      </c>
      <c r="P5" s="60">
        <f t="shared" si="9"/>
        <v>22</v>
      </c>
      <c r="Q5" s="60">
        <f t="shared" si="10"/>
        <v>31</v>
      </c>
      <c r="R5" s="60">
        <f t="shared" si="11"/>
        <v>37</v>
      </c>
      <c r="S5" s="60" t="str">
        <f>IFERROR(VLOOKUP(MID(N5,Q5,R5-Q5),[7]skilldef!$C:$D,2,FALSE),"-") &amp; " / " &amp; IFERROR(VLOOKUP(MID(N5,O5,P5-O5),[7]skilldef!$A:$B,2,FALSE),"-")</f>
        <v>自分自身に / ステータス強化</v>
      </c>
      <c r="T5" s="45" t="str">
        <f t="shared" si="12"/>
        <v>none</v>
      </c>
      <c r="U5" s="60" t="e">
        <f t="shared" si="13"/>
        <v>#VALUE!</v>
      </c>
      <c r="V5" s="60">
        <f t="shared" si="14"/>
        <v>4</v>
      </c>
      <c r="W5" s="60" t="e">
        <f t="shared" si="15"/>
        <v>#VALUE!</v>
      </c>
      <c r="X5" s="60" t="e">
        <f t="shared" si="16"/>
        <v>#VALUE!</v>
      </c>
      <c r="Y5" s="60" t="str">
        <f>IFERROR(VLOOKUP(MID(T5,W5,X5-W5),[7]skilldef!$C:$D,2,FALSE),"-") &amp; " / " &amp; IFERROR(VLOOKUP(MID(T5,U5,V5-U5),[7]skilldef!$A:$B,2,FALSE),"-")</f>
        <v>- / -</v>
      </c>
      <c r="Z5" s="47"/>
      <c r="AA5" s="49"/>
      <c r="AB5" s="47"/>
      <c r="AC5" s="100" t="s">
        <v>283</v>
      </c>
    </row>
    <row r="6" spans="1:29" ht="21" customHeight="1" x14ac:dyDescent="0.15">
      <c r="A6" s="44">
        <v>13400354</v>
      </c>
      <c r="B6" s="45" t="str">
        <f t="shared" si="0"/>
        <v>[effect:enemy_message, val1:1.2, val2:1.2],[effect:nothing]</v>
      </c>
      <c r="C6" s="47">
        <v>1</v>
      </c>
      <c r="D6" s="47" t="s">
        <v>196</v>
      </c>
      <c r="E6" s="48" t="s">
        <v>255</v>
      </c>
      <c r="F6" s="48" t="s">
        <v>256</v>
      </c>
      <c r="G6" s="60" t="str">
        <f t="shared" si="1"/>
        <v>[effect:enemy_message, val1:1.2, val2:1.2]</v>
      </c>
      <c r="H6" s="60">
        <f t="shared" si="2"/>
        <v>9</v>
      </c>
      <c r="I6" s="60">
        <f t="shared" si="3"/>
        <v>22</v>
      </c>
      <c r="J6" s="60" t="e">
        <f t="shared" si="4"/>
        <v>#VALUE!</v>
      </c>
      <c r="K6" s="60">
        <f t="shared" si="5"/>
        <v>32</v>
      </c>
      <c r="L6" s="60" t="str">
        <f>IFERROR(VLOOKUP(MID(G6,J6,K6-J6),[7]skilldef!$C:$D,2,FALSE),"-") &amp; " / " &amp; IFERROR(VLOOKUP(MID(G6,H6,I6-H6),[7]skilldef!$A:$B,2,FALSE),"-")</f>
        <v>- / -</v>
      </c>
      <c r="M6" s="60" t="str">
        <f t="shared" si="6"/>
        <v>[effect:nothing]</v>
      </c>
      <c r="N6" s="45" t="str">
        <f t="shared" si="7"/>
        <v>[effect:nothing]</v>
      </c>
      <c r="O6" s="60">
        <f t="shared" si="8"/>
        <v>9</v>
      </c>
      <c r="P6" s="60">
        <f t="shared" si="9"/>
        <v>16</v>
      </c>
      <c r="Q6" s="60" t="e">
        <f t="shared" si="10"/>
        <v>#VALUE!</v>
      </c>
      <c r="R6" s="60" t="e">
        <f t="shared" si="11"/>
        <v>#VALUE!</v>
      </c>
      <c r="S6" s="60" t="str">
        <f>IFERROR(VLOOKUP(MID(N6,Q6,R6-Q6),[7]skilldef!$C:$D,2,FALSE),"-") &amp; " / " &amp; IFERROR(VLOOKUP(MID(N6,O6,P6-O6),[7]skilldef!$A:$B,2,FALSE),"-")</f>
        <v>- / 何もしない</v>
      </c>
      <c r="T6" s="45" t="str">
        <f t="shared" si="12"/>
        <v>none</v>
      </c>
      <c r="U6" s="60" t="e">
        <f t="shared" si="13"/>
        <v>#VALUE!</v>
      </c>
      <c r="V6" s="60">
        <f t="shared" si="14"/>
        <v>4</v>
      </c>
      <c r="W6" s="60" t="e">
        <f t="shared" si="15"/>
        <v>#VALUE!</v>
      </c>
      <c r="X6" s="60" t="e">
        <f t="shared" si="16"/>
        <v>#VALUE!</v>
      </c>
      <c r="Y6" s="60" t="str">
        <f>IFERROR(VLOOKUP(MID(T6,W6,X6-W6),[7]skilldef!$C:$D,2,FALSE),"-") &amp; " / " &amp; IFERROR(VLOOKUP(MID(T6,U6,V6-U6),[7]skilldef!$A:$B,2,FALSE),"-")</f>
        <v>- / -</v>
      </c>
      <c r="Z6" s="47"/>
      <c r="AA6" s="49"/>
      <c r="AB6" s="47"/>
      <c r="AC6" s="100" t="s">
        <v>267</v>
      </c>
    </row>
    <row r="7" spans="1:29" ht="21" customHeight="1" x14ac:dyDescent="0.15">
      <c r="A7" s="44">
        <v>13400355</v>
      </c>
      <c r="B7" s="45" t="str">
        <f t="shared" si="0"/>
        <v>[effect:enemy_message, val1:1.2, val2:3.0],[effect:fix_speed, target:myself, turn:2],[effect:tolerance, target:myself, turn:-1, count:-1, tolerance_effect:all, animation:enemy_tolerance],[effect:damage_anti_type, target:unit_all, type:attack, val1:0.01, val2:20],[effect:damage_anti_type, target:unit_all, type:attack, val1:0.01, val2:20]</v>
      </c>
      <c r="C7" s="47">
        <v>3</v>
      </c>
      <c r="D7" s="47" t="s">
        <v>196</v>
      </c>
      <c r="E7" s="48" t="s">
        <v>296</v>
      </c>
      <c r="F7" s="48" t="s">
        <v>293</v>
      </c>
      <c r="G7" s="60" t="str">
        <f t="shared" si="1"/>
        <v>[effect:enemy_message, val1:1.2, val2:3.0]</v>
      </c>
      <c r="H7" s="60">
        <f t="shared" si="2"/>
        <v>9</v>
      </c>
      <c r="I7" s="60">
        <f t="shared" si="3"/>
        <v>22</v>
      </c>
      <c r="J7" s="60" t="e">
        <f t="shared" si="4"/>
        <v>#VALUE!</v>
      </c>
      <c r="K7" s="60">
        <f t="shared" si="5"/>
        <v>32</v>
      </c>
      <c r="L7" s="60" t="str">
        <f>IFERROR(VLOOKUP(MID(G7,J7,K7-J7),[7]skilldef!$C:$D,2,FALSE),"-") &amp; " / " &amp; IFERROR(VLOOKUP(MID(G7,H7,I7-H7),[7]skilldef!$A:$B,2,FALSE),"-")</f>
        <v>- / -</v>
      </c>
      <c r="M7" s="60" t="str">
        <f t="shared" si="6"/>
        <v>[effect:fix_speed, target:myself, turn:2],[effect:tolerance, target:myself, turn:-1, count:-1, tolerance_effect:all, animation:enemy_tolerance],[effect:damage_anti_type, target:unit_all, type:attack, val1:0.01, val2:20],[effect:damage_anti_type, target:unit_all, type:attack, val1:0.01, val2:20]</v>
      </c>
      <c r="N7" s="45" t="str">
        <f t="shared" si="7"/>
        <v>[effect:fix_speed, target:myself, turn:2],[effect:tolerance, target:myself, turn:-1, count:-1, tolerance_effect:all, animation:enemy_tolerance],[effect:damage_anti_type, target:unit_all, type:attack, val1:0.01, val2:20],[effect:damage_anti_type, target:unit_all, type:attack, val1:0.01, val2:20]</v>
      </c>
      <c r="O7" s="60">
        <f t="shared" si="8"/>
        <v>9</v>
      </c>
      <c r="P7" s="60">
        <f t="shared" si="9"/>
        <v>18</v>
      </c>
      <c r="Q7" s="60">
        <f t="shared" si="10"/>
        <v>27</v>
      </c>
      <c r="R7" s="60">
        <f t="shared" si="11"/>
        <v>33</v>
      </c>
      <c r="S7" s="60" t="str">
        <f>IFERROR(VLOOKUP(MID(N7,Q7,R7-Q7),[7]skilldef!$C:$D,2,FALSE),"-") &amp; " / " &amp; IFERROR(VLOOKUP(MID(N7,O7,P7-O7),[7]skilldef!$A:$B,2,FALSE),"-")</f>
        <v>自分自身に / 行動値設定</v>
      </c>
      <c r="T7" s="45" t="str">
        <f t="shared" si="12"/>
        <v>[effect:tolerance, target:myself, turn:-1, count:-1, tolerance_effect:all, animation:enemy_tolerance],[effect:damage_anti_type, target:unit_all, type:attack, val1:0.01, val2:20],[effect:damage_anti_type, target:unit_all, type:attack, val1:0.01, val2:20]</v>
      </c>
      <c r="U7" s="60">
        <f t="shared" si="13"/>
        <v>9</v>
      </c>
      <c r="V7" s="60">
        <f t="shared" si="14"/>
        <v>18</v>
      </c>
      <c r="W7" s="60">
        <f t="shared" si="15"/>
        <v>27</v>
      </c>
      <c r="X7" s="60">
        <f t="shared" si="16"/>
        <v>33</v>
      </c>
      <c r="Y7" s="60" t="str">
        <f>IFERROR(VLOOKUP(MID(T7,W7,X7-W7),[7]skilldef!$C:$D,2,FALSE),"-") &amp; " / " &amp; IFERROR(VLOOKUP(MID(T7,U7,V7-U7),[7]skilldef!$A:$B,2,FALSE),"-")</f>
        <v>自分自身に / 状態異常耐性</v>
      </c>
      <c r="Z7" s="47"/>
      <c r="AA7" s="49"/>
      <c r="AB7" s="47"/>
      <c r="AC7" s="100" t="s">
        <v>331</v>
      </c>
    </row>
    <row r="8" spans="1:29" ht="21" customHeight="1" x14ac:dyDescent="0.15">
      <c r="A8" s="44">
        <v>13400356</v>
      </c>
      <c r="B8" s="45" t="str">
        <f t="shared" si="0"/>
        <v>[effect:enemy_message, val1:1.2, val2:1.2],[effect:spread, val:0.25]</v>
      </c>
      <c r="C8" s="47">
        <v>3</v>
      </c>
      <c r="D8" s="47" t="s">
        <v>196</v>
      </c>
      <c r="E8" s="48" t="s">
        <v>297</v>
      </c>
      <c r="F8" s="48" t="s">
        <v>257</v>
      </c>
      <c r="G8" s="60" t="str">
        <f t="shared" si="1"/>
        <v>[effect:enemy_message, val1:1.2, val2:1.2]</v>
      </c>
      <c r="H8" s="60">
        <f t="shared" si="2"/>
        <v>9</v>
      </c>
      <c r="I8" s="60">
        <f t="shared" si="3"/>
        <v>22</v>
      </c>
      <c r="J8" s="60" t="e">
        <f t="shared" si="4"/>
        <v>#VALUE!</v>
      </c>
      <c r="K8" s="60">
        <f t="shared" si="5"/>
        <v>32</v>
      </c>
      <c r="L8" s="60" t="str">
        <f>IFERROR(VLOOKUP(MID(G8,J8,K8-J8),[7]skilldef!$C:$D,2,FALSE),"-") &amp; " / " &amp; IFERROR(VLOOKUP(MID(G8,H8,I8-H8),[7]skilldef!$A:$B,2,FALSE),"-")</f>
        <v>- / -</v>
      </c>
      <c r="M8" s="60" t="str">
        <f t="shared" si="6"/>
        <v>[effect:spread, val:0.25]</v>
      </c>
      <c r="N8" s="45" t="str">
        <f t="shared" si="7"/>
        <v>[effect:spread, val:0.25]</v>
      </c>
      <c r="O8" s="60">
        <f t="shared" si="8"/>
        <v>9</v>
      </c>
      <c r="P8" s="60">
        <f t="shared" si="9"/>
        <v>15</v>
      </c>
      <c r="Q8" s="60" t="e">
        <f t="shared" si="10"/>
        <v>#VALUE!</v>
      </c>
      <c r="R8" s="60" t="e">
        <f t="shared" si="11"/>
        <v>#VALUE!</v>
      </c>
      <c r="S8" s="60" t="str">
        <f>IFERROR(VLOOKUP(MID(N8,Q8,R8-Q8),[7]skilldef!$C:$D,2,FALSE),"-") &amp; " / " &amp; IFERROR(VLOOKUP(MID(N8,O8,P8-O8),[7]skilldef!$A:$B,2,FALSE),"-")</f>
        <v>- / 全体攻撃</v>
      </c>
      <c r="T8" s="45" t="str">
        <f t="shared" si="12"/>
        <v>none</v>
      </c>
      <c r="U8" s="60" t="e">
        <f t="shared" si="13"/>
        <v>#VALUE!</v>
      </c>
      <c r="V8" s="60">
        <f t="shared" si="14"/>
        <v>4</v>
      </c>
      <c r="W8" s="60" t="e">
        <f t="shared" si="15"/>
        <v>#VALUE!</v>
      </c>
      <c r="X8" s="60" t="e">
        <f t="shared" si="16"/>
        <v>#VALUE!</v>
      </c>
      <c r="Y8" s="60" t="str">
        <f>IFERROR(VLOOKUP(MID(T8,W8,X8-W8),[7]skilldef!$C:$D,2,FALSE),"-") &amp; " / " &amp; IFERROR(VLOOKUP(MID(T8,U8,V8-U8),[7]skilldef!$A:$B,2,FALSE),"-")</f>
        <v>- / -</v>
      </c>
      <c r="Z8" s="47"/>
      <c r="AA8" s="49"/>
      <c r="AB8" s="47"/>
      <c r="AC8" s="100" t="s">
        <v>274</v>
      </c>
    </row>
    <row r="9" spans="1:29" ht="21" customHeight="1" x14ac:dyDescent="0.15">
      <c r="A9" s="44">
        <v>13400357</v>
      </c>
      <c r="B9" s="45" t="str">
        <f t="shared" si="0"/>
        <v>[effect:enemy_message, val1:1.2, val2:1.2],[effect:break_attack, target:unit_one, val:0.16, lowest_val:1000, count:-1, color:red, block01:block_green]</v>
      </c>
      <c r="C9" s="47">
        <v>3</v>
      </c>
      <c r="D9" s="47" t="s">
        <v>196</v>
      </c>
      <c r="E9" s="48" t="s">
        <v>298</v>
      </c>
      <c r="F9" s="48" t="s">
        <v>277</v>
      </c>
      <c r="G9" s="60" t="str">
        <f t="shared" si="1"/>
        <v>[effect:enemy_message, val1:1.2, val2:1.2]</v>
      </c>
      <c r="H9" s="60">
        <f t="shared" si="2"/>
        <v>9</v>
      </c>
      <c r="I9" s="60">
        <f t="shared" si="3"/>
        <v>22</v>
      </c>
      <c r="J9" s="60" t="e">
        <f t="shared" si="4"/>
        <v>#VALUE!</v>
      </c>
      <c r="K9" s="60">
        <f t="shared" si="5"/>
        <v>32</v>
      </c>
      <c r="L9" s="60" t="str">
        <f>IFERROR(VLOOKUP(MID(G9,J9,K9-J9),[7]skilldef!$C:$D,2,FALSE),"-") &amp; " / " &amp; IFERROR(VLOOKUP(MID(G9,H9,I9-H9),[7]skilldef!$A:$B,2,FALSE),"-")</f>
        <v>- / -</v>
      </c>
      <c r="M9" s="60" t="str">
        <f t="shared" si="6"/>
        <v>[effect:break_attack, target:unit_one, val:0.16, lowest_val:1000, count:-1, color:red, block01:block_green]</v>
      </c>
      <c r="N9" s="45" t="str">
        <f t="shared" si="7"/>
        <v>[effect:break_attack, target:unit_one, val:0.16, lowest_val:1000, count:-1, color:red, block01:block_green]</v>
      </c>
      <c r="O9" s="60">
        <f t="shared" si="8"/>
        <v>9</v>
      </c>
      <c r="P9" s="60">
        <f t="shared" si="9"/>
        <v>21</v>
      </c>
      <c r="Q9" s="60">
        <f t="shared" si="10"/>
        <v>30</v>
      </c>
      <c r="R9" s="60">
        <f t="shared" si="11"/>
        <v>38</v>
      </c>
      <c r="S9" s="60" t="str">
        <f>IFERROR(VLOOKUP(MID(N9,Q9,R9-Q9),[7]skilldef!$C:$D,2,FALSE),"-") &amp; " / " &amp; IFERROR(VLOOKUP(MID(N9,O9,P9-O9),[7]skilldef!$A:$B,2,FALSE),"-")</f>
        <v>味方単体に / -</v>
      </c>
      <c r="T9" s="45" t="str">
        <f t="shared" si="12"/>
        <v>none</v>
      </c>
      <c r="U9" s="60" t="e">
        <f t="shared" si="13"/>
        <v>#VALUE!</v>
      </c>
      <c r="V9" s="60">
        <f t="shared" si="14"/>
        <v>4</v>
      </c>
      <c r="W9" s="60" t="e">
        <f t="shared" si="15"/>
        <v>#VALUE!</v>
      </c>
      <c r="X9" s="60" t="e">
        <f t="shared" si="16"/>
        <v>#VALUE!</v>
      </c>
      <c r="Y9" s="60" t="str">
        <f>IFERROR(VLOOKUP(MID(T9,W9,X9-W9),[7]skilldef!$C:$D,2,FALSE),"-") &amp; " / " &amp; IFERROR(VLOOKUP(MID(T9,U9,V9-U9),[7]skilldef!$A:$B,2,FALSE),"-")</f>
        <v>- / -</v>
      </c>
      <c r="Z9" s="47"/>
      <c r="AA9" s="49"/>
      <c r="AB9" s="47"/>
      <c r="AC9" s="100" t="s">
        <v>321</v>
      </c>
    </row>
    <row r="10" spans="1:29" ht="21" customHeight="1" x14ac:dyDescent="0.15">
      <c r="A10" s="44">
        <v>13400358</v>
      </c>
      <c r="B10" s="45" t="str">
        <f t="shared" si="0"/>
        <v>[effect:enemy_message, val1:1.2, val2:1.3],[effect:fix_speed, target:myself, turn:1],[effect:enhance_enemy, target:myself, turn:-1, status:attack, val:0.3, calc:mul, animation:enemy_enhance_attack]</v>
      </c>
      <c r="C10" s="47">
        <v>3</v>
      </c>
      <c r="D10" s="47" t="s">
        <v>196</v>
      </c>
      <c r="E10" s="48" t="s">
        <v>299</v>
      </c>
      <c r="F10" s="48" t="s">
        <v>339</v>
      </c>
      <c r="G10" s="60" t="str">
        <f t="shared" si="1"/>
        <v>[effect:enemy_message, val1:1.2, val2:1.3]</v>
      </c>
      <c r="H10" s="60">
        <f t="shared" si="2"/>
        <v>9</v>
      </c>
      <c r="I10" s="60">
        <f t="shared" si="3"/>
        <v>22</v>
      </c>
      <c r="J10" s="60" t="e">
        <f t="shared" si="4"/>
        <v>#VALUE!</v>
      </c>
      <c r="K10" s="60">
        <f t="shared" si="5"/>
        <v>32</v>
      </c>
      <c r="L10" s="60" t="str">
        <f>IFERROR(VLOOKUP(MID(G10,J10,K10-J10),[7]skilldef!$C:$D,2,FALSE),"-") &amp; " / " &amp; IFERROR(VLOOKUP(MID(G10,H10,I10-H10),[7]skilldef!$A:$B,2,FALSE),"-")</f>
        <v>- / -</v>
      </c>
      <c r="M10" s="60" t="str">
        <f t="shared" si="6"/>
        <v>[effect:fix_speed, target:myself, turn:1],[effect:enhance_enemy, target:myself, turn:-1, status:attack, val:0.3, calc:mul, animation:enemy_enhance_attack]</v>
      </c>
      <c r="N10" s="45" t="str">
        <f t="shared" si="7"/>
        <v>[effect:fix_speed, target:myself, turn:1],[effect:enhance_enemy, target:myself, turn:-1, status:attack, val:0.3, calc:mul, animation:enemy_enhance_attack]</v>
      </c>
      <c r="O10" s="60">
        <f t="shared" si="8"/>
        <v>9</v>
      </c>
      <c r="P10" s="60">
        <f t="shared" si="9"/>
        <v>18</v>
      </c>
      <c r="Q10" s="60">
        <f t="shared" si="10"/>
        <v>27</v>
      </c>
      <c r="R10" s="60">
        <f t="shared" si="11"/>
        <v>33</v>
      </c>
      <c r="S10" s="60" t="str">
        <f>IFERROR(VLOOKUP(MID(N10,Q10,R10-Q10),[7]skilldef!$C:$D,2,FALSE),"-") &amp; " / " &amp; IFERROR(VLOOKUP(MID(N10,O10,P10-O10),[7]skilldef!$A:$B,2,FALSE),"-")</f>
        <v>自分自身に / 行動値設定</v>
      </c>
      <c r="T10" s="45" t="str">
        <f t="shared" si="12"/>
        <v>[effect:enhance_enemy, target:myself, turn:-1, status:attack, val:0.3, calc:mul, animation:enemy_enhance_attack]</v>
      </c>
      <c r="U10" s="60">
        <f t="shared" si="13"/>
        <v>9</v>
      </c>
      <c r="V10" s="60">
        <f t="shared" si="14"/>
        <v>22</v>
      </c>
      <c r="W10" s="60">
        <f t="shared" si="15"/>
        <v>31</v>
      </c>
      <c r="X10" s="60">
        <f t="shared" si="16"/>
        <v>37</v>
      </c>
      <c r="Y10" s="60" t="str">
        <f>IFERROR(VLOOKUP(MID(T10,W10,X10-W10),[7]skilldef!$C:$D,2,FALSE),"-") &amp; " / " &amp; IFERROR(VLOOKUP(MID(T10,U10,V10-U10),[7]skilldef!$A:$B,2,FALSE),"-")</f>
        <v>自分自身に / ステータス強化</v>
      </c>
      <c r="Z10" s="47"/>
      <c r="AA10" s="49"/>
      <c r="AB10" s="47"/>
      <c r="AC10" s="100" t="s">
        <v>268</v>
      </c>
    </row>
    <row r="11" spans="1:29" ht="21" customHeight="1" x14ac:dyDescent="0.15">
      <c r="A11" s="44">
        <v>13400359</v>
      </c>
      <c r="B11" s="45" t="str">
        <f t="shared" si="0"/>
        <v>[effect:enemy_message, val1:1.2, val2:1.2],[effect:nothing]</v>
      </c>
      <c r="C11" s="47">
        <v>1</v>
      </c>
      <c r="D11" s="47" t="s">
        <v>196</v>
      </c>
      <c r="E11" s="48" t="s">
        <v>258</v>
      </c>
      <c r="F11" s="48" t="s">
        <v>256</v>
      </c>
      <c r="G11" s="60" t="str">
        <f t="shared" si="1"/>
        <v>[effect:enemy_message, val1:1.2, val2:1.2]</v>
      </c>
      <c r="H11" s="60">
        <f t="shared" si="2"/>
        <v>9</v>
      </c>
      <c r="I11" s="60">
        <f t="shared" si="3"/>
        <v>22</v>
      </c>
      <c r="J11" s="60" t="e">
        <f t="shared" si="4"/>
        <v>#VALUE!</v>
      </c>
      <c r="K11" s="60">
        <f t="shared" si="5"/>
        <v>32</v>
      </c>
      <c r="L11" s="60" t="str">
        <f>IFERROR(VLOOKUP(MID(G11,J11,K11-J11),[7]skilldef!$C:$D,2,FALSE),"-") &amp; " / " &amp; IFERROR(VLOOKUP(MID(G11,H11,I11-H11),[7]skilldef!$A:$B,2,FALSE),"-")</f>
        <v>- / -</v>
      </c>
      <c r="M11" s="60" t="str">
        <f t="shared" si="6"/>
        <v>[effect:nothing]</v>
      </c>
      <c r="N11" s="45" t="str">
        <f t="shared" si="7"/>
        <v>[effect:nothing]</v>
      </c>
      <c r="O11" s="60">
        <f t="shared" si="8"/>
        <v>9</v>
      </c>
      <c r="P11" s="60">
        <f t="shared" si="9"/>
        <v>16</v>
      </c>
      <c r="Q11" s="60" t="e">
        <f t="shared" si="10"/>
        <v>#VALUE!</v>
      </c>
      <c r="R11" s="60" t="e">
        <f t="shared" si="11"/>
        <v>#VALUE!</v>
      </c>
      <c r="S11" s="60" t="str">
        <f>IFERROR(VLOOKUP(MID(N11,Q11,R11-Q11),[7]skilldef!$C:$D,2,FALSE),"-") &amp; " / " &amp; IFERROR(VLOOKUP(MID(N11,O11,P11-O11),[7]skilldef!$A:$B,2,FALSE),"-")</f>
        <v>- / 何もしない</v>
      </c>
      <c r="T11" s="45" t="str">
        <f t="shared" si="12"/>
        <v>none</v>
      </c>
      <c r="U11" s="60" t="e">
        <f t="shared" si="13"/>
        <v>#VALUE!</v>
      </c>
      <c r="V11" s="60">
        <f t="shared" si="14"/>
        <v>4</v>
      </c>
      <c r="W11" s="60" t="e">
        <f t="shared" si="15"/>
        <v>#VALUE!</v>
      </c>
      <c r="X11" s="60" t="e">
        <f t="shared" si="16"/>
        <v>#VALUE!</v>
      </c>
      <c r="Y11" s="60" t="str">
        <f>IFERROR(VLOOKUP(MID(T11,W11,X11-W11),[7]skilldef!$C:$D,2,FALSE),"-") &amp; " / " &amp; IFERROR(VLOOKUP(MID(T11,U11,V11-U11),[7]skilldef!$A:$B,2,FALSE),"-")</f>
        <v>- / -</v>
      </c>
      <c r="Z11" s="47"/>
      <c r="AA11" s="49"/>
      <c r="AB11" s="47"/>
      <c r="AC11" s="100" t="s">
        <v>267</v>
      </c>
    </row>
    <row r="12" spans="1:29" ht="21" customHeight="1" x14ac:dyDescent="0.15">
      <c r="A12" s="44">
        <v>13400360</v>
      </c>
      <c r="B12" s="45" t="str">
        <f t="shared" si="0"/>
        <v>[effect:enemy_message, val1:1.2, val2:1.2],[effect:fix_speed, target:myself, turn:1],[effect:tolerance, target:myself, turn:-1, count:-1, tolerance_effect:all, animation:enemy_tolerance]</v>
      </c>
      <c r="C12" s="47">
        <v>3</v>
      </c>
      <c r="D12" s="47" t="s">
        <v>196</v>
      </c>
      <c r="E12" s="48" t="s">
        <v>300</v>
      </c>
      <c r="F12" s="48" t="s">
        <v>259</v>
      </c>
      <c r="G12" s="60" t="str">
        <f t="shared" si="1"/>
        <v>[effect:enemy_message, val1:1.2, val2:1.2]</v>
      </c>
      <c r="H12" s="60">
        <f t="shared" si="2"/>
        <v>9</v>
      </c>
      <c r="I12" s="60">
        <f t="shared" si="3"/>
        <v>22</v>
      </c>
      <c r="J12" s="60" t="e">
        <f t="shared" si="4"/>
        <v>#VALUE!</v>
      </c>
      <c r="K12" s="60">
        <f t="shared" si="5"/>
        <v>32</v>
      </c>
      <c r="L12" s="60" t="str">
        <f>IFERROR(VLOOKUP(MID(G12,J12,K12-J12),[7]skilldef!$C:$D,2,FALSE),"-") &amp; " / " &amp; IFERROR(VLOOKUP(MID(G12,H12,I12-H12),[7]skilldef!$A:$B,2,FALSE),"-")</f>
        <v>- / -</v>
      </c>
      <c r="M12" s="60" t="str">
        <f t="shared" si="6"/>
        <v>[effect:fix_speed, target:myself, turn:1],[effect:tolerance, target:myself, turn:-1, count:-1, tolerance_effect:all, animation:enemy_tolerance]</v>
      </c>
      <c r="N12" s="45" t="str">
        <f t="shared" si="7"/>
        <v>[effect:fix_speed, target:myself, turn:1],[effect:tolerance, target:myself, turn:-1, count:-1, tolerance_effect:all, animation:enemy_tolerance]</v>
      </c>
      <c r="O12" s="60">
        <f t="shared" si="8"/>
        <v>9</v>
      </c>
      <c r="P12" s="60">
        <f t="shared" si="9"/>
        <v>18</v>
      </c>
      <c r="Q12" s="60">
        <f t="shared" si="10"/>
        <v>27</v>
      </c>
      <c r="R12" s="60">
        <f t="shared" si="11"/>
        <v>33</v>
      </c>
      <c r="S12" s="60" t="str">
        <f>IFERROR(VLOOKUP(MID(N12,Q12,R12-Q12),[7]skilldef!$C:$D,2,FALSE),"-") &amp; " / " &amp; IFERROR(VLOOKUP(MID(N12,O12,P12-O12),[7]skilldef!$A:$B,2,FALSE),"-")</f>
        <v>自分自身に / 行動値設定</v>
      </c>
      <c r="T12" s="45" t="str">
        <f t="shared" si="12"/>
        <v>[effect:tolerance, target:myself, turn:-1, count:-1, tolerance_effect:all, animation:enemy_tolerance]</v>
      </c>
      <c r="U12" s="60">
        <f t="shared" si="13"/>
        <v>9</v>
      </c>
      <c r="V12" s="60">
        <f t="shared" si="14"/>
        <v>18</v>
      </c>
      <c r="W12" s="60">
        <f t="shared" si="15"/>
        <v>27</v>
      </c>
      <c r="X12" s="60">
        <f t="shared" si="16"/>
        <v>33</v>
      </c>
      <c r="Y12" s="60" t="str">
        <f>IFERROR(VLOOKUP(MID(T12,W12,X12-W12),[7]skilldef!$C:$D,2,FALSE),"-") &amp; " / " &amp; IFERROR(VLOOKUP(MID(T12,U12,V12-U12),[7]skilldef!$A:$B,2,FALSE),"-")</f>
        <v>自分自身に / 状態異常耐性</v>
      </c>
      <c r="Z12" s="47"/>
      <c r="AA12" s="49"/>
      <c r="AB12" s="47"/>
      <c r="AC12" s="100" t="s">
        <v>351</v>
      </c>
    </row>
    <row r="13" spans="1:29" ht="21" customHeight="1" x14ac:dyDescent="0.15">
      <c r="A13" s="44">
        <v>13400361</v>
      </c>
      <c r="B13" s="45" t="str">
        <f t="shared" si="0"/>
        <v>[effect:enemy_message, val1:1.2, val2:1.2],[effect:damage_fix, target:unit_one, color:green, val:3500]</v>
      </c>
      <c r="C13" s="47">
        <v>3</v>
      </c>
      <c r="D13" s="47" t="s">
        <v>196</v>
      </c>
      <c r="E13" s="48" t="s">
        <v>302</v>
      </c>
      <c r="F13" s="48" t="s">
        <v>278</v>
      </c>
      <c r="G13" s="60" t="str">
        <f t="shared" si="1"/>
        <v>[effect:enemy_message, val1:1.2, val2:1.2]</v>
      </c>
      <c r="H13" s="60">
        <f t="shared" si="2"/>
        <v>9</v>
      </c>
      <c r="I13" s="60">
        <f t="shared" si="3"/>
        <v>22</v>
      </c>
      <c r="J13" s="60" t="e">
        <f t="shared" si="4"/>
        <v>#VALUE!</v>
      </c>
      <c r="K13" s="60">
        <f t="shared" si="5"/>
        <v>32</v>
      </c>
      <c r="L13" s="60" t="str">
        <f>IFERROR(VLOOKUP(MID(G13,J13,K13-J13),[7]skilldef!$C:$D,2,FALSE),"-") &amp; " / " &amp; IFERROR(VLOOKUP(MID(G13,H13,I13-H13),[7]skilldef!$A:$B,2,FALSE),"-")</f>
        <v>- / -</v>
      </c>
      <c r="M13" s="60" t="str">
        <f t="shared" si="6"/>
        <v>[effect:damage_fix, target:unit_one, color:green, val:3500]</v>
      </c>
      <c r="N13" s="45" t="str">
        <f t="shared" si="7"/>
        <v>[effect:damage_fix, target:unit_one, color:green, val:3500]</v>
      </c>
      <c r="O13" s="60">
        <f t="shared" si="8"/>
        <v>9</v>
      </c>
      <c r="P13" s="60">
        <f t="shared" si="9"/>
        <v>19</v>
      </c>
      <c r="Q13" s="60">
        <f t="shared" si="10"/>
        <v>28</v>
      </c>
      <c r="R13" s="60">
        <f t="shared" si="11"/>
        <v>36</v>
      </c>
      <c r="S13" s="60" t="str">
        <f>IFERROR(VLOOKUP(MID(N13,Q13,R13-Q13),[7]skilldef!$C:$D,2,FALSE),"-") &amp; " / " &amp; IFERROR(VLOOKUP(MID(N13,O13,P13-O13),[7]skilldef!$A:$B,2,FALSE),"-")</f>
        <v>味方単体に / -</v>
      </c>
      <c r="T13" s="45" t="str">
        <f t="shared" si="12"/>
        <v>none</v>
      </c>
      <c r="U13" s="60" t="e">
        <f t="shared" si="13"/>
        <v>#VALUE!</v>
      </c>
      <c r="V13" s="60">
        <f t="shared" si="14"/>
        <v>4</v>
      </c>
      <c r="W13" s="60" t="e">
        <f t="shared" si="15"/>
        <v>#VALUE!</v>
      </c>
      <c r="X13" s="60" t="e">
        <f t="shared" si="16"/>
        <v>#VALUE!</v>
      </c>
      <c r="Y13" s="60" t="str">
        <f>IFERROR(VLOOKUP(MID(T13,W13,X13-W13),[7]skilldef!$C:$D,2,FALSE),"-") &amp; " / " &amp; IFERROR(VLOOKUP(MID(T13,U13,V13-U13),[7]skilldef!$A:$B,2,FALSE),"-")</f>
        <v>- / -</v>
      </c>
      <c r="Z13" s="47"/>
      <c r="AA13" s="49"/>
      <c r="AB13" s="47"/>
      <c r="AC13" s="100" t="s">
        <v>322</v>
      </c>
    </row>
    <row r="14" spans="1:29" ht="21" customHeight="1" x14ac:dyDescent="0.15">
      <c r="A14" s="44">
        <v>13400362</v>
      </c>
      <c r="B14" s="45" t="str">
        <f t="shared" si="0"/>
        <v>[effect:enemy_message, val1:1.2, val2:1.2],[effect:damage_fix, target:unit_one, color:green, val:4500]</v>
      </c>
      <c r="C14" s="47">
        <v>3</v>
      </c>
      <c r="D14" s="47" t="s">
        <v>196</v>
      </c>
      <c r="E14" s="48" t="s">
        <v>302</v>
      </c>
      <c r="F14" s="48" t="s">
        <v>278</v>
      </c>
      <c r="G14" s="60" t="str">
        <f t="shared" si="1"/>
        <v>[effect:enemy_message, val1:1.2, val2:1.2]</v>
      </c>
      <c r="H14" s="60">
        <f t="shared" si="2"/>
        <v>9</v>
      </c>
      <c r="I14" s="60">
        <f t="shared" si="3"/>
        <v>22</v>
      </c>
      <c r="J14" s="60" t="e">
        <f t="shared" si="4"/>
        <v>#VALUE!</v>
      </c>
      <c r="K14" s="60">
        <f t="shared" si="5"/>
        <v>32</v>
      </c>
      <c r="L14" s="60" t="str">
        <f>IFERROR(VLOOKUP(MID(G14,J14,K14-J14),[7]skilldef!$C:$D,2,FALSE),"-") &amp; " / " &amp; IFERROR(VLOOKUP(MID(G14,H14,I14-H14),[7]skilldef!$A:$B,2,FALSE),"-")</f>
        <v>- / -</v>
      </c>
      <c r="M14" s="60" t="str">
        <f t="shared" si="6"/>
        <v>[effect:damage_fix, target:unit_one, color:green, val:4500]</v>
      </c>
      <c r="N14" s="45" t="str">
        <f t="shared" si="7"/>
        <v>[effect:damage_fix, target:unit_one, color:green, val:4500]</v>
      </c>
      <c r="O14" s="60">
        <f t="shared" si="8"/>
        <v>9</v>
      </c>
      <c r="P14" s="60">
        <f t="shared" si="9"/>
        <v>19</v>
      </c>
      <c r="Q14" s="60">
        <f t="shared" si="10"/>
        <v>28</v>
      </c>
      <c r="R14" s="60">
        <f t="shared" si="11"/>
        <v>36</v>
      </c>
      <c r="S14" s="60" t="str">
        <f>IFERROR(VLOOKUP(MID(N14,Q14,R14-Q14),[7]skilldef!$C:$D,2,FALSE),"-") &amp; " / " &amp; IFERROR(VLOOKUP(MID(N14,O14,P14-O14),[7]skilldef!$A:$B,2,FALSE),"-")</f>
        <v>味方単体に / -</v>
      </c>
      <c r="T14" s="45" t="str">
        <f t="shared" si="12"/>
        <v>none</v>
      </c>
      <c r="U14" s="60" t="e">
        <f t="shared" si="13"/>
        <v>#VALUE!</v>
      </c>
      <c r="V14" s="60">
        <f t="shared" si="14"/>
        <v>4</v>
      </c>
      <c r="W14" s="60" t="e">
        <f t="shared" si="15"/>
        <v>#VALUE!</v>
      </c>
      <c r="X14" s="60" t="e">
        <f t="shared" si="16"/>
        <v>#VALUE!</v>
      </c>
      <c r="Y14" s="60" t="str">
        <f>IFERROR(VLOOKUP(MID(T14,W14,X14-W14),[7]skilldef!$C:$D,2,FALSE),"-") &amp; " / " &amp; IFERROR(VLOOKUP(MID(T14,U14,V14-U14),[7]skilldef!$A:$B,2,FALSE),"-")</f>
        <v>- / -</v>
      </c>
      <c r="Z14" s="47"/>
      <c r="AA14" s="49"/>
      <c r="AB14" s="47"/>
      <c r="AC14" s="100" t="s">
        <v>323</v>
      </c>
    </row>
    <row r="15" spans="1:29" ht="21" customHeight="1" x14ac:dyDescent="0.15">
      <c r="A15" s="44">
        <v>13400363</v>
      </c>
      <c r="B15" s="45" t="str">
        <f t="shared" si="0"/>
        <v>[effect:enemy_message, val1:1.2, val2:1.2],[effect:damage_fix, target:unit_one, color:green, val:5500]</v>
      </c>
      <c r="C15" s="47">
        <v>3</v>
      </c>
      <c r="D15" s="47" t="s">
        <v>196</v>
      </c>
      <c r="E15" s="48" t="s">
        <v>302</v>
      </c>
      <c r="F15" s="48" t="s">
        <v>278</v>
      </c>
      <c r="G15" s="60" t="str">
        <f t="shared" si="1"/>
        <v>[effect:enemy_message, val1:1.2, val2:1.2]</v>
      </c>
      <c r="H15" s="60">
        <f t="shared" si="2"/>
        <v>9</v>
      </c>
      <c r="I15" s="60">
        <f t="shared" si="3"/>
        <v>22</v>
      </c>
      <c r="J15" s="60" t="e">
        <f t="shared" si="4"/>
        <v>#VALUE!</v>
      </c>
      <c r="K15" s="60">
        <f t="shared" si="5"/>
        <v>32</v>
      </c>
      <c r="L15" s="60" t="str">
        <f>IFERROR(VLOOKUP(MID(G15,J15,K15-J15),[7]skilldef!$C:$D,2,FALSE),"-") &amp; " / " &amp; IFERROR(VLOOKUP(MID(G15,H15,I15-H15),[7]skilldef!$A:$B,2,FALSE),"-")</f>
        <v>- / -</v>
      </c>
      <c r="M15" s="60" t="str">
        <f t="shared" si="6"/>
        <v>[effect:damage_fix, target:unit_one, color:green, val:5500]</v>
      </c>
      <c r="N15" s="45" t="str">
        <f t="shared" si="7"/>
        <v>[effect:damage_fix, target:unit_one, color:green, val:5500]</v>
      </c>
      <c r="O15" s="60">
        <f t="shared" si="8"/>
        <v>9</v>
      </c>
      <c r="P15" s="60">
        <f t="shared" si="9"/>
        <v>19</v>
      </c>
      <c r="Q15" s="60">
        <f t="shared" si="10"/>
        <v>28</v>
      </c>
      <c r="R15" s="60">
        <f t="shared" si="11"/>
        <v>36</v>
      </c>
      <c r="S15" s="60" t="str">
        <f>IFERROR(VLOOKUP(MID(N15,Q15,R15-Q15),[7]skilldef!$C:$D,2,FALSE),"-") &amp; " / " &amp; IFERROR(VLOOKUP(MID(N15,O15,P15-O15),[7]skilldef!$A:$B,2,FALSE),"-")</f>
        <v>味方単体に / -</v>
      </c>
      <c r="T15" s="45" t="str">
        <f t="shared" si="12"/>
        <v>none</v>
      </c>
      <c r="U15" s="60" t="e">
        <f t="shared" si="13"/>
        <v>#VALUE!</v>
      </c>
      <c r="V15" s="60">
        <f t="shared" si="14"/>
        <v>4</v>
      </c>
      <c r="W15" s="60" t="e">
        <f t="shared" si="15"/>
        <v>#VALUE!</v>
      </c>
      <c r="X15" s="60" t="e">
        <f t="shared" si="16"/>
        <v>#VALUE!</v>
      </c>
      <c r="Y15" s="60" t="str">
        <f>IFERROR(VLOOKUP(MID(T15,W15,X15-W15),[7]skilldef!$C:$D,2,FALSE),"-") &amp; " / " &amp; IFERROR(VLOOKUP(MID(T15,U15,V15-U15),[7]skilldef!$A:$B,2,FALSE),"-")</f>
        <v>- / -</v>
      </c>
      <c r="Z15" s="47"/>
      <c r="AA15" s="49"/>
      <c r="AB15" s="47"/>
      <c r="AC15" s="100" t="s">
        <v>324</v>
      </c>
    </row>
    <row r="16" spans="1:29" ht="21" customHeight="1" x14ac:dyDescent="0.15">
      <c r="A16" s="44">
        <v>13400364</v>
      </c>
      <c r="B16" s="45" t="str">
        <f t="shared" si="0"/>
        <v>[effect:enemy_message, val1:1.2, val2:1.2],[effect:damage_fix, target:unit_one, color:green, val:6500]</v>
      </c>
      <c r="C16" s="47">
        <v>3</v>
      </c>
      <c r="D16" s="47" t="s">
        <v>196</v>
      </c>
      <c r="E16" s="48" t="s">
        <v>302</v>
      </c>
      <c r="F16" s="48" t="s">
        <v>278</v>
      </c>
      <c r="G16" s="60" t="str">
        <f t="shared" si="1"/>
        <v>[effect:enemy_message, val1:1.2, val2:1.2]</v>
      </c>
      <c r="H16" s="60">
        <f t="shared" si="2"/>
        <v>9</v>
      </c>
      <c r="I16" s="60">
        <f t="shared" si="3"/>
        <v>22</v>
      </c>
      <c r="J16" s="60" t="e">
        <f t="shared" si="4"/>
        <v>#VALUE!</v>
      </c>
      <c r="K16" s="60">
        <f t="shared" si="5"/>
        <v>32</v>
      </c>
      <c r="L16" s="60" t="str">
        <f>IFERROR(VLOOKUP(MID(G16,J16,K16-J16),[7]skilldef!$C:$D,2,FALSE),"-") &amp; " / " &amp; IFERROR(VLOOKUP(MID(G16,H16,I16-H16),[7]skilldef!$A:$B,2,FALSE),"-")</f>
        <v>- / -</v>
      </c>
      <c r="M16" s="60" t="str">
        <f t="shared" si="6"/>
        <v>[effect:damage_fix, target:unit_one, color:green, val:6500]</v>
      </c>
      <c r="N16" s="45" t="str">
        <f t="shared" si="7"/>
        <v>[effect:damage_fix, target:unit_one, color:green, val:6500]</v>
      </c>
      <c r="O16" s="60">
        <f t="shared" si="8"/>
        <v>9</v>
      </c>
      <c r="P16" s="60">
        <f t="shared" si="9"/>
        <v>19</v>
      </c>
      <c r="Q16" s="60">
        <f t="shared" si="10"/>
        <v>28</v>
      </c>
      <c r="R16" s="60">
        <f t="shared" si="11"/>
        <v>36</v>
      </c>
      <c r="S16" s="60" t="str">
        <f>IFERROR(VLOOKUP(MID(N16,Q16,R16-Q16),[7]skilldef!$C:$D,2,FALSE),"-") &amp; " / " &amp; IFERROR(VLOOKUP(MID(N16,O16,P16-O16),[7]skilldef!$A:$B,2,FALSE),"-")</f>
        <v>味方単体に / -</v>
      </c>
      <c r="T16" s="45" t="str">
        <f t="shared" si="12"/>
        <v>none</v>
      </c>
      <c r="U16" s="60" t="e">
        <f t="shared" si="13"/>
        <v>#VALUE!</v>
      </c>
      <c r="V16" s="60">
        <f t="shared" si="14"/>
        <v>4</v>
      </c>
      <c r="W16" s="60" t="e">
        <f t="shared" si="15"/>
        <v>#VALUE!</v>
      </c>
      <c r="X16" s="60" t="e">
        <f t="shared" si="16"/>
        <v>#VALUE!</v>
      </c>
      <c r="Y16" s="60" t="str">
        <f>IFERROR(VLOOKUP(MID(T16,W16,X16-W16),[7]skilldef!$C:$D,2,FALSE),"-") &amp; " / " &amp; IFERROR(VLOOKUP(MID(T16,U16,V16-U16),[7]skilldef!$A:$B,2,FALSE),"-")</f>
        <v>- / -</v>
      </c>
      <c r="Z16" s="47"/>
      <c r="AA16" s="49"/>
      <c r="AB16" s="47"/>
      <c r="AC16" s="100" t="s">
        <v>325</v>
      </c>
    </row>
    <row r="17" spans="1:29" ht="21" customHeight="1" x14ac:dyDescent="0.15">
      <c r="A17" s="44">
        <v>13400365</v>
      </c>
      <c r="B17" s="45" t="str">
        <f t="shared" si="0"/>
        <v>[effect:enemy_message, val1:1.2, val2:1.2],[effect:damage_fix, target:unit_one, color:green, val:7500]</v>
      </c>
      <c r="C17" s="47">
        <v>3</v>
      </c>
      <c r="D17" s="47" t="s">
        <v>196</v>
      </c>
      <c r="E17" s="48" t="s">
        <v>302</v>
      </c>
      <c r="F17" s="48" t="s">
        <v>278</v>
      </c>
      <c r="G17" s="60" t="str">
        <f t="shared" si="1"/>
        <v>[effect:enemy_message, val1:1.2, val2:1.2]</v>
      </c>
      <c r="H17" s="60">
        <f t="shared" si="2"/>
        <v>9</v>
      </c>
      <c r="I17" s="60">
        <f t="shared" si="3"/>
        <v>22</v>
      </c>
      <c r="J17" s="60" t="e">
        <f t="shared" si="4"/>
        <v>#VALUE!</v>
      </c>
      <c r="K17" s="60">
        <f t="shared" si="5"/>
        <v>32</v>
      </c>
      <c r="L17" s="60" t="str">
        <f>IFERROR(VLOOKUP(MID(G17,J17,K17-J17),[7]skilldef!$C:$D,2,FALSE),"-") &amp; " / " &amp; IFERROR(VLOOKUP(MID(G17,H17,I17-H17),[7]skilldef!$A:$B,2,FALSE),"-")</f>
        <v>- / -</v>
      </c>
      <c r="M17" s="60" t="str">
        <f t="shared" si="6"/>
        <v>[effect:damage_fix, target:unit_one, color:green, val:7500]</v>
      </c>
      <c r="N17" s="45" t="str">
        <f t="shared" si="7"/>
        <v>[effect:damage_fix, target:unit_one, color:green, val:7500]</v>
      </c>
      <c r="O17" s="60">
        <f t="shared" si="8"/>
        <v>9</v>
      </c>
      <c r="P17" s="60">
        <f t="shared" si="9"/>
        <v>19</v>
      </c>
      <c r="Q17" s="60">
        <f t="shared" si="10"/>
        <v>28</v>
      </c>
      <c r="R17" s="60">
        <f t="shared" si="11"/>
        <v>36</v>
      </c>
      <c r="S17" s="60" t="str">
        <f>IFERROR(VLOOKUP(MID(N17,Q17,R17-Q17),[7]skilldef!$C:$D,2,FALSE),"-") &amp; " / " &amp; IFERROR(VLOOKUP(MID(N17,O17,P17-O17),[7]skilldef!$A:$B,2,FALSE),"-")</f>
        <v>味方単体に / -</v>
      </c>
      <c r="T17" s="45" t="str">
        <f t="shared" si="12"/>
        <v>none</v>
      </c>
      <c r="U17" s="60" t="e">
        <f t="shared" si="13"/>
        <v>#VALUE!</v>
      </c>
      <c r="V17" s="60">
        <f t="shared" si="14"/>
        <v>4</v>
      </c>
      <c r="W17" s="60" t="e">
        <f t="shared" si="15"/>
        <v>#VALUE!</v>
      </c>
      <c r="X17" s="60" t="e">
        <f t="shared" si="16"/>
        <v>#VALUE!</v>
      </c>
      <c r="Y17" s="60" t="str">
        <f>IFERROR(VLOOKUP(MID(T17,W17,X17-W17),[7]skilldef!$C:$D,2,FALSE),"-") &amp; " / " &amp; IFERROR(VLOOKUP(MID(T17,U17,V17-U17),[7]skilldef!$A:$B,2,FALSE),"-")</f>
        <v>- / -</v>
      </c>
      <c r="Z17" s="47"/>
      <c r="AA17" s="49"/>
      <c r="AB17" s="47"/>
      <c r="AC17" s="100" t="s">
        <v>326</v>
      </c>
    </row>
    <row r="18" spans="1:29" ht="21" customHeight="1" x14ac:dyDescent="0.15">
      <c r="A18" s="44">
        <v>13400366</v>
      </c>
      <c r="B18" s="45" t="str">
        <f t="shared" si="0"/>
        <v>[effect:enemy_message, val1:1.2, val2:1.2],[effect:damage_fix, target:unit_one, color:green, val:8500]</v>
      </c>
      <c r="C18" s="47">
        <v>3</v>
      </c>
      <c r="D18" s="47" t="s">
        <v>196</v>
      </c>
      <c r="E18" s="48" t="s">
        <v>302</v>
      </c>
      <c r="F18" s="48" t="s">
        <v>278</v>
      </c>
      <c r="G18" s="60" t="str">
        <f t="shared" si="1"/>
        <v>[effect:enemy_message, val1:1.2, val2:1.2]</v>
      </c>
      <c r="H18" s="60">
        <f t="shared" si="2"/>
        <v>9</v>
      </c>
      <c r="I18" s="60">
        <f t="shared" si="3"/>
        <v>22</v>
      </c>
      <c r="J18" s="60" t="e">
        <f t="shared" si="4"/>
        <v>#VALUE!</v>
      </c>
      <c r="K18" s="60">
        <f t="shared" si="5"/>
        <v>32</v>
      </c>
      <c r="L18" s="60" t="str">
        <f>IFERROR(VLOOKUP(MID(G18,J18,K18-J18),[7]skilldef!$C:$D,2,FALSE),"-") &amp; " / " &amp; IFERROR(VLOOKUP(MID(G18,H18,I18-H18),[7]skilldef!$A:$B,2,FALSE),"-")</f>
        <v>- / -</v>
      </c>
      <c r="M18" s="60" t="str">
        <f t="shared" si="6"/>
        <v>[effect:damage_fix, target:unit_one, color:green, val:8500]</v>
      </c>
      <c r="N18" s="45" t="str">
        <f t="shared" si="7"/>
        <v>[effect:damage_fix, target:unit_one, color:green, val:8500]</v>
      </c>
      <c r="O18" s="60">
        <f t="shared" si="8"/>
        <v>9</v>
      </c>
      <c r="P18" s="60">
        <f t="shared" si="9"/>
        <v>19</v>
      </c>
      <c r="Q18" s="60">
        <f t="shared" si="10"/>
        <v>28</v>
      </c>
      <c r="R18" s="60">
        <f t="shared" si="11"/>
        <v>36</v>
      </c>
      <c r="S18" s="60" t="str">
        <f>IFERROR(VLOOKUP(MID(N18,Q18,R18-Q18),[7]skilldef!$C:$D,2,FALSE),"-") &amp; " / " &amp; IFERROR(VLOOKUP(MID(N18,O18,P18-O18),[7]skilldef!$A:$B,2,FALSE),"-")</f>
        <v>味方単体に / -</v>
      </c>
      <c r="T18" s="45" t="str">
        <f t="shared" si="12"/>
        <v>none</v>
      </c>
      <c r="U18" s="60" t="e">
        <f t="shared" si="13"/>
        <v>#VALUE!</v>
      </c>
      <c r="V18" s="60">
        <f t="shared" si="14"/>
        <v>4</v>
      </c>
      <c r="W18" s="60" t="e">
        <f t="shared" si="15"/>
        <v>#VALUE!</v>
      </c>
      <c r="X18" s="60" t="e">
        <f t="shared" si="16"/>
        <v>#VALUE!</v>
      </c>
      <c r="Y18" s="60" t="str">
        <f>IFERROR(VLOOKUP(MID(T18,W18,X18-W18),[7]skilldef!$C:$D,2,FALSE),"-") &amp; " / " &amp; IFERROR(VLOOKUP(MID(T18,U18,V18-U18),[7]skilldef!$A:$B,2,FALSE),"-")</f>
        <v>- / -</v>
      </c>
      <c r="Z18" s="47"/>
      <c r="AA18" s="49"/>
      <c r="AB18" s="47"/>
      <c r="AC18" s="100" t="s">
        <v>327</v>
      </c>
    </row>
    <row r="19" spans="1:29" ht="21" customHeight="1" x14ac:dyDescent="0.15">
      <c r="A19" s="44">
        <v>13400367</v>
      </c>
      <c r="B19" s="45" t="str">
        <f t="shared" si="0"/>
        <v>[effect:enemy_message, val1:1.2, val2:1.2],[effect:nothing]</v>
      </c>
      <c r="C19" s="47">
        <v>3</v>
      </c>
      <c r="D19" s="47" t="s">
        <v>196</v>
      </c>
      <c r="E19" s="48" t="s">
        <v>365</v>
      </c>
      <c r="F19" s="48" t="s">
        <v>279</v>
      </c>
      <c r="G19" s="60" t="str">
        <f t="shared" si="1"/>
        <v>[effect:enemy_message, val1:1.2, val2:1.2]</v>
      </c>
      <c r="H19" s="60">
        <f t="shared" si="2"/>
        <v>9</v>
      </c>
      <c r="I19" s="60">
        <f t="shared" si="3"/>
        <v>22</v>
      </c>
      <c r="J19" s="60" t="e">
        <f t="shared" si="4"/>
        <v>#VALUE!</v>
      </c>
      <c r="K19" s="60">
        <f t="shared" si="5"/>
        <v>32</v>
      </c>
      <c r="L19" s="60" t="str">
        <f>IFERROR(VLOOKUP(MID(G19,J19,K19-J19),[7]skilldef!$C:$D,2,FALSE),"-") &amp; " / " &amp; IFERROR(VLOOKUP(MID(G19,H19,I19-H19),[7]skilldef!$A:$B,2,FALSE),"-")</f>
        <v>- / -</v>
      </c>
      <c r="M19" s="60" t="str">
        <f t="shared" si="6"/>
        <v>[effect:nothing]</v>
      </c>
      <c r="N19" s="45" t="str">
        <f t="shared" si="7"/>
        <v>[effect:nothing]</v>
      </c>
      <c r="O19" s="60">
        <f t="shared" si="8"/>
        <v>9</v>
      </c>
      <c r="P19" s="60">
        <f t="shared" si="9"/>
        <v>16</v>
      </c>
      <c r="Q19" s="60" t="e">
        <f t="shared" si="10"/>
        <v>#VALUE!</v>
      </c>
      <c r="R19" s="60" t="e">
        <f t="shared" si="11"/>
        <v>#VALUE!</v>
      </c>
      <c r="S19" s="60" t="str">
        <f>IFERROR(VLOOKUP(MID(N19,Q19,R19-Q19),[7]skilldef!$C:$D,2,FALSE),"-") &amp; " / " &amp; IFERROR(VLOOKUP(MID(N19,O19,P19-O19),[7]skilldef!$A:$B,2,FALSE),"-")</f>
        <v>- / 何もしない</v>
      </c>
      <c r="T19" s="45" t="str">
        <f t="shared" si="12"/>
        <v>none</v>
      </c>
      <c r="U19" s="60" t="e">
        <f t="shared" si="13"/>
        <v>#VALUE!</v>
      </c>
      <c r="V19" s="60">
        <f t="shared" si="14"/>
        <v>4</v>
      </c>
      <c r="W19" s="60" t="e">
        <f t="shared" si="15"/>
        <v>#VALUE!</v>
      </c>
      <c r="X19" s="60" t="e">
        <f t="shared" si="16"/>
        <v>#VALUE!</v>
      </c>
      <c r="Y19" s="60" t="str">
        <f>IFERROR(VLOOKUP(MID(T19,W19,X19-W19),[7]skilldef!$C:$D,2,FALSE),"-") &amp; " / " &amp; IFERROR(VLOOKUP(MID(T19,U19,V19-U19),[7]skilldef!$A:$B,2,FALSE),"-")</f>
        <v>- / -</v>
      </c>
      <c r="Z19" s="47"/>
      <c r="AA19" s="49"/>
      <c r="AB19" s="47"/>
      <c r="AC19" s="100" t="s">
        <v>267</v>
      </c>
    </row>
    <row r="20" spans="1:29" ht="21" customHeight="1" x14ac:dyDescent="0.15">
      <c r="A20" s="44">
        <v>13400368</v>
      </c>
      <c r="B20" s="45" t="str">
        <f t="shared" si="0"/>
        <v>[effect:enemy_message, val1:1.2, val2:1.2],[effect:nothing]</v>
      </c>
      <c r="C20" s="47">
        <v>3</v>
      </c>
      <c r="D20" s="47" t="s">
        <v>196</v>
      </c>
      <c r="E20" s="48" t="s">
        <v>303</v>
      </c>
      <c r="F20" s="48" t="s">
        <v>280</v>
      </c>
      <c r="G20" s="60" t="str">
        <f t="shared" si="1"/>
        <v>[effect:enemy_message, val1:1.2, val2:1.2]</v>
      </c>
      <c r="H20" s="60">
        <f t="shared" si="2"/>
        <v>9</v>
      </c>
      <c r="I20" s="60">
        <f t="shared" si="3"/>
        <v>22</v>
      </c>
      <c r="J20" s="60" t="e">
        <f t="shared" si="4"/>
        <v>#VALUE!</v>
      </c>
      <c r="K20" s="60">
        <f t="shared" si="5"/>
        <v>32</v>
      </c>
      <c r="L20" s="60" t="str">
        <f>IFERROR(VLOOKUP(MID(G20,J20,K20-J20),[7]skilldef!$C:$D,2,FALSE),"-") &amp; " / " &amp; IFERROR(VLOOKUP(MID(G20,H20,I20-H20),[7]skilldef!$A:$B,2,FALSE),"-")</f>
        <v>- / -</v>
      </c>
      <c r="M20" s="60" t="str">
        <f t="shared" si="6"/>
        <v>[effect:nothing]</v>
      </c>
      <c r="N20" s="45" t="str">
        <f t="shared" si="7"/>
        <v>[effect:nothing]</v>
      </c>
      <c r="O20" s="60">
        <f t="shared" si="8"/>
        <v>9</v>
      </c>
      <c r="P20" s="60">
        <f t="shared" si="9"/>
        <v>16</v>
      </c>
      <c r="Q20" s="60" t="e">
        <f t="shared" si="10"/>
        <v>#VALUE!</v>
      </c>
      <c r="R20" s="60" t="e">
        <f t="shared" si="11"/>
        <v>#VALUE!</v>
      </c>
      <c r="S20" s="60" t="str">
        <f>IFERROR(VLOOKUP(MID(N20,Q20,R20-Q20),[7]skilldef!$C:$D,2,FALSE),"-") &amp; " / " &amp; IFERROR(VLOOKUP(MID(N20,O20,P20-O20),[7]skilldef!$A:$B,2,FALSE),"-")</f>
        <v>- / 何もしない</v>
      </c>
      <c r="T20" s="45" t="str">
        <f t="shared" si="12"/>
        <v>none</v>
      </c>
      <c r="U20" s="60" t="e">
        <f t="shared" si="13"/>
        <v>#VALUE!</v>
      </c>
      <c r="V20" s="60">
        <f t="shared" si="14"/>
        <v>4</v>
      </c>
      <c r="W20" s="60" t="e">
        <f t="shared" si="15"/>
        <v>#VALUE!</v>
      </c>
      <c r="X20" s="60" t="e">
        <f t="shared" si="16"/>
        <v>#VALUE!</v>
      </c>
      <c r="Y20" s="60" t="str">
        <f>IFERROR(VLOOKUP(MID(T20,W20,X20-W20),[7]skilldef!$C:$D,2,FALSE),"-") &amp; " / " &amp; IFERROR(VLOOKUP(MID(T20,U20,V20-U20),[7]skilldef!$A:$B,2,FALSE),"-")</f>
        <v>- / -</v>
      </c>
      <c r="Z20" s="47"/>
      <c r="AA20" s="49"/>
      <c r="AB20" s="47"/>
      <c r="AC20" s="100" t="s">
        <v>267</v>
      </c>
    </row>
    <row r="21" spans="1:29" ht="21" customHeight="1" x14ac:dyDescent="0.15">
      <c r="A21" s="44">
        <v>13400369</v>
      </c>
      <c r="B21" s="45" t="str">
        <f t="shared" si="0"/>
        <v>[effect:enemy_message, val1:1.2, val2:1.2],[effect:damage_fix, target:unit_one, color:green, val:40000]</v>
      </c>
      <c r="C21" s="47">
        <v>3</v>
      </c>
      <c r="D21" s="47" t="s">
        <v>196</v>
      </c>
      <c r="E21" s="48" t="s">
        <v>301</v>
      </c>
      <c r="F21" s="48" t="s">
        <v>336</v>
      </c>
      <c r="G21" s="60" t="str">
        <f t="shared" si="1"/>
        <v>[effect:enemy_message, val1:1.2, val2:1.2]</v>
      </c>
      <c r="H21" s="60">
        <f t="shared" si="2"/>
        <v>9</v>
      </c>
      <c r="I21" s="60">
        <f t="shared" si="3"/>
        <v>22</v>
      </c>
      <c r="J21" s="60" t="e">
        <f t="shared" si="4"/>
        <v>#VALUE!</v>
      </c>
      <c r="K21" s="60">
        <f t="shared" si="5"/>
        <v>32</v>
      </c>
      <c r="L21" s="60" t="str">
        <f>IFERROR(VLOOKUP(MID(G21,J21,K21-J21),[7]skilldef!$C:$D,2,FALSE),"-") &amp; " / " &amp; IFERROR(VLOOKUP(MID(G21,H21,I21-H21),[7]skilldef!$A:$B,2,FALSE),"-")</f>
        <v>- / -</v>
      </c>
      <c r="M21" s="60" t="str">
        <f t="shared" si="6"/>
        <v>[effect:damage_fix, target:unit_one, color:green, val:40000]</v>
      </c>
      <c r="N21" s="45" t="str">
        <f t="shared" si="7"/>
        <v>[effect:damage_fix, target:unit_one, color:green, val:40000]</v>
      </c>
      <c r="O21" s="60">
        <f t="shared" si="8"/>
        <v>9</v>
      </c>
      <c r="P21" s="60">
        <f t="shared" si="9"/>
        <v>19</v>
      </c>
      <c r="Q21" s="60">
        <f t="shared" si="10"/>
        <v>28</v>
      </c>
      <c r="R21" s="60">
        <f t="shared" si="11"/>
        <v>36</v>
      </c>
      <c r="S21" s="60" t="str">
        <f>IFERROR(VLOOKUP(MID(N21,Q21,R21-Q21),[7]skilldef!$C:$D,2,FALSE),"-") &amp; " / " &amp; IFERROR(VLOOKUP(MID(N21,O21,P21-O21),[7]skilldef!$A:$B,2,FALSE),"-")</f>
        <v>味方単体に / -</v>
      </c>
      <c r="T21" s="45" t="str">
        <f t="shared" si="12"/>
        <v>none</v>
      </c>
      <c r="U21" s="60" t="e">
        <f t="shared" si="13"/>
        <v>#VALUE!</v>
      </c>
      <c r="V21" s="60">
        <f t="shared" si="14"/>
        <v>4</v>
      </c>
      <c r="W21" s="60" t="e">
        <f t="shared" si="15"/>
        <v>#VALUE!</v>
      </c>
      <c r="X21" s="60" t="e">
        <f t="shared" si="16"/>
        <v>#VALUE!</v>
      </c>
      <c r="Y21" s="60" t="str">
        <f>IFERROR(VLOOKUP(MID(T21,W21,X21-W21),[7]skilldef!$C:$D,2,FALSE),"-") &amp; " / " &amp; IFERROR(VLOOKUP(MID(T21,U21,V21-U21),[7]skilldef!$A:$B,2,FALSE),"-")</f>
        <v>- / -</v>
      </c>
      <c r="Z21" s="47"/>
      <c r="AA21" s="49"/>
      <c r="AB21" s="47"/>
      <c r="AC21" s="100" t="s">
        <v>269</v>
      </c>
    </row>
    <row r="22" spans="1:29" ht="21" customHeight="1" x14ac:dyDescent="0.15">
      <c r="A22" s="44">
        <v>13400370</v>
      </c>
      <c r="B22" s="45" t="str">
        <f t="shared" si="0"/>
        <v>[effect:enemy_message, val1:1.2, val2:1.2],[effect:fix_speed, target:myself, turn:1],[effect:tolerance, target:myself, turn:-1, count:-1, tolerance_effect:all, animation:enemy_tolerance]</v>
      </c>
      <c r="C22" s="47">
        <v>3</v>
      </c>
      <c r="D22" s="47" t="s">
        <v>196</v>
      </c>
      <c r="E22" s="48" t="s">
        <v>305</v>
      </c>
      <c r="F22" s="48" t="s">
        <v>260</v>
      </c>
      <c r="G22" s="60" t="str">
        <f t="shared" si="1"/>
        <v>[effect:enemy_message, val1:1.2, val2:1.2]</v>
      </c>
      <c r="H22" s="60">
        <f t="shared" si="2"/>
        <v>9</v>
      </c>
      <c r="I22" s="60">
        <f t="shared" si="3"/>
        <v>22</v>
      </c>
      <c r="J22" s="60" t="e">
        <f t="shared" si="4"/>
        <v>#VALUE!</v>
      </c>
      <c r="K22" s="60">
        <f t="shared" si="5"/>
        <v>32</v>
      </c>
      <c r="L22" s="60" t="str">
        <f>IFERROR(VLOOKUP(MID(G22,J22,K22-J22),[7]skilldef!$C:$D,2,FALSE),"-") &amp; " / " &amp; IFERROR(VLOOKUP(MID(G22,H22,I22-H22),[7]skilldef!$A:$B,2,FALSE),"-")</f>
        <v>- / -</v>
      </c>
      <c r="M22" s="60" t="str">
        <f t="shared" si="6"/>
        <v>[effect:fix_speed, target:myself, turn:1],[effect:tolerance, target:myself, turn:-1, count:-1, tolerance_effect:all, animation:enemy_tolerance]</v>
      </c>
      <c r="N22" s="45" t="str">
        <f t="shared" si="7"/>
        <v>[effect:fix_speed, target:myself, turn:1],[effect:tolerance, target:myself, turn:-1, count:-1, tolerance_effect:all, animation:enemy_tolerance]</v>
      </c>
      <c r="O22" s="60">
        <f t="shared" si="8"/>
        <v>9</v>
      </c>
      <c r="P22" s="60">
        <f t="shared" si="9"/>
        <v>18</v>
      </c>
      <c r="Q22" s="60">
        <f t="shared" si="10"/>
        <v>27</v>
      </c>
      <c r="R22" s="60">
        <f t="shared" si="11"/>
        <v>33</v>
      </c>
      <c r="S22" s="60" t="str">
        <f>IFERROR(VLOOKUP(MID(N22,Q22,R22-Q22),[7]skilldef!$C:$D,2,FALSE),"-") &amp; " / " &amp; IFERROR(VLOOKUP(MID(N22,O22,P22-O22),[7]skilldef!$A:$B,2,FALSE),"-")</f>
        <v>自分自身に / 行動値設定</v>
      </c>
      <c r="T22" s="45" t="str">
        <f t="shared" si="12"/>
        <v>[effect:tolerance, target:myself, turn:-1, count:-1, tolerance_effect:all, animation:enemy_tolerance]</v>
      </c>
      <c r="U22" s="60">
        <f t="shared" si="13"/>
        <v>9</v>
      </c>
      <c r="V22" s="60">
        <f t="shared" si="14"/>
        <v>18</v>
      </c>
      <c r="W22" s="60">
        <f t="shared" si="15"/>
        <v>27</v>
      </c>
      <c r="X22" s="60">
        <f t="shared" si="16"/>
        <v>33</v>
      </c>
      <c r="Y22" s="60" t="str">
        <f>IFERROR(VLOOKUP(MID(T22,W22,X22-W22),[7]skilldef!$C:$D,2,FALSE),"-") &amp; " / " &amp; IFERROR(VLOOKUP(MID(T22,U22,V22-U22),[7]skilldef!$A:$B,2,FALSE),"-")</f>
        <v>自分自身に / 状態異常耐性</v>
      </c>
      <c r="Z22" s="47"/>
      <c r="AA22" s="49"/>
      <c r="AB22" s="47"/>
      <c r="AC22" s="100" t="s">
        <v>350</v>
      </c>
    </row>
    <row r="23" spans="1:29" ht="21" customHeight="1" x14ac:dyDescent="0.15">
      <c r="A23" s="44">
        <v>13400371</v>
      </c>
      <c r="B23" s="45" t="str">
        <f t="shared" si="0"/>
        <v xml:space="preserve">[effect:enemy_message, val1:1.2, val2:2.7],[effect:damage_abnormal, target:unit_one, val:1, status:attack, turn:2, val_abnormal:0.2, calc:mul, animation:attack_break01] </v>
      </c>
      <c r="C23" s="47">
        <v>3</v>
      </c>
      <c r="D23" s="47" t="s">
        <v>196</v>
      </c>
      <c r="E23" s="48" t="s">
        <v>306</v>
      </c>
      <c r="F23" s="48" t="s">
        <v>348</v>
      </c>
      <c r="G23" s="60" t="str">
        <f t="shared" si="1"/>
        <v>[effect:enemy_message, val1:1.2, val2:2.7]</v>
      </c>
      <c r="H23" s="60">
        <f t="shared" si="2"/>
        <v>9</v>
      </c>
      <c r="I23" s="60">
        <f t="shared" si="3"/>
        <v>22</v>
      </c>
      <c r="J23" s="60" t="e">
        <f t="shared" si="4"/>
        <v>#VALUE!</v>
      </c>
      <c r="K23" s="60">
        <f t="shared" si="5"/>
        <v>32</v>
      </c>
      <c r="L23" s="60" t="str">
        <f>IFERROR(VLOOKUP(MID(G23,J23,K23-J23),[7]skilldef!$C:$D,2,FALSE),"-") &amp; " / " &amp; IFERROR(VLOOKUP(MID(G23,H23,I23-H23),[7]skilldef!$A:$B,2,FALSE),"-")</f>
        <v>- / -</v>
      </c>
      <c r="M23" s="60" t="str">
        <f t="shared" si="6"/>
        <v xml:space="preserve">[effect:damage_abnormal, target:unit_one, val:1, status:attack, turn:2, val_abnormal:0.2, calc:mul, animation:attack_break01] </v>
      </c>
      <c r="N23" s="45" t="str">
        <f t="shared" si="7"/>
        <v xml:space="preserve">[effect:damage_abnormal, target:unit_one, val:1, status:attack, turn:2, val_abnormal:0.2, calc:mul, animation:attack_break01] </v>
      </c>
      <c r="O23" s="60">
        <f t="shared" si="8"/>
        <v>9</v>
      </c>
      <c r="P23" s="60">
        <f t="shared" si="9"/>
        <v>24</v>
      </c>
      <c r="Q23" s="60">
        <f t="shared" si="10"/>
        <v>33</v>
      </c>
      <c r="R23" s="60">
        <f t="shared" si="11"/>
        <v>41</v>
      </c>
      <c r="S23" s="60" t="str">
        <f>IFERROR(VLOOKUP(MID(N23,Q23,R23-Q23),[7]skilldef!$C:$D,2,FALSE),"-") &amp; " / " &amp; IFERROR(VLOOKUP(MID(N23,O23,P23-O23),[7]skilldef!$A:$B,2,FALSE),"-")</f>
        <v>味方単体に / -</v>
      </c>
      <c r="T23" s="45" t="str">
        <f t="shared" si="12"/>
        <v>none</v>
      </c>
      <c r="U23" s="60" t="e">
        <f t="shared" si="13"/>
        <v>#VALUE!</v>
      </c>
      <c r="V23" s="60">
        <f t="shared" si="14"/>
        <v>4</v>
      </c>
      <c r="W23" s="60" t="e">
        <f t="shared" si="15"/>
        <v>#VALUE!</v>
      </c>
      <c r="X23" s="60" t="e">
        <f t="shared" si="16"/>
        <v>#VALUE!</v>
      </c>
      <c r="Y23" s="60" t="str">
        <f>IFERROR(VLOOKUP(MID(T23,W23,X23-W23),[7]skilldef!$C:$D,2,FALSE),"-") &amp; " / " &amp; IFERROR(VLOOKUP(MID(T23,U23,V23-U23),[7]skilldef!$A:$B,2,FALSE),"-")</f>
        <v>- / -</v>
      </c>
      <c r="Z23" s="47"/>
      <c r="AA23" s="49"/>
      <c r="AB23" s="47"/>
      <c r="AC23" s="100" t="s">
        <v>359</v>
      </c>
    </row>
    <row r="24" spans="1:29" ht="21" customHeight="1" x14ac:dyDescent="0.15">
      <c r="A24" s="44">
        <v>13400372</v>
      </c>
      <c r="B24" s="45" t="str">
        <f t="shared" si="0"/>
        <v>[effect:enemy_message, val1:1.2, val2:2.0],[effect:attack_break, target:unit_all, turn:5, val:0.3, calc:mul, animation:attack_break01]</v>
      </c>
      <c r="C24" s="47">
        <v>3</v>
      </c>
      <c r="D24" s="47" t="s">
        <v>196</v>
      </c>
      <c r="E24" s="48" t="s">
        <v>304</v>
      </c>
      <c r="F24" s="48" t="s">
        <v>349</v>
      </c>
      <c r="G24" s="60" t="str">
        <f t="shared" si="1"/>
        <v>[effect:enemy_message, val1:1.2, val2:2.0]</v>
      </c>
      <c r="H24" s="60">
        <f t="shared" si="2"/>
        <v>9</v>
      </c>
      <c r="I24" s="60">
        <f t="shared" si="3"/>
        <v>22</v>
      </c>
      <c r="J24" s="60" t="e">
        <f t="shared" si="4"/>
        <v>#VALUE!</v>
      </c>
      <c r="K24" s="60">
        <f t="shared" si="5"/>
        <v>32</v>
      </c>
      <c r="L24" s="60" t="str">
        <f>IFERROR(VLOOKUP(MID(G24,J24,K24-J24),[7]skilldef!$C:$D,2,FALSE),"-") &amp; " / " &amp; IFERROR(VLOOKUP(MID(G24,H24,I24-H24),[7]skilldef!$A:$B,2,FALSE),"-")</f>
        <v>- / -</v>
      </c>
      <c r="M24" s="60" t="str">
        <f t="shared" si="6"/>
        <v>[effect:attack_break, target:unit_all, turn:5, val:0.3, calc:mul, animation:attack_break01]</v>
      </c>
      <c r="N24" s="45" t="str">
        <f t="shared" si="7"/>
        <v>[effect:attack_break, target:unit_all, turn:5, val:0.3, calc:mul, animation:attack_break01]</v>
      </c>
      <c r="O24" s="60">
        <f t="shared" si="8"/>
        <v>9</v>
      </c>
      <c r="P24" s="60">
        <f t="shared" si="9"/>
        <v>21</v>
      </c>
      <c r="Q24" s="60">
        <f t="shared" si="10"/>
        <v>30</v>
      </c>
      <c r="R24" s="60">
        <f t="shared" si="11"/>
        <v>38</v>
      </c>
      <c r="S24" s="60" t="str">
        <f>IFERROR(VLOOKUP(MID(N24,Q24,R24-Q24),[7]skilldef!$C:$D,2,FALSE),"-") &amp; " / " &amp; IFERROR(VLOOKUP(MID(N24,O24,P24-O24),[7]skilldef!$A:$B,2,FALSE),"-")</f>
        <v>味方全体に / -</v>
      </c>
      <c r="T24" s="45" t="str">
        <f t="shared" si="12"/>
        <v>none</v>
      </c>
      <c r="U24" s="60" t="e">
        <f t="shared" si="13"/>
        <v>#VALUE!</v>
      </c>
      <c r="V24" s="60">
        <f t="shared" si="14"/>
        <v>4</v>
      </c>
      <c r="W24" s="60" t="e">
        <f t="shared" si="15"/>
        <v>#VALUE!</v>
      </c>
      <c r="X24" s="60" t="e">
        <f t="shared" si="16"/>
        <v>#VALUE!</v>
      </c>
      <c r="Y24" s="60" t="str">
        <f>IFERROR(VLOOKUP(MID(T24,W24,X24-W24),[7]skilldef!$C:$D,2,FALSE),"-") &amp; " / " &amp; IFERROR(VLOOKUP(MID(T24,U24,V24-U24),[7]skilldef!$A:$B,2,FALSE),"-")</f>
        <v>- / -</v>
      </c>
      <c r="Z24" s="47"/>
      <c r="AA24" s="49"/>
      <c r="AB24" s="47"/>
      <c r="AC24" s="100" t="s">
        <v>360</v>
      </c>
    </row>
    <row r="25" spans="1:29" ht="21" customHeight="1" x14ac:dyDescent="0.15">
      <c r="A25" s="44">
        <v>13400373</v>
      </c>
      <c r="B25" s="45" t="str">
        <f t="shared" si="0"/>
        <v>[effect:enemy_message, val1:1.3, val2:1.4],[effect:break_enchance_enemy, target:myself, val:400, lowest_val:800, count:-1, status:defense, turn:-1, block01:block_red, calc:add, animation:enemy_enhance_defense]</v>
      </c>
      <c r="C25" s="47">
        <v>3</v>
      </c>
      <c r="D25" s="47" t="s">
        <v>196</v>
      </c>
      <c r="E25" s="48" t="s">
        <v>330</v>
      </c>
      <c r="F25" s="48" t="s">
        <v>281</v>
      </c>
      <c r="G25" s="60" t="str">
        <f t="shared" si="1"/>
        <v>[effect:enemy_message, val1:1.3, val2:1.4]</v>
      </c>
      <c r="H25" s="60">
        <f t="shared" si="2"/>
        <v>9</v>
      </c>
      <c r="I25" s="60">
        <f t="shared" si="3"/>
        <v>22</v>
      </c>
      <c r="J25" s="60" t="e">
        <f t="shared" si="4"/>
        <v>#VALUE!</v>
      </c>
      <c r="K25" s="60">
        <f t="shared" si="5"/>
        <v>32</v>
      </c>
      <c r="L25" s="60" t="str">
        <f>IFERROR(VLOOKUP(MID(G25,J25,K25-J25),[7]skilldef!$C:$D,2,FALSE),"-") &amp; " / " &amp; IFERROR(VLOOKUP(MID(G25,H25,I25-H25),[7]skilldef!$A:$B,2,FALSE),"-")</f>
        <v>- / -</v>
      </c>
      <c r="M25" s="60" t="str">
        <f t="shared" si="6"/>
        <v>[effect:break_enchance_enemy, target:myself, val:400, lowest_val:800, count:-1, status:defense, turn:-1, block01:block_red, calc:add, animation:enemy_enhance_defense]</v>
      </c>
      <c r="N25" s="45" t="str">
        <f t="shared" si="7"/>
        <v>[effect:break_enchance_enemy, target:myself, val:400, lowest_val:800, count:-1, status:defense, turn:-1, block01:block_red, calc:add, animation:enemy_enhance_defense]</v>
      </c>
      <c r="O25" s="60">
        <f t="shared" si="8"/>
        <v>9</v>
      </c>
      <c r="P25" s="60">
        <f t="shared" si="9"/>
        <v>29</v>
      </c>
      <c r="Q25" s="60">
        <f t="shared" si="10"/>
        <v>38</v>
      </c>
      <c r="R25" s="60">
        <f t="shared" si="11"/>
        <v>44</v>
      </c>
      <c r="S25" s="60" t="str">
        <f>IFERROR(VLOOKUP(MID(N25,Q25,R25-Q25),[7]skilldef!$C:$D,2,FALSE),"-") &amp; " / " &amp; IFERROR(VLOOKUP(MID(N25,O25,P25-O25),[7]skilldef!$A:$B,2,FALSE),"-")</f>
        <v>自分自身に / -</v>
      </c>
      <c r="T25" s="45" t="str">
        <f t="shared" si="12"/>
        <v>none</v>
      </c>
      <c r="U25" s="60" t="e">
        <f t="shared" si="13"/>
        <v>#VALUE!</v>
      </c>
      <c r="V25" s="60">
        <f t="shared" si="14"/>
        <v>4</v>
      </c>
      <c r="W25" s="60" t="e">
        <f t="shared" si="15"/>
        <v>#VALUE!</v>
      </c>
      <c r="X25" s="60" t="e">
        <f t="shared" si="16"/>
        <v>#VALUE!</v>
      </c>
      <c r="Y25" s="60" t="str">
        <f>IFERROR(VLOOKUP(MID(T25,W25,X25-W25),[7]skilldef!$C:$D,2,FALSE),"-") &amp; " / " &amp; IFERROR(VLOOKUP(MID(T25,U25,V25-U25),[7]skilldef!$A:$B,2,FALSE),"-")</f>
        <v>- / -</v>
      </c>
      <c r="Z25" s="47"/>
      <c r="AA25" s="49"/>
      <c r="AB25" s="47"/>
      <c r="AC25" s="100" t="s">
        <v>275</v>
      </c>
    </row>
    <row r="26" spans="1:29" ht="21" customHeight="1" x14ac:dyDescent="0.15">
      <c r="A26" s="44">
        <v>13400374</v>
      </c>
      <c r="B26" s="45" t="str">
        <f t="shared" si="0"/>
        <v>[effect:enemy_message, val1:1.2, val2:1.2],[effect:nothing]</v>
      </c>
      <c r="C26" s="47">
        <v>1</v>
      </c>
      <c r="D26" s="47" t="s">
        <v>196</v>
      </c>
      <c r="E26" s="48" t="s">
        <v>261</v>
      </c>
      <c r="F26" s="48" t="s">
        <v>262</v>
      </c>
      <c r="G26" s="60" t="str">
        <f t="shared" si="1"/>
        <v>[effect:enemy_message, val1:1.2, val2:1.2]</v>
      </c>
      <c r="H26" s="60">
        <f t="shared" si="2"/>
        <v>9</v>
      </c>
      <c r="I26" s="60">
        <f t="shared" si="3"/>
        <v>22</v>
      </c>
      <c r="J26" s="60" t="e">
        <f t="shared" si="4"/>
        <v>#VALUE!</v>
      </c>
      <c r="K26" s="60">
        <f t="shared" si="5"/>
        <v>32</v>
      </c>
      <c r="L26" s="60" t="str">
        <f>IFERROR(VLOOKUP(MID(G26,J26,K26-J26),[7]skilldef!$C:$D,2,FALSE),"-") &amp; " / " &amp; IFERROR(VLOOKUP(MID(G26,H26,I26-H26),[7]skilldef!$A:$B,2,FALSE),"-")</f>
        <v>- / -</v>
      </c>
      <c r="M26" s="60" t="str">
        <f t="shared" si="6"/>
        <v>[effect:nothing]</v>
      </c>
      <c r="N26" s="45" t="str">
        <f t="shared" si="7"/>
        <v>[effect:nothing]</v>
      </c>
      <c r="O26" s="60">
        <f t="shared" si="8"/>
        <v>9</v>
      </c>
      <c r="P26" s="60">
        <f t="shared" si="9"/>
        <v>16</v>
      </c>
      <c r="Q26" s="60" t="e">
        <f t="shared" si="10"/>
        <v>#VALUE!</v>
      </c>
      <c r="R26" s="60" t="e">
        <f t="shared" si="11"/>
        <v>#VALUE!</v>
      </c>
      <c r="S26" s="60" t="str">
        <f>IFERROR(VLOOKUP(MID(N26,Q26,R26-Q26),[7]skilldef!$C:$D,2,FALSE),"-") &amp; " / " &amp; IFERROR(VLOOKUP(MID(N26,O26,P26-O26),[7]skilldef!$A:$B,2,FALSE),"-")</f>
        <v>- / 何もしない</v>
      </c>
      <c r="T26" s="45" t="str">
        <f t="shared" si="12"/>
        <v>none</v>
      </c>
      <c r="U26" s="60" t="e">
        <f t="shared" si="13"/>
        <v>#VALUE!</v>
      </c>
      <c r="V26" s="60">
        <f t="shared" si="14"/>
        <v>4</v>
      </c>
      <c r="W26" s="60" t="e">
        <f t="shared" si="15"/>
        <v>#VALUE!</v>
      </c>
      <c r="X26" s="60" t="e">
        <f t="shared" si="16"/>
        <v>#VALUE!</v>
      </c>
      <c r="Y26" s="60" t="str">
        <f>IFERROR(VLOOKUP(MID(T26,W26,X26-W26),[7]skilldef!$C:$D,2,FALSE),"-") &amp; " / " &amp; IFERROR(VLOOKUP(MID(T26,U26,V26-U26),[7]skilldef!$A:$B,2,FALSE),"-")</f>
        <v>- / -</v>
      </c>
      <c r="Z26" s="47"/>
      <c r="AA26" s="49"/>
      <c r="AB26" s="47"/>
      <c r="AC26" s="100" t="s">
        <v>267</v>
      </c>
    </row>
    <row r="27" spans="1:29" ht="21" customHeight="1" x14ac:dyDescent="0.15">
      <c r="A27" s="44">
        <v>13400375</v>
      </c>
      <c r="B27" s="45" t="str">
        <f t="shared" si="0"/>
        <v>[effect:enemy_message, val1:1.3, val2:6.6],[effect:fix_speed, target:myself, turn:1],[effect:tolerance, target:myself, turn:-1, count:-1, tolerance_effect:all, animation:enemy_tolerance],[effect:attack_break, target:unit_all, turn:5, val:0.3, calc:mul, animation:attack_break01],[effect:degrade_unit, target:unit_all, turn:3, status:action, val:1, calc:add, animation:enemy_tap_down]</v>
      </c>
      <c r="C27" s="47">
        <v>3</v>
      </c>
      <c r="D27" s="47" t="s">
        <v>196</v>
      </c>
      <c r="E27" s="48" t="s">
        <v>307</v>
      </c>
      <c r="F27" s="110" t="s">
        <v>364</v>
      </c>
      <c r="G27" s="60" t="str">
        <f t="shared" si="1"/>
        <v>[effect:enemy_message, val1:1.3, val2:6.6]</v>
      </c>
      <c r="H27" s="60">
        <f t="shared" si="2"/>
        <v>9</v>
      </c>
      <c r="I27" s="60">
        <f t="shared" si="3"/>
        <v>22</v>
      </c>
      <c r="J27" s="60" t="e">
        <f t="shared" si="4"/>
        <v>#VALUE!</v>
      </c>
      <c r="K27" s="60">
        <f t="shared" si="5"/>
        <v>32</v>
      </c>
      <c r="L27" s="60" t="str">
        <f>IFERROR(VLOOKUP(MID(G27,J27,K27-J27),[7]skilldef!$C:$D,2,FALSE),"-") &amp; " / " &amp; IFERROR(VLOOKUP(MID(G27,H27,I27-H27),[7]skilldef!$A:$B,2,FALSE),"-")</f>
        <v>- / -</v>
      </c>
      <c r="M27" s="60" t="str">
        <f t="shared" si="6"/>
        <v>[effect:fix_speed, target:myself, turn:1],[effect:tolerance, target:myself, turn:-1, count:-1, tolerance_effect:all, animation:enemy_tolerance],[effect:attack_break, target:unit_all, turn:5, val:0.3, calc:mul, animation:attack_break01],[effect:degrade_unit, target:unit_all, turn:3, status:action, val:1, calc:add, animation:enemy_tap_down]</v>
      </c>
      <c r="N27" s="45" t="str">
        <f t="shared" si="7"/>
        <v>[effect:fix_speed, target:myself, turn:1],[effect:tolerance, target:myself, turn:-1, count:-1, tolerance_effect:all, animation:enemy_tolerance],[effect:attack_break, target:unit_all, turn:5, val:0.3, calc:mul, animation:attack_break01],[effect:degrade_unit, target:unit_all, turn:3, status:action, val:1, calc:add, animation:enemy_tap_down]</v>
      </c>
      <c r="O27" s="60">
        <f t="shared" si="8"/>
        <v>9</v>
      </c>
      <c r="P27" s="60">
        <f t="shared" si="9"/>
        <v>18</v>
      </c>
      <c r="Q27" s="60">
        <f t="shared" si="10"/>
        <v>27</v>
      </c>
      <c r="R27" s="60">
        <f t="shared" si="11"/>
        <v>33</v>
      </c>
      <c r="S27" s="60" t="str">
        <f>IFERROR(VLOOKUP(MID(N27,Q27,R27-Q27),[7]skilldef!$C:$D,2,FALSE),"-") &amp; " / " &amp; IFERROR(VLOOKUP(MID(N27,O27,P27-O27),[7]skilldef!$A:$B,2,FALSE),"-")</f>
        <v>自分自身に / 行動値設定</v>
      </c>
      <c r="T27" s="45" t="str">
        <f t="shared" si="12"/>
        <v>[effect:tolerance, target:myself, turn:-1, count:-1, tolerance_effect:all, animation:enemy_tolerance],[effect:attack_break, target:unit_all, turn:5, val:0.3, calc:mul, animation:attack_break01],[effect:degrade_unit, target:unit_all, turn:3, status:action, val:1, calc:add, animation:enemy_tap_down]</v>
      </c>
      <c r="U27" s="60">
        <f t="shared" si="13"/>
        <v>9</v>
      </c>
      <c r="V27" s="60">
        <f t="shared" si="14"/>
        <v>18</v>
      </c>
      <c r="W27" s="60">
        <f t="shared" si="15"/>
        <v>27</v>
      </c>
      <c r="X27" s="60">
        <f t="shared" si="16"/>
        <v>33</v>
      </c>
      <c r="Y27" s="60" t="str">
        <f>IFERROR(VLOOKUP(MID(T27,W27,X27-W27),[7]skilldef!$C:$D,2,FALSE),"-") &amp; " / " &amp; IFERROR(VLOOKUP(MID(T27,U27,V27-U27),[7]skilldef!$A:$B,2,FALSE),"-")</f>
        <v>自分自身に / 状態異常耐性</v>
      </c>
      <c r="Z27" s="47"/>
      <c r="AA27" s="49"/>
      <c r="AB27" s="47"/>
      <c r="AC27" s="100" t="s">
        <v>361</v>
      </c>
    </row>
    <row r="28" spans="1:29" ht="21" customHeight="1" x14ac:dyDescent="0.15">
      <c r="A28" s="44">
        <v>13400376</v>
      </c>
      <c r="B28" s="45" t="str">
        <f t="shared" si="0"/>
        <v>[effect:enemy_message, val1:1.2, val2:2.1],[effect:rush, count:1, val:0.7],[effect:force_change_block, new_block:block_yellow, target:block_red, count:10, val:0, animation:change_block]</v>
      </c>
      <c r="C28" s="47">
        <v>3</v>
      </c>
      <c r="D28" s="47" t="s">
        <v>196</v>
      </c>
      <c r="E28" s="48" t="s">
        <v>309</v>
      </c>
      <c r="F28" s="48" t="s">
        <v>340</v>
      </c>
      <c r="G28" s="60" t="str">
        <f t="shared" si="1"/>
        <v>[effect:enemy_message, val1:1.2, val2:2.1]</v>
      </c>
      <c r="H28" s="60">
        <f t="shared" si="2"/>
        <v>9</v>
      </c>
      <c r="I28" s="60">
        <f t="shared" si="3"/>
        <v>22</v>
      </c>
      <c r="J28" s="60" t="e">
        <f t="shared" si="4"/>
        <v>#VALUE!</v>
      </c>
      <c r="K28" s="60">
        <f t="shared" si="5"/>
        <v>32</v>
      </c>
      <c r="L28" s="60" t="str">
        <f>IFERROR(VLOOKUP(MID(G28,J28,K28-J28),[7]skilldef!$C:$D,2,FALSE),"-") &amp; " / " &amp; IFERROR(VLOOKUP(MID(G28,H28,I28-H28),[7]skilldef!$A:$B,2,FALSE),"-")</f>
        <v>- / -</v>
      </c>
      <c r="M28" s="60" t="str">
        <f t="shared" si="6"/>
        <v>[effect:rush, count:1, val:0.7],[effect:force_change_block, new_block:block_yellow, target:block_red, count:10, val:0, animation:change_block]</v>
      </c>
      <c r="N28" s="45" t="str">
        <f t="shared" si="7"/>
        <v>[effect:rush, count:1, val:0.7],[effect:force_change_block, new_block:block_yellow, target:block_red, count:10, val:0, animation:change_block]</v>
      </c>
      <c r="O28" s="60">
        <f t="shared" si="8"/>
        <v>9</v>
      </c>
      <c r="P28" s="60">
        <f t="shared" si="9"/>
        <v>13</v>
      </c>
      <c r="Q28" s="60">
        <f t="shared" si="10"/>
        <v>92</v>
      </c>
      <c r="R28" s="60">
        <f t="shared" si="11"/>
        <v>22</v>
      </c>
      <c r="S28" s="60" t="str">
        <f>IFERROR(VLOOKUP(MID(N28,Q28,R28-Q28),[7]skilldef!$C:$D,2,FALSE),"-") &amp; " / " &amp; IFERROR(VLOOKUP(MID(N28,O28,P28-O28),[7]skilldef!$A:$B,2,FALSE),"-")</f>
        <v>- / 連続攻撃</v>
      </c>
      <c r="T28" s="45" t="str">
        <f t="shared" si="12"/>
        <v>[effect:force_change_block, new_block:block_yellow, target:block_red, count:10, val:0, animation:change_block]</v>
      </c>
      <c r="U28" s="60">
        <f t="shared" si="13"/>
        <v>9</v>
      </c>
      <c r="V28" s="60">
        <f t="shared" si="14"/>
        <v>27</v>
      </c>
      <c r="W28" s="60">
        <f t="shared" si="15"/>
        <v>60</v>
      </c>
      <c r="X28" s="60">
        <f t="shared" si="16"/>
        <v>51</v>
      </c>
      <c r="Y28" s="60" t="str">
        <f>IFERROR(VLOOKUP(MID(T28,W28,X28-W28),[7]skilldef!$C:$D,2,FALSE),"-") &amp; " / " &amp; IFERROR(VLOOKUP(MID(T28,U28,V28-U28),[7]skilldef!$A:$B,2,FALSE),"-")</f>
        <v>- / -</v>
      </c>
      <c r="Z28" s="47"/>
      <c r="AA28" s="49"/>
      <c r="AB28" s="47"/>
      <c r="AC28" s="100" t="s">
        <v>354</v>
      </c>
    </row>
    <row r="29" spans="1:29" ht="21" customHeight="1" x14ac:dyDescent="0.15">
      <c r="A29" s="44">
        <v>13400377</v>
      </c>
      <c r="B29" s="45" t="str">
        <f t="shared" si="0"/>
        <v>[effect:enemy_message, val1:1.2, val2:2.1],[effect:rush, count:1, val:0.8],,[effect:force_change_block, new_block:block_green, target:block_red, count:10, val:0, animation:change_block]</v>
      </c>
      <c r="C29" s="47">
        <v>3</v>
      </c>
      <c r="D29" s="47" t="s">
        <v>196</v>
      </c>
      <c r="E29" s="48" t="s">
        <v>309</v>
      </c>
      <c r="F29" s="48" t="s">
        <v>341</v>
      </c>
      <c r="G29" s="60" t="str">
        <f t="shared" si="1"/>
        <v>[effect:enemy_message, val1:1.2, val2:2.1]</v>
      </c>
      <c r="H29" s="60">
        <f t="shared" si="2"/>
        <v>9</v>
      </c>
      <c r="I29" s="60">
        <f t="shared" si="3"/>
        <v>22</v>
      </c>
      <c r="J29" s="60" t="e">
        <f t="shared" si="4"/>
        <v>#VALUE!</v>
      </c>
      <c r="K29" s="60">
        <f t="shared" si="5"/>
        <v>32</v>
      </c>
      <c r="L29" s="60" t="str">
        <f>IFERROR(VLOOKUP(MID(G29,J29,K29-J29),[7]skilldef!$C:$D,2,FALSE),"-") &amp; " / " &amp; IFERROR(VLOOKUP(MID(G29,H29,I29-H29),[7]skilldef!$A:$B,2,FALSE),"-")</f>
        <v>- / -</v>
      </c>
      <c r="M29" s="60" t="str">
        <f t="shared" si="6"/>
        <v>[effect:rush, count:1, val:0.8],,[effect:force_change_block, new_block:block_green, target:block_red, count:10, val:0, animation:change_block]</v>
      </c>
      <c r="N29" s="45" t="str">
        <f t="shared" si="7"/>
        <v>[effect:rush, count:1, val:0.8],,[effect:force_change_block, new_block:block_green, target:block_red, count:10, val:0, animation:change_block]</v>
      </c>
      <c r="O29" s="60">
        <f t="shared" si="8"/>
        <v>9</v>
      </c>
      <c r="P29" s="60">
        <f t="shared" si="9"/>
        <v>13</v>
      </c>
      <c r="Q29" s="60">
        <f t="shared" si="10"/>
        <v>92</v>
      </c>
      <c r="R29" s="60">
        <f t="shared" si="11"/>
        <v>22</v>
      </c>
      <c r="S29" s="60" t="str">
        <f>IFERROR(VLOOKUP(MID(N29,Q29,R29-Q29),[7]skilldef!$C:$D,2,FALSE),"-") &amp; " / " &amp; IFERROR(VLOOKUP(MID(N29,O29,P29-O29),[7]skilldef!$A:$B,2,FALSE),"-")</f>
        <v>- / 連続攻撃</v>
      </c>
      <c r="T29" s="45" t="str">
        <f t="shared" si="12"/>
        <v>,[effect:force_change_block, new_block:block_green, target:block_red, count:10, val:0, animation:change_block]</v>
      </c>
      <c r="U29" s="60">
        <f t="shared" si="13"/>
        <v>10</v>
      </c>
      <c r="V29" s="60">
        <f t="shared" si="14"/>
        <v>1</v>
      </c>
      <c r="W29" s="60">
        <f t="shared" si="15"/>
        <v>60</v>
      </c>
      <c r="X29" s="60">
        <f t="shared" si="16"/>
        <v>28</v>
      </c>
      <c r="Y29" s="60" t="str">
        <f>IFERROR(VLOOKUP(MID(T29,W29,X29-W29),[7]skilldef!$C:$D,2,FALSE),"-") &amp; " / " &amp; IFERROR(VLOOKUP(MID(T29,U29,V29-U29),[7]skilldef!$A:$B,2,FALSE),"-")</f>
        <v>- / -</v>
      </c>
      <c r="Z29" s="47"/>
      <c r="AA29" s="49"/>
      <c r="AB29" s="47"/>
      <c r="AC29" s="100" t="s">
        <v>355</v>
      </c>
    </row>
    <row r="30" spans="1:29" ht="21" customHeight="1" x14ac:dyDescent="0.15">
      <c r="A30" s="44">
        <v>13400378</v>
      </c>
      <c r="B30" s="45" t="str">
        <f t="shared" si="0"/>
        <v>[effect:enemy_message, val1:1.2, val2:2.0],[effect:critical, val:1.2, animation:enemy_critical],[effect:heal, target:myself, val:0.133, animation:enemy_heal]</v>
      </c>
      <c r="C30" s="47">
        <v>3</v>
      </c>
      <c r="D30" s="47" t="s">
        <v>196</v>
      </c>
      <c r="E30" s="48" t="s">
        <v>308</v>
      </c>
      <c r="F30" s="48" t="s">
        <v>343</v>
      </c>
      <c r="G30" s="60" t="str">
        <f t="shared" si="1"/>
        <v>[effect:enemy_message, val1:1.2, val2:2.0]</v>
      </c>
      <c r="H30" s="60">
        <f t="shared" si="2"/>
        <v>9</v>
      </c>
      <c r="I30" s="60">
        <f t="shared" si="3"/>
        <v>22</v>
      </c>
      <c r="J30" s="60" t="e">
        <f t="shared" si="4"/>
        <v>#VALUE!</v>
      </c>
      <c r="K30" s="60">
        <f t="shared" si="5"/>
        <v>32</v>
      </c>
      <c r="L30" s="60" t="str">
        <f>IFERROR(VLOOKUP(MID(G30,J30,K30-J30),[7]skilldef!$C:$D,2,FALSE),"-") &amp; " / " &amp; IFERROR(VLOOKUP(MID(G30,H30,I30-H30),[7]skilldef!$A:$B,2,FALSE),"-")</f>
        <v>- / -</v>
      </c>
      <c r="M30" s="60" t="str">
        <f t="shared" si="6"/>
        <v>[effect:critical, val:1.2, animation:enemy_critical],[effect:heal, target:myself, val:0.133, animation:enemy_heal]</v>
      </c>
      <c r="N30" s="45" t="str">
        <f t="shared" si="7"/>
        <v>[effect:critical, val:1.2, animation:enemy_critical],[effect:heal, target:myself, val:0.133, animation:enemy_heal]</v>
      </c>
      <c r="O30" s="60">
        <f t="shared" si="8"/>
        <v>9</v>
      </c>
      <c r="P30" s="60">
        <f t="shared" si="9"/>
        <v>17</v>
      </c>
      <c r="Q30" s="60">
        <f t="shared" si="10"/>
        <v>75</v>
      </c>
      <c r="R30" s="60">
        <f t="shared" si="11"/>
        <v>26</v>
      </c>
      <c r="S30" s="60" t="str">
        <f>IFERROR(VLOOKUP(MID(N30,Q30,R30-Q30),[7]skilldef!$C:$D,2,FALSE),"-") &amp; " / " &amp; IFERROR(VLOOKUP(MID(N30,O30,P30-O30),[7]skilldef!$A:$B,2,FALSE),"-")</f>
        <v>- / 大攻撃</v>
      </c>
      <c r="T30" s="45" t="str">
        <f t="shared" si="12"/>
        <v>[effect:heal, target:myself, val:0.133, animation:enemy_heal]</v>
      </c>
      <c r="U30" s="60">
        <f t="shared" si="13"/>
        <v>9</v>
      </c>
      <c r="V30" s="60">
        <f t="shared" si="14"/>
        <v>13</v>
      </c>
      <c r="W30" s="60">
        <f t="shared" si="15"/>
        <v>22</v>
      </c>
      <c r="X30" s="60">
        <f t="shared" si="16"/>
        <v>28</v>
      </c>
      <c r="Y30" s="60" t="str">
        <f>IFERROR(VLOOKUP(MID(T30,W30,X30-W30),[7]skilldef!$C:$D,2,FALSE),"-") &amp; " / " &amp; IFERROR(VLOOKUP(MID(T30,U30,V30-U30),[7]skilldef!$A:$B,2,FALSE),"-")</f>
        <v>自分自身に / 回復</v>
      </c>
      <c r="Z30" s="47"/>
      <c r="AA30" s="49"/>
      <c r="AB30" s="47"/>
      <c r="AC30" s="100" t="s">
        <v>337</v>
      </c>
    </row>
    <row r="31" spans="1:29" ht="21" customHeight="1" x14ac:dyDescent="0.15">
      <c r="A31" s="44">
        <v>13400379</v>
      </c>
      <c r="B31" s="45" t="str">
        <f t="shared" ref="B31:B46" si="17">"[effect:enemy_message, val1:"&amp;TEXT(IF(TEXT(E31,0)="[表示しない]", "0", IF(LEN(SUBSTITUTE(E31,CHAR(13),""))*0.1&lt;1.2, 1.2, LEN(SUBSTITUTE(E31,CHAR(13),""))*0.1)), "0.0")&amp;", val2:"&amp;TEXT(IF(TEXT(F31,0)="[表示しない]", "0", IF(LEN(SUBSTITUTE(F31,CHAR(13),""))*0.1&lt;1.2, 1.2, LEN(F31)*0.1)),"0.0")&amp;"]"&amp;IF(LEN(AC31)&gt;0, ","&amp;AC31,AC31)</f>
        <v>[effect:enemy_message, val1:1.2, val2:2.0],[effect:critical, val:1.3, animation:enemy_critical],[effect:heal, target:myself, val:0.166, animation:enemy_heal]</v>
      </c>
      <c r="C31" s="47">
        <v>3</v>
      </c>
      <c r="D31" s="47" t="s">
        <v>196</v>
      </c>
      <c r="E31" s="48" t="s">
        <v>308</v>
      </c>
      <c r="F31" s="48" t="s">
        <v>343</v>
      </c>
      <c r="G31" s="60" t="str">
        <f t="shared" ref="G31:G46" si="18">IFERROR(LEFT(B31,FIND("],",B31)),B31)</f>
        <v>[effect:enemy_message, val1:1.2, val2:2.0]</v>
      </c>
      <c r="H31" s="60">
        <f t="shared" si="2"/>
        <v>9</v>
      </c>
      <c r="I31" s="60">
        <f t="shared" ref="I31:I46" si="19">IFERROR(FIND(",",G31),LEN(G31))</f>
        <v>22</v>
      </c>
      <c r="J31" s="60" t="e">
        <f t="shared" ref="J31:J46" si="20">FIND("target:",G31)+7</f>
        <v>#VALUE!</v>
      </c>
      <c r="K31" s="60">
        <f t="shared" ref="K31:K46" si="21">FIND(",",G31,I31+1)</f>
        <v>32</v>
      </c>
      <c r="L31" s="60" t="str">
        <f>IFERROR(VLOOKUP(MID(G31,J31,K31-J31),[7]skilldef!$C:$D,2,FALSE),"-") &amp; " / " &amp; IFERROR(VLOOKUP(MID(G31,H31,I31-H31),[7]skilldef!$A:$B,2,FALSE),"-")</f>
        <v>- / -</v>
      </c>
      <c r="M31" s="60" t="str">
        <f t="shared" ref="M31:M46" si="22">IFERROR(RIGHT(B31,LEN(B31)-FIND("],",B31)-1),"none")</f>
        <v>[effect:critical, val:1.3, animation:enemy_critical],[effect:heal, target:myself, val:0.166, animation:enemy_heal]</v>
      </c>
      <c r="N31" s="45" t="str">
        <f t="shared" ref="N31:N41" si="23">IFERROR(LEFT(M31,FIND("],",M31)+S36),M31)</f>
        <v>[effect:critical, val:1.3, animation:enemy_critical],[effect:heal, target:myself, val:0.166, animation:enemy_heal]</v>
      </c>
      <c r="O31" s="60">
        <f t="shared" si="8"/>
        <v>9</v>
      </c>
      <c r="P31" s="60">
        <f t="shared" ref="P31:P46" si="24">IFERROR(FIND(",",N31),LEN(N31))</f>
        <v>17</v>
      </c>
      <c r="Q31" s="60">
        <f t="shared" ref="Q31:Q46" si="25">FIND("target:",N31)+7</f>
        <v>75</v>
      </c>
      <c r="R31" s="60">
        <f t="shared" ref="R31:R46" si="26">FIND(",",N31,P31+1)</f>
        <v>26</v>
      </c>
      <c r="S31" s="60" t="str">
        <f>IFERROR(VLOOKUP(MID(N31,Q31,R31-Q31),[7]skilldef!$C:$D,2,FALSE),"-") &amp; " / " &amp; IFERROR(VLOOKUP(MID(N31,O31,P31-O31),[7]skilldef!$A:$B,2,FALSE),"-")</f>
        <v>- / 大攻撃</v>
      </c>
      <c r="T31" s="45" t="str">
        <f t="shared" ref="T31:T46" si="27">IFERROR(RIGHT(M31,LEN(M31)-FIND("],",M31)-1),"none")</f>
        <v>[effect:heal, target:myself, val:0.166, animation:enemy_heal]</v>
      </c>
      <c r="U31" s="60">
        <f t="shared" si="13"/>
        <v>9</v>
      </c>
      <c r="V31" s="60">
        <f t="shared" ref="V31:V46" si="28">IFERROR(FIND(",",T31),LEN(T31))</f>
        <v>13</v>
      </c>
      <c r="W31" s="60">
        <f t="shared" ref="W31:W46" si="29">FIND("target:",T31)+7</f>
        <v>22</v>
      </c>
      <c r="X31" s="60">
        <f t="shared" ref="X31:X46" si="30">FIND(",",T31,V31+1)</f>
        <v>28</v>
      </c>
      <c r="Y31" s="60" t="str">
        <f>IFERROR(VLOOKUP(MID(T31,W31,X31-W31),[7]skilldef!$C:$D,2,FALSE),"-") &amp; " / " &amp; IFERROR(VLOOKUP(MID(T31,U31,V31-U31),[7]skilldef!$A:$B,2,FALSE),"-")</f>
        <v>自分自身に / 回復</v>
      </c>
      <c r="Z31" s="47"/>
      <c r="AA31" s="49"/>
      <c r="AB31" s="47"/>
      <c r="AC31" s="100" t="s">
        <v>338</v>
      </c>
    </row>
    <row r="32" spans="1:29" ht="21" customHeight="1" x14ac:dyDescent="0.15">
      <c r="A32" s="44">
        <v>13400380</v>
      </c>
      <c r="B32" s="45" t="str">
        <f t="shared" si="17"/>
        <v>[effect:enemy_message, val1:1.2, val2:2.0],[effect:critical, val:1.4, animation:enemy_critical],[effect:heal, target:myself, val:0.2, animation:enemy_heal]</v>
      </c>
      <c r="C32" s="47">
        <v>3</v>
      </c>
      <c r="D32" s="47" t="s">
        <v>196</v>
      </c>
      <c r="E32" s="48" t="s">
        <v>308</v>
      </c>
      <c r="F32" s="48" t="s">
        <v>343</v>
      </c>
      <c r="G32" s="60" t="str">
        <f t="shared" si="18"/>
        <v>[effect:enemy_message, val1:1.2, val2:2.0]</v>
      </c>
      <c r="H32" s="60">
        <f t="shared" si="2"/>
        <v>9</v>
      </c>
      <c r="I32" s="60">
        <f t="shared" si="19"/>
        <v>22</v>
      </c>
      <c r="J32" s="60" t="e">
        <f t="shared" si="20"/>
        <v>#VALUE!</v>
      </c>
      <c r="K32" s="60">
        <f t="shared" si="21"/>
        <v>32</v>
      </c>
      <c r="L32" s="60" t="str">
        <f>IFERROR(VLOOKUP(MID(G32,J32,K32-J32),[7]skilldef!$C:$D,2,FALSE),"-") &amp; " / " &amp; IFERROR(VLOOKUP(MID(G32,H32,I32-H32),[7]skilldef!$A:$B,2,FALSE),"-")</f>
        <v>- / -</v>
      </c>
      <c r="M32" s="60" t="str">
        <f t="shared" si="22"/>
        <v>[effect:critical, val:1.4, animation:enemy_critical],[effect:heal, target:myself, val:0.2, animation:enemy_heal]</v>
      </c>
      <c r="N32" s="45" t="str">
        <f t="shared" si="23"/>
        <v>[effect:critical, val:1.4, animation:enemy_critical],[effect:heal, target:myself, val:0.2, animation:enemy_heal]</v>
      </c>
      <c r="O32" s="60">
        <f t="shared" si="8"/>
        <v>9</v>
      </c>
      <c r="P32" s="60">
        <f t="shared" si="24"/>
        <v>17</v>
      </c>
      <c r="Q32" s="60">
        <f t="shared" si="25"/>
        <v>75</v>
      </c>
      <c r="R32" s="60">
        <f t="shared" si="26"/>
        <v>26</v>
      </c>
      <c r="S32" s="60" t="str">
        <f>IFERROR(VLOOKUP(MID(N32,Q32,R32-Q32),[7]skilldef!$C:$D,2,FALSE),"-") &amp; " / " &amp; IFERROR(VLOOKUP(MID(N32,O32,P32-O32),[7]skilldef!$A:$B,2,FALSE),"-")</f>
        <v>- / 大攻撃</v>
      </c>
      <c r="T32" s="45" t="str">
        <f t="shared" si="27"/>
        <v>[effect:heal, target:myself, val:0.2, animation:enemy_heal]</v>
      </c>
      <c r="U32" s="60">
        <f t="shared" si="13"/>
        <v>9</v>
      </c>
      <c r="V32" s="60">
        <f t="shared" si="28"/>
        <v>13</v>
      </c>
      <c r="W32" s="60">
        <f t="shared" si="29"/>
        <v>22</v>
      </c>
      <c r="X32" s="60">
        <f t="shared" si="30"/>
        <v>28</v>
      </c>
      <c r="Y32" s="60" t="str">
        <f>IFERROR(VLOOKUP(MID(T32,W32,X32-W32),[7]skilldef!$C:$D,2,FALSE),"-") &amp; " / " &amp; IFERROR(VLOOKUP(MID(T32,U32,V32-U32),[7]skilldef!$A:$B,2,FALSE),"-")</f>
        <v>自分自身に / 回復</v>
      </c>
      <c r="Z32" s="47"/>
      <c r="AA32" s="49"/>
      <c r="AB32" s="47"/>
      <c r="AC32" s="100" t="s">
        <v>286</v>
      </c>
    </row>
    <row r="33" spans="1:29" ht="21" customHeight="1" x14ac:dyDescent="0.15">
      <c r="A33" s="44">
        <v>13400381</v>
      </c>
      <c r="B33" s="45" t="str">
        <f t="shared" si="17"/>
        <v>[effect:enemy_message, val1:1.2, val2:1.4],[effect:break_enchance_enemy, target:myself, val:100, lowest_val:500, count:-1, status:defense, turn:-1, block01:block_yellow, calc:add, animation:enemy_enhance_defense]</v>
      </c>
      <c r="C33" s="47">
        <v>3</v>
      </c>
      <c r="D33" s="47" t="s">
        <v>196</v>
      </c>
      <c r="E33" s="48" t="s">
        <v>317</v>
      </c>
      <c r="F33" s="48" t="s">
        <v>264</v>
      </c>
      <c r="G33" s="60" t="str">
        <f t="shared" si="18"/>
        <v>[effect:enemy_message, val1:1.2, val2:1.4]</v>
      </c>
      <c r="H33" s="60">
        <f t="shared" si="2"/>
        <v>9</v>
      </c>
      <c r="I33" s="60">
        <f t="shared" si="19"/>
        <v>22</v>
      </c>
      <c r="J33" s="60" t="e">
        <f t="shared" si="20"/>
        <v>#VALUE!</v>
      </c>
      <c r="K33" s="60">
        <f t="shared" si="21"/>
        <v>32</v>
      </c>
      <c r="L33" s="60" t="str">
        <f>IFERROR(VLOOKUP(MID(G33,J33,K33-J33),[7]skilldef!$C:$D,2,FALSE),"-") &amp; " / " &amp; IFERROR(VLOOKUP(MID(G33,H33,I33-H33),[7]skilldef!$A:$B,2,FALSE),"-")</f>
        <v>- / -</v>
      </c>
      <c r="M33" s="60" t="str">
        <f t="shared" si="22"/>
        <v>[effect:break_enchance_enemy, target:myself, val:100, lowest_val:500, count:-1, status:defense, turn:-1, block01:block_yellow, calc:add, animation:enemy_enhance_defense]</v>
      </c>
      <c r="N33" s="45" t="str">
        <f t="shared" si="23"/>
        <v>[effect:break_enchance_enemy, target:myself, val:100, lowest_val:500, count:-1, status:defense, turn:-1, block01:block_yellow, calc:add, animation:enemy_enhance_defense]</v>
      </c>
      <c r="O33" s="60">
        <f t="shared" si="8"/>
        <v>9</v>
      </c>
      <c r="P33" s="60">
        <f t="shared" si="24"/>
        <v>29</v>
      </c>
      <c r="Q33" s="60">
        <f t="shared" si="25"/>
        <v>38</v>
      </c>
      <c r="R33" s="60">
        <f t="shared" si="26"/>
        <v>44</v>
      </c>
      <c r="S33" s="60" t="str">
        <f>IFERROR(VLOOKUP(MID(N33,Q33,R33-Q33),[7]skilldef!$C:$D,2,FALSE),"-") &amp; " / " &amp; IFERROR(VLOOKUP(MID(N33,O33,P33-O33),[7]skilldef!$A:$B,2,FALSE),"-")</f>
        <v>自分自身に / -</v>
      </c>
      <c r="T33" s="45" t="str">
        <f t="shared" si="27"/>
        <v>none</v>
      </c>
      <c r="U33" s="60" t="e">
        <f t="shared" si="13"/>
        <v>#VALUE!</v>
      </c>
      <c r="V33" s="60">
        <f t="shared" si="28"/>
        <v>4</v>
      </c>
      <c r="W33" s="60" t="e">
        <f t="shared" si="29"/>
        <v>#VALUE!</v>
      </c>
      <c r="X33" s="60" t="e">
        <f t="shared" si="30"/>
        <v>#VALUE!</v>
      </c>
      <c r="Y33" s="60" t="str">
        <f>IFERROR(VLOOKUP(MID(T33,W33,X33-W33),[7]skilldef!$C:$D,2,FALSE),"-") &amp; " / " &amp; IFERROR(VLOOKUP(MID(T33,U33,V33-U33),[7]skilldef!$A:$B,2,FALSE),"-")</f>
        <v>- / -</v>
      </c>
      <c r="Z33" s="47"/>
      <c r="AA33" s="49"/>
      <c r="AB33" s="47"/>
      <c r="AC33" s="100" t="s">
        <v>270</v>
      </c>
    </row>
    <row r="34" spans="1:29" ht="21" customHeight="1" x14ac:dyDescent="0.15">
      <c r="A34" s="44">
        <v>13400382</v>
      </c>
      <c r="B34" s="45" t="str">
        <f t="shared" si="17"/>
        <v>[effect:enemy_message, val1:2.3, val2:1.2],[effect:damage_fix, target:unit_one, color:green, val:40000],[effect:damage_fix, target:unit_one, color:green, val:40000]</v>
      </c>
      <c r="C34" s="47">
        <v>3</v>
      </c>
      <c r="D34" s="47" t="s">
        <v>196</v>
      </c>
      <c r="E34" s="48" t="s">
        <v>314</v>
      </c>
      <c r="F34" s="48" t="s">
        <v>358</v>
      </c>
      <c r="G34" s="60" t="str">
        <f t="shared" si="18"/>
        <v>[effect:enemy_message, val1:2.3, val2:1.2]</v>
      </c>
      <c r="H34" s="60">
        <f t="shared" si="2"/>
        <v>9</v>
      </c>
      <c r="I34" s="60">
        <f t="shared" si="19"/>
        <v>22</v>
      </c>
      <c r="J34" s="60" t="e">
        <f t="shared" si="20"/>
        <v>#VALUE!</v>
      </c>
      <c r="K34" s="60">
        <f t="shared" si="21"/>
        <v>32</v>
      </c>
      <c r="L34" s="60" t="str">
        <f>IFERROR(VLOOKUP(MID(G34,J34,K34-J34),[7]skilldef!$C:$D,2,FALSE),"-") &amp; " / " &amp; IFERROR(VLOOKUP(MID(G34,H34,I34-H34),[7]skilldef!$A:$B,2,FALSE),"-")</f>
        <v>- / -</v>
      </c>
      <c r="M34" s="60" t="str">
        <f t="shared" si="22"/>
        <v>[effect:damage_fix, target:unit_one, color:green, val:40000],[effect:damage_fix, target:unit_one, color:green, val:40000]</v>
      </c>
      <c r="N34" s="45" t="str">
        <f t="shared" si="23"/>
        <v>[effect:damage_fix, target:unit_one, color:green, val:40000],[effect:damage_fix, target:unit_one, color:green, val:40000]</v>
      </c>
      <c r="O34" s="60">
        <f t="shared" si="8"/>
        <v>9</v>
      </c>
      <c r="P34" s="60">
        <f t="shared" si="24"/>
        <v>19</v>
      </c>
      <c r="Q34" s="60">
        <f t="shared" si="25"/>
        <v>28</v>
      </c>
      <c r="R34" s="60">
        <f t="shared" si="26"/>
        <v>36</v>
      </c>
      <c r="S34" s="60" t="str">
        <f>IFERROR(VLOOKUP(MID(N34,Q34,R34-Q34),[7]skilldef!$C:$D,2,FALSE),"-") &amp; " / " &amp; IFERROR(VLOOKUP(MID(N34,O34,P34-O34),[7]skilldef!$A:$B,2,FALSE),"-")</f>
        <v>味方単体に / -</v>
      </c>
      <c r="T34" s="45" t="str">
        <f t="shared" si="27"/>
        <v>[effect:damage_fix, target:unit_one, color:green, val:40000]</v>
      </c>
      <c r="U34" s="60">
        <f t="shared" si="13"/>
        <v>9</v>
      </c>
      <c r="V34" s="60">
        <f t="shared" si="28"/>
        <v>19</v>
      </c>
      <c r="W34" s="60">
        <f t="shared" si="29"/>
        <v>28</v>
      </c>
      <c r="X34" s="60">
        <f t="shared" si="30"/>
        <v>36</v>
      </c>
      <c r="Y34" s="60" t="str">
        <f>IFERROR(VLOOKUP(MID(T34,W34,X34-W34),[7]skilldef!$C:$D,2,FALSE),"-") &amp; " / " &amp; IFERROR(VLOOKUP(MID(T34,U34,V34-U34),[7]skilldef!$A:$B,2,FALSE),"-")</f>
        <v>味方単体に / -</v>
      </c>
      <c r="Z34" s="47"/>
      <c r="AA34" s="49"/>
      <c r="AB34" s="47"/>
      <c r="AC34" s="100" t="s">
        <v>332</v>
      </c>
    </row>
    <row r="35" spans="1:29" ht="21" customHeight="1" x14ac:dyDescent="0.15">
      <c r="A35" s="44">
        <v>13400383</v>
      </c>
      <c r="B35" s="45" t="str">
        <f t="shared" si="17"/>
        <v>[effect:enemy_message, val1:1.7, val2:1.4],[effect:nothing]</v>
      </c>
      <c r="C35" s="47">
        <v>3</v>
      </c>
      <c r="D35" s="47" t="s">
        <v>196</v>
      </c>
      <c r="E35" s="48" t="s">
        <v>328</v>
      </c>
      <c r="F35" s="48" t="s">
        <v>362</v>
      </c>
      <c r="G35" s="60" t="str">
        <f t="shared" si="18"/>
        <v>[effect:enemy_message, val1:1.7, val2:1.4]</v>
      </c>
      <c r="H35" s="60">
        <f t="shared" si="2"/>
        <v>9</v>
      </c>
      <c r="I35" s="60">
        <f t="shared" si="19"/>
        <v>22</v>
      </c>
      <c r="J35" s="60" t="e">
        <f t="shared" si="20"/>
        <v>#VALUE!</v>
      </c>
      <c r="K35" s="60">
        <f t="shared" si="21"/>
        <v>32</v>
      </c>
      <c r="L35" s="60" t="str">
        <f>IFERROR(VLOOKUP(MID(G35,J35,K35-J35),[7]skilldef!$C:$D,2,FALSE),"-") &amp; " / " &amp; IFERROR(VLOOKUP(MID(G35,H35,I35-H35),[7]skilldef!$A:$B,2,FALSE),"-")</f>
        <v>- / -</v>
      </c>
      <c r="M35" s="60" t="str">
        <f t="shared" si="22"/>
        <v>[effect:nothing]</v>
      </c>
      <c r="N35" s="45" t="str">
        <f t="shared" si="23"/>
        <v>[effect:nothing]</v>
      </c>
      <c r="O35" s="60">
        <f t="shared" si="8"/>
        <v>9</v>
      </c>
      <c r="P35" s="60">
        <f t="shared" si="24"/>
        <v>16</v>
      </c>
      <c r="Q35" s="60" t="e">
        <f t="shared" si="25"/>
        <v>#VALUE!</v>
      </c>
      <c r="R35" s="60" t="e">
        <f t="shared" si="26"/>
        <v>#VALUE!</v>
      </c>
      <c r="S35" s="60" t="str">
        <f>IFERROR(VLOOKUP(MID(N35,Q35,R35-Q35),[7]skilldef!$C:$D,2,FALSE),"-") &amp; " / " &amp; IFERROR(VLOOKUP(MID(N35,O35,P35-O35),[7]skilldef!$A:$B,2,FALSE),"-")</f>
        <v>- / 何もしない</v>
      </c>
      <c r="T35" s="45" t="str">
        <f t="shared" si="27"/>
        <v>none</v>
      </c>
      <c r="U35" s="60" t="e">
        <f t="shared" si="13"/>
        <v>#VALUE!</v>
      </c>
      <c r="V35" s="60">
        <f t="shared" si="28"/>
        <v>4</v>
      </c>
      <c r="W35" s="60" t="e">
        <f t="shared" si="29"/>
        <v>#VALUE!</v>
      </c>
      <c r="X35" s="60" t="e">
        <f t="shared" si="30"/>
        <v>#VALUE!</v>
      </c>
      <c r="Y35" s="60" t="str">
        <f>IFERROR(VLOOKUP(MID(T35,W35,X35-W35),[7]skilldef!$C:$D,2,FALSE),"-") &amp; " / " &amp; IFERROR(VLOOKUP(MID(T35,U35,V35-U35),[7]skilldef!$A:$B,2,FALSE),"-")</f>
        <v>- / -</v>
      </c>
      <c r="Z35" s="47"/>
      <c r="AA35" s="49"/>
      <c r="AB35" s="47"/>
      <c r="AC35" s="100" t="s">
        <v>267</v>
      </c>
    </row>
    <row r="36" spans="1:29" ht="21" customHeight="1" x14ac:dyDescent="0.15">
      <c r="A36" s="44">
        <v>13400384</v>
      </c>
      <c r="B36" s="45" t="str">
        <f t="shared" si="17"/>
        <v>[effect:enemy_message, val1:1.2, val2:1.2],[effect:nothing]</v>
      </c>
      <c r="C36" s="47">
        <v>1</v>
      </c>
      <c r="D36" s="47" t="s">
        <v>196</v>
      </c>
      <c r="E36" s="48" t="s">
        <v>263</v>
      </c>
      <c r="F36" s="48" t="s">
        <v>262</v>
      </c>
      <c r="G36" s="60" t="str">
        <f t="shared" si="18"/>
        <v>[effect:enemy_message, val1:1.2, val2:1.2]</v>
      </c>
      <c r="H36" s="60">
        <f t="shared" si="2"/>
        <v>9</v>
      </c>
      <c r="I36" s="60">
        <f t="shared" si="19"/>
        <v>22</v>
      </c>
      <c r="J36" s="60" t="e">
        <f t="shared" si="20"/>
        <v>#VALUE!</v>
      </c>
      <c r="K36" s="60">
        <f t="shared" si="21"/>
        <v>32</v>
      </c>
      <c r="L36" s="60" t="str">
        <f>IFERROR(VLOOKUP(MID(G36,J36,K36-J36),[7]skilldef!$C:$D,2,FALSE),"-") &amp; " / " &amp; IFERROR(VLOOKUP(MID(G36,H36,I36-H36),[7]skilldef!$A:$B,2,FALSE),"-")</f>
        <v>- / -</v>
      </c>
      <c r="M36" s="60" t="str">
        <f t="shared" si="22"/>
        <v>[effect:nothing]</v>
      </c>
      <c r="N36" s="45" t="str">
        <f t="shared" si="23"/>
        <v>[effect:nothing]</v>
      </c>
      <c r="O36" s="60">
        <f t="shared" si="8"/>
        <v>9</v>
      </c>
      <c r="P36" s="60">
        <f t="shared" si="24"/>
        <v>16</v>
      </c>
      <c r="Q36" s="60" t="e">
        <f t="shared" si="25"/>
        <v>#VALUE!</v>
      </c>
      <c r="R36" s="60" t="e">
        <f t="shared" si="26"/>
        <v>#VALUE!</v>
      </c>
      <c r="S36" s="60" t="str">
        <f>IFERROR(VLOOKUP(MID(N36,Q36,R36-Q36),[7]skilldef!$C:$D,2,FALSE),"-") &amp; " / " &amp; IFERROR(VLOOKUP(MID(N36,O36,P36-O36),[7]skilldef!$A:$B,2,FALSE),"-")</f>
        <v>- / 何もしない</v>
      </c>
      <c r="T36" s="45" t="str">
        <f t="shared" si="27"/>
        <v>none</v>
      </c>
      <c r="U36" s="60" t="e">
        <f t="shared" si="13"/>
        <v>#VALUE!</v>
      </c>
      <c r="V36" s="60">
        <f t="shared" si="28"/>
        <v>4</v>
      </c>
      <c r="W36" s="60" t="e">
        <f t="shared" si="29"/>
        <v>#VALUE!</v>
      </c>
      <c r="X36" s="60" t="e">
        <f t="shared" si="30"/>
        <v>#VALUE!</v>
      </c>
      <c r="Y36" s="60" t="str">
        <f>IFERROR(VLOOKUP(MID(T36,W36,X36-W36),[7]skilldef!$C:$D,2,FALSE),"-") &amp; " / " &amp; IFERROR(VLOOKUP(MID(T36,U36,V36-U36),[7]skilldef!$A:$B,2,FALSE),"-")</f>
        <v>- / -</v>
      </c>
      <c r="Z36" s="47"/>
      <c r="AA36" s="49"/>
      <c r="AB36" s="47"/>
      <c r="AC36" s="100" t="s">
        <v>267</v>
      </c>
    </row>
    <row r="37" spans="1:29" ht="21" customHeight="1" x14ac:dyDescent="0.15">
      <c r="A37" s="44">
        <v>13400385</v>
      </c>
      <c r="B37" s="45" t="str">
        <f t="shared" si="17"/>
        <v>[effect:enemy_message, val1:1.2, val2:3.4],[effect:fix_speed, target:myself, turn:1],[effect:tolerance, target:myself, turn:-1, count:-1, tolerance_effect:all, animation:enemy_tolerance],[effect:panel_freeze, target:normal, color:block_red, count:-1]</v>
      </c>
      <c r="C37" s="47">
        <v>3</v>
      </c>
      <c r="D37" s="47" t="s">
        <v>196</v>
      </c>
      <c r="E37" s="48" t="s">
        <v>310</v>
      </c>
      <c r="F37" s="48" t="s">
        <v>363</v>
      </c>
      <c r="G37" s="60" t="str">
        <f t="shared" si="18"/>
        <v>[effect:enemy_message, val1:1.2, val2:3.4]</v>
      </c>
      <c r="H37" s="60">
        <f t="shared" si="2"/>
        <v>9</v>
      </c>
      <c r="I37" s="60">
        <f t="shared" si="19"/>
        <v>22</v>
      </c>
      <c r="J37" s="60" t="e">
        <f t="shared" si="20"/>
        <v>#VALUE!</v>
      </c>
      <c r="K37" s="60">
        <f t="shared" si="21"/>
        <v>32</v>
      </c>
      <c r="L37" s="60" t="str">
        <f>IFERROR(VLOOKUP(MID(G37,J37,K37-J37),[7]skilldef!$C:$D,2,FALSE),"-") &amp; " / " &amp; IFERROR(VLOOKUP(MID(G37,H37,I37-H37),[7]skilldef!$A:$B,2,FALSE),"-")</f>
        <v>- / -</v>
      </c>
      <c r="M37" s="60" t="str">
        <f t="shared" si="22"/>
        <v>[effect:fix_speed, target:myself, turn:1],[effect:tolerance, target:myself, turn:-1, count:-1, tolerance_effect:all, animation:enemy_tolerance],[effect:panel_freeze, target:normal, color:block_red, count:-1]</v>
      </c>
      <c r="N37" s="45" t="str">
        <f t="shared" si="23"/>
        <v>[effect:fix_speed, target:myself, turn:1],[effect:tolerance, target:myself, turn:-1, count:-1, tolerance_effect:all, animation:enemy_tolerance],[effect:panel_freeze, target:normal, color:block_red, count:-1]</v>
      </c>
      <c r="O37" s="60">
        <f t="shared" si="8"/>
        <v>9</v>
      </c>
      <c r="P37" s="60">
        <f t="shared" si="24"/>
        <v>18</v>
      </c>
      <c r="Q37" s="60">
        <f t="shared" si="25"/>
        <v>27</v>
      </c>
      <c r="R37" s="60">
        <f t="shared" si="26"/>
        <v>33</v>
      </c>
      <c r="S37" s="60" t="str">
        <f>IFERROR(VLOOKUP(MID(N37,Q37,R37-Q37),[7]skilldef!$C:$D,2,FALSE),"-") &amp; " / " &amp; IFERROR(VLOOKUP(MID(N37,O37,P37-O37),[7]skilldef!$A:$B,2,FALSE),"-")</f>
        <v>自分自身に / 行動値設定</v>
      </c>
      <c r="T37" s="45" t="str">
        <f t="shared" si="27"/>
        <v>[effect:tolerance, target:myself, turn:-1, count:-1, tolerance_effect:all, animation:enemy_tolerance],[effect:panel_freeze, target:normal, color:block_red, count:-1]</v>
      </c>
      <c r="U37" s="60">
        <f t="shared" si="13"/>
        <v>9</v>
      </c>
      <c r="V37" s="60">
        <f t="shared" si="28"/>
        <v>18</v>
      </c>
      <c r="W37" s="60">
        <f t="shared" si="29"/>
        <v>27</v>
      </c>
      <c r="X37" s="60">
        <f t="shared" si="30"/>
        <v>33</v>
      </c>
      <c r="Y37" s="60" t="str">
        <f>IFERROR(VLOOKUP(MID(T37,W37,X37-W37),[7]skilldef!$C:$D,2,FALSE),"-") &amp; " / " &amp; IFERROR(VLOOKUP(MID(T37,U37,V37-U37),[7]skilldef!$A:$B,2,FALSE),"-")</f>
        <v>自分自身に / 状態異常耐性</v>
      </c>
      <c r="Z37" s="47"/>
      <c r="AA37" s="49"/>
      <c r="AB37" s="47"/>
      <c r="AC37" s="100" t="s">
        <v>285</v>
      </c>
    </row>
    <row r="38" spans="1:29" ht="21" customHeight="1" x14ac:dyDescent="0.15">
      <c r="A38" s="44">
        <v>13400386</v>
      </c>
      <c r="B38" s="45" t="str">
        <f t="shared" si="17"/>
        <v>[effect:enemy_message, val1:1.2, val2:2.1],[effect:rush, count:1, val:0.85],[effect:force_change_block, new_block:block_yellow, target:block_red, count:10, val:0, animation:change_block]</v>
      </c>
      <c r="C38" s="47">
        <v>3</v>
      </c>
      <c r="D38" s="47" t="s">
        <v>196</v>
      </c>
      <c r="E38" s="48" t="s">
        <v>316</v>
      </c>
      <c r="F38" s="48" t="s">
        <v>342</v>
      </c>
      <c r="G38" s="60" t="str">
        <f t="shared" si="18"/>
        <v>[effect:enemy_message, val1:1.2, val2:2.1]</v>
      </c>
      <c r="H38" s="60">
        <f t="shared" si="2"/>
        <v>9</v>
      </c>
      <c r="I38" s="60">
        <f t="shared" si="19"/>
        <v>22</v>
      </c>
      <c r="J38" s="60" t="e">
        <f t="shared" si="20"/>
        <v>#VALUE!</v>
      </c>
      <c r="K38" s="60">
        <f t="shared" si="21"/>
        <v>32</v>
      </c>
      <c r="L38" s="60" t="str">
        <f>IFERROR(VLOOKUP(MID(G38,J38,K38-J38),[7]skilldef!$C:$D,2,FALSE),"-") &amp; " / " &amp; IFERROR(VLOOKUP(MID(G38,H38,I38-H38),[7]skilldef!$A:$B,2,FALSE),"-")</f>
        <v>- / -</v>
      </c>
      <c r="M38" s="60" t="str">
        <f t="shared" si="22"/>
        <v>[effect:rush, count:1, val:0.85],[effect:force_change_block, new_block:block_yellow, target:block_red, count:10, val:0, animation:change_block]</v>
      </c>
      <c r="N38" s="45" t="str">
        <f t="shared" si="23"/>
        <v>[effect:rush, count:1, val:0.85],[effect:force_change_block, new_block:block_yellow, target:block_red, count:10, val:0, animation:change_block]</v>
      </c>
      <c r="O38" s="60">
        <f t="shared" si="8"/>
        <v>9</v>
      </c>
      <c r="P38" s="60">
        <f t="shared" si="24"/>
        <v>13</v>
      </c>
      <c r="Q38" s="60">
        <f t="shared" si="25"/>
        <v>93</v>
      </c>
      <c r="R38" s="60">
        <f t="shared" si="26"/>
        <v>22</v>
      </c>
      <c r="S38" s="60" t="str">
        <f>IFERROR(VLOOKUP(MID(N38,Q38,R38-Q38),[7]skilldef!$C:$D,2,FALSE),"-") &amp; " / " &amp; IFERROR(VLOOKUP(MID(N38,O38,P38-O38),[7]skilldef!$A:$B,2,FALSE),"-")</f>
        <v>- / 連続攻撃</v>
      </c>
      <c r="T38" s="45" t="str">
        <f t="shared" si="27"/>
        <v>[effect:force_change_block, new_block:block_yellow, target:block_red, count:10, val:0, animation:change_block]</v>
      </c>
      <c r="U38" s="60">
        <f t="shared" si="13"/>
        <v>9</v>
      </c>
      <c r="V38" s="60">
        <f t="shared" si="28"/>
        <v>27</v>
      </c>
      <c r="W38" s="60">
        <f t="shared" si="29"/>
        <v>60</v>
      </c>
      <c r="X38" s="60">
        <f t="shared" si="30"/>
        <v>51</v>
      </c>
      <c r="Y38" s="60" t="str">
        <f>IFERROR(VLOOKUP(MID(T38,W38,X38-W38),[7]skilldef!$C:$D,2,FALSE),"-") &amp; " / " &amp; IFERROR(VLOOKUP(MID(T38,U38,V38-U38),[7]skilldef!$A:$B,2,FALSE),"-")</f>
        <v>- / -</v>
      </c>
      <c r="Z38" s="47"/>
      <c r="AA38" s="49"/>
      <c r="AB38" s="47"/>
      <c r="AC38" s="100" t="s">
        <v>356</v>
      </c>
    </row>
    <row r="39" spans="1:29" ht="21" customHeight="1" x14ac:dyDescent="0.15">
      <c r="A39" s="44">
        <v>13400387</v>
      </c>
      <c r="B39" s="45" t="str">
        <f t="shared" si="17"/>
        <v>[effect:enemy_message, val1:1.2, val2:1.9],[effect:break_attack, target:unit_one, val:0.15, lowest_val:1500, count:-1, color:green, block01:block_yellow],[effect:heal, target:myself, val:0.1, animation:enemy_heal]</v>
      </c>
      <c r="C39" s="47">
        <v>3</v>
      </c>
      <c r="D39" s="47" t="s">
        <v>196</v>
      </c>
      <c r="E39" s="48" t="s">
        <v>308</v>
      </c>
      <c r="F39" s="48" t="s">
        <v>344</v>
      </c>
      <c r="G39" s="60" t="str">
        <f t="shared" si="18"/>
        <v>[effect:enemy_message, val1:1.2, val2:1.9]</v>
      </c>
      <c r="H39" s="60">
        <f t="shared" si="2"/>
        <v>9</v>
      </c>
      <c r="I39" s="60">
        <f t="shared" si="19"/>
        <v>22</v>
      </c>
      <c r="J39" s="60" t="e">
        <f t="shared" si="20"/>
        <v>#VALUE!</v>
      </c>
      <c r="K39" s="60">
        <f t="shared" si="21"/>
        <v>32</v>
      </c>
      <c r="L39" s="60" t="str">
        <f>IFERROR(VLOOKUP(MID(G39,J39,K39-J39),[7]skilldef!$C:$D,2,FALSE),"-") &amp; " / " &amp; IFERROR(VLOOKUP(MID(G39,H39,I39-H39),[7]skilldef!$A:$B,2,FALSE),"-")</f>
        <v>- / -</v>
      </c>
      <c r="M39" s="60" t="str">
        <f t="shared" si="22"/>
        <v>[effect:break_attack, target:unit_one, val:0.15, lowest_val:1500, count:-1, color:green, block01:block_yellow],[effect:heal, target:myself, val:0.1, animation:enemy_heal]</v>
      </c>
      <c r="N39" s="45" t="str">
        <f t="shared" si="23"/>
        <v>[effect:break_attack, target:unit_one, val:0.15, lowest_val:1500, count:-1, color:green, block01:block_yellow],[effect:heal, target:myself, val:0.1, animation:enemy_heal]</v>
      </c>
      <c r="O39" s="60">
        <f t="shared" si="8"/>
        <v>9</v>
      </c>
      <c r="P39" s="60">
        <f t="shared" si="24"/>
        <v>21</v>
      </c>
      <c r="Q39" s="60">
        <f t="shared" si="25"/>
        <v>30</v>
      </c>
      <c r="R39" s="60">
        <f t="shared" si="26"/>
        <v>38</v>
      </c>
      <c r="S39" s="60" t="str">
        <f>IFERROR(VLOOKUP(MID(N39,Q39,R39-Q39),[7]skilldef!$C:$D,2,FALSE),"-") &amp; " / " &amp; IFERROR(VLOOKUP(MID(N39,O39,P39-O39),[7]skilldef!$A:$B,2,FALSE),"-")</f>
        <v>味方単体に / -</v>
      </c>
      <c r="T39" s="45" t="str">
        <f t="shared" si="27"/>
        <v>[effect:heal, target:myself, val:0.1, animation:enemy_heal]</v>
      </c>
      <c r="U39" s="60">
        <f t="shared" si="13"/>
        <v>9</v>
      </c>
      <c r="V39" s="60">
        <f t="shared" si="28"/>
        <v>13</v>
      </c>
      <c r="W39" s="60">
        <f t="shared" si="29"/>
        <v>22</v>
      </c>
      <c r="X39" s="60">
        <f t="shared" si="30"/>
        <v>28</v>
      </c>
      <c r="Y39" s="60" t="str">
        <f>IFERROR(VLOOKUP(MID(T39,W39,X39-W39),[7]skilldef!$C:$D,2,FALSE),"-") &amp; " / " &amp; IFERROR(VLOOKUP(MID(T39,U39,V39-U39),[7]skilldef!$A:$B,2,FALSE),"-")</f>
        <v>自分自身に / 回復</v>
      </c>
      <c r="Z39" s="47"/>
      <c r="AA39" s="49"/>
      <c r="AB39" s="47"/>
      <c r="AC39" s="100" t="s">
        <v>287</v>
      </c>
    </row>
    <row r="40" spans="1:29" ht="21" customHeight="1" x14ac:dyDescent="0.15">
      <c r="A40" s="44">
        <v>13400388</v>
      </c>
      <c r="B40" s="45" t="str">
        <f t="shared" si="17"/>
        <v>[effect:enemy_message, val1:1.2, val2:1.4],[effect:break_enchance_enemy, target:myself, val:100, lowest_val:500, count:-1, status:defense, turn:-1, block01:block_green, calc:add, animation:enemy_enhance_defense]</v>
      </c>
      <c r="C40" s="47">
        <v>3</v>
      </c>
      <c r="D40" s="47" t="s">
        <v>196</v>
      </c>
      <c r="E40" s="48" t="s">
        <v>318</v>
      </c>
      <c r="F40" s="48" t="s">
        <v>266</v>
      </c>
      <c r="G40" s="60" t="str">
        <f t="shared" si="18"/>
        <v>[effect:enemy_message, val1:1.2, val2:1.4]</v>
      </c>
      <c r="H40" s="60">
        <f t="shared" si="2"/>
        <v>9</v>
      </c>
      <c r="I40" s="60">
        <f t="shared" si="19"/>
        <v>22</v>
      </c>
      <c r="J40" s="60" t="e">
        <f t="shared" si="20"/>
        <v>#VALUE!</v>
      </c>
      <c r="K40" s="60">
        <f t="shared" si="21"/>
        <v>32</v>
      </c>
      <c r="L40" s="60" t="str">
        <f>IFERROR(VLOOKUP(MID(G40,J40,K40-J40),[7]skilldef!$C:$D,2,FALSE),"-") &amp; " / " &amp; IFERROR(VLOOKUP(MID(G40,H40,I40-H40),[7]skilldef!$A:$B,2,FALSE),"-")</f>
        <v>- / -</v>
      </c>
      <c r="M40" s="60" t="str">
        <f t="shared" si="22"/>
        <v>[effect:break_enchance_enemy, target:myself, val:100, lowest_val:500, count:-1, status:defense, turn:-1, block01:block_green, calc:add, animation:enemy_enhance_defense]</v>
      </c>
      <c r="N40" s="45" t="str">
        <f t="shared" si="23"/>
        <v>[effect:break_enchance_enemy, target:myself, val:100, lowest_val:500, count:-1, status:defense, turn:-1, block01:block_green, calc:add, animation:enemy_enhance_defense]</v>
      </c>
      <c r="O40" s="60">
        <f t="shared" si="8"/>
        <v>9</v>
      </c>
      <c r="P40" s="60">
        <f t="shared" si="24"/>
        <v>29</v>
      </c>
      <c r="Q40" s="60">
        <f t="shared" si="25"/>
        <v>38</v>
      </c>
      <c r="R40" s="60">
        <f t="shared" si="26"/>
        <v>44</v>
      </c>
      <c r="S40" s="60" t="str">
        <f>IFERROR(VLOOKUP(MID(N40,Q40,R40-Q40),[7]skilldef!$C:$D,2,FALSE),"-") &amp; " / " &amp; IFERROR(VLOOKUP(MID(N40,O40,P40-O40),[7]skilldef!$A:$B,2,FALSE),"-")</f>
        <v>自分自身に / -</v>
      </c>
      <c r="T40" s="45" t="str">
        <f t="shared" si="27"/>
        <v>none</v>
      </c>
      <c r="U40" s="60" t="e">
        <f t="shared" si="13"/>
        <v>#VALUE!</v>
      </c>
      <c r="V40" s="60">
        <f t="shared" si="28"/>
        <v>4</v>
      </c>
      <c r="W40" s="60" t="e">
        <f t="shared" si="29"/>
        <v>#VALUE!</v>
      </c>
      <c r="X40" s="60" t="e">
        <f t="shared" si="30"/>
        <v>#VALUE!</v>
      </c>
      <c r="Y40" s="60" t="str">
        <f>IFERROR(VLOOKUP(MID(T40,W40,X40-W40),[7]skilldef!$C:$D,2,FALSE),"-") &amp; " / " &amp; IFERROR(VLOOKUP(MID(T40,U40,V40-U40),[7]skilldef!$A:$B,2,FALSE),"-")</f>
        <v>- / -</v>
      </c>
      <c r="Z40" s="47"/>
      <c r="AA40" s="49"/>
      <c r="AB40" s="47"/>
      <c r="AC40" s="100" t="s">
        <v>271</v>
      </c>
    </row>
    <row r="41" spans="1:29" ht="21" customHeight="1" x14ac:dyDescent="0.15">
      <c r="A41" s="44">
        <v>13400389</v>
      </c>
      <c r="B41" s="45" t="str">
        <f t="shared" si="17"/>
        <v>[effect:enemy_message, val1:1.2, val2:1.9],[effect:damage_gravity, val:0.5, animation:fevergauge_down],[effect:heal, target:myself, val:0.3, animation:enemy_heal]</v>
      </c>
      <c r="C41" s="47">
        <v>3</v>
      </c>
      <c r="D41" s="47" t="s">
        <v>196</v>
      </c>
      <c r="E41" s="48" t="s">
        <v>311</v>
      </c>
      <c r="F41" s="48" t="s">
        <v>335</v>
      </c>
      <c r="G41" s="60" t="str">
        <f t="shared" si="18"/>
        <v>[effect:enemy_message, val1:1.2, val2:1.9]</v>
      </c>
      <c r="H41" s="60">
        <f t="shared" si="2"/>
        <v>9</v>
      </c>
      <c r="I41" s="60">
        <f t="shared" si="19"/>
        <v>22</v>
      </c>
      <c r="J41" s="60" t="e">
        <f t="shared" si="20"/>
        <v>#VALUE!</v>
      </c>
      <c r="K41" s="60">
        <f t="shared" si="21"/>
        <v>32</v>
      </c>
      <c r="L41" s="60" t="str">
        <f>IFERROR(VLOOKUP(MID(G41,J41,K41-J41),[7]skilldef!$C:$D,2,FALSE),"-") &amp; " / " &amp; IFERROR(VLOOKUP(MID(G41,H41,I41-H41),[7]skilldef!$A:$B,2,FALSE),"-")</f>
        <v>- / -</v>
      </c>
      <c r="M41" s="60" t="str">
        <f t="shared" si="22"/>
        <v>[effect:damage_gravity, val:0.5, animation:fevergauge_down],[effect:heal, target:myself, val:0.3, animation:enemy_heal]</v>
      </c>
      <c r="N41" s="45" t="str">
        <f t="shared" si="23"/>
        <v>[effect:damage_gravity, val:0.5, animation:fevergauge_down],[effect:heal, target:myself, val:0.3, animation:enemy_heal]</v>
      </c>
      <c r="O41" s="60">
        <f t="shared" si="8"/>
        <v>9</v>
      </c>
      <c r="P41" s="60">
        <f t="shared" si="24"/>
        <v>23</v>
      </c>
      <c r="Q41" s="60">
        <f t="shared" si="25"/>
        <v>82</v>
      </c>
      <c r="R41" s="60">
        <f t="shared" si="26"/>
        <v>32</v>
      </c>
      <c r="S41" s="60" t="str">
        <f>IFERROR(VLOOKUP(MID(N41,Q41,R41-Q41),[7]skilldef!$C:$D,2,FALSE),"-") &amp; " / " &amp; IFERROR(VLOOKUP(MID(N41,O41,P41-O41),[7]skilldef!$A:$B,2,FALSE),"-")</f>
        <v>- / 割合ダメージ</v>
      </c>
      <c r="T41" s="45" t="str">
        <f t="shared" si="27"/>
        <v>[effect:heal, target:myself, val:0.3, animation:enemy_heal]</v>
      </c>
      <c r="U41" s="60">
        <f t="shared" si="13"/>
        <v>9</v>
      </c>
      <c r="V41" s="60">
        <f t="shared" si="28"/>
        <v>13</v>
      </c>
      <c r="W41" s="60">
        <f t="shared" si="29"/>
        <v>22</v>
      </c>
      <c r="X41" s="60">
        <f t="shared" si="30"/>
        <v>28</v>
      </c>
      <c r="Y41" s="60" t="str">
        <f>IFERROR(VLOOKUP(MID(T41,W41,X41-W41),[7]skilldef!$C:$D,2,FALSE),"-") &amp; " / " &amp; IFERROR(VLOOKUP(MID(T41,U41,V41-U41),[7]skilldef!$A:$B,2,FALSE),"-")</f>
        <v>自分自身に / 回復</v>
      </c>
      <c r="Z41" s="47"/>
      <c r="AA41" s="49"/>
      <c r="AB41" s="47"/>
      <c r="AC41" s="100" t="s">
        <v>272</v>
      </c>
    </row>
    <row r="42" spans="1:29" ht="21" customHeight="1" x14ac:dyDescent="0.15">
      <c r="A42" s="44">
        <v>13400390</v>
      </c>
      <c r="B42" s="45" t="str">
        <f t="shared" si="17"/>
        <v>[effect:enemy_message, val1:1.4, val2:1.2],[effect:damage_fix, target:unit_one, color:green, val:40000],[effect:damage_fix, target:unit_one, color:green, val:40000]</v>
      </c>
      <c r="C42" s="47">
        <v>3</v>
      </c>
      <c r="D42" s="47" t="s">
        <v>196</v>
      </c>
      <c r="E42" s="48" t="s">
        <v>312</v>
      </c>
      <c r="F42" s="48" t="s">
        <v>357</v>
      </c>
      <c r="G42" s="60" t="str">
        <f t="shared" si="18"/>
        <v>[effect:enemy_message, val1:1.4, val2:1.2]</v>
      </c>
      <c r="H42" s="60">
        <f t="shared" si="2"/>
        <v>9</v>
      </c>
      <c r="I42" s="60">
        <f t="shared" si="19"/>
        <v>22</v>
      </c>
      <c r="J42" s="60" t="e">
        <f t="shared" si="20"/>
        <v>#VALUE!</v>
      </c>
      <c r="K42" s="60">
        <f t="shared" si="21"/>
        <v>32</v>
      </c>
      <c r="L42" s="60" t="str">
        <f>IFERROR(VLOOKUP(MID(G42,J42,K42-J42),[7]skilldef!$C:$D,2,FALSE),"-") &amp; " / " &amp; IFERROR(VLOOKUP(MID(G42,H42,I42-H42),[7]skilldef!$A:$B,2,FALSE),"-")</f>
        <v>- / -</v>
      </c>
      <c r="M42" s="60" t="str">
        <f t="shared" si="22"/>
        <v>[effect:damage_fix, target:unit_one, color:green, val:40000],[effect:damage_fix, target:unit_one, color:green, val:40000]</v>
      </c>
      <c r="N42" s="45" t="str">
        <f>IFERROR(LEFT(M42,FIND("],",M42)+#REF!),M42)</f>
        <v>[effect:damage_fix, target:unit_one, color:green, val:40000],[effect:damage_fix, target:unit_one, color:green, val:40000]</v>
      </c>
      <c r="O42" s="60">
        <f t="shared" si="8"/>
        <v>9</v>
      </c>
      <c r="P42" s="60">
        <f t="shared" si="24"/>
        <v>19</v>
      </c>
      <c r="Q42" s="60">
        <f t="shared" si="25"/>
        <v>28</v>
      </c>
      <c r="R42" s="60">
        <f t="shared" si="26"/>
        <v>36</v>
      </c>
      <c r="S42" s="60" t="str">
        <f>IFERROR(VLOOKUP(MID(N42,Q42,R42-Q42),[7]skilldef!$C:$D,2,FALSE),"-") &amp; " / " &amp; IFERROR(VLOOKUP(MID(N42,O42,P42-O42),[7]skilldef!$A:$B,2,FALSE),"-")</f>
        <v>味方単体に / -</v>
      </c>
      <c r="T42" s="45" t="str">
        <f t="shared" si="27"/>
        <v>[effect:damage_fix, target:unit_one, color:green, val:40000]</v>
      </c>
      <c r="U42" s="60">
        <f t="shared" si="13"/>
        <v>9</v>
      </c>
      <c r="V42" s="60">
        <f t="shared" si="28"/>
        <v>19</v>
      </c>
      <c r="W42" s="60">
        <f t="shared" si="29"/>
        <v>28</v>
      </c>
      <c r="X42" s="60">
        <f t="shared" si="30"/>
        <v>36</v>
      </c>
      <c r="Y42" s="60" t="str">
        <f>IFERROR(VLOOKUP(MID(T42,W42,X42-W42),[7]skilldef!$C:$D,2,FALSE),"-") &amp; " / " &amp; IFERROR(VLOOKUP(MID(T42,U42,V42-U42),[7]skilldef!$A:$B,2,FALSE),"-")</f>
        <v>味方単体に / -</v>
      </c>
      <c r="Z42" s="47"/>
      <c r="AA42" s="49"/>
      <c r="AB42" s="47"/>
      <c r="AC42" s="100" t="s">
        <v>332</v>
      </c>
    </row>
    <row r="43" spans="1:29" ht="21" customHeight="1" x14ac:dyDescent="0.15">
      <c r="A43" s="44">
        <v>13400391</v>
      </c>
      <c r="B43" s="45" t="s">
        <v>366</v>
      </c>
      <c r="C43" s="47">
        <v>3</v>
      </c>
      <c r="D43" s="47" t="s">
        <v>196</v>
      </c>
      <c r="E43" s="48" t="s">
        <v>313</v>
      </c>
      <c r="F43" s="48" t="s">
        <v>315</v>
      </c>
      <c r="G43" s="60" t="str">
        <f t="shared" si="18"/>
        <v>[effect:enemy_message, val1:1.3, val2:2.1]</v>
      </c>
      <c r="H43" s="60">
        <f t="shared" si="2"/>
        <v>9</v>
      </c>
      <c r="I43" s="60">
        <f t="shared" si="19"/>
        <v>22</v>
      </c>
      <c r="J43" s="60" t="e">
        <f t="shared" si="20"/>
        <v>#VALUE!</v>
      </c>
      <c r="K43" s="60">
        <f t="shared" si="21"/>
        <v>32</v>
      </c>
      <c r="L43" s="60" t="str">
        <f>IFERROR(VLOOKUP(MID(G43,J43,K43-J43),[7]skilldef!$C:$D,2,FALSE),"-") &amp; " / " &amp; IFERROR(VLOOKUP(MID(G43,H43,I43-H43),[7]skilldef!$A:$B,2,FALSE),"-")</f>
        <v>- / -</v>
      </c>
      <c r="M43" s="60" t="str">
        <f t="shared" si="22"/>
        <v>none</v>
      </c>
      <c r="N43" s="45" t="str">
        <f>IFERROR(LEFT(M43,FIND("],",M43)+#REF!),M43)</f>
        <v>none</v>
      </c>
      <c r="O43" s="60" t="e">
        <f t="shared" si="8"/>
        <v>#VALUE!</v>
      </c>
      <c r="P43" s="60">
        <f t="shared" si="24"/>
        <v>4</v>
      </c>
      <c r="Q43" s="60" t="e">
        <f t="shared" si="25"/>
        <v>#VALUE!</v>
      </c>
      <c r="R43" s="60" t="e">
        <f t="shared" si="26"/>
        <v>#VALUE!</v>
      </c>
      <c r="S43" s="60" t="str">
        <f>IFERROR(VLOOKUP(MID(N43,Q43,R43-Q43),[7]skilldef!$C:$D,2,FALSE),"-") &amp; " / " &amp; IFERROR(VLOOKUP(MID(N43,O43,P43-O43),[7]skilldef!$A:$B,2,FALSE),"-")</f>
        <v>- / -</v>
      </c>
      <c r="T43" s="45" t="str">
        <f t="shared" si="27"/>
        <v>none</v>
      </c>
      <c r="U43" s="60" t="e">
        <f t="shared" si="13"/>
        <v>#VALUE!</v>
      </c>
      <c r="V43" s="60">
        <f t="shared" si="28"/>
        <v>4</v>
      </c>
      <c r="W43" s="60" t="e">
        <f t="shared" si="29"/>
        <v>#VALUE!</v>
      </c>
      <c r="X43" s="60" t="e">
        <f t="shared" si="30"/>
        <v>#VALUE!</v>
      </c>
      <c r="Y43" s="60" t="str">
        <f>IFERROR(VLOOKUP(MID(T43,W43,X43-W43),[7]skilldef!$C:$D,2,FALSE),"-") &amp; " / " &amp; IFERROR(VLOOKUP(MID(T43,U43,V43-U43),[7]skilldef!$A:$B,2,FALSE),"-")</f>
        <v>- / -</v>
      </c>
      <c r="Z43" s="47"/>
      <c r="AA43" s="49"/>
      <c r="AB43" s="47"/>
      <c r="AC43" s="100" t="s">
        <v>267</v>
      </c>
    </row>
    <row r="44" spans="1:29" ht="21" customHeight="1" x14ac:dyDescent="0.15">
      <c r="A44" s="44">
        <v>13400392</v>
      </c>
      <c r="B44" s="45" t="str">
        <f t="shared" si="17"/>
        <v>[effect:enemy_message, val1:1.2, val2:1.4],[effect:nothing]</v>
      </c>
      <c r="C44" s="47">
        <v>3</v>
      </c>
      <c r="D44" s="47" t="s">
        <v>196</v>
      </c>
      <c r="E44" s="48" t="s">
        <v>329</v>
      </c>
      <c r="F44" s="48" t="s">
        <v>362</v>
      </c>
      <c r="G44" s="60" t="str">
        <f t="shared" si="18"/>
        <v>[effect:enemy_message, val1:1.2, val2:1.4]</v>
      </c>
      <c r="H44" s="60">
        <f t="shared" si="2"/>
        <v>9</v>
      </c>
      <c r="I44" s="60">
        <f t="shared" si="19"/>
        <v>22</v>
      </c>
      <c r="J44" s="60" t="e">
        <f t="shared" si="20"/>
        <v>#VALUE!</v>
      </c>
      <c r="K44" s="60">
        <f t="shared" si="21"/>
        <v>32</v>
      </c>
      <c r="L44" s="60" t="str">
        <f>IFERROR(VLOOKUP(MID(G44,J44,K44-J44),[7]skilldef!$C:$D,2,FALSE),"-") &amp; " / " &amp; IFERROR(VLOOKUP(MID(G44,H44,I44-H44),[7]skilldef!$A:$B,2,FALSE),"-")</f>
        <v>- / -</v>
      </c>
      <c r="M44" s="60" t="str">
        <f t="shared" si="22"/>
        <v>[effect:nothing]</v>
      </c>
      <c r="N44" s="45" t="str">
        <f>IFERROR(LEFT(M44,FIND("],",M44)+S47),M44)</f>
        <v>[effect:nothing]</v>
      </c>
      <c r="O44" s="60">
        <f t="shared" si="8"/>
        <v>9</v>
      </c>
      <c r="P44" s="60">
        <f t="shared" si="24"/>
        <v>16</v>
      </c>
      <c r="Q44" s="60" t="e">
        <f t="shared" si="25"/>
        <v>#VALUE!</v>
      </c>
      <c r="R44" s="60" t="e">
        <f t="shared" si="26"/>
        <v>#VALUE!</v>
      </c>
      <c r="S44" s="60" t="str">
        <f>IFERROR(VLOOKUP(MID(N44,Q44,R44-Q44),[7]skilldef!$C:$D,2,FALSE),"-") &amp; " / " &amp; IFERROR(VLOOKUP(MID(N44,O44,P44-O44),[7]skilldef!$A:$B,2,FALSE),"-")</f>
        <v>- / 何もしない</v>
      </c>
      <c r="T44" s="45" t="str">
        <f t="shared" si="27"/>
        <v>none</v>
      </c>
      <c r="U44" s="60" t="e">
        <f t="shared" si="13"/>
        <v>#VALUE!</v>
      </c>
      <c r="V44" s="60">
        <f t="shared" si="28"/>
        <v>4</v>
      </c>
      <c r="W44" s="60" t="e">
        <f t="shared" si="29"/>
        <v>#VALUE!</v>
      </c>
      <c r="X44" s="60" t="e">
        <f t="shared" si="30"/>
        <v>#VALUE!</v>
      </c>
      <c r="Y44" s="60" t="str">
        <f>IFERROR(VLOOKUP(MID(T44,W44,X44-W44),[7]skilldef!$C:$D,2,FALSE),"-") &amp; " / " &amp; IFERROR(VLOOKUP(MID(T44,U44,V44-U44),[7]skilldef!$A:$B,2,FALSE),"-")</f>
        <v>- / -</v>
      </c>
      <c r="Z44" s="47"/>
      <c r="AA44" s="49"/>
      <c r="AB44" s="47"/>
      <c r="AC44" s="100" t="s">
        <v>267</v>
      </c>
    </row>
    <row r="45" spans="1:29" ht="21" customHeight="1" x14ac:dyDescent="0.15">
      <c r="A45" s="44">
        <v>13400393</v>
      </c>
      <c r="B45" s="45" t="str">
        <f t="shared" si="17"/>
        <v>[effect:enemy_message, val1:1.2, val2:1.2],[effect:nothing]</v>
      </c>
      <c r="C45" s="47">
        <v>1</v>
      </c>
      <c r="D45" s="47" t="s">
        <v>196</v>
      </c>
      <c r="E45" s="48" t="s">
        <v>265</v>
      </c>
      <c r="F45" s="48" t="s">
        <v>262</v>
      </c>
      <c r="G45" s="60" t="str">
        <f t="shared" si="18"/>
        <v>[effect:enemy_message, val1:1.2, val2:1.2]</v>
      </c>
      <c r="H45" s="60">
        <f t="shared" si="2"/>
        <v>9</v>
      </c>
      <c r="I45" s="60">
        <f t="shared" si="19"/>
        <v>22</v>
      </c>
      <c r="J45" s="60" t="e">
        <f t="shared" si="20"/>
        <v>#VALUE!</v>
      </c>
      <c r="K45" s="60">
        <f t="shared" si="21"/>
        <v>32</v>
      </c>
      <c r="L45" s="60" t="str">
        <f>IFERROR(VLOOKUP(MID(G45,J45,K45-J45),[7]skilldef!$C:$D,2,FALSE),"-") &amp; " / " &amp; IFERROR(VLOOKUP(MID(G45,H45,I45-H45),[7]skilldef!$A:$B,2,FALSE),"-")</f>
        <v>- / -</v>
      </c>
      <c r="M45" s="60" t="str">
        <f t="shared" si="22"/>
        <v>[effect:nothing]</v>
      </c>
      <c r="N45" s="45" t="str">
        <f>IFERROR(LEFT(M45,FIND("],",M45)+S48),M45)</f>
        <v>[effect:nothing]</v>
      </c>
      <c r="O45" s="60">
        <f t="shared" si="8"/>
        <v>9</v>
      </c>
      <c r="P45" s="60">
        <f t="shared" si="24"/>
        <v>16</v>
      </c>
      <c r="Q45" s="60" t="e">
        <f t="shared" si="25"/>
        <v>#VALUE!</v>
      </c>
      <c r="R45" s="60" t="e">
        <f t="shared" si="26"/>
        <v>#VALUE!</v>
      </c>
      <c r="S45" s="60" t="str">
        <f>IFERROR(VLOOKUP(MID(N45,Q45,R45-Q45),[7]skilldef!$C:$D,2,FALSE),"-") &amp; " / " &amp; IFERROR(VLOOKUP(MID(N45,O45,P45-O45),[7]skilldef!$A:$B,2,FALSE),"-")</f>
        <v>- / 何もしない</v>
      </c>
      <c r="T45" s="45" t="str">
        <f t="shared" si="27"/>
        <v>none</v>
      </c>
      <c r="U45" s="60" t="e">
        <f t="shared" si="13"/>
        <v>#VALUE!</v>
      </c>
      <c r="V45" s="60">
        <f t="shared" si="28"/>
        <v>4</v>
      </c>
      <c r="W45" s="60" t="e">
        <f t="shared" si="29"/>
        <v>#VALUE!</v>
      </c>
      <c r="X45" s="60" t="e">
        <f t="shared" si="30"/>
        <v>#VALUE!</v>
      </c>
      <c r="Y45" s="60" t="str">
        <f>IFERROR(VLOOKUP(MID(T45,W45,X45-W45),[7]skilldef!$C:$D,2,FALSE),"-") &amp; " / " &amp; IFERROR(VLOOKUP(MID(T45,U45,V45-U45),[7]skilldef!$A:$B,2,FALSE),"-")</f>
        <v>- / -</v>
      </c>
      <c r="Z45" s="47"/>
      <c r="AA45" s="49"/>
      <c r="AB45" s="47"/>
      <c r="AC45" s="100" t="s">
        <v>267</v>
      </c>
    </row>
    <row r="46" spans="1:29" ht="21" customHeight="1" x14ac:dyDescent="0.15">
      <c r="A46" s="44">
        <v>13400394</v>
      </c>
      <c r="B46" s="45" t="str">
        <f>"[effect:enemy_message, val1:"&amp;TEXT(IF(TEXT(E46,0)="[表示しない]", "0", IF(LEN(SUBSTITUTE(E46,CHAR(13),""))*0.1&lt;1.2, 1.2, LEN(SUBSTITUTE(E46,CHAR(13),""))*0.1)), "0.0")&amp;", val2:"&amp;TEXT(IF(TEXT(F46,0)="[表示しない]", "0", IF(LEN(SUBSTITUTE(F46,CHAR(13),""))*0.1&lt;1.2, 1.2, LEN(F46)*0.1)),"0.0")&amp;"]"&amp;IF(LEN(AC46)&gt;0, ","&amp;AC46,AC46)</f>
        <v>[effect:enemy_message, val1:1.2, val2:1.2],[effect:nothing]</v>
      </c>
      <c r="C46" s="47">
        <v>1</v>
      </c>
      <c r="D46" s="47" t="s">
        <v>196</v>
      </c>
      <c r="E46" s="48" t="s">
        <v>265</v>
      </c>
      <c r="F46" s="48" t="s">
        <v>262</v>
      </c>
      <c r="G46" s="60" t="str">
        <f t="shared" si="18"/>
        <v>[effect:enemy_message, val1:1.2, val2:1.2]</v>
      </c>
      <c r="H46" s="60">
        <f t="shared" si="2"/>
        <v>9</v>
      </c>
      <c r="I46" s="60">
        <f t="shared" si="19"/>
        <v>22</v>
      </c>
      <c r="J46" s="60" t="e">
        <f t="shared" si="20"/>
        <v>#VALUE!</v>
      </c>
      <c r="K46" s="60">
        <f t="shared" si="21"/>
        <v>32</v>
      </c>
      <c r="L46" s="60" t="str">
        <f>IFERROR(VLOOKUP(MID(G46,J46,K46-J46),[7]skilldef!$C:$D,2,FALSE),"-") &amp; " / " &amp; IFERROR(VLOOKUP(MID(G46,H46,I46-H46),[7]skilldef!$A:$B,2,FALSE),"-")</f>
        <v>- / -</v>
      </c>
      <c r="M46" s="60" t="str">
        <f t="shared" si="22"/>
        <v>[effect:nothing]</v>
      </c>
      <c r="N46" s="45" t="str">
        <f>IFERROR(LEFT(M46,FIND("],",M46)+S49),M46)</f>
        <v>[effect:nothing]</v>
      </c>
      <c r="O46" s="60">
        <f t="shared" si="8"/>
        <v>9</v>
      </c>
      <c r="P46" s="60">
        <f t="shared" si="24"/>
        <v>16</v>
      </c>
      <c r="Q46" s="60" t="e">
        <f t="shared" si="25"/>
        <v>#VALUE!</v>
      </c>
      <c r="R46" s="60" t="e">
        <f t="shared" si="26"/>
        <v>#VALUE!</v>
      </c>
      <c r="S46" s="60" t="str">
        <f>IFERROR(VLOOKUP(MID(N46,Q46,R46-Q46),[7]skilldef!$C:$D,2,FALSE),"-") &amp; " / " &amp; IFERROR(VLOOKUP(MID(N46,O46,P46-O46),[7]skilldef!$A:$B,2,FALSE),"-")</f>
        <v>- / 何もしない</v>
      </c>
      <c r="T46" s="45" t="str">
        <f t="shared" si="27"/>
        <v>none</v>
      </c>
      <c r="U46" s="60" t="e">
        <f t="shared" si="13"/>
        <v>#VALUE!</v>
      </c>
      <c r="V46" s="60">
        <f t="shared" si="28"/>
        <v>4</v>
      </c>
      <c r="W46" s="60" t="e">
        <f t="shared" si="29"/>
        <v>#VALUE!</v>
      </c>
      <c r="X46" s="60" t="e">
        <f t="shared" si="30"/>
        <v>#VALUE!</v>
      </c>
      <c r="Y46" s="60" t="str">
        <f>IFERROR(VLOOKUP(MID(T46,W46,X46-W46),[7]skilldef!$C:$D,2,FALSE),"-") &amp; " / " &amp; IFERROR(VLOOKUP(MID(T46,U46,V46-U46),[7]skilldef!$A:$B,2,FALSE),"-")</f>
        <v>- / -</v>
      </c>
      <c r="Z46" s="47"/>
      <c r="AA46" s="49"/>
      <c r="AB46" s="47"/>
      <c r="AC46" s="100" t="s">
        <v>267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workbookViewId="0">
      <pane ySplit="1" topLeftCell="A24" activePane="bottomLeft" state="frozenSplit"/>
      <selection pane="bottomLeft" activeCell="D48" sqref="D48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2.6640625" style="46" customWidth="1"/>
    <col min="11" max="11" width="10" style="36" customWidth="1"/>
    <col min="12" max="12" width="12.83203125" style="42"/>
    <col min="13" max="13" width="27.1640625" style="42" customWidth="1"/>
    <col min="14" max="16384" width="12.83203125" style="42"/>
  </cols>
  <sheetData>
    <row r="1" spans="1:11" ht="21" customHeight="1" x14ac:dyDescent="0.15">
      <c r="A1" s="39" t="s">
        <v>84</v>
      </c>
      <c r="B1" s="39" t="s">
        <v>85</v>
      </c>
      <c r="C1" s="39" t="s">
        <v>86</v>
      </c>
      <c r="D1" s="39" t="s">
        <v>87</v>
      </c>
      <c r="E1" s="39" t="s">
        <v>70</v>
      </c>
      <c r="F1" s="50" t="s">
        <v>71</v>
      </c>
      <c r="G1" s="50" t="s">
        <v>72</v>
      </c>
      <c r="H1" s="39" t="s">
        <v>73</v>
      </c>
      <c r="I1" s="39" t="s">
        <v>74</v>
      </c>
      <c r="J1" s="39" t="s">
        <v>75</v>
      </c>
      <c r="K1" s="51" t="s">
        <v>88</v>
      </c>
    </row>
    <row r="2" spans="1:11" ht="21" customHeight="1" x14ac:dyDescent="0.15">
      <c r="A2" s="44">
        <v>13400350</v>
      </c>
      <c r="B2" s="44">
        <v>1</v>
      </c>
      <c r="C2" s="44">
        <v>0</v>
      </c>
      <c r="D2" s="44">
        <v>100</v>
      </c>
      <c r="E2" s="44" t="s">
        <v>250</v>
      </c>
      <c r="F2" s="44" t="s">
        <v>89</v>
      </c>
      <c r="G2" s="44">
        <v>1</v>
      </c>
      <c r="H2" s="44" t="s">
        <v>250</v>
      </c>
      <c r="I2" s="44" t="s">
        <v>89</v>
      </c>
      <c r="J2" s="45">
        <f t="shared" ref="J2" si="0">D2</f>
        <v>100</v>
      </c>
    </row>
    <row r="3" spans="1:11" ht="21" customHeight="1" x14ac:dyDescent="0.15">
      <c r="A3" s="44">
        <v>13400351</v>
      </c>
      <c r="B3" s="44">
        <v>0</v>
      </c>
      <c r="C3" s="44">
        <v>0</v>
      </c>
      <c r="D3" s="44">
        <v>75</v>
      </c>
      <c r="E3" s="44" t="s">
        <v>53</v>
      </c>
      <c r="F3" s="44" t="s">
        <v>53</v>
      </c>
      <c r="G3" s="44" t="s">
        <v>53</v>
      </c>
      <c r="H3" s="44" t="s">
        <v>250</v>
      </c>
      <c r="I3" s="44" t="s">
        <v>53</v>
      </c>
      <c r="J3" s="45">
        <f t="shared" ref="J3:J46" si="1">D3</f>
        <v>75</v>
      </c>
    </row>
    <row r="4" spans="1:11" ht="21" customHeight="1" x14ac:dyDescent="0.15">
      <c r="A4" s="44">
        <v>13400352</v>
      </c>
      <c r="B4" s="44">
        <v>0</v>
      </c>
      <c r="C4" s="44">
        <v>100</v>
      </c>
      <c r="D4" s="44">
        <v>100</v>
      </c>
      <c r="E4" s="44">
        <v>50</v>
      </c>
      <c r="F4" s="44" t="s">
        <v>53</v>
      </c>
      <c r="G4" s="44">
        <v>1</v>
      </c>
      <c r="H4" s="44" t="s">
        <v>250</v>
      </c>
      <c r="I4" s="44" t="s">
        <v>53</v>
      </c>
      <c r="J4" s="45">
        <f t="shared" si="1"/>
        <v>100</v>
      </c>
    </row>
    <row r="5" spans="1:11" ht="21" customHeight="1" x14ac:dyDescent="0.15">
      <c r="A5" s="44">
        <v>13400353</v>
      </c>
      <c r="B5" s="44">
        <v>0</v>
      </c>
      <c r="C5" s="44">
        <v>0</v>
      </c>
      <c r="D5" s="44">
        <v>100</v>
      </c>
      <c r="E5" s="44" t="s">
        <v>53</v>
      </c>
      <c r="F5" s="44" t="s">
        <v>53</v>
      </c>
      <c r="G5" s="44" t="s">
        <v>53</v>
      </c>
      <c r="H5" s="44" t="s">
        <v>250</v>
      </c>
      <c r="I5" s="44" t="s">
        <v>53</v>
      </c>
      <c r="J5" s="45">
        <f t="shared" si="1"/>
        <v>100</v>
      </c>
    </row>
    <row r="6" spans="1:11" ht="21" customHeight="1" x14ac:dyDescent="0.15">
      <c r="A6" s="44">
        <v>13400354</v>
      </c>
      <c r="B6" s="44">
        <v>0</v>
      </c>
      <c r="C6" s="44">
        <v>0</v>
      </c>
      <c r="D6" s="44">
        <v>100</v>
      </c>
      <c r="E6" s="44" t="s">
        <v>53</v>
      </c>
      <c r="F6" s="44" t="s">
        <v>53</v>
      </c>
      <c r="G6" s="44" t="s">
        <v>53</v>
      </c>
      <c r="H6" s="44" t="s">
        <v>250</v>
      </c>
      <c r="I6" s="44" t="s">
        <v>53</v>
      </c>
      <c r="J6" s="45">
        <f t="shared" si="1"/>
        <v>100</v>
      </c>
    </row>
    <row r="7" spans="1:11" ht="21" customHeight="1" x14ac:dyDescent="0.15">
      <c r="A7" s="44">
        <v>13400355</v>
      </c>
      <c r="B7" s="44">
        <v>1</v>
      </c>
      <c r="C7" s="44">
        <v>0</v>
      </c>
      <c r="D7" s="44">
        <v>100</v>
      </c>
      <c r="E7" s="44" t="s">
        <v>53</v>
      </c>
      <c r="F7" s="44" t="s">
        <v>53</v>
      </c>
      <c r="G7" s="44">
        <v>1</v>
      </c>
      <c r="H7" s="44" t="s">
        <v>250</v>
      </c>
      <c r="I7" s="44" t="s">
        <v>53</v>
      </c>
      <c r="J7" s="45">
        <f t="shared" si="1"/>
        <v>100</v>
      </c>
    </row>
    <row r="8" spans="1:11" ht="21" customHeight="1" x14ac:dyDescent="0.15">
      <c r="A8" s="44">
        <v>13400356</v>
      </c>
      <c r="B8" s="44">
        <v>0</v>
      </c>
      <c r="C8" s="44">
        <v>0</v>
      </c>
      <c r="D8" s="44">
        <v>50</v>
      </c>
      <c r="E8" s="44" t="s">
        <v>53</v>
      </c>
      <c r="F8" s="44" t="s">
        <v>53</v>
      </c>
      <c r="G8" s="44" t="s">
        <v>53</v>
      </c>
      <c r="H8" s="44" t="s">
        <v>250</v>
      </c>
      <c r="I8" s="44" t="s">
        <v>53</v>
      </c>
      <c r="J8" s="45">
        <f t="shared" si="1"/>
        <v>50</v>
      </c>
    </row>
    <row r="9" spans="1:11" ht="21" customHeight="1" x14ac:dyDescent="0.15">
      <c r="A9" s="44">
        <v>13400357</v>
      </c>
      <c r="B9" s="44">
        <v>0</v>
      </c>
      <c r="C9" s="44">
        <v>100</v>
      </c>
      <c r="D9" s="44">
        <v>100</v>
      </c>
      <c r="E9" s="44" t="s">
        <v>53</v>
      </c>
      <c r="F9" s="44" t="s">
        <v>53</v>
      </c>
      <c r="G9" s="44" t="s">
        <v>53</v>
      </c>
      <c r="H9" s="44">
        <v>2</v>
      </c>
      <c r="I9" s="44" t="s">
        <v>53</v>
      </c>
      <c r="J9" s="45">
        <f t="shared" si="1"/>
        <v>100</v>
      </c>
    </row>
    <row r="10" spans="1:11" ht="21" customHeight="1" x14ac:dyDescent="0.15">
      <c r="A10" s="44">
        <v>13400358</v>
      </c>
      <c r="B10" s="44">
        <v>0</v>
      </c>
      <c r="C10" s="44">
        <v>150</v>
      </c>
      <c r="D10" s="44">
        <v>100</v>
      </c>
      <c r="E10" s="44">
        <v>50</v>
      </c>
      <c r="F10" s="44" t="s">
        <v>53</v>
      </c>
      <c r="G10" s="44">
        <v>1</v>
      </c>
      <c r="H10" s="44" t="s">
        <v>250</v>
      </c>
      <c r="I10" s="44" t="s">
        <v>53</v>
      </c>
      <c r="J10" s="45">
        <f t="shared" si="1"/>
        <v>100</v>
      </c>
    </row>
    <row r="11" spans="1:11" ht="21" customHeight="1" x14ac:dyDescent="0.15">
      <c r="A11" s="44">
        <v>13400359</v>
      </c>
      <c r="B11" s="44">
        <v>0</v>
      </c>
      <c r="C11" s="44">
        <v>0</v>
      </c>
      <c r="D11" s="44">
        <v>100</v>
      </c>
      <c r="E11" s="44" t="s">
        <v>53</v>
      </c>
      <c r="F11" s="44" t="s">
        <v>53</v>
      </c>
      <c r="G11" s="44" t="s">
        <v>53</v>
      </c>
      <c r="H11" s="44" t="s">
        <v>250</v>
      </c>
      <c r="I11" s="44" t="s">
        <v>53</v>
      </c>
      <c r="J11" s="45">
        <f t="shared" si="1"/>
        <v>100</v>
      </c>
    </row>
    <row r="12" spans="1:11" ht="21" customHeight="1" x14ac:dyDescent="0.15">
      <c r="A12" s="44">
        <v>13400360</v>
      </c>
      <c r="B12" s="44">
        <v>1</v>
      </c>
      <c r="C12" s="44">
        <v>0</v>
      </c>
      <c r="D12" s="44">
        <v>100</v>
      </c>
      <c r="E12" s="44" t="s">
        <v>53</v>
      </c>
      <c r="F12" s="44" t="s">
        <v>53</v>
      </c>
      <c r="G12" s="44">
        <v>1</v>
      </c>
      <c r="H12" s="44" t="s">
        <v>250</v>
      </c>
      <c r="I12" s="44" t="s">
        <v>53</v>
      </c>
      <c r="J12" s="45">
        <f t="shared" si="1"/>
        <v>100</v>
      </c>
    </row>
    <row r="13" spans="1:11" ht="21" customHeight="1" x14ac:dyDescent="0.15">
      <c r="A13" s="44">
        <v>13400361</v>
      </c>
      <c r="B13" s="44">
        <v>0</v>
      </c>
      <c r="C13" s="44">
        <v>100</v>
      </c>
      <c r="D13" s="44">
        <v>100</v>
      </c>
      <c r="E13" s="44" t="s">
        <v>53</v>
      </c>
      <c r="F13" s="44" t="s">
        <v>53</v>
      </c>
      <c r="G13" s="44">
        <v>1</v>
      </c>
      <c r="H13" s="44">
        <v>1</v>
      </c>
      <c r="I13" s="44" t="s">
        <v>53</v>
      </c>
      <c r="J13" s="45">
        <f t="shared" si="1"/>
        <v>100</v>
      </c>
    </row>
    <row r="14" spans="1:11" ht="21" customHeight="1" x14ac:dyDescent="0.15">
      <c r="A14" s="44">
        <v>13400362</v>
      </c>
      <c r="B14" s="44">
        <v>0</v>
      </c>
      <c r="C14" s="44">
        <v>90</v>
      </c>
      <c r="D14" s="44">
        <v>100</v>
      </c>
      <c r="E14" s="44" t="s">
        <v>53</v>
      </c>
      <c r="F14" s="44" t="s">
        <v>53</v>
      </c>
      <c r="G14" s="44">
        <v>1</v>
      </c>
      <c r="H14" s="44">
        <v>2</v>
      </c>
      <c r="I14" s="44" t="s">
        <v>53</v>
      </c>
      <c r="J14" s="45">
        <f t="shared" si="1"/>
        <v>100</v>
      </c>
    </row>
    <row r="15" spans="1:11" ht="21" customHeight="1" x14ac:dyDescent="0.15">
      <c r="A15" s="44">
        <v>13400363</v>
      </c>
      <c r="B15" s="44">
        <v>0</v>
      </c>
      <c r="C15" s="44">
        <v>80</v>
      </c>
      <c r="D15" s="44">
        <v>100</v>
      </c>
      <c r="E15" s="44" t="s">
        <v>53</v>
      </c>
      <c r="F15" s="44" t="s">
        <v>53</v>
      </c>
      <c r="G15" s="44">
        <v>1</v>
      </c>
      <c r="H15" s="44">
        <v>3</v>
      </c>
      <c r="I15" s="44" t="s">
        <v>53</v>
      </c>
      <c r="J15" s="45">
        <f t="shared" si="1"/>
        <v>100</v>
      </c>
    </row>
    <row r="16" spans="1:11" ht="21" customHeight="1" x14ac:dyDescent="0.15">
      <c r="A16" s="44">
        <v>13400364</v>
      </c>
      <c r="B16" s="44">
        <v>0</v>
      </c>
      <c r="C16" s="44">
        <v>70</v>
      </c>
      <c r="D16" s="44">
        <v>100</v>
      </c>
      <c r="E16" s="44" t="s">
        <v>53</v>
      </c>
      <c r="F16" s="44" t="s">
        <v>53</v>
      </c>
      <c r="G16" s="44">
        <v>1</v>
      </c>
      <c r="H16" s="44">
        <v>4</v>
      </c>
      <c r="I16" s="44" t="s">
        <v>53</v>
      </c>
      <c r="J16" s="45">
        <f t="shared" si="1"/>
        <v>100</v>
      </c>
    </row>
    <row r="17" spans="1:10" ht="21" customHeight="1" x14ac:dyDescent="0.15">
      <c r="A17" s="44">
        <v>13400365</v>
      </c>
      <c r="B17" s="44">
        <v>0</v>
      </c>
      <c r="C17" s="44">
        <v>60</v>
      </c>
      <c r="D17" s="44">
        <v>100</v>
      </c>
      <c r="E17" s="44" t="s">
        <v>53</v>
      </c>
      <c r="F17" s="44" t="s">
        <v>53</v>
      </c>
      <c r="G17" s="44">
        <v>1</v>
      </c>
      <c r="H17" s="44">
        <v>5</v>
      </c>
      <c r="I17" s="44" t="s">
        <v>53</v>
      </c>
      <c r="J17" s="45">
        <f t="shared" si="1"/>
        <v>100</v>
      </c>
    </row>
    <row r="18" spans="1:10" ht="21" customHeight="1" x14ac:dyDescent="0.15">
      <c r="A18" s="44">
        <v>13400366</v>
      </c>
      <c r="B18" s="44">
        <v>0</v>
      </c>
      <c r="C18" s="44">
        <v>50</v>
      </c>
      <c r="D18" s="44">
        <v>100</v>
      </c>
      <c r="E18" s="44" t="s">
        <v>53</v>
      </c>
      <c r="F18" s="44" t="s">
        <v>53</v>
      </c>
      <c r="G18" s="44">
        <v>1</v>
      </c>
      <c r="H18" s="44">
        <v>6</v>
      </c>
      <c r="I18" s="44" t="s">
        <v>53</v>
      </c>
      <c r="J18" s="45">
        <f t="shared" si="1"/>
        <v>100</v>
      </c>
    </row>
    <row r="19" spans="1:10" ht="21" customHeight="1" x14ac:dyDescent="0.15">
      <c r="A19" s="44">
        <v>13400367</v>
      </c>
      <c r="B19" s="44">
        <v>0</v>
      </c>
      <c r="C19" s="44">
        <v>40</v>
      </c>
      <c r="D19" s="44">
        <v>100</v>
      </c>
      <c r="E19" s="44" t="s">
        <v>53</v>
      </c>
      <c r="F19" s="44" t="s">
        <v>53</v>
      </c>
      <c r="G19" s="44">
        <v>1</v>
      </c>
      <c r="H19" s="44">
        <v>7</v>
      </c>
      <c r="I19" s="44" t="s">
        <v>53</v>
      </c>
      <c r="J19" s="45">
        <f t="shared" si="1"/>
        <v>100</v>
      </c>
    </row>
    <row r="20" spans="1:10" ht="21" customHeight="1" x14ac:dyDescent="0.15">
      <c r="A20" s="44">
        <v>13400368</v>
      </c>
      <c r="B20" s="44">
        <v>0</v>
      </c>
      <c r="C20" s="44">
        <v>30</v>
      </c>
      <c r="D20" s="44">
        <v>100</v>
      </c>
      <c r="E20" s="44" t="s">
        <v>53</v>
      </c>
      <c r="F20" s="44" t="s">
        <v>53</v>
      </c>
      <c r="G20" s="44">
        <v>1</v>
      </c>
      <c r="H20" s="44">
        <v>8</v>
      </c>
      <c r="I20" s="44" t="s">
        <v>53</v>
      </c>
      <c r="J20" s="45">
        <f t="shared" si="1"/>
        <v>100</v>
      </c>
    </row>
    <row r="21" spans="1:10" ht="21" customHeight="1" x14ac:dyDescent="0.15">
      <c r="A21" s="44">
        <v>13400369</v>
      </c>
      <c r="B21" s="44">
        <v>0</v>
      </c>
      <c r="C21" s="44">
        <v>20</v>
      </c>
      <c r="D21" s="44">
        <v>100</v>
      </c>
      <c r="E21" s="44" t="s">
        <v>53</v>
      </c>
      <c r="F21" s="44" t="s">
        <v>53</v>
      </c>
      <c r="G21" s="44">
        <v>1</v>
      </c>
      <c r="H21" s="44">
        <v>9</v>
      </c>
      <c r="I21" s="44" t="s">
        <v>53</v>
      </c>
      <c r="J21" s="45">
        <f t="shared" si="1"/>
        <v>100</v>
      </c>
    </row>
    <row r="22" spans="1:10" ht="21" customHeight="1" x14ac:dyDescent="0.15">
      <c r="A22" s="44">
        <v>13400370</v>
      </c>
      <c r="B22" s="44">
        <v>1</v>
      </c>
      <c r="C22" s="44">
        <v>0</v>
      </c>
      <c r="D22" s="44">
        <v>100</v>
      </c>
      <c r="E22" s="44" t="s">
        <v>53</v>
      </c>
      <c r="F22" s="44" t="s">
        <v>53</v>
      </c>
      <c r="G22" s="44">
        <v>1</v>
      </c>
      <c r="H22" s="44" t="s">
        <v>250</v>
      </c>
      <c r="I22" s="44" t="s">
        <v>53</v>
      </c>
      <c r="J22" s="45">
        <f t="shared" si="1"/>
        <v>100</v>
      </c>
    </row>
    <row r="23" spans="1:10" ht="21" customHeight="1" x14ac:dyDescent="0.15">
      <c r="A23" s="44">
        <v>13400371</v>
      </c>
      <c r="B23" s="44">
        <v>0</v>
      </c>
      <c r="C23" s="44">
        <v>0</v>
      </c>
      <c r="D23" s="44">
        <v>50</v>
      </c>
      <c r="E23" s="44" t="s">
        <v>53</v>
      </c>
      <c r="F23" s="44" t="s">
        <v>53</v>
      </c>
      <c r="G23" s="44" t="s">
        <v>53</v>
      </c>
      <c r="H23" s="44" t="s">
        <v>250</v>
      </c>
      <c r="I23" s="44" t="s">
        <v>53</v>
      </c>
      <c r="J23" s="45">
        <f t="shared" si="1"/>
        <v>50</v>
      </c>
    </row>
    <row r="24" spans="1:10" ht="21" customHeight="1" x14ac:dyDescent="0.15">
      <c r="A24" s="44">
        <v>13400372</v>
      </c>
      <c r="B24" s="44">
        <v>0</v>
      </c>
      <c r="C24" s="44">
        <v>100</v>
      </c>
      <c r="D24" s="44">
        <v>100</v>
      </c>
      <c r="E24" s="44" t="s">
        <v>53</v>
      </c>
      <c r="F24" s="44" t="s">
        <v>53</v>
      </c>
      <c r="G24" s="44" t="s">
        <v>53</v>
      </c>
      <c r="H24" s="44">
        <v>5</v>
      </c>
      <c r="I24" s="44" t="s">
        <v>53</v>
      </c>
      <c r="J24" s="45">
        <f t="shared" si="1"/>
        <v>100</v>
      </c>
    </row>
    <row r="25" spans="1:10" ht="21" customHeight="1" x14ac:dyDescent="0.15">
      <c r="A25" s="44">
        <v>13400373</v>
      </c>
      <c r="B25" s="44">
        <v>0</v>
      </c>
      <c r="C25" s="44">
        <v>120</v>
      </c>
      <c r="D25" s="44">
        <v>100</v>
      </c>
      <c r="E25" s="44">
        <v>70</v>
      </c>
      <c r="F25" s="44" t="s">
        <v>53</v>
      </c>
      <c r="G25" s="44">
        <v>1</v>
      </c>
      <c r="H25" s="44" t="s">
        <v>250</v>
      </c>
      <c r="I25" s="44" t="s">
        <v>53</v>
      </c>
      <c r="J25" s="45">
        <f t="shared" si="1"/>
        <v>100</v>
      </c>
    </row>
    <row r="26" spans="1:10" ht="21" customHeight="1" x14ac:dyDescent="0.15">
      <c r="A26" s="44">
        <v>13400374</v>
      </c>
      <c r="B26" s="44">
        <v>0</v>
      </c>
      <c r="C26" s="44">
        <v>0</v>
      </c>
      <c r="D26" s="44">
        <v>100</v>
      </c>
      <c r="E26" s="44" t="s">
        <v>53</v>
      </c>
      <c r="F26" s="44" t="s">
        <v>53</v>
      </c>
      <c r="G26" s="44" t="s">
        <v>53</v>
      </c>
      <c r="H26" s="44" t="s">
        <v>250</v>
      </c>
      <c r="I26" s="44" t="s">
        <v>53</v>
      </c>
      <c r="J26" s="45">
        <f t="shared" si="1"/>
        <v>100</v>
      </c>
    </row>
    <row r="27" spans="1:10" ht="21" customHeight="1" x14ac:dyDescent="0.15">
      <c r="A27" s="44">
        <v>13400375</v>
      </c>
      <c r="B27" s="44">
        <v>1</v>
      </c>
      <c r="C27" s="44">
        <v>0</v>
      </c>
      <c r="D27" s="44">
        <v>100</v>
      </c>
      <c r="E27" s="44" t="s">
        <v>53</v>
      </c>
      <c r="F27" s="44" t="s">
        <v>53</v>
      </c>
      <c r="G27" s="44">
        <v>1</v>
      </c>
      <c r="H27" s="44" t="s">
        <v>250</v>
      </c>
      <c r="I27" s="44" t="s">
        <v>53</v>
      </c>
      <c r="J27" s="45">
        <f t="shared" si="1"/>
        <v>100</v>
      </c>
    </row>
    <row r="28" spans="1:10" ht="21" customHeight="1" x14ac:dyDescent="0.15">
      <c r="A28" s="44">
        <v>13400376</v>
      </c>
      <c r="B28" s="44">
        <v>0</v>
      </c>
      <c r="C28" s="44">
        <v>0</v>
      </c>
      <c r="D28" s="44">
        <v>50</v>
      </c>
      <c r="E28" s="44" t="s">
        <v>53</v>
      </c>
      <c r="F28" s="44" t="s">
        <v>53</v>
      </c>
      <c r="G28" s="44" t="s">
        <v>53</v>
      </c>
      <c r="H28" s="44" t="s">
        <v>250</v>
      </c>
      <c r="I28" s="44" t="s">
        <v>53</v>
      </c>
      <c r="J28" s="45">
        <f t="shared" si="1"/>
        <v>50</v>
      </c>
    </row>
    <row r="29" spans="1:10" ht="21" customHeight="1" x14ac:dyDescent="0.15">
      <c r="A29" s="44">
        <v>13400377</v>
      </c>
      <c r="B29" s="44">
        <v>0</v>
      </c>
      <c r="C29" s="44">
        <v>0</v>
      </c>
      <c r="D29" s="44">
        <v>50</v>
      </c>
      <c r="E29" s="44" t="s">
        <v>53</v>
      </c>
      <c r="F29" s="44" t="s">
        <v>53</v>
      </c>
      <c r="G29" s="44" t="s">
        <v>53</v>
      </c>
      <c r="H29" s="44" t="s">
        <v>250</v>
      </c>
      <c r="I29" s="44" t="s">
        <v>53</v>
      </c>
      <c r="J29" s="45">
        <f t="shared" si="1"/>
        <v>50</v>
      </c>
    </row>
    <row r="30" spans="1:10" ht="21" customHeight="1" x14ac:dyDescent="0.15">
      <c r="A30" s="44">
        <v>13400378</v>
      </c>
      <c r="B30" s="44">
        <v>0</v>
      </c>
      <c r="C30" s="44">
        <v>100</v>
      </c>
      <c r="D30" s="44">
        <v>100</v>
      </c>
      <c r="E30" s="44" t="s">
        <v>53</v>
      </c>
      <c r="F30" s="44" t="s">
        <v>53</v>
      </c>
      <c r="G30" s="44">
        <v>1</v>
      </c>
      <c r="H30" s="44">
        <v>3</v>
      </c>
      <c r="I30" s="44" t="s">
        <v>53</v>
      </c>
      <c r="J30" s="45">
        <f t="shared" si="1"/>
        <v>100</v>
      </c>
    </row>
    <row r="31" spans="1:10" ht="21" customHeight="1" x14ac:dyDescent="0.15">
      <c r="A31" s="44">
        <v>13400379</v>
      </c>
      <c r="B31" s="44">
        <v>0</v>
      </c>
      <c r="C31" s="44">
        <v>90</v>
      </c>
      <c r="D31" s="44">
        <v>100</v>
      </c>
      <c r="E31" s="44" t="s">
        <v>53</v>
      </c>
      <c r="F31" s="44" t="s">
        <v>53</v>
      </c>
      <c r="G31" s="44">
        <v>1</v>
      </c>
      <c r="H31" s="44">
        <v>6</v>
      </c>
      <c r="I31" s="44" t="s">
        <v>53</v>
      </c>
      <c r="J31" s="45">
        <f t="shared" si="1"/>
        <v>100</v>
      </c>
    </row>
    <row r="32" spans="1:10" ht="21" customHeight="1" x14ac:dyDescent="0.15">
      <c r="A32" s="44">
        <v>13400380</v>
      </c>
      <c r="B32" s="44">
        <v>0</v>
      </c>
      <c r="C32" s="44">
        <v>80</v>
      </c>
      <c r="D32" s="44">
        <v>100</v>
      </c>
      <c r="E32" s="44" t="s">
        <v>53</v>
      </c>
      <c r="F32" s="44" t="s">
        <v>53</v>
      </c>
      <c r="G32" s="44">
        <v>1</v>
      </c>
      <c r="H32" s="44">
        <v>9</v>
      </c>
      <c r="I32" s="44" t="s">
        <v>53</v>
      </c>
      <c r="J32" s="45">
        <f t="shared" si="1"/>
        <v>100</v>
      </c>
    </row>
    <row r="33" spans="1:10" ht="21" customHeight="1" x14ac:dyDescent="0.15">
      <c r="A33" s="44">
        <v>13400381</v>
      </c>
      <c r="B33" s="44">
        <v>0</v>
      </c>
      <c r="C33" s="44">
        <v>110</v>
      </c>
      <c r="D33" s="44">
        <v>100</v>
      </c>
      <c r="E33" s="44">
        <v>70</v>
      </c>
      <c r="F33" s="44" t="s">
        <v>53</v>
      </c>
      <c r="G33" s="44">
        <v>1</v>
      </c>
      <c r="H33" s="44" t="s">
        <v>250</v>
      </c>
      <c r="I33" s="44" t="s">
        <v>53</v>
      </c>
      <c r="J33" s="45">
        <f t="shared" si="1"/>
        <v>100</v>
      </c>
    </row>
    <row r="34" spans="1:10" ht="21" customHeight="1" x14ac:dyDescent="0.15">
      <c r="A34" s="44">
        <v>13400382</v>
      </c>
      <c r="B34" s="44">
        <v>0</v>
      </c>
      <c r="C34" s="44">
        <v>120</v>
      </c>
      <c r="D34" s="44">
        <v>100</v>
      </c>
      <c r="E34" s="44" t="s">
        <v>53</v>
      </c>
      <c r="F34" s="44" t="s">
        <v>53</v>
      </c>
      <c r="G34" s="44">
        <v>1</v>
      </c>
      <c r="H34" s="44">
        <v>12</v>
      </c>
      <c r="I34" s="44" t="s">
        <v>53</v>
      </c>
      <c r="J34" s="45">
        <f t="shared" si="1"/>
        <v>100</v>
      </c>
    </row>
    <row r="35" spans="1:10" ht="21" customHeight="1" x14ac:dyDescent="0.15">
      <c r="A35" s="44">
        <v>13400383</v>
      </c>
      <c r="B35" s="44">
        <v>0</v>
      </c>
      <c r="C35" s="44">
        <v>130</v>
      </c>
      <c r="D35" s="44">
        <v>100</v>
      </c>
      <c r="E35" s="44" t="s">
        <v>53</v>
      </c>
      <c r="F35" s="44" t="s">
        <v>53</v>
      </c>
      <c r="G35" s="44">
        <v>1</v>
      </c>
      <c r="H35" s="44">
        <v>11</v>
      </c>
      <c r="I35" s="44" t="s">
        <v>53</v>
      </c>
      <c r="J35" s="45">
        <f t="shared" si="1"/>
        <v>100</v>
      </c>
    </row>
    <row r="36" spans="1:10" ht="21" customHeight="1" x14ac:dyDescent="0.15">
      <c r="A36" s="44">
        <v>13400384</v>
      </c>
      <c r="B36" s="44">
        <v>0</v>
      </c>
      <c r="C36" s="44">
        <v>0</v>
      </c>
      <c r="D36" s="44">
        <v>100</v>
      </c>
      <c r="E36" s="44" t="s">
        <v>53</v>
      </c>
      <c r="F36" s="44" t="s">
        <v>53</v>
      </c>
      <c r="G36" s="44" t="s">
        <v>53</v>
      </c>
      <c r="H36" s="44" t="s">
        <v>250</v>
      </c>
      <c r="I36" s="44" t="s">
        <v>53</v>
      </c>
      <c r="J36" s="45">
        <f t="shared" si="1"/>
        <v>100</v>
      </c>
    </row>
    <row r="37" spans="1:10" ht="21" customHeight="1" x14ac:dyDescent="0.15">
      <c r="A37" s="44">
        <v>13400385</v>
      </c>
      <c r="B37" s="44">
        <v>1</v>
      </c>
      <c r="C37" s="44">
        <v>0</v>
      </c>
      <c r="D37" s="44">
        <v>100</v>
      </c>
      <c r="E37" s="44" t="s">
        <v>53</v>
      </c>
      <c r="F37" s="44" t="s">
        <v>53</v>
      </c>
      <c r="G37" s="44">
        <v>1</v>
      </c>
      <c r="H37" s="44" t="s">
        <v>250</v>
      </c>
      <c r="I37" s="44" t="s">
        <v>53</v>
      </c>
      <c r="J37" s="45">
        <f t="shared" si="1"/>
        <v>100</v>
      </c>
    </row>
    <row r="38" spans="1:10" ht="21" customHeight="1" x14ac:dyDescent="0.15">
      <c r="A38" s="44">
        <v>13400386</v>
      </c>
      <c r="B38" s="44">
        <v>0</v>
      </c>
      <c r="C38" s="44">
        <v>0</v>
      </c>
      <c r="D38" s="44">
        <v>100</v>
      </c>
      <c r="E38" s="44" t="s">
        <v>53</v>
      </c>
      <c r="F38" s="44" t="s">
        <v>53</v>
      </c>
      <c r="G38" s="44" t="s">
        <v>53</v>
      </c>
      <c r="H38" s="44" t="s">
        <v>250</v>
      </c>
      <c r="I38" s="44" t="s">
        <v>53</v>
      </c>
      <c r="J38" s="45">
        <f t="shared" si="1"/>
        <v>100</v>
      </c>
    </row>
    <row r="39" spans="1:10" ht="21" customHeight="1" x14ac:dyDescent="0.15">
      <c r="A39" s="44">
        <v>13400387</v>
      </c>
      <c r="B39" s="44">
        <v>0</v>
      </c>
      <c r="C39" s="44">
        <v>100</v>
      </c>
      <c r="D39" s="44">
        <v>100</v>
      </c>
      <c r="E39" s="44" t="s">
        <v>53</v>
      </c>
      <c r="F39" s="44" t="s">
        <v>53</v>
      </c>
      <c r="G39" s="44" t="s">
        <v>53</v>
      </c>
      <c r="H39" s="44">
        <v>3</v>
      </c>
      <c r="I39" s="44" t="s">
        <v>53</v>
      </c>
      <c r="J39" s="45">
        <f t="shared" si="1"/>
        <v>100</v>
      </c>
    </row>
    <row r="40" spans="1:10" ht="21" customHeight="1" x14ac:dyDescent="0.15">
      <c r="A40" s="44">
        <v>13400388</v>
      </c>
      <c r="B40" s="44">
        <v>0</v>
      </c>
      <c r="C40" s="44">
        <v>110</v>
      </c>
      <c r="D40" s="44">
        <v>100</v>
      </c>
      <c r="E40" s="44">
        <v>40</v>
      </c>
      <c r="F40" s="44" t="s">
        <v>53</v>
      </c>
      <c r="G40" s="44">
        <v>1</v>
      </c>
      <c r="H40" s="44" t="s">
        <v>250</v>
      </c>
      <c r="I40" s="44" t="s">
        <v>53</v>
      </c>
      <c r="J40" s="45">
        <f t="shared" si="1"/>
        <v>100</v>
      </c>
    </row>
    <row r="41" spans="1:10" ht="21" customHeight="1" x14ac:dyDescent="0.15">
      <c r="A41" s="44">
        <v>13400389</v>
      </c>
      <c r="B41" s="44">
        <v>0</v>
      </c>
      <c r="C41" s="44">
        <v>120</v>
      </c>
      <c r="D41" s="44">
        <v>100</v>
      </c>
      <c r="E41" s="44">
        <v>20</v>
      </c>
      <c r="F41" s="44" t="s">
        <v>53</v>
      </c>
      <c r="G41" s="44">
        <v>1</v>
      </c>
      <c r="H41" s="44" t="s">
        <v>250</v>
      </c>
      <c r="I41" s="44" t="s">
        <v>53</v>
      </c>
      <c r="J41" s="45">
        <f t="shared" si="1"/>
        <v>100</v>
      </c>
    </row>
    <row r="42" spans="1:10" ht="21" customHeight="1" x14ac:dyDescent="0.15">
      <c r="A42" s="44">
        <v>13400390</v>
      </c>
      <c r="B42" s="44">
        <v>0</v>
      </c>
      <c r="C42" s="44">
        <v>130</v>
      </c>
      <c r="D42" s="44">
        <v>100</v>
      </c>
      <c r="E42" s="44" t="s">
        <v>53</v>
      </c>
      <c r="F42" s="44" t="s">
        <v>53</v>
      </c>
      <c r="G42" s="44">
        <v>1</v>
      </c>
      <c r="H42" s="44">
        <v>12</v>
      </c>
      <c r="I42" s="44" t="s">
        <v>53</v>
      </c>
      <c r="J42" s="45">
        <f t="shared" si="1"/>
        <v>100</v>
      </c>
    </row>
    <row r="43" spans="1:10" ht="21" customHeight="1" x14ac:dyDescent="0.15">
      <c r="A43" s="44">
        <v>13400391</v>
      </c>
      <c r="B43" s="44">
        <v>0</v>
      </c>
      <c r="C43" s="44">
        <v>0</v>
      </c>
      <c r="D43" s="44">
        <v>100</v>
      </c>
      <c r="E43" s="44" t="s">
        <v>53</v>
      </c>
      <c r="F43" s="44" t="s">
        <v>53</v>
      </c>
      <c r="G43" s="44">
        <v>0</v>
      </c>
      <c r="H43" s="44" t="s">
        <v>250</v>
      </c>
      <c r="I43" s="44">
        <v>0</v>
      </c>
      <c r="J43" s="45">
        <f t="shared" si="1"/>
        <v>100</v>
      </c>
    </row>
    <row r="44" spans="1:10" ht="21" customHeight="1" x14ac:dyDescent="0.15">
      <c r="A44" s="44">
        <v>13400392</v>
      </c>
      <c r="B44" s="44">
        <v>0</v>
      </c>
      <c r="C44" s="44">
        <v>140</v>
      </c>
      <c r="D44" s="44">
        <v>100</v>
      </c>
      <c r="E44" s="44" t="s">
        <v>53</v>
      </c>
      <c r="F44" s="44" t="s">
        <v>53</v>
      </c>
      <c r="G44" s="44">
        <v>1</v>
      </c>
      <c r="H44" s="44">
        <v>11</v>
      </c>
      <c r="I44" s="44" t="s">
        <v>53</v>
      </c>
      <c r="J44" s="45">
        <f t="shared" si="1"/>
        <v>100</v>
      </c>
    </row>
    <row r="45" spans="1:10" ht="21" customHeight="1" x14ac:dyDescent="0.15">
      <c r="A45" s="44">
        <v>13400393</v>
      </c>
      <c r="B45" s="44">
        <v>0</v>
      </c>
      <c r="C45" s="44">
        <v>0</v>
      </c>
      <c r="D45" s="44">
        <v>100</v>
      </c>
      <c r="E45" s="44" t="s">
        <v>53</v>
      </c>
      <c r="F45" s="44" t="s">
        <v>53</v>
      </c>
      <c r="G45" s="44" t="s">
        <v>53</v>
      </c>
      <c r="H45" s="44" t="s">
        <v>250</v>
      </c>
      <c r="I45" s="44" t="s">
        <v>53</v>
      </c>
      <c r="J45" s="45">
        <f t="shared" si="1"/>
        <v>100</v>
      </c>
    </row>
    <row r="46" spans="1:10" ht="21" customHeight="1" x14ac:dyDescent="0.15">
      <c r="A46" s="44">
        <v>13400394</v>
      </c>
      <c r="B46" s="44">
        <v>0</v>
      </c>
      <c r="C46" s="44">
        <v>0</v>
      </c>
      <c r="D46" s="44">
        <v>100</v>
      </c>
      <c r="E46" s="44" t="s">
        <v>53</v>
      </c>
      <c r="F46" s="44" t="s">
        <v>53</v>
      </c>
      <c r="G46" s="44" t="s">
        <v>53</v>
      </c>
      <c r="H46" s="44" t="s">
        <v>250</v>
      </c>
      <c r="I46" s="44" t="s">
        <v>53</v>
      </c>
      <c r="J46" s="45">
        <f t="shared" si="1"/>
        <v>100</v>
      </c>
    </row>
  </sheetData>
  <autoFilter ref="A1:G1"/>
  <phoneticPr fontId="5"/>
  <conditionalFormatting sqref="K47:K1048576 K1:K2">
    <cfRule type="duplicateValues" dxfId="1" priority="2"/>
  </conditionalFormatting>
  <conditionalFormatting sqref="K3:K46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topLeftCell="E1" workbookViewId="0">
      <selection activeCell="N31" sqref="N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149</v>
      </c>
      <c r="B1" s="61" t="s">
        <v>150</v>
      </c>
      <c r="C1" s="62" t="s">
        <v>151</v>
      </c>
      <c r="D1" s="68" t="s">
        <v>152</v>
      </c>
      <c r="E1" s="63" t="s">
        <v>153</v>
      </c>
      <c r="F1" s="61" t="s">
        <v>154</v>
      </c>
      <c r="G1" s="61" t="s">
        <v>155</v>
      </c>
      <c r="H1" s="61" t="s">
        <v>156</v>
      </c>
      <c r="I1" s="61" t="s">
        <v>157</v>
      </c>
      <c r="J1" s="61" t="s">
        <v>158</v>
      </c>
      <c r="K1" s="61" t="s">
        <v>159</v>
      </c>
      <c r="L1" s="61" t="s">
        <v>160</v>
      </c>
      <c r="M1" s="61" t="s">
        <v>161</v>
      </c>
      <c r="N1" s="61" t="s">
        <v>162</v>
      </c>
      <c r="O1" s="61" t="s">
        <v>163</v>
      </c>
      <c r="P1" s="61" t="s">
        <v>164</v>
      </c>
      <c r="Q1" s="61" t="s">
        <v>165</v>
      </c>
      <c r="R1" s="61" t="s">
        <v>166</v>
      </c>
    </row>
    <row r="2" spans="1:18" x14ac:dyDescent="0.15">
      <c r="A2" s="54">
        <v>13400</v>
      </c>
      <c r="B2" s="54">
        <v>9</v>
      </c>
      <c r="C2" s="67" t="str">
        <f>A2&amp; "_"&amp;B2</f>
        <v>13400_9</v>
      </c>
      <c r="D2" s="16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290</v>
      </c>
      <c r="G2" s="54">
        <v>123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20</v>
      </c>
      <c r="Q2" s="54" t="s">
        <v>167</v>
      </c>
      <c r="R2" s="54" t="s">
        <v>168</v>
      </c>
    </row>
    <row r="3" spans="1:18" x14ac:dyDescent="0.15">
      <c r="A3" s="54">
        <v>13400</v>
      </c>
      <c r="B3" s="54">
        <v>9</v>
      </c>
      <c r="C3" s="67" t="str">
        <f t="shared" ref="C3:C9" si="0">A3&amp; "_"&amp;B3</f>
        <v>13400_9</v>
      </c>
      <c r="D3" s="16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290</v>
      </c>
      <c r="G3" s="54">
        <v>609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80</v>
      </c>
      <c r="Q3" s="54" t="s">
        <v>167</v>
      </c>
      <c r="R3" s="54" t="s">
        <v>168</v>
      </c>
    </row>
    <row r="4" spans="1:18" x14ac:dyDescent="0.15">
      <c r="A4" s="54">
        <v>13400</v>
      </c>
      <c r="B4" s="54">
        <v>9</v>
      </c>
      <c r="C4" s="67" t="str">
        <f t="shared" si="0"/>
        <v>13400_9</v>
      </c>
      <c r="D4" s="16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290</v>
      </c>
      <c r="G4" s="54">
        <v>613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120</v>
      </c>
      <c r="Q4" s="54" t="s">
        <v>167</v>
      </c>
      <c r="R4" s="54" t="s">
        <v>168</v>
      </c>
    </row>
    <row r="5" spans="1:18" x14ac:dyDescent="0.15">
      <c r="A5" s="54">
        <v>13400</v>
      </c>
      <c r="B5" s="54">
        <v>9</v>
      </c>
      <c r="C5" s="67" t="str">
        <f t="shared" si="0"/>
        <v>13400_9</v>
      </c>
      <c r="D5" s="16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290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40</v>
      </c>
      <c r="Q5" s="54" t="s">
        <v>167</v>
      </c>
      <c r="R5" s="54" t="s">
        <v>168</v>
      </c>
    </row>
    <row r="6" spans="1:18" x14ac:dyDescent="0.15">
      <c r="A6" s="54">
        <v>13400</v>
      </c>
      <c r="B6" s="54">
        <v>9</v>
      </c>
      <c r="C6" s="67" t="str">
        <f t="shared" si="0"/>
        <v>13400_9</v>
      </c>
      <c r="D6" s="16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290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167</v>
      </c>
      <c r="R6" s="54" t="s">
        <v>168</v>
      </c>
    </row>
    <row r="7" spans="1:18" x14ac:dyDescent="0.15">
      <c r="A7" s="54">
        <v>13400</v>
      </c>
      <c r="B7" s="54">
        <v>9</v>
      </c>
      <c r="C7" s="67" t="str">
        <f t="shared" si="0"/>
        <v>13400_9</v>
      </c>
      <c r="D7" s="16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291</v>
      </c>
      <c r="G7" s="54">
        <v>500</v>
      </c>
      <c r="H7" s="54" t="s">
        <v>89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370</v>
      </c>
      <c r="Q7" s="54" t="s">
        <v>167</v>
      </c>
      <c r="R7" s="54" t="s">
        <v>168</v>
      </c>
    </row>
    <row r="8" spans="1:18" x14ac:dyDescent="0.15">
      <c r="A8" s="54">
        <v>13400</v>
      </c>
      <c r="B8" s="54">
        <v>9</v>
      </c>
      <c r="C8" s="67" t="str">
        <f t="shared" si="0"/>
        <v>13400_9</v>
      </c>
      <c r="D8" s="16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290</v>
      </c>
      <c r="G8" s="54">
        <v>338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20</v>
      </c>
      <c r="Q8" s="54" t="s">
        <v>167</v>
      </c>
      <c r="R8" s="54" t="s">
        <v>168</v>
      </c>
    </row>
    <row r="9" spans="1:18" x14ac:dyDescent="0.15">
      <c r="A9" s="54">
        <v>13400</v>
      </c>
      <c r="B9" s="54">
        <v>9</v>
      </c>
      <c r="C9" s="67" t="str">
        <f t="shared" si="0"/>
        <v>13400_9</v>
      </c>
      <c r="D9" s="16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290</v>
      </c>
      <c r="G9" s="54">
        <v>339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310</v>
      </c>
      <c r="Q9" s="54" t="s">
        <v>167</v>
      </c>
      <c r="R9" s="54" t="s">
        <v>168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L11" sqref="L11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7" t="s">
        <v>193</v>
      </c>
      <c r="J1" s="75" t="s">
        <v>126</v>
      </c>
      <c r="K1" s="74" t="s">
        <v>184</v>
      </c>
      <c r="L1" s="88" t="s">
        <v>183</v>
      </c>
      <c r="M1" s="76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M19" sqref="M19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2" t="s">
        <v>186</v>
      </c>
      <c r="B1" s="69" t="s">
        <v>149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5" t="s">
        <v>192</v>
      </c>
      <c r="J1" s="87" t="s">
        <v>193</v>
      </c>
      <c r="K1" s="75" t="s">
        <v>126</v>
      </c>
      <c r="L1" s="74" t="s">
        <v>184</v>
      </c>
      <c r="M1" s="88" t="s">
        <v>183</v>
      </c>
      <c r="N1" s="76" t="s">
        <v>194</v>
      </c>
      <c r="O1" s="88" t="s">
        <v>253</v>
      </c>
    </row>
    <row r="2" spans="1:15" ht="61" customHeight="1" x14ac:dyDescent="0.15">
      <c r="A2" s="77" t="s">
        <v>195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9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9階 攻撃タイプ限定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>
        <v>1</v>
      </c>
      <c r="I2" s="86">
        <f>ROW()-1</f>
        <v>1</v>
      </c>
      <c r="J2" s="82">
        <v>13400350</v>
      </c>
      <c r="K2" s="80" t="s">
        <v>196</v>
      </c>
      <c r="L2" s="83" t="s">
        <v>249</v>
      </c>
      <c r="M2" s="109" t="s">
        <v>345</v>
      </c>
      <c r="N2" s="54" t="s">
        <v>197</v>
      </c>
      <c r="O2" s="105" t="str">
        <f>"１２３４５６７８９０１２３４５６７８９０"&amp;M2</f>
        <v>１２３４５６７８９０１２３４５６７８９０オルトロスは緑パネルを吸収して_x000D_強力な攻撃を行います_x000D_緑パネルをこまめに消して対応しましょう</v>
      </c>
    </row>
    <row r="3" spans="1:15" ht="61" customHeight="1" x14ac:dyDescent="0.15">
      <c r="A3" s="77" t="s">
        <v>195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9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9階 攻撃タイプ限定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>
        <v>2</v>
      </c>
      <c r="I3" s="86">
        <f t="shared" ref="I3:I4" si="0">ROW()-1</f>
        <v>2</v>
      </c>
      <c r="J3" s="82">
        <v>13400351</v>
      </c>
      <c r="K3" s="80" t="s">
        <v>196</v>
      </c>
      <c r="L3" s="83" t="s">
        <v>249</v>
      </c>
      <c r="M3" s="109" t="s">
        <v>346</v>
      </c>
      <c r="N3" s="54" t="s">
        <v>197</v>
      </c>
      <c r="O3" s="105" t="str">
        <f t="shared" ref="O3:O4" si="1">"１２３４５６７８９０１２３４５６７８９０"&amp;M3</f>
        <v>１２３４５６７８９０１２３４５６７８９０フェニックスは攻撃力を_x000D_大きく下げるスキルを使用します_x000D_スキルで解除するか_x000D_優先して倒すようにしましょう</v>
      </c>
    </row>
    <row r="4" spans="1:15" ht="61" customHeight="1" x14ac:dyDescent="0.15">
      <c r="A4" s="77" t="s">
        <v>195</v>
      </c>
      <c r="B4" s="78">
        <v>13400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0">
        <v>9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9階 攻撃タイプ限定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1">
        <v>3</v>
      </c>
      <c r="I4" s="86">
        <f t="shared" si="0"/>
        <v>3</v>
      </c>
      <c r="J4" s="82">
        <v>13400352</v>
      </c>
      <c r="K4" s="80" t="s">
        <v>196</v>
      </c>
      <c r="L4" s="83" t="s">
        <v>249</v>
      </c>
      <c r="M4" s="109" t="s">
        <v>347</v>
      </c>
      <c r="N4" s="54" t="s">
        <v>197</v>
      </c>
      <c r="O4" s="105" t="str">
        <f t="shared" si="1"/>
        <v>１２３４５６７８９０１２３４５６７８９０デルピュネーは特定のタイミングで_x000D_自己回復のスキルを使用します_x000D_徐々に回復量が大きくなるので_x000D_時間をかけると不利になってしまいます</v>
      </c>
    </row>
  </sheetData>
  <phoneticPr fontId="5"/>
  <dataValidations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G1" workbookViewId="0">
      <pane ySplit="1" topLeftCell="A2" activePane="bottomLeft" state="frozen"/>
      <selection pane="bottomLeft" activeCell="H2" sqref="H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3" t="s">
        <v>211</v>
      </c>
      <c r="D1" s="73" t="s">
        <v>33</v>
      </c>
      <c r="E1" s="91" t="s">
        <v>212</v>
      </c>
      <c r="F1" s="73" t="s">
        <v>213</v>
      </c>
      <c r="G1" s="73" t="s">
        <v>33</v>
      </c>
      <c r="H1" s="91" t="s">
        <v>214</v>
      </c>
      <c r="I1" s="91" t="s">
        <v>215</v>
      </c>
      <c r="J1" s="91" t="s">
        <v>216</v>
      </c>
      <c r="K1" s="69" t="s">
        <v>217</v>
      </c>
      <c r="L1" s="69" t="s">
        <v>218</v>
      </c>
      <c r="M1" s="69" t="s">
        <v>155</v>
      </c>
      <c r="N1" s="73" t="s">
        <v>16</v>
      </c>
      <c r="O1" s="69" t="s">
        <v>219</v>
      </c>
      <c r="P1" s="69" t="s">
        <v>57</v>
      </c>
      <c r="Q1" s="69" t="s">
        <v>220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221</v>
      </c>
      <c r="X1" s="69" t="s">
        <v>222</v>
      </c>
    </row>
    <row r="2" spans="1:24" x14ac:dyDescent="0.15">
      <c r="A2" s="92" t="str">
        <f>B2&amp;"_"&amp;E2&amp;"_"&amp;H2&amp;"_"&amp;I2&amp;"_"&amp;J2</f>
        <v>13400_9_singleonly_clear_1</v>
      </c>
      <c r="B2" s="78">
        <v>13400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0">
        <v>9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9階 攻撃タイプ限定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1" t="s">
        <v>320</v>
      </c>
      <c r="I2" s="80" t="s">
        <v>223</v>
      </c>
      <c r="J2" s="80">
        <v>1</v>
      </c>
      <c r="K2" s="80">
        <v>570</v>
      </c>
      <c r="L2" s="80" t="s">
        <v>288</v>
      </c>
      <c r="M2" s="80">
        <v>20000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13400_9_singleonly_clear_2</v>
      </c>
      <c r="B3" s="78">
        <v>13400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0">
        <v>9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9階 攻撃タイプ限定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1" t="s">
        <v>319</v>
      </c>
      <c r="I3" s="80" t="s">
        <v>223</v>
      </c>
      <c r="J3" s="80">
        <v>2</v>
      </c>
      <c r="K3" s="80">
        <v>430</v>
      </c>
      <c r="L3" s="80" t="s">
        <v>289</v>
      </c>
      <c r="M3" s="80">
        <v>55000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0">
        <v>1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2017-03-24T03:50:22Z</dcterms:modified>
</cp:coreProperties>
</file>