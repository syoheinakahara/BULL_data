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340" yWindow="760" windowWidth="2782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s>
  <definedNames>
    <definedName name="_xlnm._FilterDatabase" localSheetId="6" hidden="1">awake_materials!$B$1:$H$1</definedName>
    <definedName name="_xlnm._FilterDatabase" localSheetId="3" hidden="1">crash_skills!$A$1:$K$1</definedName>
    <definedName name="_xlnm._FilterDatabase" localSheetId="5" hidden="1">fork_awake_units!$A$1:$U$2</definedName>
    <definedName name="_xlnm._FilterDatabase" localSheetId="2" hidden="1">unit_skills!$A$1:$T$1</definedName>
    <definedName name="_xlnm._FilterDatabase" localSheetId="1" hidden="1">units!$A$1:$BQ$1</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2" i="23" l="1"/>
  <c r="BR2" i="23"/>
  <c r="H3" i="23"/>
  <c r="BR3" i="23"/>
  <c r="H4" i="23"/>
  <c r="BR4" i="23"/>
  <c r="H5" i="23"/>
  <c r="BR5" i="23"/>
  <c r="H6" i="23"/>
  <c r="BR6" i="23"/>
  <c r="H7" i="23"/>
  <c r="BR7" i="23"/>
  <c r="H8" i="23"/>
  <c r="BR8" i="23"/>
  <c r="H9" i="23"/>
  <c r="BR9" i="23"/>
  <c r="H10" i="23"/>
  <c r="H11" i="23"/>
  <c r="H12" i="23"/>
  <c r="H13" i="23"/>
  <c r="H14" i="23"/>
  <c r="H15" i="23"/>
  <c r="H16" i="23"/>
  <c r="H17" i="23"/>
  <c r="H18" i="23"/>
  <c r="H19" i="23"/>
  <c r="H20" i="23"/>
  <c r="H21" i="23"/>
  <c r="H22" i="23"/>
  <c r="H23" i="23"/>
  <c r="H24" i="23"/>
  <c r="H25" i="23"/>
  <c r="H26" i="23"/>
  <c r="H27" i="23"/>
  <c r="H28" i="23"/>
  <c r="S7" i="58"/>
  <c r="S9" i="58"/>
  <c r="G34" i="3"/>
  <c r="AE2" i="23"/>
  <c r="AE4" i="23"/>
  <c r="AE6" i="23"/>
  <c r="AE8" i="23"/>
  <c r="AE10" i="23"/>
  <c r="AE13" i="23"/>
  <c r="AE15" i="23"/>
  <c r="AE17" i="23"/>
  <c r="AE19" i="23"/>
  <c r="AE21" i="23"/>
  <c r="AE23" i="23"/>
  <c r="AE25" i="23"/>
  <c r="AE27" i="23"/>
  <c r="G9" i="58"/>
  <c r="U9" i="58"/>
  <c r="T9" i="58"/>
  <c r="R9" i="58"/>
  <c r="P9" i="58"/>
  <c r="O9" i="58"/>
  <c r="N9" i="58"/>
  <c r="M9" i="58"/>
  <c r="L9" i="58"/>
  <c r="J9" i="58"/>
  <c r="K9" i="58"/>
  <c r="I9" i="58"/>
  <c r="H9" i="58"/>
  <c r="F9" i="58"/>
  <c r="E9" i="58"/>
  <c r="D9" i="58"/>
  <c r="C9" i="58"/>
  <c r="B9" i="58"/>
  <c r="J2" i="3"/>
  <c r="J4" i="3"/>
  <c r="G4" i="3"/>
  <c r="B2" i="23"/>
  <c r="D4" i="3"/>
  <c r="C4" i="3"/>
  <c r="A4" i="3"/>
  <c r="J15" i="3"/>
  <c r="G15" i="3"/>
  <c r="B8" i="23"/>
  <c r="D15" i="3"/>
  <c r="C15" i="3"/>
  <c r="A15" i="3"/>
  <c r="J11" i="3"/>
  <c r="G11" i="3"/>
  <c r="B6" i="23"/>
  <c r="D11" i="3"/>
  <c r="C11" i="3"/>
  <c r="A11" i="3"/>
  <c r="G17" i="58"/>
  <c r="U17" i="58"/>
  <c r="S17" i="58"/>
  <c r="T17" i="58"/>
  <c r="R17" i="58"/>
  <c r="P17" i="58"/>
  <c r="O17" i="58"/>
  <c r="N17" i="58"/>
  <c r="M17" i="58"/>
  <c r="L17" i="58"/>
  <c r="J17" i="58"/>
  <c r="K17" i="58"/>
  <c r="I17" i="58"/>
  <c r="H17" i="58"/>
  <c r="F17" i="58"/>
  <c r="E17" i="58"/>
  <c r="D17" i="58"/>
  <c r="C17" i="58"/>
  <c r="B17" i="58"/>
  <c r="G51" i="3"/>
  <c r="J48" i="3"/>
  <c r="J53" i="3"/>
  <c r="G53" i="3"/>
  <c r="B27" i="23"/>
  <c r="D53" i="3"/>
  <c r="C53" i="3"/>
  <c r="A53" i="3"/>
  <c r="J52" i="3"/>
  <c r="G52" i="3"/>
  <c r="D52" i="3"/>
  <c r="C52" i="3"/>
  <c r="A52" i="3"/>
  <c r="J51" i="3"/>
  <c r="D51" i="3"/>
  <c r="C51" i="3"/>
  <c r="A51" i="3"/>
  <c r="J42" i="3"/>
  <c r="J41" i="3"/>
  <c r="G42" i="3"/>
  <c r="B21" i="23"/>
  <c r="D42" i="3"/>
  <c r="C42" i="3"/>
  <c r="A42" i="3"/>
  <c r="J40" i="3"/>
  <c r="J39" i="3"/>
  <c r="J38" i="3"/>
  <c r="J37" i="3"/>
  <c r="J36" i="3"/>
  <c r="J35" i="3"/>
  <c r="J29" i="3"/>
  <c r="J28" i="3"/>
  <c r="G29" i="3"/>
  <c r="B13" i="23"/>
  <c r="D29" i="3"/>
  <c r="C29" i="3"/>
  <c r="A29" i="3"/>
  <c r="J27" i="3"/>
  <c r="B12" i="23"/>
  <c r="D27" i="3"/>
  <c r="C27" i="3"/>
  <c r="A27" i="3"/>
  <c r="J22" i="3"/>
  <c r="B10" i="23"/>
  <c r="D22" i="3"/>
  <c r="C22" i="3"/>
  <c r="A22" i="3"/>
  <c r="J21" i="3"/>
  <c r="D21" i="3"/>
  <c r="C21" i="3"/>
  <c r="A21" i="3"/>
  <c r="J19" i="3"/>
  <c r="G19" i="3"/>
  <c r="D19" i="3"/>
  <c r="C19" i="3"/>
  <c r="A19" i="3"/>
  <c r="J18" i="3"/>
  <c r="J17" i="3"/>
  <c r="B11" i="23"/>
  <c r="J50" i="3"/>
  <c r="G50" i="3"/>
  <c r="B25" i="23"/>
  <c r="D50" i="3"/>
  <c r="C50" i="3"/>
  <c r="A50" i="3"/>
  <c r="J49" i="3"/>
  <c r="G49" i="3"/>
  <c r="D49" i="3"/>
  <c r="C49" i="3"/>
  <c r="A49" i="3"/>
  <c r="G48" i="3"/>
  <c r="D48" i="3"/>
  <c r="C48" i="3"/>
  <c r="A48" i="3"/>
  <c r="J47" i="3"/>
  <c r="G47" i="3"/>
  <c r="B23" i="23"/>
  <c r="D47" i="3"/>
  <c r="C47" i="3"/>
  <c r="A47" i="3"/>
  <c r="J46" i="3"/>
  <c r="G46" i="3"/>
  <c r="D46" i="3"/>
  <c r="C46" i="3"/>
  <c r="A46" i="3"/>
  <c r="J45" i="3"/>
  <c r="G45" i="3"/>
  <c r="D45" i="3"/>
  <c r="C45" i="3"/>
  <c r="A45" i="3"/>
  <c r="J44" i="3"/>
  <c r="G44" i="3"/>
  <c r="D44" i="3"/>
  <c r="C44" i="3"/>
  <c r="A44" i="3"/>
  <c r="J43" i="3"/>
  <c r="G43" i="3"/>
  <c r="D43" i="3"/>
  <c r="C43" i="3"/>
  <c r="A43" i="3"/>
  <c r="G41" i="3"/>
  <c r="D41" i="3"/>
  <c r="C41" i="3"/>
  <c r="A41" i="3"/>
  <c r="G40" i="3"/>
  <c r="B19" i="23"/>
  <c r="D40" i="3"/>
  <c r="C40" i="3"/>
  <c r="A40" i="3"/>
  <c r="G39" i="3"/>
  <c r="D39" i="3"/>
  <c r="C39" i="3"/>
  <c r="A39" i="3"/>
  <c r="G38" i="3"/>
  <c r="D38" i="3"/>
  <c r="C38" i="3"/>
  <c r="A38" i="3"/>
  <c r="G37" i="3"/>
  <c r="B17" i="23"/>
  <c r="D37" i="3"/>
  <c r="C37" i="3"/>
  <c r="A37" i="3"/>
  <c r="G36" i="3"/>
  <c r="D36" i="3"/>
  <c r="C36" i="3"/>
  <c r="A36" i="3"/>
  <c r="G35" i="3"/>
  <c r="D35" i="3"/>
  <c r="C35" i="3"/>
  <c r="A35" i="3"/>
  <c r="J34" i="3"/>
  <c r="B15" i="23"/>
  <c r="D34" i="3"/>
  <c r="C34" i="3"/>
  <c r="A34" i="3"/>
  <c r="J33" i="3"/>
  <c r="G33" i="3"/>
  <c r="D33" i="3"/>
  <c r="C33" i="3"/>
  <c r="A33" i="3"/>
  <c r="J32" i="3"/>
  <c r="G32" i="3"/>
  <c r="D32" i="3"/>
  <c r="C32" i="3"/>
  <c r="A32" i="3"/>
  <c r="J31" i="3"/>
  <c r="G31" i="3"/>
  <c r="D31" i="3"/>
  <c r="C31" i="3"/>
  <c r="A31" i="3"/>
  <c r="J30" i="3"/>
  <c r="G30" i="3"/>
  <c r="D30" i="3"/>
  <c r="C30" i="3"/>
  <c r="A30" i="3"/>
  <c r="G28" i="3"/>
  <c r="D28" i="3"/>
  <c r="C28" i="3"/>
  <c r="A28" i="3"/>
  <c r="J26" i="3"/>
  <c r="D26" i="3"/>
  <c r="C26" i="3"/>
  <c r="A26" i="3"/>
  <c r="J25" i="3"/>
  <c r="D25" i="3"/>
  <c r="C25" i="3"/>
  <c r="A25" i="3"/>
  <c r="G23" i="3"/>
  <c r="J24" i="3"/>
  <c r="G24" i="3"/>
  <c r="D24" i="3"/>
  <c r="C24" i="3"/>
  <c r="A24" i="3"/>
  <c r="J23" i="3"/>
  <c r="D23" i="3"/>
  <c r="C23" i="3"/>
  <c r="A23" i="3"/>
  <c r="J20" i="3"/>
  <c r="G20" i="3"/>
  <c r="D20" i="3"/>
  <c r="C20" i="3"/>
  <c r="A20" i="3"/>
  <c r="G18" i="3"/>
  <c r="D18" i="3"/>
  <c r="C18" i="3"/>
  <c r="A18" i="3"/>
  <c r="G17" i="3"/>
  <c r="D17" i="3"/>
  <c r="C17" i="3"/>
  <c r="A17" i="3"/>
  <c r="J16" i="3"/>
  <c r="G16" i="3"/>
  <c r="B7" i="23"/>
  <c r="D16" i="3"/>
  <c r="C16" i="3"/>
  <c r="A16" i="3"/>
  <c r="J14" i="3"/>
  <c r="G14" i="3"/>
  <c r="D14" i="3"/>
  <c r="C14" i="3"/>
  <c r="A14" i="3"/>
  <c r="J13" i="3"/>
  <c r="G13" i="3"/>
  <c r="D13" i="3"/>
  <c r="C13" i="3"/>
  <c r="A13" i="3"/>
  <c r="C9" i="3"/>
  <c r="J12" i="3"/>
  <c r="G12" i="3"/>
  <c r="D12" i="3"/>
  <c r="C12" i="3"/>
  <c r="A12" i="3"/>
  <c r="J10" i="3"/>
  <c r="G10" i="3"/>
  <c r="D10" i="3"/>
  <c r="C10" i="3"/>
  <c r="A10" i="3"/>
  <c r="J9" i="3"/>
  <c r="G9" i="3"/>
  <c r="D9" i="3"/>
  <c r="A9" i="3"/>
  <c r="J8" i="3"/>
  <c r="G8" i="3"/>
  <c r="B4" i="23"/>
  <c r="D8" i="3"/>
  <c r="C8" i="3"/>
  <c r="A8" i="3"/>
  <c r="J7" i="3"/>
  <c r="G7" i="3"/>
  <c r="D7" i="3"/>
  <c r="C7" i="3"/>
  <c r="A7" i="3"/>
  <c r="J6" i="3"/>
  <c r="G6" i="3"/>
  <c r="D6" i="3"/>
  <c r="C6" i="3"/>
  <c r="A6" i="3"/>
  <c r="J5" i="3"/>
  <c r="G5" i="3"/>
  <c r="D5" i="3"/>
  <c r="C5" i="3"/>
  <c r="A5" i="3"/>
  <c r="J3" i="3"/>
  <c r="G3" i="3"/>
  <c r="D3" i="3"/>
  <c r="C3" i="3"/>
  <c r="A3" i="3"/>
  <c r="D2" i="3"/>
  <c r="C2" i="3"/>
  <c r="G2" i="3"/>
  <c r="G8" i="58"/>
  <c r="U8" i="58"/>
  <c r="S6" i="58"/>
  <c r="S8" i="58"/>
  <c r="T8" i="58"/>
  <c r="R8" i="58"/>
  <c r="O8" i="58"/>
  <c r="N8" i="58"/>
  <c r="M8" i="58"/>
  <c r="L8" i="58"/>
  <c r="J8" i="58"/>
  <c r="K8" i="58"/>
  <c r="I8" i="58"/>
  <c r="H8" i="58"/>
  <c r="F8" i="58"/>
  <c r="E8" i="58"/>
  <c r="D8" i="58"/>
  <c r="C8" i="58"/>
  <c r="B8" i="58"/>
  <c r="B12" i="58"/>
  <c r="C12" i="58"/>
  <c r="D12" i="58"/>
  <c r="E12" i="58"/>
  <c r="F12" i="58"/>
  <c r="G12" i="58"/>
  <c r="H12" i="58"/>
  <c r="I12" i="58"/>
  <c r="J12" i="58"/>
  <c r="K12" i="58"/>
  <c r="L12" i="58"/>
  <c r="M12" i="58"/>
  <c r="N12" i="58"/>
  <c r="O12" i="58"/>
  <c r="P12" i="58"/>
  <c r="R12" i="58"/>
  <c r="S12" i="58"/>
  <c r="T12" i="58"/>
  <c r="U12" i="58"/>
  <c r="B13" i="58"/>
  <c r="C13" i="58"/>
  <c r="D13" i="58"/>
  <c r="E13" i="58"/>
  <c r="F13" i="58"/>
  <c r="G13" i="58"/>
  <c r="H13" i="58"/>
  <c r="I13" i="58"/>
  <c r="J13" i="58"/>
  <c r="K13" i="58"/>
  <c r="L13" i="58"/>
  <c r="M13" i="58"/>
  <c r="N13" i="58"/>
  <c r="O13" i="58"/>
  <c r="P13" i="58"/>
  <c r="R13" i="58"/>
  <c r="S13" i="58"/>
  <c r="T13" i="58"/>
  <c r="U13" i="58"/>
  <c r="B14" i="58"/>
  <c r="C14" i="58"/>
  <c r="D14" i="58"/>
  <c r="E14" i="58"/>
  <c r="F14" i="58"/>
  <c r="G14" i="58"/>
  <c r="H14" i="58"/>
  <c r="I14" i="58"/>
  <c r="J14" i="58"/>
  <c r="K14" i="58"/>
  <c r="L14" i="58"/>
  <c r="M14" i="58"/>
  <c r="N14" i="58"/>
  <c r="O14" i="58"/>
  <c r="P14" i="58"/>
  <c r="R14" i="58"/>
  <c r="S14" i="58"/>
  <c r="T14" i="58"/>
  <c r="U14" i="58"/>
  <c r="B15" i="58"/>
  <c r="C15" i="58"/>
  <c r="D15" i="58"/>
  <c r="E15" i="58"/>
  <c r="F15" i="58"/>
  <c r="G15" i="58"/>
  <c r="H15" i="58"/>
  <c r="I15" i="58"/>
  <c r="J15" i="58"/>
  <c r="K15" i="58"/>
  <c r="L15" i="58"/>
  <c r="M15" i="58"/>
  <c r="N15" i="58"/>
  <c r="O15" i="58"/>
  <c r="P15" i="58"/>
  <c r="R15" i="58"/>
  <c r="S15" i="58"/>
  <c r="T15" i="58"/>
  <c r="U15" i="58"/>
  <c r="B16" i="58"/>
  <c r="C16" i="58"/>
  <c r="D16" i="58"/>
  <c r="E16" i="58"/>
  <c r="F16" i="58"/>
  <c r="G16" i="58"/>
  <c r="H16" i="58"/>
  <c r="I16" i="58"/>
  <c r="J16" i="58"/>
  <c r="K16" i="58"/>
  <c r="L16" i="58"/>
  <c r="M16" i="58"/>
  <c r="N16" i="58"/>
  <c r="O16" i="58"/>
  <c r="P16" i="58"/>
  <c r="R16" i="58"/>
  <c r="S16" i="58"/>
  <c r="T16" i="58"/>
  <c r="U16" i="58"/>
  <c r="G11" i="58"/>
  <c r="U11" i="58"/>
  <c r="S11" i="58"/>
  <c r="T11" i="58"/>
  <c r="R11" i="58"/>
  <c r="P11" i="58"/>
  <c r="O11" i="58"/>
  <c r="N11" i="58"/>
  <c r="M11" i="58"/>
  <c r="L11" i="58"/>
  <c r="J11" i="58"/>
  <c r="K11" i="58"/>
  <c r="I11" i="58"/>
  <c r="H11" i="58"/>
  <c r="F11" i="58"/>
  <c r="E11" i="58"/>
  <c r="D11" i="58"/>
  <c r="C11" i="58"/>
  <c r="B11" i="58"/>
  <c r="G10" i="58"/>
  <c r="U10" i="58"/>
  <c r="S10" i="58"/>
  <c r="T10" i="58"/>
  <c r="R10" i="58"/>
  <c r="P10" i="58"/>
  <c r="O10" i="58"/>
  <c r="N10" i="58"/>
  <c r="M10" i="58"/>
  <c r="L10" i="58"/>
  <c r="J10" i="58"/>
  <c r="K10" i="58"/>
  <c r="I10" i="58"/>
  <c r="H10" i="58"/>
  <c r="F10" i="58"/>
  <c r="E10" i="58"/>
  <c r="D10" i="58"/>
  <c r="C10" i="58"/>
  <c r="B10" i="58"/>
  <c r="B6" i="58"/>
  <c r="C6" i="58"/>
  <c r="D6" i="58"/>
  <c r="E6" i="58"/>
  <c r="F6" i="58"/>
  <c r="G6" i="58"/>
  <c r="H6" i="58"/>
  <c r="I6" i="58"/>
  <c r="J6" i="58"/>
  <c r="K6" i="58"/>
  <c r="L6" i="58"/>
  <c r="M6" i="58"/>
  <c r="N6" i="58"/>
  <c r="O6" i="58"/>
  <c r="P6" i="58"/>
  <c r="R6" i="58"/>
  <c r="T6" i="58"/>
  <c r="U6" i="58"/>
  <c r="B7" i="58"/>
  <c r="C7" i="58"/>
  <c r="D7" i="58"/>
  <c r="E7" i="58"/>
  <c r="F7" i="58"/>
  <c r="G7" i="58"/>
  <c r="H7" i="58"/>
  <c r="I7" i="58"/>
  <c r="J7" i="58"/>
  <c r="K7" i="58"/>
  <c r="L7" i="58"/>
  <c r="M7" i="58"/>
  <c r="N7" i="58"/>
  <c r="O7" i="58"/>
  <c r="R7" i="58"/>
  <c r="T7" i="58"/>
  <c r="U7" i="58"/>
  <c r="B4" i="58"/>
  <c r="C4" i="58"/>
  <c r="D4" i="58"/>
  <c r="E4" i="58"/>
  <c r="F4" i="58"/>
  <c r="G4" i="58"/>
  <c r="H4" i="58"/>
  <c r="I4" i="58"/>
  <c r="J4" i="58"/>
  <c r="K4" i="58"/>
  <c r="L4" i="58"/>
  <c r="M4" i="58"/>
  <c r="N4" i="58"/>
  <c r="O4" i="58"/>
  <c r="P4" i="58"/>
  <c r="R4" i="58"/>
  <c r="S4" i="58"/>
  <c r="T4" i="58"/>
  <c r="U4" i="58"/>
  <c r="B5" i="58"/>
  <c r="C5" i="58"/>
  <c r="D5" i="58"/>
  <c r="E5" i="58"/>
  <c r="F5" i="58"/>
  <c r="G5" i="58"/>
  <c r="H5" i="58"/>
  <c r="I5" i="58"/>
  <c r="J5" i="58"/>
  <c r="K5" i="58"/>
  <c r="L5" i="58"/>
  <c r="M5" i="58"/>
  <c r="N5" i="58"/>
  <c r="O5" i="58"/>
  <c r="P5" i="58"/>
  <c r="R5" i="58"/>
  <c r="S5" i="58"/>
  <c r="T5" i="58"/>
  <c r="U5" i="58"/>
  <c r="G2" i="58"/>
  <c r="U2" i="58"/>
  <c r="B3" i="58"/>
  <c r="C3" i="58"/>
  <c r="D3" i="58"/>
  <c r="E3" i="58"/>
  <c r="F3" i="58"/>
  <c r="G3" i="58"/>
  <c r="H3" i="58"/>
  <c r="I3" i="58"/>
  <c r="J3" i="58"/>
  <c r="K3" i="58"/>
  <c r="L3" i="58"/>
  <c r="M3" i="58"/>
  <c r="N3" i="58"/>
  <c r="O3" i="58"/>
  <c r="P3" i="58"/>
  <c r="R3" i="58"/>
  <c r="S3" i="58"/>
  <c r="T3" i="58"/>
  <c r="U3" i="58"/>
  <c r="P2" i="58"/>
  <c r="B2" i="58"/>
  <c r="E3" i="57"/>
  <c r="F3" i="57"/>
  <c r="F2" i="57"/>
  <c r="E2" i="57"/>
  <c r="F4" i="57"/>
  <c r="B3" i="57"/>
  <c r="B2" i="57"/>
  <c r="E13" i="49"/>
  <c r="F5" i="57"/>
  <c r="E5" i="57"/>
  <c r="B5" i="57"/>
  <c r="F6" i="57"/>
  <c r="E6" i="57"/>
  <c r="B6" i="57"/>
  <c r="E4" i="57"/>
  <c r="B4" i="57"/>
  <c r="E97" i="54"/>
  <c r="B97" i="54"/>
  <c r="E96" i="54"/>
  <c r="B96" i="54"/>
  <c r="E95" i="54"/>
  <c r="B95" i="54"/>
  <c r="E94" i="54"/>
  <c r="B94" i="54"/>
  <c r="E93" i="54"/>
  <c r="B93" i="54"/>
  <c r="E54" i="54"/>
  <c r="B54" i="54"/>
  <c r="E53" i="54"/>
  <c r="B53" i="54"/>
  <c r="E52" i="54"/>
  <c r="B52" i="54"/>
  <c r="E51" i="54"/>
  <c r="B51" i="54"/>
  <c r="E50" i="54"/>
  <c r="B50" i="54"/>
  <c r="E49" i="54"/>
  <c r="B49" i="54"/>
  <c r="E48" i="54"/>
  <c r="B48" i="54"/>
  <c r="E47" i="54"/>
  <c r="B47" i="54"/>
  <c r="E46" i="54"/>
  <c r="B46" i="54"/>
  <c r="E92" i="54"/>
  <c r="B92" i="54"/>
  <c r="E91" i="54"/>
  <c r="B91" i="54"/>
  <c r="E90" i="54"/>
  <c r="B90" i="54"/>
  <c r="E89" i="54"/>
  <c r="B89" i="54"/>
  <c r="E88" i="54"/>
  <c r="B88" i="54"/>
  <c r="E87" i="54"/>
  <c r="B87" i="54"/>
  <c r="E86" i="54"/>
  <c r="B86" i="54"/>
  <c r="E85" i="54"/>
  <c r="B85" i="54"/>
  <c r="E84" i="54"/>
  <c r="B84" i="54"/>
  <c r="E83" i="54"/>
  <c r="B83" i="54"/>
  <c r="E82" i="54"/>
  <c r="B82" i="54"/>
  <c r="E81" i="54"/>
  <c r="B81" i="54"/>
  <c r="E80" i="54"/>
  <c r="B80" i="54"/>
  <c r="E79" i="54"/>
  <c r="B79" i="54"/>
  <c r="E78" i="54"/>
  <c r="B78" i="54"/>
  <c r="E77" i="54"/>
  <c r="B77" i="54"/>
  <c r="E76" i="54"/>
  <c r="B76" i="54"/>
  <c r="E75" i="54"/>
  <c r="B75" i="54"/>
  <c r="E74" i="54"/>
  <c r="B74" i="54"/>
  <c r="E73" i="54"/>
  <c r="B73" i="54"/>
  <c r="E72" i="54"/>
  <c r="B72" i="54"/>
  <c r="E71" i="54"/>
  <c r="B71" i="54"/>
  <c r="E70" i="54"/>
  <c r="B70" i="54"/>
  <c r="E69" i="54"/>
  <c r="B69" i="54"/>
  <c r="E68" i="54"/>
  <c r="B68" i="54"/>
  <c r="E67" i="54"/>
  <c r="B67" i="54"/>
  <c r="E45" i="54"/>
  <c r="B45" i="54"/>
  <c r="E66" i="54"/>
  <c r="B66" i="54"/>
  <c r="E65" i="54"/>
  <c r="B65" i="54"/>
  <c r="E64" i="54"/>
  <c r="B64" i="54"/>
  <c r="E63" i="54"/>
  <c r="B63" i="54"/>
  <c r="E62" i="54"/>
  <c r="B62" i="54"/>
  <c r="E61" i="54"/>
  <c r="B61" i="54"/>
  <c r="E60" i="54"/>
  <c r="B60" i="54"/>
  <c r="E59" i="54"/>
  <c r="B59" i="54"/>
  <c r="E58" i="54"/>
  <c r="B58" i="54"/>
  <c r="E57" i="54"/>
  <c r="B57" i="54"/>
  <c r="E56" i="54"/>
  <c r="B56" i="54"/>
  <c r="E55" i="54"/>
  <c r="B55" i="54"/>
  <c r="E44" i="54"/>
  <c r="B44" i="54"/>
  <c r="E43" i="54"/>
  <c r="B43" i="54"/>
  <c r="E42" i="54"/>
  <c r="B42" i="54"/>
  <c r="E41" i="54"/>
  <c r="B41" i="54"/>
  <c r="E40" i="54"/>
  <c r="B40" i="54"/>
  <c r="E39" i="54"/>
  <c r="B39" i="54"/>
  <c r="E38" i="54"/>
  <c r="B38" i="54"/>
  <c r="E37" i="54"/>
  <c r="B37" i="54"/>
  <c r="E36" i="54"/>
  <c r="B36" i="54"/>
  <c r="E35" i="54"/>
  <c r="B35" i="54"/>
  <c r="E34" i="54"/>
  <c r="B34" i="54"/>
  <c r="E33" i="54"/>
  <c r="B33" i="54"/>
  <c r="E32" i="54"/>
  <c r="B32" i="54"/>
  <c r="E31" i="54"/>
  <c r="B31" i="54"/>
  <c r="E30" i="54"/>
  <c r="B30" i="54"/>
  <c r="E29" i="54"/>
  <c r="B29" i="54"/>
  <c r="E28" i="54"/>
  <c r="B28" i="54"/>
  <c r="E27" i="54"/>
  <c r="B27" i="54"/>
  <c r="E26" i="54"/>
  <c r="B26" i="54"/>
  <c r="E25" i="54"/>
  <c r="B25" i="54"/>
  <c r="E24" i="54"/>
  <c r="B24" i="54"/>
  <c r="E23" i="54"/>
  <c r="B23" i="54"/>
  <c r="E22" i="54"/>
  <c r="B22" i="54"/>
  <c r="E21" i="54"/>
  <c r="B21" i="54"/>
  <c r="E20" i="54"/>
  <c r="B20" i="54"/>
  <c r="E19" i="54"/>
  <c r="B19" i="54"/>
  <c r="E18" i="54"/>
  <c r="B18" i="54"/>
  <c r="E17" i="54"/>
  <c r="B17" i="54"/>
  <c r="E11" i="54"/>
  <c r="B11" i="54"/>
  <c r="E16" i="54"/>
  <c r="B16" i="54"/>
  <c r="E15" i="54"/>
  <c r="B15" i="54"/>
  <c r="E14" i="54"/>
  <c r="B14" i="54"/>
  <c r="E13" i="54"/>
  <c r="B13" i="54"/>
  <c r="E12" i="54"/>
  <c r="B12" i="54"/>
  <c r="E10" i="54"/>
  <c r="B10" i="54"/>
  <c r="E9" i="54"/>
  <c r="B9" i="54"/>
  <c r="B3" i="54"/>
  <c r="B2" i="54"/>
  <c r="E8" i="54"/>
  <c r="B8" i="54"/>
  <c r="E7" i="54"/>
  <c r="B7" i="54"/>
  <c r="E6" i="54"/>
  <c r="B6" i="54"/>
  <c r="E5" i="54"/>
  <c r="B5" i="54"/>
  <c r="E4" i="54"/>
  <c r="B4" i="54"/>
  <c r="E3" i="54"/>
  <c r="E2" i="54"/>
  <c r="E5" i="49"/>
  <c r="E3" i="49"/>
  <c r="A2" i="3"/>
  <c r="S2" i="58"/>
  <c r="T2" i="58"/>
  <c r="R2" i="58"/>
  <c r="O2" i="58"/>
  <c r="N2" i="58"/>
  <c r="M2" i="58"/>
  <c r="L2" i="58"/>
  <c r="J2" i="58"/>
  <c r="K2" i="58"/>
  <c r="I2" i="58"/>
  <c r="H2" i="58"/>
  <c r="F2" i="58"/>
  <c r="E2" i="58"/>
  <c r="D2" i="58"/>
  <c r="C2" i="58"/>
  <c r="E15" i="49"/>
  <c r="E14" i="49"/>
  <c r="I3" i="23"/>
  <c r="J3" i="52"/>
  <c r="I4" i="23"/>
  <c r="J4" i="52"/>
  <c r="I5" i="23"/>
  <c r="J5" i="52"/>
  <c r="I6" i="23"/>
  <c r="J6" i="52"/>
  <c r="I7" i="23"/>
  <c r="J7" i="52"/>
  <c r="I8" i="23"/>
  <c r="J8" i="52"/>
  <c r="I9" i="23"/>
  <c r="J9" i="52"/>
  <c r="I10" i="23"/>
  <c r="J10" i="52"/>
  <c r="I11" i="23"/>
  <c r="J11" i="52"/>
  <c r="I12" i="23"/>
  <c r="J12" i="52"/>
  <c r="I13" i="23"/>
  <c r="J13" i="52"/>
  <c r="I14" i="23"/>
  <c r="J14" i="52"/>
  <c r="I15" i="23"/>
  <c r="J15" i="52"/>
  <c r="I16" i="23"/>
  <c r="J16" i="52"/>
  <c r="I17" i="23"/>
  <c r="J17" i="52"/>
  <c r="I18" i="23"/>
  <c r="J18" i="52"/>
  <c r="I19" i="23"/>
  <c r="J19" i="52"/>
  <c r="I20" i="23"/>
  <c r="J20" i="52"/>
  <c r="I21" i="23"/>
  <c r="J21" i="52"/>
  <c r="I22" i="23"/>
  <c r="J22" i="52"/>
  <c r="I23" i="23"/>
  <c r="J23" i="52"/>
  <c r="I24" i="23"/>
  <c r="J24" i="52"/>
  <c r="I25" i="23"/>
  <c r="J25" i="52"/>
  <c r="I26" i="23"/>
  <c r="J26" i="52"/>
  <c r="I27" i="23"/>
  <c r="J27" i="52"/>
  <c r="I28" i="23"/>
  <c r="J28" i="52"/>
  <c r="I2" i="23"/>
  <c r="J2" i="52"/>
  <c r="G2" i="53"/>
  <c r="G8" i="53"/>
  <c r="G6" i="53"/>
  <c r="G5" i="53"/>
  <c r="G4" i="53"/>
  <c r="G3" i="53"/>
  <c r="G7" i="53"/>
  <c r="G9" i="53"/>
  <c r="G10" i="53"/>
  <c r="G11" i="53"/>
  <c r="G12" i="53"/>
  <c r="G13" i="53"/>
  <c r="G14" i="53"/>
  <c r="G15" i="53"/>
  <c r="G16" i="53"/>
  <c r="G17" i="53"/>
  <c r="G18" i="53"/>
  <c r="G19" i="53"/>
  <c r="G20" i="53"/>
  <c r="G21" i="53"/>
  <c r="G22" i="53"/>
  <c r="G23" i="53"/>
  <c r="G24" i="53"/>
  <c r="G25" i="53"/>
  <c r="G26" i="53"/>
  <c r="G27" i="53"/>
  <c r="G28" i="53"/>
  <c r="E12" i="52"/>
  <c r="E11" i="52"/>
  <c r="E10" i="52"/>
  <c r="E14" i="52"/>
  <c r="E18" i="52"/>
  <c r="E17" i="52"/>
  <c r="C3" i="23"/>
  <c r="K3" i="52"/>
  <c r="C4" i="23"/>
  <c r="K4" i="52"/>
  <c r="C5" i="23"/>
  <c r="K5" i="52"/>
  <c r="C6" i="23"/>
  <c r="K6" i="52"/>
  <c r="C7" i="23"/>
  <c r="K7" i="52"/>
  <c r="C8" i="23"/>
  <c r="K8" i="52"/>
  <c r="C9" i="23"/>
  <c r="K9" i="52"/>
  <c r="C10" i="23"/>
  <c r="K10" i="52"/>
  <c r="C11" i="23"/>
  <c r="K11" i="52"/>
  <c r="C12" i="23"/>
  <c r="K12" i="52"/>
  <c r="C13" i="23"/>
  <c r="K13" i="52"/>
  <c r="C14" i="23"/>
  <c r="K14" i="52"/>
  <c r="C15" i="23"/>
  <c r="K15" i="52"/>
  <c r="C16" i="23"/>
  <c r="K16" i="52"/>
  <c r="C17" i="23"/>
  <c r="K17" i="52"/>
  <c r="C18" i="23"/>
  <c r="K18" i="52"/>
  <c r="C19" i="23"/>
  <c r="K19" i="52"/>
  <c r="C20" i="23"/>
  <c r="K20" i="52"/>
  <c r="C21" i="23"/>
  <c r="K21" i="52"/>
  <c r="C22" i="23"/>
  <c r="K22" i="52"/>
  <c r="C23" i="23"/>
  <c r="K23" i="52"/>
  <c r="C24" i="23"/>
  <c r="K24" i="52"/>
  <c r="C25" i="23"/>
  <c r="K25" i="52"/>
  <c r="C26" i="23"/>
  <c r="K26" i="52"/>
  <c r="C27" i="23"/>
  <c r="K27" i="52"/>
  <c r="C28" i="23"/>
  <c r="K28" i="52"/>
  <c r="C2" i="23"/>
  <c r="K2" i="52"/>
  <c r="H3" i="53"/>
  <c r="H4" i="53"/>
  <c r="H5" i="53"/>
  <c r="H6" i="53"/>
  <c r="H7" i="53"/>
  <c r="H8" i="53"/>
  <c r="H9" i="53"/>
  <c r="H10" i="53"/>
  <c r="H11" i="53"/>
  <c r="H12" i="53"/>
  <c r="H13" i="53"/>
  <c r="H14" i="53"/>
  <c r="H15" i="53"/>
  <c r="H16" i="53"/>
  <c r="H17" i="53"/>
  <c r="H18" i="53"/>
  <c r="H19" i="53"/>
  <c r="H20" i="53"/>
  <c r="H21" i="53"/>
  <c r="H22" i="53"/>
  <c r="H23" i="53"/>
  <c r="H24" i="53"/>
  <c r="H25" i="53"/>
  <c r="H26" i="53"/>
  <c r="H27" i="53"/>
  <c r="H28" i="53"/>
  <c r="H2" i="53"/>
  <c r="G22" i="23"/>
  <c r="BC22" i="23"/>
  <c r="BD22" i="23"/>
  <c r="Q22" i="23"/>
  <c r="S22" i="23"/>
  <c r="W22" i="23"/>
  <c r="AA22" i="23"/>
  <c r="J22" i="23"/>
  <c r="BK22" i="23"/>
  <c r="T22" i="23"/>
  <c r="AB22" i="23"/>
  <c r="K22" i="23"/>
  <c r="BL22" i="23"/>
  <c r="G20" i="23"/>
  <c r="BC20" i="23"/>
  <c r="BD20" i="23"/>
  <c r="Q20" i="23"/>
  <c r="T20" i="23"/>
  <c r="W20" i="23"/>
  <c r="AB20" i="23"/>
  <c r="K20" i="23"/>
  <c r="BL20" i="23"/>
  <c r="G18" i="23"/>
  <c r="BC18" i="23"/>
  <c r="BD18" i="23"/>
  <c r="Q18" i="23"/>
  <c r="S18" i="23"/>
  <c r="W18" i="23"/>
  <c r="AA18" i="23"/>
  <c r="J18" i="23"/>
  <c r="BK18" i="23"/>
  <c r="T18" i="23"/>
  <c r="AB18" i="23"/>
  <c r="K18" i="23"/>
  <c r="BL18" i="23"/>
  <c r="G17" i="23"/>
  <c r="BC17" i="23"/>
  <c r="BD17" i="23"/>
  <c r="Q17" i="23"/>
  <c r="T17" i="23"/>
  <c r="W17" i="23"/>
  <c r="AB17" i="23"/>
  <c r="K17" i="23"/>
  <c r="BL17" i="23"/>
  <c r="G15" i="23"/>
  <c r="BC15" i="23"/>
  <c r="BD15" i="23"/>
  <c r="Q15" i="23"/>
  <c r="T15" i="23"/>
  <c r="W15" i="23"/>
  <c r="AB15" i="23"/>
  <c r="K15" i="23"/>
  <c r="BL15" i="23"/>
  <c r="G14" i="23"/>
  <c r="BC14" i="23"/>
  <c r="BD14" i="23"/>
  <c r="Q14" i="23"/>
  <c r="T14" i="23"/>
  <c r="W14" i="23"/>
  <c r="AB14" i="23"/>
  <c r="K14" i="23"/>
  <c r="BL14" i="23"/>
  <c r="S14" i="23"/>
  <c r="AA14" i="23"/>
  <c r="J14" i="23"/>
  <c r="BK14" i="23"/>
  <c r="G12" i="23"/>
  <c r="BC12" i="23"/>
  <c r="BD12" i="23"/>
  <c r="Q12" i="23"/>
  <c r="S12" i="23"/>
  <c r="W12" i="23"/>
  <c r="AA12" i="23"/>
  <c r="J12" i="23"/>
  <c r="BK12" i="23"/>
  <c r="E3" i="53"/>
  <c r="E4" i="53"/>
  <c r="E5" i="53"/>
  <c r="E6" i="53"/>
  <c r="E7" i="53"/>
  <c r="E8" i="53"/>
  <c r="E9" i="53"/>
  <c r="E10" i="53"/>
  <c r="E11" i="53"/>
  <c r="E12" i="53"/>
  <c r="E13" i="53"/>
  <c r="E14" i="53"/>
  <c r="E15" i="53"/>
  <c r="E16" i="53"/>
  <c r="E17" i="53"/>
  <c r="E18" i="53"/>
  <c r="E19" i="53"/>
  <c r="E20" i="53"/>
  <c r="E21" i="53"/>
  <c r="E22" i="53"/>
  <c r="E23" i="53"/>
  <c r="E24" i="53"/>
  <c r="E25" i="53"/>
  <c r="E26" i="53"/>
  <c r="E27" i="53"/>
  <c r="E28" i="53"/>
  <c r="E2" i="53"/>
  <c r="E4" i="52"/>
  <c r="H4" i="52"/>
  <c r="E5" i="52"/>
  <c r="H5" i="52"/>
  <c r="E6" i="52"/>
  <c r="H6" i="52"/>
  <c r="E7" i="52"/>
  <c r="H7" i="52"/>
  <c r="E8" i="52"/>
  <c r="H8" i="52"/>
  <c r="E9" i="52"/>
  <c r="H9" i="52"/>
  <c r="H10" i="52"/>
  <c r="H11" i="52"/>
  <c r="H12" i="52"/>
  <c r="E13" i="52"/>
  <c r="H13" i="52"/>
  <c r="H14" i="52"/>
  <c r="E15" i="52"/>
  <c r="H15" i="52"/>
  <c r="E16" i="52"/>
  <c r="H16" i="52"/>
  <c r="H17" i="52"/>
  <c r="H18" i="52"/>
  <c r="E19" i="52"/>
  <c r="H19" i="52"/>
  <c r="E20" i="52"/>
  <c r="H20" i="52"/>
  <c r="E21" i="52"/>
  <c r="H21" i="52"/>
  <c r="E22" i="52"/>
  <c r="H22" i="52"/>
  <c r="E23" i="52"/>
  <c r="H23" i="52"/>
  <c r="E24" i="52"/>
  <c r="H24" i="52"/>
  <c r="E25" i="52"/>
  <c r="H25" i="52"/>
  <c r="E26" i="52"/>
  <c r="H26" i="52"/>
  <c r="E27" i="52"/>
  <c r="H27" i="52"/>
  <c r="E28" i="52"/>
  <c r="H28" i="52"/>
  <c r="H3" i="52"/>
  <c r="E3" i="52"/>
  <c r="AT3" i="23"/>
  <c r="AT4" i="23"/>
  <c r="AT5" i="23"/>
  <c r="AT6" i="23"/>
  <c r="AT7" i="23"/>
  <c r="AT8" i="23"/>
  <c r="AT9" i="23"/>
  <c r="AT10" i="23"/>
  <c r="AT11" i="23"/>
  <c r="AT12" i="23"/>
  <c r="AT13" i="23"/>
  <c r="AT14" i="23"/>
  <c r="AT15" i="23"/>
  <c r="AT16" i="23"/>
  <c r="AT17" i="23"/>
  <c r="AT18" i="23"/>
  <c r="AT19" i="23"/>
  <c r="AT20" i="23"/>
  <c r="AT21" i="23"/>
  <c r="AT22" i="23"/>
  <c r="AT23" i="23"/>
  <c r="AT24" i="23"/>
  <c r="AT25" i="23"/>
  <c r="AT26" i="23"/>
  <c r="AT27" i="23"/>
  <c r="AT28" i="23"/>
  <c r="AT2" i="23"/>
  <c r="AP3" i="23"/>
  <c r="AP4" i="23"/>
  <c r="AP5" i="23"/>
  <c r="AP6" i="23"/>
  <c r="AP7" i="23"/>
  <c r="AP8" i="23"/>
  <c r="AP9" i="23"/>
  <c r="AP10" i="23"/>
  <c r="AP11" i="23"/>
  <c r="AP12" i="23"/>
  <c r="AP13" i="23"/>
  <c r="AP14" i="23"/>
  <c r="AP15" i="23"/>
  <c r="AP16" i="23"/>
  <c r="AP17" i="23"/>
  <c r="AP18" i="23"/>
  <c r="AP19" i="23"/>
  <c r="AP20" i="23"/>
  <c r="AP21" i="23"/>
  <c r="AP22" i="23"/>
  <c r="AP23" i="23"/>
  <c r="AP24" i="23"/>
  <c r="AP25" i="23"/>
  <c r="AP26" i="23"/>
  <c r="AP27" i="23"/>
  <c r="AP28" i="23"/>
  <c r="AP2" i="23"/>
  <c r="B18" i="23"/>
  <c r="D18" i="23"/>
  <c r="E18" i="23"/>
  <c r="F18" i="23"/>
  <c r="L18" i="23"/>
  <c r="M18" i="23"/>
  <c r="N18" i="23"/>
  <c r="O18" i="23"/>
  <c r="P18" i="23"/>
  <c r="R18" i="23"/>
  <c r="U18" i="23"/>
  <c r="V18" i="23"/>
  <c r="X18" i="23"/>
  <c r="Y18" i="23"/>
  <c r="Z18" i="23"/>
  <c r="AC18" i="23"/>
  <c r="AD18" i="23"/>
  <c r="AF18" i="23"/>
  <c r="AG17" i="23"/>
  <c r="AG18" i="23"/>
  <c r="AH18" i="23"/>
  <c r="AI18" i="23"/>
  <c r="AK18" i="23"/>
  <c r="AL18" i="23"/>
  <c r="AM18" i="23"/>
  <c r="AN18" i="23"/>
  <c r="AQ18" i="23"/>
  <c r="AR18" i="23"/>
  <c r="AS18" i="23"/>
  <c r="AU18" i="23"/>
  <c r="AV18" i="23"/>
  <c r="AW18" i="23"/>
  <c r="AX18" i="23"/>
  <c r="BE18" i="23"/>
  <c r="J17" i="23"/>
  <c r="BF18" i="23"/>
  <c r="BG18" i="23"/>
  <c r="BH18" i="23"/>
  <c r="BM18" i="23"/>
  <c r="BI18" i="23"/>
  <c r="BN18" i="23"/>
  <c r="BJ18" i="23"/>
  <c r="D19" i="23"/>
  <c r="E19" i="23"/>
  <c r="F19" i="23"/>
  <c r="G19" i="23"/>
  <c r="J19" i="23"/>
  <c r="K19" i="23"/>
  <c r="L19" i="23"/>
  <c r="M19" i="23"/>
  <c r="N19" i="23"/>
  <c r="O19" i="23"/>
  <c r="P19" i="23"/>
  <c r="Q19" i="23"/>
  <c r="R19" i="23"/>
  <c r="S19" i="23"/>
  <c r="T19" i="23"/>
  <c r="U19" i="23"/>
  <c r="V19" i="23"/>
  <c r="W19" i="23"/>
  <c r="X19" i="23"/>
  <c r="Y19" i="23"/>
  <c r="Z19" i="23"/>
  <c r="AA19" i="23"/>
  <c r="AB19" i="23"/>
  <c r="AC19" i="23"/>
  <c r="AD19" i="23"/>
  <c r="AF19" i="23"/>
  <c r="AG19" i="23"/>
  <c r="AH19" i="23"/>
  <c r="AI19" i="23"/>
  <c r="AK19" i="23"/>
  <c r="AL19" i="23"/>
  <c r="AM19" i="23"/>
  <c r="AN19" i="23"/>
  <c r="AQ19" i="23"/>
  <c r="AR19" i="23"/>
  <c r="AS19" i="23"/>
  <c r="AU19" i="23"/>
  <c r="AV19" i="23"/>
  <c r="AW19" i="23"/>
  <c r="AX19" i="23"/>
  <c r="BC19" i="23"/>
  <c r="BD19" i="23"/>
  <c r="BE19" i="23"/>
  <c r="BF19" i="23"/>
  <c r="BK19" i="23"/>
  <c r="BG19" i="23"/>
  <c r="BL19" i="23"/>
  <c r="BH19" i="23"/>
  <c r="BM19" i="23"/>
  <c r="BI19" i="23"/>
  <c r="BN19" i="23"/>
  <c r="BJ19" i="23"/>
  <c r="B20" i="23"/>
  <c r="D20" i="23"/>
  <c r="E20" i="23"/>
  <c r="F20" i="23"/>
  <c r="J20" i="23"/>
  <c r="L20" i="23"/>
  <c r="M20" i="23"/>
  <c r="N20" i="23"/>
  <c r="O20" i="23"/>
  <c r="P20" i="23"/>
  <c r="R20" i="23"/>
  <c r="S20" i="23"/>
  <c r="U20" i="23"/>
  <c r="V20" i="23"/>
  <c r="X20" i="23"/>
  <c r="Y20" i="23"/>
  <c r="Z20" i="23"/>
  <c r="AA20" i="23"/>
  <c r="AC20" i="23"/>
  <c r="AD20" i="23"/>
  <c r="AF20" i="23"/>
  <c r="AG20" i="23"/>
  <c r="AH20" i="23"/>
  <c r="AI20" i="23"/>
  <c r="AK20" i="23"/>
  <c r="AL20" i="23"/>
  <c r="AM20" i="23"/>
  <c r="AN20" i="23"/>
  <c r="AQ20" i="23"/>
  <c r="AR20" i="23"/>
  <c r="AS20" i="23"/>
  <c r="AU20" i="23"/>
  <c r="AV20" i="23"/>
  <c r="AW20" i="23"/>
  <c r="AX20" i="23"/>
  <c r="BE20" i="23"/>
  <c r="BF20" i="23"/>
  <c r="BK20" i="23"/>
  <c r="BG20" i="23"/>
  <c r="BH20" i="23"/>
  <c r="BM20" i="23"/>
  <c r="BI20" i="23"/>
  <c r="BN20" i="23"/>
  <c r="BJ20" i="23"/>
  <c r="D21" i="23"/>
  <c r="E21" i="23"/>
  <c r="F21" i="23"/>
  <c r="G21" i="23"/>
  <c r="J21" i="23"/>
  <c r="K21" i="23"/>
  <c r="L21" i="23"/>
  <c r="M21" i="23"/>
  <c r="N21" i="23"/>
  <c r="O21" i="23"/>
  <c r="P21" i="23"/>
  <c r="Q21" i="23"/>
  <c r="R21" i="23"/>
  <c r="S21" i="23"/>
  <c r="T21" i="23"/>
  <c r="U21" i="23"/>
  <c r="V21" i="23"/>
  <c r="W21" i="23"/>
  <c r="X21" i="23"/>
  <c r="Y21" i="23"/>
  <c r="Z21" i="23"/>
  <c r="AA21" i="23"/>
  <c r="AB21" i="23"/>
  <c r="AC21" i="23"/>
  <c r="AD21" i="23"/>
  <c r="AF21" i="23"/>
  <c r="AG21" i="23"/>
  <c r="AH21" i="23"/>
  <c r="AI21" i="23"/>
  <c r="AK21" i="23"/>
  <c r="AL21" i="23"/>
  <c r="AM21" i="23"/>
  <c r="AN21" i="23"/>
  <c r="AQ21" i="23"/>
  <c r="AR21" i="23"/>
  <c r="AS21" i="23"/>
  <c r="AU21" i="23"/>
  <c r="AV21" i="23"/>
  <c r="AW21" i="23"/>
  <c r="AX21" i="23"/>
  <c r="BC21" i="23"/>
  <c r="BD21" i="23"/>
  <c r="BE21" i="23"/>
  <c r="BF21" i="23"/>
  <c r="BK21" i="23"/>
  <c r="BG21" i="23"/>
  <c r="BL21" i="23"/>
  <c r="BH21" i="23"/>
  <c r="BM21" i="23"/>
  <c r="BI21" i="23"/>
  <c r="BN21" i="23"/>
  <c r="BJ21" i="23"/>
  <c r="B22" i="23"/>
  <c r="D22" i="23"/>
  <c r="E22" i="23"/>
  <c r="F22" i="23"/>
  <c r="L22" i="23"/>
  <c r="M22" i="23"/>
  <c r="G9" i="13"/>
  <c r="N22" i="23"/>
  <c r="O22" i="23"/>
  <c r="P22" i="23"/>
  <c r="R22" i="23"/>
  <c r="U22" i="23"/>
  <c r="V22" i="23"/>
  <c r="X22" i="23"/>
  <c r="Y22" i="23"/>
  <c r="Z22" i="23"/>
  <c r="AC22" i="23"/>
  <c r="AD22" i="23"/>
  <c r="AF22" i="23"/>
  <c r="AG22" i="23"/>
  <c r="AH22" i="23"/>
  <c r="AI22" i="23"/>
  <c r="AK22" i="23"/>
  <c r="AL22" i="23"/>
  <c r="AM22" i="23"/>
  <c r="AN22" i="23"/>
  <c r="AQ22" i="23"/>
  <c r="AR22" i="23"/>
  <c r="AS22" i="23"/>
  <c r="AU22" i="23"/>
  <c r="AV22" i="23"/>
  <c r="AW22" i="23"/>
  <c r="AX22" i="23"/>
  <c r="BE22" i="23"/>
  <c r="BF22" i="23"/>
  <c r="BG22" i="23"/>
  <c r="BH22" i="23"/>
  <c r="BM22" i="23"/>
  <c r="BI22" i="23"/>
  <c r="BN22" i="23"/>
  <c r="BJ22" i="23"/>
  <c r="D23" i="23"/>
  <c r="E23" i="23"/>
  <c r="F23" i="23"/>
  <c r="G23" i="23"/>
  <c r="J23" i="23"/>
  <c r="K23" i="23"/>
  <c r="L23" i="23"/>
  <c r="M23" i="23"/>
  <c r="N23" i="23"/>
  <c r="O23" i="23"/>
  <c r="P23" i="23"/>
  <c r="Q23" i="23"/>
  <c r="R23" i="23"/>
  <c r="S23" i="23"/>
  <c r="T23" i="23"/>
  <c r="U23" i="23"/>
  <c r="V23" i="23"/>
  <c r="W23" i="23"/>
  <c r="X23" i="23"/>
  <c r="Y23" i="23"/>
  <c r="Z23" i="23"/>
  <c r="AA23" i="23"/>
  <c r="AB23" i="23"/>
  <c r="AC23" i="23"/>
  <c r="AD23" i="23"/>
  <c r="AF23" i="23"/>
  <c r="AG23" i="23"/>
  <c r="AH23" i="23"/>
  <c r="AI23" i="23"/>
  <c r="AK23" i="23"/>
  <c r="AL23" i="23"/>
  <c r="AM23" i="23"/>
  <c r="AN23" i="23"/>
  <c r="AQ23" i="23"/>
  <c r="AR23" i="23"/>
  <c r="AS23" i="23"/>
  <c r="AU23" i="23"/>
  <c r="AV23" i="23"/>
  <c r="AW23" i="23"/>
  <c r="AX23" i="23"/>
  <c r="BC23" i="23"/>
  <c r="BD23" i="23"/>
  <c r="BE23" i="23"/>
  <c r="BF23" i="23"/>
  <c r="BK23" i="23"/>
  <c r="BG23" i="23"/>
  <c r="BL23" i="23"/>
  <c r="BH23" i="23"/>
  <c r="BM23" i="23"/>
  <c r="BI23" i="23"/>
  <c r="BN23" i="23"/>
  <c r="BJ23" i="23"/>
  <c r="B24" i="23"/>
  <c r="D24" i="23"/>
  <c r="E24" i="23"/>
  <c r="F24" i="23"/>
  <c r="G24" i="23"/>
  <c r="J24" i="23"/>
  <c r="K24" i="23"/>
  <c r="L24" i="23"/>
  <c r="M24" i="23"/>
  <c r="N24" i="23"/>
  <c r="O24" i="23"/>
  <c r="P24" i="23"/>
  <c r="Q24" i="23"/>
  <c r="R24" i="23"/>
  <c r="S24" i="23"/>
  <c r="T24" i="23"/>
  <c r="U24" i="23"/>
  <c r="V24" i="23"/>
  <c r="W24" i="23"/>
  <c r="X24" i="23"/>
  <c r="Y24" i="23"/>
  <c r="Z24" i="23"/>
  <c r="AA24" i="23"/>
  <c r="AB24" i="23"/>
  <c r="AC24" i="23"/>
  <c r="AD24" i="23"/>
  <c r="AF24" i="23"/>
  <c r="AG24" i="23"/>
  <c r="AH24" i="23"/>
  <c r="AI24" i="23"/>
  <c r="AK24" i="23"/>
  <c r="AL24" i="23"/>
  <c r="AM24" i="23"/>
  <c r="AN24" i="23"/>
  <c r="AQ24" i="23"/>
  <c r="AR24" i="23"/>
  <c r="AS24" i="23"/>
  <c r="AU24" i="23"/>
  <c r="AV24" i="23"/>
  <c r="AW24" i="23"/>
  <c r="AX24" i="23"/>
  <c r="BC24" i="23"/>
  <c r="BD24" i="23"/>
  <c r="BE24" i="23"/>
  <c r="BF24" i="23"/>
  <c r="BK24" i="23"/>
  <c r="BG24" i="23"/>
  <c r="BL24" i="23"/>
  <c r="BH24" i="23"/>
  <c r="BM24" i="23"/>
  <c r="BI24" i="23"/>
  <c r="BN24" i="23"/>
  <c r="BJ24" i="23"/>
  <c r="D25" i="23"/>
  <c r="E25" i="23"/>
  <c r="F25" i="23"/>
  <c r="G25" i="23"/>
  <c r="J25" i="23"/>
  <c r="K25" i="23"/>
  <c r="L25" i="23"/>
  <c r="M25" i="23"/>
  <c r="N25" i="23"/>
  <c r="O25" i="23"/>
  <c r="P25" i="23"/>
  <c r="Q25" i="23"/>
  <c r="R25" i="23"/>
  <c r="S25" i="23"/>
  <c r="T25" i="23"/>
  <c r="U25" i="23"/>
  <c r="V25" i="23"/>
  <c r="W25" i="23"/>
  <c r="X25" i="23"/>
  <c r="Y25" i="23"/>
  <c r="Z25" i="23"/>
  <c r="AA25" i="23"/>
  <c r="AB25" i="23"/>
  <c r="AC25" i="23"/>
  <c r="AD25" i="23"/>
  <c r="AF25" i="23"/>
  <c r="AG25" i="23"/>
  <c r="AH25" i="23"/>
  <c r="AI25" i="23"/>
  <c r="AK25" i="23"/>
  <c r="AL25" i="23"/>
  <c r="AM25" i="23"/>
  <c r="AN25" i="23"/>
  <c r="AQ25" i="23"/>
  <c r="AR25" i="23"/>
  <c r="AS25" i="23"/>
  <c r="AU25" i="23"/>
  <c r="AV25" i="23"/>
  <c r="AW25" i="23"/>
  <c r="AX25" i="23"/>
  <c r="BC25" i="23"/>
  <c r="BD25" i="23"/>
  <c r="BE25" i="23"/>
  <c r="BF25" i="23"/>
  <c r="BK25" i="23"/>
  <c r="BG25" i="23"/>
  <c r="BL25" i="23"/>
  <c r="BH25" i="23"/>
  <c r="BM25" i="23"/>
  <c r="BI25" i="23"/>
  <c r="BN25" i="23"/>
  <c r="BJ25" i="23"/>
  <c r="B26" i="23"/>
  <c r="D26" i="23"/>
  <c r="E26" i="23"/>
  <c r="F26" i="23"/>
  <c r="G26" i="23"/>
  <c r="J26" i="23"/>
  <c r="K26" i="23"/>
  <c r="L26" i="23"/>
  <c r="M26" i="23"/>
  <c r="N26" i="23"/>
  <c r="O26" i="23"/>
  <c r="P26" i="23"/>
  <c r="Q26" i="23"/>
  <c r="R26" i="23"/>
  <c r="S26" i="23"/>
  <c r="T26" i="23"/>
  <c r="U26" i="23"/>
  <c r="V26" i="23"/>
  <c r="W26" i="23"/>
  <c r="X26" i="23"/>
  <c r="Y26" i="23"/>
  <c r="Z26" i="23"/>
  <c r="AA26" i="23"/>
  <c r="AB26" i="23"/>
  <c r="AC26" i="23"/>
  <c r="AD26" i="23"/>
  <c r="AF26" i="23"/>
  <c r="AG26" i="23"/>
  <c r="AH26" i="23"/>
  <c r="AI26" i="23"/>
  <c r="AK26" i="23"/>
  <c r="AL26" i="23"/>
  <c r="AM26" i="23"/>
  <c r="AN26" i="23"/>
  <c r="AQ26" i="23"/>
  <c r="AR26" i="23"/>
  <c r="AS26" i="23"/>
  <c r="AU26" i="23"/>
  <c r="AV26" i="23"/>
  <c r="AW26" i="23"/>
  <c r="AX26" i="23"/>
  <c r="BC26" i="23"/>
  <c r="BD26" i="23"/>
  <c r="BE26" i="23"/>
  <c r="BF26" i="23"/>
  <c r="BK26" i="23"/>
  <c r="BG26" i="23"/>
  <c r="BL26" i="23"/>
  <c r="BH26" i="23"/>
  <c r="BM26" i="23"/>
  <c r="BI26" i="23"/>
  <c r="BN26" i="23"/>
  <c r="BJ26" i="23"/>
  <c r="D27" i="23"/>
  <c r="E27" i="23"/>
  <c r="F27" i="23"/>
  <c r="G27" i="23"/>
  <c r="J27" i="23"/>
  <c r="K27" i="23"/>
  <c r="L27" i="23"/>
  <c r="M27" i="23"/>
  <c r="N27" i="23"/>
  <c r="O27" i="23"/>
  <c r="P27" i="23"/>
  <c r="Q27" i="23"/>
  <c r="R27" i="23"/>
  <c r="S27" i="23"/>
  <c r="T27" i="23"/>
  <c r="U27" i="23"/>
  <c r="V27" i="23"/>
  <c r="W27" i="23"/>
  <c r="X27" i="23"/>
  <c r="Y27" i="23"/>
  <c r="Z27" i="23"/>
  <c r="AA27" i="23"/>
  <c r="AB27" i="23"/>
  <c r="AC27" i="23"/>
  <c r="AD27" i="23"/>
  <c r="AF27" i="23"/>
  <c r="AG27" i="23"/>
  <c r="AH27" i="23"/>
  <c r="AI27" i="23"/>
  <c r="AK27" i="23"/>
  <c r="AL27" i="23"/>
  <c r="AM27" i="23"/>
  <c r="AN27" i="23"/>
  <c r="AQ27" i="23"/>
  <c r="AR27" i="23"/>
  <c r="AS27" i="23"/>
  <c r="AU27" i="23"/>
  <c r="AV27" i="23"/>
  <c r="AW27" i="23"/>
  <c r="AX27" i="23"/>
  <c r="BC27" i="23"/>
  <c r="BD27" i="23"/>
  <c r="BE27" i="23"/>
  <c r="BF27" i="23"/>
  <c r="BK27" i="23"/>
  <c r="BG27" i="23"/>
  <c r="BL27" i="23"/>
  <c r="BH27" i="23"/>
  <c r="BM27" i="23"/>
  <c r="BI27" i="23"/>
  <c r="BN27" i="23"/>
  <c r="BJ27" i="23"/>
  <c r="B28" i="23"/>
  <c r="D28" i="23"/>
  <c r="E28" i="23"/>
  <c r="F28" i="23"/>
  <c r="G28" i="23"/>
  <c r="J28" i="23"/>
  <c r="K28" i="23"/>
  <c r="L28" i="23"/>
  <c r="M28" i="23"/>
  <c r="N28" i="23"/>
  <c r="O28" i="23"/>
  <c r="P28" i="23"/>
  <c r="Q28" i="23"/>
  <c r="R28" i="23"/>
  <c r="S28" i="23"/>
  <c r="T28" i="23"/>
  <c r="U28" i="23"/>
  <c r="V28" i="23"/>
  <c r="W28" i="23"/>
  <c r="X28" i="23"/>
  <c r="Y28" i="23"/>
  <c r="Z28" i="23"/>
  <c r="AA28" i="23"/>
  <c r="AB28" i="23"/>
  <c r="AC28" i="23"/>
  <c r="AD28" i="23"/>
  <c r="AF28" i="23"/>
  <c r="AG28" i="23"/>
  <c r="AH28" i="23"/>
  <c r="AI28" i="23"/>
  <c r="AK28" i="23"/>
  <c r="AL28" i="23"/>
  <c r="AM28" i="23"/>
  <c r="AN28" i="23"/>
  <c r="AQ28" i="23"/>
  <c r="AR28" i="23"/>
  <c r="AS28" i="23"/>
  <c r="AU28" i="23"/>
  <c r="AV28" i="23"/>
  <c r="AW28" i="23"/>
  <c r="AX28" i="23"/>
  <c r="BC28" i="23"/>
  <c r="BD28" i="23"/>
  <c r="BE28" i="23"/>
  <c r="BF28" i="23"/>
  <c r="BK28" i="23"/>
  <c r="BG28" i="23"/>
  <c r="BL28" i="23"/>
  <c r="BH28" i="23"/>
  <c r="BM28" i="23"/>
  <c r="BI28" i="23"/>
  <c r="BN28" i="23"/>
  <c r="BJ28" i="23"/>
  <c r="D4" i="23"/>
  <c r="E4" i="23"/>
  <c r="F4" i="23"/>
  <c r="G4" i="23"/>
  <c r="J4" i="23"/>
  <c r="K4" i="23"/>
  <c r="L4" i="23"/>
  <c r="M4" i="23"/>
  <c r="N4" i="23"/>
  <c r="O4" i="23"/>
  <c r="P4" i="23"/>
  <c r="Q4" i="23"/>
  <c r="R4" i="23"/>
  <c r="S4" i="23"/>
  <c r="T4" i="23"/>
  <c r="U4" i="23"/>
  <c r="V4" i="23"/>
  <c r="W4" i="23"/>
  <c r="X4" i="23"/>
  <c r="Y4" i="23"/>
  <c r="Z4" i="23"/>
  <c r="AA4" i="23"/>
  <c r="AB4" i="23"/>
  <c r="AC4" i="23"/>
  <c r="AD4" i="23"/>
  <c r="AF4" i="23"/>
  <c r="AG4" i="23"/>
  <c r="AH4" i="23"/>
  <c r="AI4" i="23"/>
  <c r="AK4" i="23"/>
  <c r="AL4" i="23"/>
  <c r="AM4" i="23"/>
  <c r="AN4" i="23"/>
  <c r="AQ4" i="23"/>
  <c r="AR4" i="23"/>
  <c r="AS4" i="23"/>
  <c r="AU4" i="23"/>
  <c r="AV4" i="23"/>
  <c r="AW4" i="23"/>
  <c r="AX4" i="23"/>
  <c r="BC4" i="23"/>
  <c r="BD4" i="23"/>
  <c r="BE4" i="23"/>
  <c r="BF4" i="23"/>
  <c r="BK4" i="23"/>
  <c r="BG4" i="23"/>
  <c r="BL4" i="23"/>
  <c r="BH4" i="23"/>
  <c r="BM4" i="23"/>
  <c r="BI4" i="23"/>
  <c r="BN4" i="23"/>
  <c r="BJ4" i="23"/>
  <c r="B5" i="23"/>
  <c r="D5" i="23"/>
  <c r="E5" i="23"/>
  <c r="F5" i="23"/>
  <c r="G5" i="23"/>
  <c r="J5" i="23"/>
  <c r="K5" i="23"/>
  <c r="L5" i="23"/>
  <c r="M5" i="23"/>
  <c r="G4" i="13"/>
  <c r="N5" i="23"/>
  <c r="O5" i="23"/>
  <c r="P5" i="23"/>
  <c r="Q5" i="23"/>
  <c r="R5" i="23"/>
  <c r="S5" i="23"/>
  <c r="T5" i="23"/>
  <c r="U5" i="23"/>
  <c r="V5" i="23"/>
  <c r="W5" i="23"/>
  <c r="X5" i="23"/>
  <c r="Y5" i="23"/>
  <c r="Z5" i="23"/>
  <c r="AA5" i="23"/>
  <c r="AB5" i="23"/>
  <c r="AC5" i="23"/>
  <c r="AD5" i="23"/>
  <c r="AF5" i="23"/>
  <c r="AG5" i="23"/>
  <c r="AH5" i="23"/>
  <c r="AI5" i="23"/>
  <c r="AK5" i="23"/>
  <c r="AL5" i="23"/>
  <c r="AM5" i="23"/>
  <c r="AN5" i="23"/>
  <c r="AQ5" i="23"/>
  <c r="AR5" i="23"/>
  <c r="AS5" i="23"/>
  <c r="AU5" i="23"/>
  <c r="AV5" i="23"/>
  <c r="AW5" i="23"/>
  <c r="AX5" i="23"/>
  <c r="BC5" i="23"/>
  <c r="BD5" i="23"/>
  <c r="BE5" i="23"/>
  <c r="BF5" i="23"/>
  <c r="BK5" i="23"/>
  <c r="BG5" i="23"/>
  <c r="BL5" i="23"/>
  <c r="BH5" i="23"/>
  <c r="BM5" i="23"/>
  <c r="BI5" i="23"/>
  <c r="BN5" i="23"/>
  <c r="BJ5" i="23"/>
  <c r="D6" i="23"/>
  <c r="E6" i="23"/>
  <c r="F6" i="23"/>
  <c r="G6" i="23"/>
  <c r="J6" i="23"/>
  <c r="K6" i="23"/>
  <c r="L6" i="23"/>
  <c r="M6" i="23"/>
  <c r="N6" i="23"/>
  <c r="O6" i="23"/>
  <c r="P6" i="23"/>
  <c r="Q6" i="23"/>
  <c r="R6" i="23"/>
  <c r="S6" i="23"/>
  <c r="T6" i="23"/>
  <c r="U6" i="23"/>
  <c r="V6" i="23"/>
  <c r="W6" i="23"/>
  <c r="X6" i="23"/>
  <c r="Y6" i="23"/>
  <c r="Z6" i="23"/>
  <c r="AA6" i="23"/>
  <c r="AB6" i="23"/>
  <c r="AC6" i="23"/>
  <c r="AD6" i="23"/>
  <c r="AF6" i="23"/>
  <c r="AG6" i="23"/>
  <c r="AH6" i="23"/>
  <c r="AI6" i="23"/>
  <c r="AK6" i="23"/>
  <c r="AL6" i="23"/>
  <c r="AM6" i="23"/>
  <c r="AN6" i="23"/>
  <c r="AQ6" i="23"/>
  <c r="AR6" i="23"/>
  <c r="AS6" i="23"/>
  <c r="AU6" i="23"/>
  <c r="AV6" i="23"/>
  <c r="AW6" i="23"/>
  <c r="AX6" i="23"/>
  <c r="BC6" i="23"/>
  <c r="BD6" i="23"/>
  <c r="BE6" i="23"/>
  <c r="BF6" i="23"/>
  <c r="BK6" i="23"/>
  <c r="BG6" i="23"/>
  <c r="BL6" i="23"/>
  <c r="BH6" i="23"/>
  <c r="BM6" i="23"/>
  <c r="BI6" i="23"/>
  <c r="BN6" i="23"/>
  <c r="BJ6" i="23"/>
  <c r="D7" i="23"/>
  <c r="E7" i="23"/>
  <c r="F7" i="23"/>
  <c r="G7" i="23"/>
  <c r="J7" i="23"/>
  <c r="K7" i="23"/>
  <c r="L7" i="23"/>
  <c r="M7" i="23"/>
  <c r="N7" i="23"/>
  <c r="O7" i="23"/>
  <c r="P7" i="23"/>
  <c r="Q7" i="23"/>
  <c r="R7" i="23"/>
  <c r="S7" i="23"/>
  <c r="T7" i="23"/>
  <c r="U7" i="23"/>
  <c r="V7" i="23"/>
  <c r="W7" i="23"/>
  <c r="X7" i="23"/>
  <c r="Y7" i="23"/>
  <c r="Z7" i="23"/>
  <c r="AA7" i="23"/>
  <c r="AB7" i="23"/>
  <c r="AC7" i="23"/>
  <c r="AD7" i="23"/>
  <c r="AF7" i="23"/>
  <c r="AG7" i="23"/>
  <c r="AH7" i="23"/>
  <c r="AI7" i="23"/>
  <c r="AK7" i="23"/>
  <c r="AL7" i="23"/>
  <c r="AM7" i="23"/>
  <c r="AN7" i="23"/>
  <c r="AQ7" i="23"/>
  <c r="AR7" i="23"/>
  <c r="AS7" i="23"/>
  <c r="AU7" i="23"/>
  <c r="AV7" i="23"/>
  <c r="AW7" i="23"/>
  <c r="AX7" i="23"/>
  <c r="BC7" i="23"/>
  <c r="BD7" i="23"/>
  <c r="BE7" i="23"/>
  <c r="BF7" i="23"/>
  <c r="BK7" i="23"/>
  <c r="BG7" i="23"/>
  <c r="BL7" i="23"/>
  <c r="BH7" i="23"/>
  <c r="BM7" i="23"/>
  <c r="BI7" i="23"/>
  <c r="BN7" i="23"/>
  <c r="BJ7" i="23"/>
  <c r="D8" i="23"/>
  <c r="E8" i="23"/>
  <c r="F8" i="23"/>
  <c r="G8" i="23"/>
  <c r="J8" i="23"/>
  <c r="K8" i="23"/>
  <c r="L8" i="23"/>
  <c r="M8" i="23"/>
  <c r="N8" i="23"/>
  <c r="O8" i="23"/>
  <c r="P8" i="23"/>
  <c r="Q8" i="23"/>
  <c r="R8" i="23"/>
  <c r="S8" i="23"/>
  <c r="T8" i="23"/>
  <c r="U8" i="23"/>
  <c r="V8" i="23"/>
  <c r="W8" i="23"/>
  <c r="X8" i="23"/>
  <c r="Y8" i="23"/>
  <c r="Z8" i="23"/>
  <c r="AA8" i="23"/>
  <c r="AB8" i="23"/>
  <c r="AC8" i="23"/>
  <c r="AD8" i="23"/>
  <c r="AF8" i="23"/>
  <c r="AG8" i="23"/>
  <c r="AH8" i="23"/>
  <c r="AI8" i="23"/>
  <c r="AK8" i="23"/>
  <c r="AL8" i="23"/>
  <c r="AM8" i="23"/>
  <c r="AN8" i="23"/>
  <c r="AQ8" i="23"/>
  <c r="AR8" i="23"/>
  <c r="AS8" i="23"/>
  <c r="AU8" i="23"/>
  <c r="AV8" i="23"/>
  <c r="AW8" i="23"/>
  <c r="AX8" i="23"/>
  <c r="BC8" i="23"/>
  <c r="BD8" i="23"/>
  <c r="BE8" i="23"/>
  <c r="BF8" i="23"/>
  <c r="BK8" i="23"/>
  <c r="BG8" i="23"/>
  <c r="BL8" i="23"/>
  <c r="BH8" i="23"/>
  <c r="BM8" i="23"/>
  <c r="BI8" i="23"/>
  <c r="BN8" i="23"/>
  <c r="BJ8" i="23"/>
  <c r="B9" i="23"/>
  <c r="D9" i="23"/>
  <c r="E9" i="23"/>
  <c r="F9" i="23"/>
  <c r="G9" i="23"/>
  <c r="J9" i="23"/>
  <c r="K9" i="23"/>
  <c r="L9" i="23"/>
  <c r="M9" i="23"/>
  <c r="N9" i="23"/>
  <c r="O9" i="23"/>
  <c r="P9" i="23"/>
  <c r="Q9" i="23"/>
  <c r="R9" i="23"/>
  <c r="S9" i="23"/>
  <c r="T9" i="23"/>
  <c r="U9" i="23"/>
  <c r="V9" i="23"/>
  <c r="W9" i="23"/>
  <c r="X9" i="23"/>
  <c r="Y9" i="23"/>
  <c r="Z9" i="23"/>
  <c r="AA9" i="23"/>
  <c r="AB9" i="23"/>
  <c r="AC9" i="23"/>
  <c r="AD9" i="23"/>
  <c r="AF9" i="23"/>
  <c r="AG9" i="23"/>
  <c r="AH9" i="23"/>
  <c r="AI9" i="23"/>
  <c r="AK9" i="23"/>
  <c r="AL9" i="23"/>
  <c r="AM9" i="23"/>
  <c r="AN9" i="23"/>
  <c r="AQ9" i="23"/>
  <c r="AR9" i="23"/>
  <c r="AS9" i="23"/>
  <c r="AU9" i="23"/>
  <c r="AV9" i="23"/>
  <c r="AW9" i="23"/>
  <c r="AX9" i="23"/>
  <c r="BC9" i="23"/>
  <c r="BD9" i="23"/>
  <c r="BE9" i="23"/>
  <c r="BF9" i="23"/>
  <c r="BK9" i="23"/>
  <c r="BG9" i="23"/>
  <c r="BL9" i="23"/>
  <c r="BH9" i="23"/>
  <c r="BM9" i="23"/>
  <c r="BI9" i="23"/>
  <c r="BN9" i="23"/>
  <c r="BJ9" i="23"/>
  <c r="D10" i="23"/>
  <c r="E10" i="23"/>
  <c r="F10" i="23"/>
  <c r="G10" i="23"/>
  <c r="J10" i="23"/>
  <c r="K10" i="23"/>
  <c r="L10" i="23"/>
  <c r="M10" i="23"/>
  <c r="N10" i="23"/>
  <c r="O10" i="23"/>
  <c r="P10" i="23"/>
  <c r="Q10" i="23"/>
  <c r="R10" i="23"/>
  <c r="S10" i="23"/>
  <c r="T10" i="23"/>
  <c r="U10" i="23"/>
  <c r="V10" i="23"/>
  <c r="W10" i="23"/>
  <c r="X10" i="23"/>
  <c r="Y10" i="23"/>
  <c r="Z10" i="23"/>
  <c r="AA10" i="23"/>
  <c r="AB10" i="23"/>
  <c r="AC10" i="23"/>
  <c r="AD10" i="23"/>
  <c r="AF10" i="23"/>
  <c r="AG10" i="23"/>
  <c r="AH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D11" i="23"/>
  <c r="E11" i="23"/>
  <c r="F11" i="23"/>
  <c r="G11" i="23"/>
  <c r="J11" i="23"/>
  <c r="K11" i="23"/>
  <c r="L11" i="23"/>
  <c r="M11" i="23"/>
  <c r="N11" i="23"/>
  <c r="O11" i="23"/>
  <c r="P11" i="23"/>
  <c r="Q11" i="23"/>
  <c r="R11" i="23"/>
  <c r="S11" i="23"/>
  <c r="T11" i="23"/>
  <c r="U11" i="23"/>
  <c r="V11" i="23"/>
  <c r="W11" i="23"/>
  <c r="X11" i="23"/>
  <c r="Y11" i="23"/>
  <c r="Z11" i="23"/>
  <c r="AA11" i="23"/>
  <c r="AB11" i="23"/>
  <c r="AC11" i="23"/>
  <c r="AD11" i="23"/>
  <c r="AF11" i="23"/>
  <c r="AG11" i="23"/>
  <c r="AH11" i="23"/>
  <c r="AI11" i="23"/>
  <c r="AK11" i="23"/>
  <c r="AL11" i="23"/>
  <c r="AM11" i="23"/>
  <c r="AN11" i="23"/>
  <c r="AQ11" i="23"/>
  <c r="AR11" i="23"/>
  <c r="AS11" i="23"/>
  <c r="AU11" i="23"/>
  <c r="AV11" i="23"/>
  <c r="AW11" i="23"/>
  <c r="AX11" i="23"/>
  <c r="BC11" i="23"/>
  <c r="BD11" i="23"/>
  <c r="BE11" i="23"/>
  <c r="BF11" i="23"/>
  <c r="BK11" i="23"/>
  <c r="BG11" i="23"/>
  <c r="BL11" i="23"/>
  <c r="BH11" i="23"/>
  <c r="BM11" i="23"/>
  <c r="BI11" i="23"/>
  <c r="BN11" i="23"/>
  <c r="BJ11" i="23"/>
  <c r="D12" i="23"/>
  <c r="E12" i="23"/>
  <c r="F12" i="23"/>
  <c r="K12" i="23"/>
  <c r="L12" i="23"/>
  <c r="M12" i="23"/>
  <c r="N12" i="23"/>
  <c r="O12" i="23"/>
  <c r="P12" i="23"/>
  <c r="R12" i="23"/>
  <c r="T12" i="23"/>
  <c r="U12" i="23"/>
  <c r="V12" i="23"/>
  <c r="X12" i="23"/>
  <c r="Y12" i="23"/>
  <c r="Z12" i="23"/>
  <c r="AB12" i="23"/>
  <c r="AC12" i="23"/>
  <c r="AD12" i="23"/>
  <c r="AF12" i="23"/>
  <c r="AH12" i="23"/>
  <c r="AI12" i="23"/>
  <c r="AK12" i="23"/>
  <c r="AL12" i="23"/>
  <c r="AM12" i="23"/>
  <c r="AN12" i="23"/>
  <c r="AQ12" i="23"/>
  <c r="AR12" i="23"/>
  <c r="AS12" i="23"/>
  <c r="AU12" i="23"/>
  <c r="AV12" i="23"/>
  <c r="AW12" i="23"/>
  <c r="AX12" i="23"/>
  <c r="BE12" i="23"/>
  <c r="BF12" i="23"/>
  <c r="BG12" i="23"/>
  <c r="BL12" i="23"/>
  <c r="BH12" i="23"/>
  <c r="BM12" i="23"/>
  <c r="BI12" i="23"/>
  <c r="BN12" i="23"/>
  <c r="BJ12" i="23"/>
  <c r="D13" i="23"/>
  <c r="E13" i="23"/>
  <c r="F13" i="23"/>
  <c r="G13" i="23"/>
  <c r="J13" i="23"/>
  <c r="K13" i="23"/>
  <c r="L13" i="23"/>
  <c r="M13" i="23"/>
  <c r="N13" i="23"/>
  <c r="O13" i="23"/>
  <c r="P13" i="23"/>
  <c r="Q13" i="23"/>
  <c r="R13" i="23"/>
  <c r="S13" i="23"/>
  <c r="T13" i="23"/>
  <c r="U13" i="23"/>
  <c r="V13" i="23"/>
  <c r="W13" i="23"/>
  <c r="X13" i="23"/>
  <c r="Y13" i="23"/>
  <c r="Z13" i="23"/>
  <c r="AA13" i="23"/>
  <c r="AB13" i="23"/>
  <c r="AC13" i="23"/>
  <c r="AD13" i="23"/>
  <c r="AF13" i="23"/>
  <c r="AG13" i="23"/>
  <c r="AH13" i="23"/>
  <c r="AI13" i="23"/>
  <c r="AK13" i="23"/>
  <c r="AL13" i="23"/>
  <c r="AM13" i="23"/>
  <c r="AN13" i="23"/>
  <c r="AQ13" i="23"/>
  <c r="AR13" i="23"/>
  <c r="AS13" i="23"/>
  <c r="AU13" i="23"/>
  <c r="AV13" i="23"/>
  <c r="AW13" i="23"/>
  <c r="AX13" i="23"/>
  <c r="BC13" i="23"/>
  <c r="BD13" i="23"/>
  <c r="BE13" i="23"/>
  <c r="BF13" i="23"/>
  <c r="BK13" i="23"/>
  <c r="BG13" i="23"/>
  <c r="BL13" i="23"/>
  <c r="BH13" i="23"/>
  <c r="BM13" i="23"/>
  <c r="BI13" i="23"/>
  <c r="BN13" i="23"/>
  <c r="BJ13" i="23"/>
  <c r="B14" i="23"/>
  <c r="D14" i="23"/>
  <c r="E14" i="23"/>
  <c r="F14" i="23"/>
  <c r="L14" i="23"/>
  <c r="M14" i="23"/>
  <c r="N14" i="23"/>
  <c r="O14" i="23"/>
  <c r="P14" i="23"/>
  <c r="R14" i="23"/>
  <c r="U14" i="23"/>
  <c r="V14" i="23"/>
  <c r="X14" i="23"/>
  <c r="Y14" i="23"/>
  <c r="Z14" i="23"/>
  <c r="AC14" i="23"/>
  <c r="AD14" i="23"/>
  <c r="AF14" i="23"/>
  <c r="AG14" i="23"/>
  <c r="AH14" i="23"/>
  <c r="AI14" i="23"/>
  <c r="AK14" i="23"/>
  <c r="AL14" i="23"/>
  <c r="AM14" i="23"/>
  <c r="AN14" i="23"/>
  <c r="AQ14" i="23"/>
  <c r="AR14" i="23"/>
  <c r="AS14" i="23"/>
  <c r="AU14" i="23"/>
  <c r="AV14" i="23"/>
  <c r="AW14" i="23"/>
  <c r="AX14" i="23"/>
  <c r="BE14" i="23"/>
  <c r="BF14" i="23"/>
  <c r="BG14" i="23"/>
  <c r="BH14" i="23"/>
  <c r="BM14" i="23"/>
  <c r="BI14" i="23"/>
  <c r="BN14" i="23"/>
  <c r="BJ14" i="23"/>
  <c r="D15" i="23"/>
  <c r="E15" i="23"/>
  <c r="F15" i="23"/>
  <c r="J15" i="23"/>
  <c r="L15" i="23"/>
  <c r="M15" i="23"/>
  <c r="N15" i="23"/>
  <c r="O15" i="23"/>
  <c r="P15" i="23"/>
  <c r="R15" i="23"/>
  <c r="S15" i="23"/>
  <c r="U15" i="23"/>
  <c r="V15" i="23"/>
  <c r="X15" i="23"/>
  <c r="Y15" i="23"/>
  <c r="Z15" i="23"/>
  <c r="AA15" i="23"/>
  <c r="AC15" i="23"/>
  <c r="AD15" i="23"/>
  <c r="AF15" i="23"/>
  <c r="AG15" i="23"/>
  <c r="AH15" i="23"/>
  <c r="AI15" i="23"/>
  <c r="AK15" i="23"/>
  <c r="AL15" i="23"/>
  <c r="AM15" i="23"/>
  <c r="AN15" i="23"/>
  <c r="AQ15" i="23"/>
  <c r="AR15" i="23"/>
  <c r="AS15" i="23"/>
  <c r="AU15" i="23"/>
  <c r="AV15" i="23"/>
  <c r="AW15" i="23"/>
  <c r="AX15" i="23"/>
  <c r="BE15" i="23"/>
  <c r="BF15" i="23"/>
  <c r="BK15" i="23"/>
  <c r="BG15" i="23"/>
  <c r="BH15" i="23"/>
  <c r="BM15" i="23"/>
  <c r="BI15" i="23"/>
  <c r="BN15" i="23"/>
  <c r="BJ15" i="23"/>
  <c r="B16" i="23"/>
  <c r="D16" i="23"/>
  <c r="E16" i="23"/>
  <c r="F16" i="23"/>
  <c r="G16" i="23"/>
  <c r="J16" i="23"/>
  <c r="K16" i="23"/>
  <c r="L16" i="23"/>
  <c r="M16" i="23"/>
  <c r="N16" i="23"/>
  <c r="O16" i="23"/>
  <c r="P16" i="23"/>
  <c r="Q16" i="23"/>
  <c r="R16" i="23"/>
  <c r="S16" i="23"/>
  <c r="T16" i="23"/>
  <c r="U16" i="23"/>
  <c r="V16" i="23"/>
  <c r="W16" i="23"/>
  <c r="X16" i="23"/>
  <c r="Y16" i="23"/>
  <c r="Z16" i="23"/>
  <c r="AA16" i="23"/>
  <c r="AB16" i="23"/>
  <c r="AC16" i="23"/>
  <c r="AD16" i="23"/>
  <c r="AF16" i="23"/>
  <c r="AG16" i="23"/>
  <c r="AH16" i="23"/>
  <c r="AI16" i="23"/>
  <c r="AK16" i="23"/>
  <c r="AL16" i="23"/>
  <c r="AM16" i="23"/>
  <c r="AN16" i="23"/>
  <c r="AQ16" i="23"/>
  <c r="AR16" i="23"/>
  <c r="AS16" i="23"/>
  <c r="AU16" i="23"/>
  <c r="AV16" i="23"/>
  <c r="AW16" i="23"/>
  <c r="AX16" i="23"/>
  <c r="BC16" i="23"/>
  <c r="BD16" i="23"/>
  <c r="BE16" i="23"/>
  <c r="BF16" i="23"/>
  <c r="BK16" i="23"/>
  <c r="BG16" i="23"/>
  <c r="BL16" i="23"/>
  <c r="BH16" i="23"/>
  <c r="BM16" i="23"/>
  <c r="BI16" i="23"/>
  <c r="BN16" i="23"/>
  <c r="BJ16" i="23"/>
  <c r="D17" i="23"/>
  <c r="E17" i="23"/>
  <c r="F17" i="23"/>
  <c r="L17" i="23"/>
  <c r="M17" i="23"/>
  <c r="N17" i="23"/>
  <c r="O17" i="23"/>
  <c r="P17" i="23"/>
  <c r="R17" i="23"/>
  <c r="S17" i="23"/>
  <c r="U17" i="23"/>
  <c r="V17" i="23"/>
  <c r="X17" i="23"/>
  <c r="Y17" i="23"/>
  <c r="Z17" i="23"/>
  <c r="AA17" i="23"/>
  <c r="AC17" i="23"/>
  <c r="AD17" i="23"/>
  <c r="AF17" i="23"/>
  <c r="AH17" i="23"/>
  <c r="AI17" i="23"/>
  <c r="AK17" i="23"/>
  <c r="AL17" i="23"/>
  <c r="AM17" i="23"/>
  <c r="AN17" i="23"/>
  <c r="AQ17" i="23"/>
  <c r="AR17" i="23"/>
  <c r="AS17" i="23"/>
  <c r="AU17" i="23"/>
  <c r="AV17" i="23"/>
  <c r="AW17" i="23"/>
  <c r="AX17" i="23"/>
  <c r="BE17" i="23"/>
  <c r="BF17" i="23"/>
  <c r="BK17" i="23"/>
  <c r="BG17" i="23"/>
  <c r="BH17" i="23"/>
  <c r="BM17" i="23"/>
  <c r="BI17" i="23"/>
  <c r="BN17" i="23"/>
  <c r="BJ17" i="23"/>
  <c r="G3" i="23"/>
  <c r="G2" i="23"/>
  <c r="G10" i="13"/>
  <c r="G8" i="13"/>
  <c r="G3" i="13"/>
  <c r="G2" i="13"/>
  <c r="D2" i="23"/>
  <c r="E2" i="23"/>
  <c r="F2" i="23"/>
  <c r="J2" i="23"/>
  <c r="K2" i="23"/>
  <c r="L2" i="23"/>
  <c r="M2" i="23"/>
  <c r="N2" i="23"/>
  <c r="O2" i="23"/>
  <c r="Q2" i="23"/>
  <c r="R2" i="23"/>
  <c r="S2" i="23"/>
  <c r="T2" i="23"/>
  <c r="U2" i="23"/>
  <c r="V2" i="23"/>
  <c r="W2" i="23"/>
  <c r="X2" i="23"/>
  <c r="Y2" i="23"/>
  <c r="Z2" i="23"/>
  <c r="AA2" i="23"/>
  <c r="AB2" i="23"/>
  <c r="AC2" i="23"/>
  <c r="AD2" i="23"/>
  <c r="AF2" i="23"/>
  <c r="AG2" i="23"/>
  <c r="AH2" i="23"/>
  <c r="AI2" i="23"/>
  <c r="AK2" i="23"/>
  <c r="AL2" i="23"/>
  <c r="AM2" i="23"/>
  <c r="AN2" i="23"/>
  <c r="AQ2" i="23"/>
  <c r="AR2" i="23"/>
  <c r="AS2" i="23"/>
  <c r="AU2" i="23"/>
  <c r="AV2" i="23"/>
  <c r="AW2" i="23"/>
  <c r="AX2" i="23"/>
  <c r="BC2" i="23"/>
  <c r="BD2" i="23"/>
  <c r="BE2" i="23"/>
  <c r="BF2" i="23"/>
  <c r="BK2" i="23"/>
  <c r="BG2" i="23"/>
  <c r="BL2" i="23"/>
  <c r="BH2" i="23"/>
  <c r="BM2" i="23"/>
  <c r="BI2" i="23"/>
  <c r="BN2" i="23"/>
  <c r="BJ2" i="23"/>
  <c r="B3" i="23"/>
  <c r="D3" i="23"/>
  <c r="E3" i="23"/>
  <c r="F3" i="23"/>
  <c r="J3" i="23"/>
  <c r="K3" i="23"/>
  <c r="L3" i="23"/>
  <c r="M3" i="23"/>
  <c r="N3" i="23"/>
  <c r="O3" i="23"/>
  <c r="Q3" i="23"/>
  <c r="R3" i="23"/>
  <c r="S3" i="23"/>
  <c r="T3" i="23"/>
  <c r="U3" i="23"/>
  <c r="V3" i="23"/>
  <c r="W3" i="23"/>
  <c r="X3" i="23"/>
  <c r="Y3" i="23"/>
  <c r="Z3" i="23"/>
  <c r="AA3" i="23"/>
  <c r="AB3" i="23"/>
  <c r="AC3" i="23"/>
  <c r="AD3" i="23"/>
  <c r="AF3" i="23"/>
  <c r="AG3" i="23"/>
  <c r="AH3" i="23"/>
  <c r="AI3" i="23"/>
  <c r="AK3" i="23"/>
  <c r="AL3" i="23"/>
  <c r="AM3" i="23"/>
  <c r="AN3" i="23"/>
  <c r="AQ3" i="23"/>
  <c r="AR3" i="23"/>
  <c r="AS3" i="23"/>
  <c r="AU3" i="23"/>
  <c r="AV3" i="23"/>
  <c r="AW3" i="23"/>
  <c r="AX3" i="23"/>
  <c r="BC3" i="23"/>
  <c r="BD3" i="23"/>
  <c r="BE3" i="23"/>
  <c r="BF3" i="23"/>
  <c r="BK3" i="23"/>
  <c r="BG3" i="23"/>
  <c r="BL3" i="23"/>
  <c r="BH3" i="23"/>
  <c r="BM3" i="23"/>
  <c r="BI3" i="23"/>
  <c r="BN3" i="23"/>
  <c r="BJ3"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H2" i="52"/>
  <c r="E2" i="52"/>
  <c r="E10" i="49"/>
  <c r="E9" i="49"/>
  <c r="E8" i="49"/>
  <c r="E7" i="49"/>
  <c r="E11" i="49"/>
  <c r="E12" i="49"/>
  <c r="E4" i="49"/>
  <c r="E6" i="49"/>
  <c r="E2" i="49"/>
</calcChain>
</file>

<file path=xl/sharedStrings.xml><?xml version="1.0" encoding="utf-8"?>
<sst xmlns="http://schemas.openxmlformats.org/spreadsheetml/2006/main" count="1446" uniqueCount="521">
  <si>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</si>
  <si>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</si>
  <si>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</si>
  <si>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</si>
  <si>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</si>
  <si>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</si>
  <si>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</si>
  <si>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</si>
  <si>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</si>
  <si>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</si>
  <si>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</si>
  <si>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</si>
  <si>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</si>
  <si>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</si>
  <si>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</si>
  <si>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</si>
  <si>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</si>
  <si>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</si>
  <si>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</si>
  <si>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</si>
  <si>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</si>
  <si>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</si>
  <si>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</si>
  <si>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</si>
  <si>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</si>
  <si>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</si>
  <si>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</si>
  <si>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</si>
  <si>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</si>
  <si>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</si>
  <si>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</si>
  <si>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</si>
  <si>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</si>
  <si>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</si>
  <si>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</si>
  <si>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</si>
  <si>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</si>
  <si>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</si>
  <si>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</si>
  <si>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</si>
  <si>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</si>
  <si>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</si>
  <si>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</si>
  <si>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</si>
  <si>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</si>
  <si>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</si>
  <si>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</si>
  <si>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</si>
  <si>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</si>
  <si>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</si>
  <si>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</si>
  <si>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</si>
  <si>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</si>
  <si>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</si>
  <si>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</si>
  <si>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</si>
  <si>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</si>
  <si>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</si>
  <si>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</si>
  <si>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</si>
  <si>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</si>
  <si>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</si>
  <si>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</si>
  <si>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</si>
  <si>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</si>
  <si>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</si>
  <si>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</si>
  <si>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</si>
  <si>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</si>
  <si>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</si>
  <si>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</si>
  <si>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</si>
  <si>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</si>
  <si>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</si>
  <si>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</si>
  <si>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</si>
  <si>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</si>
  <si>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</si>
  <si>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</si>
  <si>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</si>
  <si>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</si>
  <si>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</si>
  <si>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</si>
  <si>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</si>
  <si>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</si>
  <si>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</si>
  <si>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</si>
  <si>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</si>
  <si>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</si>
  <si>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</si>
  <si>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</si>
  <si>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</si>
  <si>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</si>
  <si>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</si>
  <si>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</si>
  <si>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</si>
  <si>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</si>
  <si>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</si>
  <si>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</si>
  <si>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</si>
  <si>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</si>
  <si>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</si>
  <si>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</si>
  <si>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</si>
  <si>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</si>
  <si>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</si>
  <si>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</si>
  <si>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</si>
  <si>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</si>
  <si>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</si>
  <si>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</si>
  <si>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</si>
  <si>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</si>
  <si>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</si>
  <si>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</si>
  <si>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</si>
  <si>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</si>
  <si>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</si>
  <si>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</si>
  <si>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</si>
  <si>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</si>
  <si>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</si>
  <si>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</si>
  <si>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</si>
  <si>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</si>
  <si>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</si>
  <si>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</si>
  <si>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</si>
  <si>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</si>
  <si>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</si>
  <si>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</si>
  <si>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</si>
  <si>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</si>
  <si>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</si>
  <si>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</si>
  <si>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</si>
  <si>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</si>
  <si>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</si>
  <si>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</si>
  <si>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</si>
  <si>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</si>
  <si>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</si>
  <si>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</si>
  <si>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</si>
  <si>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</si>
  <si>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</si>
  <si>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</si>
  <si>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</si>
  <si>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</si>
  <si>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</si>
  <si>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</si>
  <si>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</si>
  <si>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</si>
  <si>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</si>
  <si>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</si>
  <si>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</si>
  <si>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</si>
  <si>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</si>
  <si>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</si>
  <si>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</si>
  <si>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</si>
  <si>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</si>
  <si>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</si>
  <si>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</si>
  <si>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</si>
  <si>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</si>
  <si>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</si>
  <si>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</si>
  <si>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</si>
  <si>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</si>
  <si>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</si>
  <si>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</si>
  <si>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</si>
  <si>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</si>
  <si>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</si>
  <si>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</si>
  <si>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</si>
  <si>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</si>
  <si>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</si>
  <si>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</si>
  <si>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</si>
  <si>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</si>
  <si>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</si>
  <si>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</si>
  <si>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</si>
  <si>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</si>
  <si>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</si>
  <si>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</si>
  <si>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</si>
  <si>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</si>
  <si>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</si>
  <si>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</si>
  <si>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</si>
  <si>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</si>
  <si>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</si>
  <si>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</si>
  <si>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</si>
  <si>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</si>
  <si>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</si>
  <si>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</si>
  <si>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</si>
  <si>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</si>
  <si>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</si>
  <si>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</si>
  <si>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</si>
  <si>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</si>
  <si>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</si>
  <si>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</si>
  <si>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</si>
  <si>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</si>
  <si>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</si>
  <si>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</si>
  <si>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</si>
  <si>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</si>
  <si>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</si>
  <si>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</si>
  <si>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</si>
  <si>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</si>
  <si>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</si>
  <si>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</si>
  <si>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</si>
  <si>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</si>
  <si>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</si>
  <si>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</si>
  <si>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</si>
  <si>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</si>
  <si>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</si>
  <si>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</si>
  <si>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</si>
  <si>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</si>
  <si>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</si>
  <si>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</si>
  <si>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</si>
  <si>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</si>
  <si>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</si>
  <si>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</si>
  <si>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</si>
  <si>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</si>
  <si>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</si>
  <si>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</si>
  <si>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</si>
  <si>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</si>
  <si>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</si>
  <si>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</si>
  <si>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</si>
  <si>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</si>
  <si>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titan01</t>
    <phoneticPr fontId="22"/>
  </si>
  <si>
    <t>old</t>
    <phoneticPr fontId="22"/>
  </si>
  <si>
    <t>ja</t>
    <phoneticPr fontId="22"/>
  </si>
  <si>
    <t>skip</t>
    <phoneticPr fontId="22"/>
  </si>
  <si>
    <t>ランダムでSCパネルを3つ生成し、1ターン自身の攻撃力を超大UP</t>
    <phoneticPr fontId="22"/>
  </si>
  <si>
    <t>[effect:damage, target:enemy_one, color:blue, val:0.63, animation:damage_one_blue03],[effect:damage, target:enemy_one, color:blue, val:0.63, animation:damage_one_blue03],[effect:damage, target:enemy_one, color:blue, val:0.63, animation:damage_one_blue03],[effect:damage, target:enemy_one, color:blue, val:0.63, animation:damage_one_blue03]</t>
    <phoneticPr fontId="22"/>
  </si>
  <si>
    <t>[effect:damage, target:enemy_one, color:blue, val:0.63, animation:damage_one_blue03],[effect:damage, target:enemy_one, color:blue, val:0.63, animation:damage_one_blue03],[effect:damage, target:enemy_one, color:blue, val:0.63, animation:damage_one_blue03],[effect:damage, target:enemy_one, color:blue, val:0.63, animation:damage_one_blue03]</t>
    <phoneticPr fontId="22"/>
  </si>
  <si>
    <t>3ターン全てのユニットの防御力と回復力を特大UP</t>
    <phoneticPr fontId="22"/>
  </si>
  <si>
    <t>HP大回復+3ターンヒューマンの防御力と回復力を特大UP</t>
    <phoneticPr fontId="22"/>
  </si>
  <si>
    <t>ランダムでSCパネルを１つ生成+3ターンの間全ユニットの攻撃力を特大UP</t>
  </si>
  <si>
    <t>ランダムでSCパネルを１つ生成+3ターンの間全ユニットの攻撃力を特大UP</t>
    <phoneticPr fontId="22"/>
  </si>
  <si>
    <t>3ターンヒューマンの攻撃力と防御力と回復力を特大UP</t>
    <phoneticPr fontId="22"/>
  </si>
  <si>
    <t>ランダムで1つSCパネル(大)に変換</t>
    <phoneticPr fontId="22"/>
  </si>
  <si>
    <t>1体に大ダメージ</t>
    <phoneticPr fontId="22"/>
  </si>
  <si>
    <t>1体に特大ダメージ</t>
    <phoneticPr fontId="22"/>
  </si>
  <si>
    <t>全体に特大ダメージ</t>
    <phoneticPr fontId="22"/>
  </si>
  <si>
    <t>全体に超大ダメージ</t>
    <phoneticPr fontId="22"/>
  </si>
  <si>
    <t>単体に2回中ダメージ</t>
    <phoneticPr fontId="22"/>
  </si>
  <si>
    <t>単体に4回ダメージ</t>
    <phoneticPr fontId="22"/>
  </si>
  <si>
    <t>単体に2回大ダメージ</t>
    <phoneticPr fontId="22"/>
  </si>
  <si>
    <t>1体に特大ダメージ
+HP小回復</t>
    <phoneticPr fontId="22"/>
  </si>
  <si>
    <t>HP大回復</t>
    <phoneticPr fontId="22"/>
  </si>
  <si>
    <t>色</t>
    <phoneticPr fontId="22"/>
  </si>
  <si>
    <t>[effect:damage, target:enemy_one, color:blue, val:2.0, animation:damage_one_blue04]</t>
    <phoneticPr fontId="22"/>
  </si>
  <si>
    <t>[effect:damage, target:enemy_one, color:blue, val:2.25, animation:damage_one_blue04]</t>
    <phoneticPr fontId="22"/>
  </si>
  <si>
    <t>[effect:damage, target:enemy_all, color:red, val:1.125, animation:damage_all_red04]</t>
    <phoneticPr fontId="22"/>
  </si>
  <si>
    <t>1体に特大ダメージ
+1ターン全ユニットの防御力UP</t>
    <rPh sb="1" eb="2">
      <t>タ</t>
    </rPh>
    <rPh sb="3" eb="4">
      <t>トk</t>
    </rPh>
    <rPh sb="4" eb="5">
      <t>トk</t>
    </rPh>
    <rPh sb="15" eb="16">
      <t>ゼn</t>
    </rPh>
    <rPh sb="21" eb="24">
      <t>ボウgy</t>
    </rPh>
    <phoneticPr fontId="22"/>
  </si>
  <si>
    <t>[effect:damage, target:enemy_one, color:red, val:1.3, animation:damage_one_red03],[effect:damage, target:enemy_one, color:red, val:1.3, animation:damage_one_red03]</t>
    <phoneticPr fontId="22"/>
  </si>
  <si>
    <t>[effect:damage, target:enemy_one, color:red, val:2.25, animation:damage_one_red05]</t>
    <phoneticPr fontId="22"/>
  </si>
  <si>
    <t>[effect:damage, target:enemy_one, color:yellow, val:1.5, animation:damage_one_yellow04],[effect:enhance_unit, target:unit_all, turn:1, status:defense, val:72, calc:add,animation:enhance_unit_all_deffence02_unit01]</t>
    <phoneticPr fontId="22"/>
  </si>
  <si>
    <t>[effect:damage, target:enemy_one, color:yellow, val:1.5, animation:damage_one_yellow04],[effect:enhance_unit, target:unit_all, turn:1, status:defense, val:72, calc:add,animation:enhance_unit_all_deffence02_unit01]</t>
    <phoneticPr fontId="22"/>
  </si>
  <si>
    <t>[effect:damage_anti_tribe, target:enemy_one, tribe:titan, val1:3.75, val2:1.31, animation:damage_one_red04]</t>
    <phoneticPr fontId="22"/>
  </si>
  <si>
    <t>[effect:damage, target:enemy_one, color:green, val:1.5, animation:damage_one_green04],[effect:heal_ratio, val:0.18, animation:heal_unit, animation:heal_unit01]</t>
    <phoneticPr fontId="22"/>
  </si>
  <si>
    <t>[effect:damage, target:enemy_all, color:blue, val:1.25, animation:damage_all_blue04]</t>
    <phoneticPr fontId="22"/>
  </si>
  <si>
    <t>[effect:heal_ratio, val:0.45, animation:heal_unit, animation:heal03_unit01]</t>
    <phoneticPr fontId="22"/>
  </si>
  <si>
    <t>全体に大ダメージ+
単体に大ダメージ</t>
    <rPh sb="3" eb="4">
      <t>ダ</t>
    </rPh>
    <rPh sb="10" eb="12">
      <t>タンタ</t>
    </rPh>
    <phoneticPr fontId="22"/>
  </si>
  <si>
    <t>[effect:damage, target:enemy_all, color:yellow, val:0.675, animation:damage_all_yellow04],[effect:damage, target:enemy_one, color:yellow, val:1.4, animation:damage_one_yellow04]</t>
    <phoneticPr fontId="22"/>
  </si>
  <si>
    <t>[effect:damage_status_break, target:enemy_one, status:counter, color:yellow, val1:12.9, val2:8.16, animation:damage_counter_break05]</t>
    <phoneticPr fontId="22"/>
  </si>
  <si>
    <t>[effect:damage_status_break, target:enemy_one, status:counter, color:yellow, val1:12.9, val2:8.16, animation:damage_counter_break05]</t>
    <phoneticPr fontId="22"/>
  </si>
  <si>
    <t>3ターン自身の攻撃力と防御力を特大UPし、大カウンター</t>
    <phoneticPr fontId="22"/>
  </si>
  <si>
    <t>ランダムで2つSCパネル(大)に変換</t>
    <phoneticPr fontId="22"/>
  </si>
  <si>
    <t>[effect:force_change_block, new_block:crash, target:block_all,color:block_red, count:2, val:24, animation:change_block]</t>
    <phoneticPr fontId="22"/>
  </si>
  <si>
    <t>[effect:enhance_unit, target:unit_human, turn:3, status:attack, val:0.21, calc:mul, animation:enhance_unit_all_attack04_unit01],[effect:enhance_unit, target:unit_human, turn:3, status:defense, val:1080, calc:add, animation:enhance_unit_all_defense04_unit01],[effect:enhance_unit, target:unit_human, turn:3, status:heal, val:0.45, calc:mul, animation:enhance_unit_all_heal04_unit01]</t>
    <phoneticPr fontId="22"/>
  </si>
  <si>
    <t>[effect:enhance_unit, target:unit_human, turn:3, status:attack, val:0.21, calc:mul, animation:enhance_unit_all_attack04_unit01],[effect:enhance_unit, target:unit_human, turn:3, status:defense, val:1080, calc:add, animation:enhance_unit_all_defense04_unit01],[effect:enhance_unit, target:unit_human, turn:3, status:heal, val:0.45, calc:mul, animation:enhance_unit_all_heal04_unit01]</t>
    <phoneticPr fontId="22"/>
  </si>
  <si>
    <t>4ターンの間HP大回復し、自身の攻撃力を超大UP</t>
    <phoneticPr fontId="22"/>
  </si>
  <si>
    <t>[effect:force_change_block, new_block:crash, target:block_all,color:block_red, count:1, val:24, animation:change_block]</t>
    <phoneticPr fontId="22"/>
  </si>
  <si>
    <t>ability_id</t>
    <phoneticPr fontId="22"/>
  </si>
  <si>
    <t>ability_param</t>
    <phoneticPr fontId="22"/>
  </si>
  <si>
    <t>valid_flg</t>
    <phoneticPr fontId="22"/>
  </si>
  <si>
    <t>character_id</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</si>
  <si>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</si>
  <si>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</si>
  <si>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</si>
  <si>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</si>
  <si>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</si>
  <si>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</si>
  <si>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</si>
  <si>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abilities_i18n_</t>
    <phoneticPr fontId="22"/>
  </si>
  <si>
    <t>abilities</t>
    <phoneticPr fontId="22"/>
  </si>
  <si>
    <t>comment</t>
    <phoneticPr fontId="22"/>
  </si>
  <si>
    <t>unit_abilities_</t>
    <phoneticPr fontId="22"/>
  </si>
  <si>
    <t>unit_abilities</t>
    <phoneticPr fontId="22"/>
  </si>
  <si>
    <t>ability_slot</t>
    <phoneticPr fontId="22"/>
  </si>
  <si>
    <t>ability_id</t>
    <phoneticPr fontId="9"/>
  </si>
  <si>
    <t>unlock_type</t>
    <phoneticPr fontId="9"/>
  </si>
  <si>
    <t>unlock_value</t>
    <phoneticPr fontId="22"/>
  </si>
  <si>
    <t>character_id</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</si>
  <si>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</si>
  <si>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</si>
  <si>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</si>
  <si>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</si>
  <si>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</si>
  <si>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</si>
  <si>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</si>
  <si>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</si>
  <si>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</si>
  <si>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awake_cost</t>
    <phoneticPr fontId="9"/>
  </si>
  <si>
    <t>fork_awake_units_</t>
    <phoneticPr fontId="22"/>
  </si>
  <si>
    <t>fork_awake_units</t>
    <phoneticPr fontId="22"/>
  </si>
  <si>
    <t>awake_character_id</t>
    <phoneticPr fontId="22"/>
  </si>
  <si>
    <t>awake_cost</t>
    <phoneticPr fontId="22"/>
  </si>
  <si>
    <t>awake_type</t>
    <phoneticPr fontId="22"/>
  </si>
  <si>
    <t>fork_awake_materials_</t>
    <phoneticPr fontId="22"/>
  </si>
  <si>
    <t>material_character_id</t>
    <phoneticPr fontId="22"/>
  </si>
  <si>
    <t>material_bug</t>
    <phoneticPr fontId="22"/>
  </si>
  <si>
    <t>priority</t>
    <phoneticPr fontId="22"/>
  </si>
  <si>
    <t>パーフェクト・スウィーパー</t>
    <phoneticPr fontId="22"/>
  </si>
  <si>
    <t>タイタン・スレイング</t>
  </si>
  <si>
    <t>絶滅の熱腕</t>
  </si>
  <si>
    <t>不可避の鞭蹴・硬化</t>
  </si>
  <si>
    <t>壊滅、ウォール・マリア</t>
    <phoneticPr fontId="22"/>
  </si>
  <si>
    <t>迫撃の立体機動</t>
  </si>
  <si>
    <t>血讐の立体機動</t>
    <phoneticPr fontId="22"/>
  </si>
  <si>
    <t>憤怒の巨拳</t>
  </si>
  <si>
    <t>立体機動・急所斬り</t>
    <phoneticPr fontId="22"/>
  </si>
  <si>
    <t>ブレイブ・アタック・オーダー</t>
  </si>
  <si>
    <t>ハートレス・エクスペリメント</t>
  </si>
  <si>
    <t>確信の最適解</t>
  </si>
  <si>
    <t>覚醒の狩猟本能</t>
    <phoneticPr fontId="22"/>
  </si>
  <si>
    <t>チャリティ・オブ・ゴッデス</t>
    <phoneticPr fontId="22"/>
  </si>
  <si>
    <t>リアリスティック・ゲイザー</t>
    <phoneticPr fontId="22"/>
  </si>
  <si>
    <t>厳正なる審美眼</t>
    <phoneticPr fontId="22"/>
  </si>
  <si>
    <t>厳戒審査の潔癖者</t>
    <phoneticPr fontId="22"/>
  </si>
  <si>
    <t>パワー・オブ・タイタン</t>
  </si>
  <si>
    <t>ディザスター・オブ・タイタン</t>
  </si>
  <si>
    <t>地を震わせる猛追</t>
  </si>
  <si>
    <t>不倒の証明</t>
  </si>
  <si>
    <t>炎情・スナップブレード</t>
    <phoneticPr fontId="22"/>
  </si>
  <si>
    <t>二刀両断・スナップブレード</t>
  </si>
  <si>
    <t>自傷の代償</t>
  </si>
  <si>
    <t>信念の護衛</t>
  </si>
  <si>
    <t>進軍の調査兵団</t>
  </si>
  <si>
    <t>痛覚確認</t>
  </si>
  <si>
    <t>高智な反撃</t>
  </si>
  <si>
    <t>自由の翼</t>
  </si>
  <si>
    <t>不屈の食料調達</t>
    <phoneticPr fontId="22"/>
  </si>
  <si>
    <t>慈悲深い介抱</t>
  </si>
  <si>
    <t>賭命の英断</t>
  </si>
  <si>
    <t>ja</t>
    <phoneticPr fontId="22"/>
  </si>
  <si>
    <t>ja</t>
    <phoneticPr fontId="22"/>
  </si>
  <si>
    <t>cskill</t>
    <phoneticPr fontId="22"/>
  </si>
  <si>
    <t>giza</t>
    <phoneticPr fontId="22"/>
  </si>
  <si>
    <t>ja</t>
    <phoneticPr fontId="22"/>
  </si>
  <si>
    <t>cskill</t>
    <phoneticPr fontId="22"/>
  </si>
  <si>
    <t>ja</t>
    <phoneticPr fontId="22"/>
  </si>
  <si>
    <t>cskill</t>
    <phoneticPr fontId="22"/>
  </si>
  <si>
    <t>早急に取り掛かるぞ</t>
  </si>
  <si>
    <t>守るべきルールだ</t>
  </si>
  <si>
    <t>全てやり直せ</t>
  </si>
  <si>
    <t>全然なってない</t>
  </si>
  <si>
    <t>ちっ…汚ねえな…</t>
  </si>
  <si>
    <t>maru</t>
    <phoneticPr fontId="22"/>
  </si>
  <si>
    <t>シュゥゥゥウウウウ</t>
  </si>
  <si>
    <t>ゴゴゴゴゴゴゴゴゴ……</t>
  </si>
  <si>
    <t>ドッゴォォォォ</t>
  </si>
  <si>
    <t>ビュワ゛ワ゛ァァァァァ</t>
  </si>
  <si>
    <t>kumo</t>
    <phoneticPr fontId="22"/>
  </si>
  <si>
    <t>ズガガガガ…ドォォォォオオ</t>
  </si>
  <si>
    <t>ドォォオオ…ゴゴゴゴゴ</t>
  </si>
  <si>
    <t>バシュッ</t>
  </si>
  <si>
    <t>ドォ！ドォ！ドォ！</t>
  </si>
  <si>
    <t>ドザザザザザザザザ</t>
  </si>
  <si>
    <t>きぃやあぁぁぁぁぁぁぁぁぁ</t>
  </si>
  <si>
    <t>ガガガガガガザザザザザ</t>
  </si>
  <si>
    <t>ピシッ……ドゴォ！！</t>
  </si>
  <si>
    <t>ズガガガガガガガガ</t>
  </si>
  <si>
    <t>巨人を食い尽くしてやる！！</t>
  </si>
  <si>
    <t>目標、目の前ッ！</t>
  </si>
  <si>
    <t>それがオレの夢だ！</t>
  </si>
  <si>
    <t>今度はオレたちが…</t>
  </si>
  <si>
    <t>こいつさえ仕留めれば！</t>
  </si>
  <si>
    <t>駆逐してやる！！</t>
  </si>
  <si>
    <t>アァァァァァァァァァ！！！</t>
  </si>
  <si>
    <t>オアェ！！ガァッ！！</t>
  </si>
  <si>
    <t>グゥアアアアア！！！！</t>
  </si>
  <si>
    <t>クッテヤる</t>
  </si>
  <si>
    <t>全員戦闘開始！！</t>
  </si>
  <si>
    <t>迎え撃て！！</t>
  </si>
  <si>
    <t>長距離索敵陣形！展開！</t>
  </si>
  <si>
    <t>発破用意を急げ！！</t>
  </si>
  <si>
    <t>……モットイッパイ</t>
  </si>
  <si>
    <t>最高に滾るヤツをだよ！！</t>
  </si>
  <si>
    <t>今のは惜しかったよ！</t>
  </si>
  <si>
    <t>身じろぎ一つできないよ</t>
  </si>
  <si>
    <t>クッッソ熱ッいぜ！！</t>
  </si>
  <si>
    <t>痛くない？どんな感じ？</t>
  </si>
  <si>
    <t>喋りながらでも考えろ！</t>
  </si>
  <si>
    <t>作戦を考えた</t>
  </si>
  <si>
    <t>二人のように強く…</t>
  </si>
  <si>
    <t>僕らの勝ちだ！！</t>
  </si>
  <si>
    <t>足手まといにはならないよ！</t>
  </si>
  <si>
    <t>俺がヤツを削る</t>
  </si>
  <si>
    <t>ほぅ…悪くない……</t>
  </si>
  <si>
    <t>遅い！さっさと決めろ！</t>
  </si>
  <si>
    <t>躾に一番効くのは痛みだ</t>
  </si>
  <si>
    <t>綺麗に削いでやるよ…</t>
  </si>
  <si>
    <t>必ず！巨人を絶滅させる！！</t>
  </si>
  <si>
    <t>今食べるべきと判断しました</t>
  </si>
  <si>
    <t>むふふ…</t>
  </si>
  <si>
    <t>みなさん！さぁ立って！</t>
  </si>
  <si>
    <t>よかった…みんな</t>
  </si>
  <si>
    <t>そのケガは？…大丈夫なの？</t>
  </si>
  <si>
    <t>遅くなってごめん…！</t>
  </si>
  <si>
    <t>よかった…無事で……</t>
  </si>
  <si>
    <t>遅くなってごめん…！</t>
    <phoneticPr fontId="22"/>
  </si>
  <si>
    <t>森なめたら死にますよあなた</t>
    <phoneticPr fontId="22"/>
  </si>
  <si>
    <t>オォオオオォ</t>
  </si>
  <si>
    <t>ヒュオオオオオオオオオ</t>
  </si>
  <si>
    <t>この世界は…残酷なんだ…</t>
  </si>
  <si>
    <t>捉えた…！！</t>
  </si>
  <si>
    <t>家族を失いたくない…</t>
  </si>
  <si>
    <t>私は…強い</t>
    <phoneticPr fontId="22"/>
  </si>
  <si>
    <t>私はあなたを守る！</t>
  </si>
  <si>
    <t>maru</t>
    <phoneticPr fontId="22"/>
  </si>
  <si>
    <t>何としてでも生きる！！</t>
  </si>
  <si>
    <t>今だッッ！！！</t>
  </si>
  <si>
    <t>オレは誰よりも現実を見てる</t>
  </si>
  <si>
    <t>力を貸せ！！</t>
  </si>
  <si>
    <t>俺達の選んだ仕事だ！</t>
  </si>
  <si>
    <t>giza</t>
    <phoneticPr fontId="22"/>
  </si>
  <si>
    <t>bug</t>
    <phoneticPr fontId="22"/>
  </si>
  <si>
    <t>1</t>
    <phoneticPr fontId="22"/>
  </si>
  <si>
    <t>abilities_tmp_</t>
    <phoneticPr fontId="22"/>
  </si>
  <si>
    <t>abilities</t>
    <phoneticPr fontId="22"/>
  </si>
  <si>
    <t>ability_id</t>
    <phoneticPr fontId="22"/>
  </si>
  <si>
    <t>ability_param</t>
    <phoneticPr fontId="22"/>
  </si>
  <si>
    <t>valid_flg</t>
    <phoneticPr fontId="22"/>
  </si>
  <si>
    <t>[effect:enhance_unit, target:unit_machine, turn:3, status:attack, val:0.21, calc:mul, animation:enhance_unit_all_attack04_unit01],[effect:enhance_unit, target:unit_machine, turn:3, status:defense, val:1080, calc:add, animation:enhance_unit_all_defense04_unit01],[effect:guard_break, target:enemy_unknown, turn:3, val:1.0, calc:mul, animation:guard_break02]</t>
    <phoneticPr fontId="22"/>
  </si>
  <si>
    <t>赤パネルを青パネルに、緑パネルを最大8個Cパネルに変換し、1ターン全ユニットのCパネル生成短縮(超大)</t>
    <phoneticPr fontId="22"/>
  </si>
  <si>
    <t>3ターンの間種族マシンの攻撃力と防御力を特大UPし、種族Unknownの敵の防御力を0にする</t>
    <phoneticPr fontId="22"/>
  </si>
  <si>
    <t>3ターンの間種族マシンの攻撃力と防御力を特大UPし、種族Unknownの敵の防御力を0にする</t>
    <phoneticPr fontId="22"/>
  </si>
  <si>
    <t>1体に大ダメージ</t>
    <phoneticPr fontId="22"/>
  </si>
  <si>
    <t>1体に大ダメージ
Unknownに効果特大</t>
    <phoneticPr fontId="22"/>
  </si>
  <si>
    <t>[effect:damage_anti_tribe, target:enemy_one, tribe:unknown, val1:3.75, val2:1.31, animation:damage_one_blue04]</t>
    <phoneticPr fontId="22"/>
  </si>
  <si>
    <t>[effect:damage_anti_tribe, target:enemy_one, tribe:unknown, val1:3.75, val2:1.31, animation:damage_one_green04]</t>
    <phoneticPr fontId="22"/>
  </si>
  <si>
    <t>[effect:damage_anti_tribe, target:enemy_one, tribe:unknown, val1:3.75, val2:1.31, animation:damage_one_green04]</t>
    <phoneticPr fontId="22"/>
  </si>
  <si>
    <t>temp_awake</t>
    <phoneticPr fontId="9"/>
  </si>
  <si>
    <t>base_character_id</t>
    <phoneticPr fontId="9"/>
  </si>
  <si>
    <t>character_id</t>
    <phoneticPr fontId="9"/>
  </si>
  <si>
    <t>name</t>
    <phoneticPr fontId="9"/>
  </si>
  <si>
    <t>rare</t>
    <phoneticPr fontId="9"/>
  </si>
  <si>
    <t>drop_label</t>
    <phoneticPr fontId="9"/>
  </si>
  <si>
    <t>awake_character_id</t>
    <phoneticPr fontId="9"/>
  </si>
  <si>
    <t>material_bug</t>
    <phoneticPr fontId="9"/>
  </si>
  <si>
    <t>priority</t>
    <phoneticPr fontId="9"/>
  </si>
  <si>
    <t>1体に特大ダメージ
Unknownに効果超大</t>
    <phoneticPr fontId="22"/>
  </si>
  <si>
    <t>super</t>
    <phoneticPr fontId="22"/>
  </si>
  <si>
    <t>ランダムで1つSCパネル(特大)に変換+1ターン赤パネルの出現率大UP</t>
    <phoneticPr fontId="22"/>
  </si>
  <si>
    <t>ランダムで1つSCパネル(特大)に変換+1ターン赤パネルの出現率大UP</t>
    <phoneticPr fontId="22"/>
  </si>
  <si>
    <t>[effect:force_change_block, new_block:crash, target:block_all,color:block_red, count:1, val:36, animation:change_block],[effect:change_panel_ratio, turn:1, block_type:red, val:0.6,animation:block_incidence04]</t>
    <phoneticPr fontId="22"/>
  </si>
  <si>
    <t>[effect:force_change_block, new_block:crash, target:block_all,color:block_red, count:1, val:36, animation:change_block],[effect:change_panel_ratio, turn:1, block_type:red, val:0.6,animation:block_incidence04]</t>
    <phoneticPr fontId="22"/>
  </si>
  <si>
    <t>30</t>
    <phoneticPr fontId="22"/>
  </si>
  <si>
    <t>[effect:regenerate, turn:4, val:1.2, animation:heal_unit],[effect:enhance_unit, target:myself, turn:4, status:attack, val:0.28, calc:mul, animation:enhance_unit_all_attack04_unit01]</t>
    <phoneticPr fontId="22"/>
  </si>
  <si>
    <t>[effect:heal_ratio, val:4, animation:heal03],[effect:enhance_unit, target:unit_human, turn:3, status:defense, val:1080, calc:add, animation:enhance_unit_all_defense04_unit01],[effect:enhance_unit, target:unit_human, turn:3, status:heal, val:0.45, calc:mul, animation:enhance_unit_all_heal04_unit01]</t>
    <phoneticPr fontId="22"/>
  </si>
  <si>
    <t>[effect:heal_ratio, val:4, animation:heal03],[effect:enhance_unit, target:unit_human, turn:3, status:defense, val:1080, calc:add, animation:enhance_unit_all_defense04_unit01],[effect:enhance_unit, target:unit_human, turn:3, status:heal, val:0.45, calc:mul, animation:enhance_unit_all_heal04_unit01]</t>
    <phoneticPr fontId="22"/>
  </si>
  <si>
    <t>[effect:damage, target:enemy_one, color:red, val:1.35, animation:damage_one_red03],[effect:damage, target:enemy_one, color:red, val:1.35, animation:damage_one_red03]</t>
    <phoneticPr fontId="22"/>
  </si>
  <si>
    <t>3ターン自身の攻撃力と防御力を特大UPし、大カウンター</t>
    <phoneticPr fontId="22"/>
  </si>
  <si>
    <t>[effect:force_change_block, new_block:crash, target:block_all,color:block_red, count:3, val:12, animation:change_block],[effect:enhance_unit, target:myself, turn:1, status:attack, val:0.28, calc:mul, animation:enhance_unit_all_attack03]</t>
    <phoneticPr fontId="22"/>
  </si>
  <si>
    <t>[effect:damage, target:enemy_one, color:green, val:1.2, animation:damage_one_green03],[effect:damage, target:enemy_one, color:green, val:1.2, animation:damage_one_green03]</t>
    <phoneticPr fontId="22"/>
  </si>
  <si>
    <t>[effect:force_change_block, new_block:crash, target:block_all, count:1, val:12, animation:change_block],[effect:enhance_unit, target:unit_all, turn:3, status:attack, val:0.255, calc:mul, animation:enhance_unit_all_attack04_unit01]</t>
    <phoneticPr fontId="22"/>
  </si>
  <si>
    <t>[effect:enhance_unit, target:myself, turn:3, status:attack, val:0.21, calc:mul, animation:enhance_unit_all_attack04_unit01],[effect:enhance_unit, target:myself, turn:3, status:defense, val:1080, calc:add, animation:enhance_unit_all_defense04_unit01],[effect:counter_new, target:unit_all, invoke_condition:enemy_all, counter_target:attacker, turn:3, val:2.0]</t>
    <phoneticPr fontId="22"/>
  </si>
  <si>
    <t>[effect:enhance_unit, target:myself, turn:3, status:attack, val:0.21, calc:mul, animation:enhance_unit_all_attack04_unit01],[effect:enhance_unit, target:myself, turn:3, status:defense, val:1080, calc:add, animation:enhance_unit_all_defense04_unit01],[effect:counter_new, target:unit_all, invoke_condition:enemy_all, counter_target:attacker, turn:3, val:2.0]</t>
    <phoneticPr fontId="22"/>
  </si>
  <si>
    <t>カウンター状態を解除＋単体に黄属性の特大ダメージ(カウンター状態の敵には効果超大)</t>
    <phoneticPr fontId="22"/>
  </si>
  <si>
    <t>[effect:enhance_unit, target:unit_all, turn:3, status:defense, val:1440, calc:add, animation:enhance_unit_all_defense03_unit01],[effect:enhance_unit, target:unit_all, turn:3, status:heal, val:0.6, calc:mul, animation:enhance_unit_all_heal04_unit01]</t>
    <phoneticPr fontId="22"/>
  </si>
  <si>
    <t>緑パネルを赤パネルに変換+3ターン全ユニットの攻撃力を超大UPし、Cパネル生成短縮(効果特大)</t>
    <phoneticPr fontId="22"/>
  </si>
  <si>
    <t>黄パネルを緑パネルに変換+青パネルを吸収して3ターンヒューマンの防御力UPし、回復力特大UP</t>
    <phoneticPr fontId="22"/>
  </si>
  <si>
    <t>黄パネルを緑パネルに変換+青パネルを吸収して3ターンヒューマンの防御力UPし、回復力特大UP</t>
    <phoneticPr fontId="22"/>
  </si>
  <si>
    <t>[effect:force_change_block, new_block:block_green, target:block_yellow,color:block_red, count:0, val:0, animation:change_block],[effect:break_enchance_unit, val:24, lowest_val:960, count :-1, status:defense, turn:3, block:block_blue, target:unit_human, calc:add, animation:enhance_unit_all_defense04],[effect:enhance_unit, target:unit_human, turn:3, status:heal, val:0.45, calc:mul, animation:enhance_unit_all_heal04_unit01]</t>
    <phoneticPr fontId="22"/>
  </si>
  <si>
    <t>[effect:force_change_block, new_block:block_red, target:block_green,color:block_red, count:0, val:0, animation:change_block],[effect:crash_condition, target:unit_all, val:-4, turn:3, animation:crash_panel_reduce03],[effect:enhance_unit, target:unit_all, turn:3, status:attack, val:0.28, calc:mul, animation:enhance_unit_all_attack04_unit01]</t>
    <phoneticPr fontId="22"/>
  </si>
  <si>
    <t>[effect:force_change_block, new_block:block_red, target:block_green,color:block_red, count:0, val:0, animation:change_block],[effect:crash_condition, target:unit_all, val:-4, turn:3, animation:crash_panel_reduce03],[effect:enhance_unit, target:unit_all, turn:3, status:attack, val:0.28, calc:mul, animation:enhance_unit_all_attack04_unit01]</t>
    <phoneticPr fontId="22"/>
  </si>
  <si>
    <t>[effect:force_change_block, new_block:crash, target:block_green,color:block_red, count:8, val:8, animation:change_block],[effect:force_change_block, new_block:block_blue, target:block_red,color:block_red, count:0, val:0, animation:change_block],[effect:crash_condition, target:unit_all, val:-6, turn:1, animation:crash_panel_reduce03]</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</si>
  <si>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</si>
  <si>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</si>
  <si>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</si>
  <si>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</si>
  <si>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</si>
  <si>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</si>
  <si>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</si>
  <si>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</si>
  <si>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</si>
  <si>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</si>
  <si>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</si>
  <si>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</si>
  <si>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</si>
  <si>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</si>
  <si>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</si>
  <si>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</si>
  <si>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</si>
  <si>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</si>
  <si>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</si>
  <si>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</si>
  <si>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</si>
  <si>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</si>
  <si>
    <t>[effect:damage, target:enemy_all, color:red, val:1.75, animation:damage_all_red04]</t>
    <phoneticPr fontId="22"/>
  </si>
  <si>
    <t>category</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</si>
</sst>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4">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0" tint="-0.14999847407452621"/>
        <bgColor indexed="55"/>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79998168889431442"/>
        <bgColor indexed="59"/>
      </patternFill>
    </fill>
    <fill>
      <patternFill patternType="solid">
        <fgColor rgb="FFFF0000"/>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style="thin">
        <color auto="1"/>
      </left>
      <right style="thin">
        <color auto="1"/>
      </right>
      <top/>
      <bottom/>
      <diagonal/>
    </border>
    <border>
      <left style="thin">
        <color indexed="8"/>
      </left>
      <right style="thin">
        <color indexed="8"/>
      </right>
      <top/>
      <bottom/>
      <diagonal/>
    </border>
    <border>
      <left style="thin">
        <color auto="1"/>
      </left>
      <right/>
      <top style="thin">
        <color auto="1"/>
      </top>
      <bottom/>
      <diagonal/>
    </border>
  </borders>
  <cellStyleXfs count="47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17">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0" borderId="4" xfId="0" applyFont="1" applyFill="1" applyBorder="1" applyAlignment="1">
      <alignment horizontal="left" vertical="center"/>
    </xf>
    <xf numFmtId="0" fontId="16" fillId="25" borderId="4" xfId="0" applyFont="1" applyFill="1" applyBorder="1" applyAlignment="1">
      <alignment horizontal="right" vertical="center"/>
    </xf>
    <xf numFmtId="0" fontId="13" fillId="7" borderId="14" xfId="0" applyFont="1" applyFill="1" applyBorder="1" applyAlignment="1">
      <alignment horizontal="center" vertical="center"/>
    </xf>
    <xf numFmtId="0" fontId="16" fillId="7" borderId="18" xfId="0" applyFont="1" applyFill="1" applyBorder="1" applyAlignment="1">
      <alignment horizontal="left" vertical="center"/>
    </xf>
    <xf numFmtId="0" fontId="13" fillId="7" borderId="4" xfId="0" applyFont="1" applyFill="1" applyBorder="1" applyAlignment="1">
      <alignment horizontal="center" vertical="center"/>
    </xf>
    <xf numFmtId="0" fontId="14" fillId="0" borderId="4" xfId="0" applyFont="1" applyBorder="1" applyAlignment="1">
      <alignment horizontal="left" vertical="center" wrapText="1"/>
    </xf>
    <xf numFmtId="0" fontId="25" fillId="0" borderId="7" xfId="0" applyFont="1" applyFill="1" applyBorder="1" applyAlignment="1">
      <alignment vertical="center" wrapText="1"/>
    </xf>
    <xf numFmtId="0" fontId="13" fillId="19" borderId="4" xfId="0" applyFont="1" applyFill="1" applyBorder="1" applyAlignment="1">
      <alignment horizontal="left" vertical="center" wrapText="1"/>
    </xf>
    <xf numFmtId="0" fontId="13" fillId="7" borderId="4" xfId="0" applyFont="1" applyFill="1" applyBorder="1" applyAlignment="1">
      <alignment horizontal="left" vertical="center" wrapText="1"/>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6" fillId="26" borderId="4" xfId="0" applyFont="1" applyFill="1" applyBorder="1" applyAlignment="1">
      <alignment horizontal="center" vertical="center"/>
    </xf>
    <xf numFmtId="0" fontId="0" fillId="26" borderId="4" xfId="0" applyFill="1" applyBorder="1"/>
    <xf numFmtId="0" fontId="13" fillId="26" borderId="15" xfId="0" applyFont="1" applyFill="1" applyBorder="1" applyAlignment="1">
      <alignment horizontal="center" vertical="center"/>
    </xf>
    <xf numFmtId="0" fontId="13" fillId="26" borderId="22" xfId="0" applyFont="1" applyFill="1" applyBorder="1" applyAlignment="1">
      <alignment horizontal="center" vertical="center"/>
    </xf>
    <xf numFmtId="0" fontId="15" fillId="8" borderId="28" xfId="0" applyFont="1" applyFill="1" applyBorder="1" applyAlignment="1">
      <alignment horizontal="left" vertical="center"/>
    </xf>
    <xf numFmtId="0" fontId="15" fillId="7" borderId="0" xfId="0" applyFont="1" applyFill="1" applyBorder="1" applyAlignment="1">
      <alignment horizontal="left" vertical="center"/>
    </xf>
    <xf numFmtId="0" fontId="15" fillId="7" borderId="28" xfId="0" applyFont="1" applyFill="1" applyBorder="1" applyAlignment="1">
      <alignment horizontal="left" vertical="center"/>
    </xf>
    <xf numFmtId="0" fontId="12" fillId="7" borderId="28" xfId="0" applyFont="1" applyFill="1" applyBorder="1" applyAlignment="1">
      <alignment horizontal="left" vertical="center"/>
    </xf>
    <xf numFmtId="0" fontId="15" fillId="11" borderId="28" xfId="0" applyFont="1" applyFill="1" applyBorder="1" applyAlignment="1">
      <alignment horizontal="left" vertical="center"/>
    </xf>
    <xf numFmtId="0" fontId="12" fillId="9" borderId="29" xfId="0" applyFont="1" applyFill="1" applyBorder="1" applyAlignment="1">
      <alignment horizontal="left" vertical="center"/>
    </xf>
    <xf numFmtId="0" fontId="15" fillId="8" borderId="30" xfId="0" applyFont="1" applyFill="1" applyBorder="1" applyAlignment="1">
      <alignment horizontal="left" vertical="center"/>
    </xf>
    <xf numFmtId="0" fontId="15" fillId="8" borderId="12" xfId="0" applyFont="1" applyFill="1" applyBorder="1" applyAlignment="1">
      <alignment horizontal="left" vertical="center"/>
    </xf>
    <xf numFmtId="0" fontId="15" fillId="7" borderId="12" xfId="0" applyFont="1" applyFill="1" applyBorder="1" applyAlignment="1">
      <alignment horizontal="left" vertical="center"/>
    </xf>
    <xf numFmtId="0" fontId="16" fillId="0" borderId="4" xfId="0" applyFont="1" applyFill="1" applyBorder="1" applyAlignment="1">
      <alignment horizontal="right" vertical="center"/>
    </xf>
    <xf numFmtId="0" fontId="14" fillId="0" borderId="4" xfId="0" applyFont="1" applyBorder="1" applyAlignment="1">
      <alignment horizontal="right" vertical="center" wrapText="1"/>
    </xf>
    <xf numFmtId="0" fontId="14" fillId="7" borderId="4" xfId="0" applyFont="1" applyFill="1" applyBorder="1" applyAlignment="1">
      <alignment horizontal="right" vertical="center" wrapText="1"/>
    </xf>
    <xf numFmtId="0" fontId="16" fillId="27" borderId="4" xfId="0" applyFont="1" applyFill="1" applyBorder="1"/>
    <xf numFmtId="0" fontId="16" fillId="0" borderId="4" xfId="0" applyFont="1" applyFill="1" applyBorder="1"/>
    <xf numFmtId="0" fontId="16" fillId="0" borderId="4" xfId="0" applyFont="1" applyFill="1" applyBorder="1" applyAlignment="1">
      <alignment horizontal="right" vertical="center" wrapText="1"/>
    </xf>
    <xf numFmtId="0" fontId="0" fillId="0" borderId="4" xfId="0" applyFont="1" applyBorder="1"/>
    <xf numFmtId="0" fontId="13" fillId="8" borderId="4" xfId="0" applyFont="1" applyFill="1" applyBorder="1" applyAlignment="1">
      <alignment horizontal="center" vertical="center"/>
    </xf>
    <xf numFmtId="0" fontId="16" fillId="8" borderId="4" xfId="0" applyFont="1" applyFill="1" applyBorder="1" applyAlignment="1">
      <alignment horizontal="center" vertical="center"/>
    </xf>
    <xf numFmtId="0" fontId="0" fillId="0" borderId="6" xfId="0" applyFill="1" applyBorder="1"/>
    <xf numFmtId="0" fontId="0" fillId="28" borderId="4" xfId="0" applyFont="1" applyFill="1" applyBorder="1" applyAlignment="1">
      <alignment horizontal="center" vertical="center" wrapText="1"/>
    </xf>
    <xf numFmtId="0" fontId="0" fillId="11" borderId="12" xfId="0" applyFont="1" applyFill="1" applyBorder="1" applyAlignment="1">
      <alignment horizontal="center" vertical="center" wrapText="1"/>
    </xf>
    <xf numFmtId="0" fontId="0" fillId="11" borderId="4" xfId="0" applyFont="1" applyFill="1" applyBorder="1" applyAlignment="1">
      <alignment horizontal="center" vertical="center"/>
    </xf>
    <xf numFmtId="0" fontId="0" fillId="28" borderId="12" xfId="0" applyFont="1" applyFill="1" applyBorder="1" applyAlignment="1">
      <alignment horizontal="center" vertical="center" wrapText="1"/>
    </xf>
    <xf numFmtId="0" fontId="16" fillId="29" borderId="4" xfId="0" applyFont="1" applyFill="1" applyBorder="1" applyAlignment="1">
      <alignment horizontal="left" vertical="center"/>
    </xf>
    <xf numFmtId="0" fontId="16" fillId="29" borderId="4" xfId="0" applyFont="1" applyFill="1" applyBorder="1" applyAlignment="1">
      <alignment vertical="center" wrapText="1"/>
    </xf>
    <xf numFmtId="0" fontId="16" fillId="29" borderId="4" xfId="0" applyFont="1" applyFill="1" applyBorder="1" applyAlignment="1">
      <alignment horizontal="left" vertical="center" wrapText="1"/>
    </xf>
    <xf numFmtId="0" fontId="13" fillId="30" borderId="4" xfId="0" applyFont="1" applyFill="1" applyBorder="1" applyAlignment="1">
      <alignment horizontal="center" vertical="center" wrapText="1"/>
    </xf>
    <xf numFmtId="0" fontId="12" fillId="31" borderId="4" xfId="0" applyFont="1" applyFill="1" applyBorder="1" applyAlignment="1">
      <alignment horizontal="center"/>
    </xf>
    <xf numFmtId="0" fontId="12" fillId="32" borderId="4" xfId="0" applyFont="1" applyFill="1" applyBorder="1" applyAlignment="1">
      <alignment horizontal="center"/>
    </xf>
    <xf numFmtId="0" fontId="16" fillId="14" borderId="8" xfId="0" applyFont="1" applyFill="1" applyBorder="1" applyAlignment="1">
      <alignment horizontal="right" vertical="center"/>
    </xf>
    <xf numFmtId="0" fontId="16" fillId="14" borderId="4" xfId="0" applyFont="1" applyFill="1" applyBorder="1" applyAlignment="1">
      <alignment horizontal="left" vertical="center"/>
    </xf>
    <xf numFmtId="0" fontId="13" fillId="33" borderId="4" xfId="0" applyFont="1" applyFill="1" applyBorder="1" applyAlignment="1">
      <alignment vertical="center"/>
    </xf>
    <xf numFmtId="0" fontId="0" fillId="26" borderId="4" xfId="0" applyFill="1" applyBorder="1" applyAlignment="1">
      <alignment horizontal="center"/>
    </xf>
  </cellXfs>
  <cellStyles count="47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ハイパーリンク" xfId="4614" builtinId="8" hidden="1"/>
    <cellStyle name="ハイパーリンク" xfId="4616" builtinId="8" hidden="1"/>
    <cellStyle name="ハイパーリンク" xfId="4618" builtinId="8" hidden="1"/>
    <cellStyle name="ハイパーリンク" xfId="4620" builtinId="8" hidden="1"/>
    <cellStyle name="ハイパーリンク" xfId="4622" builtinId="8" hidden="1"/>
    <cellStyle name="ハイパーリンク" xfId="4624" builtinId="8" hidden="1"/>
    <cellStyle name="ハイパーリンク" xfId="4626" builtinId="8" hidden="1"/>
    <cellStyle name="ハイパーリンク" xfId="4628" builtinId="8" hidden="1"/>
    <cellStyle name="ハイパーリンク" xfId="4630" builtinId="8" hidden="1"/>
    <cellStyle name="ハイパーリンク" xfId="4632" builtinId="8" hidden="1"/>
    <cellStyle name="ハイパーリンク" xfId="4634" builtinId="8" hidden="1"/>
    <cellStyle name="ハイパーリンク" xfId="4636" builtinId="8" hidden="1"/>
    <cellStyle name="ハイパーリンク" xfId="4638" builtinId="8" hidden="1"/>
    <cellStyle name="ハイパーリンク" xfId="4640" builtinId="8" hidden="1"/>
    <cellStyle name="ハイパーリンク" xfId="4642" builtinId="8" hidden="1"/>
    <cellStyle name="ハイパーリンク" xfId="4644" builtinId="8" hidden="1"/>
    <cellStyle name="ハイパーリンク" xfId="4646" builtinId="8" hidden="1"/>
    <cellStyle name="ハイパーリンク" xfId="4648" builtinId="8" hidden="1"/>
    <cellStyle name="ハイパーリンク" xfId="4650" builtinId="8" hidden="1"/>
    <cellStyle name="ハイパーリンク" xfId="4652" builtinId="8" hidden="1"/>
    <cellStyle name="ハイパーリンク" xfId="4654" builtinId="8" hidden="1"/>
    <cellStyle name="ハイパーリンク" xfId="4656" builtinId="8" hidden="1"/>
    <cellStyle name="ハイパーリンク" xfId="4658" builtinId="8" hidden="1"/>
    <cellStyle name="ハイパーリンク" xfId="4660" builtinId="8" hidden="1"/>
    <cellStyle name="ハイパーリンク" xfId="4662" builtinId="8" hidden="1"/>
    <cellStyle name="ハイパーリンク" xfId="4664" builtinId="8" hidden="1"/>
    <cellStyle name="ハイパーリンク" xfId="4666" builtinId="8" hidden="1"/>
    <cellStyle name="ハイパーリンク" xfId="4668" builtinId="8" hidden="1"/>
    <cellStyle name="ハイパーリンク" xfId="4670" builtinId="8" hidden="1"/>
    <cellStyle name="ハイパーリンク" xfId="4672" builtinId="8" hidden="1"/>
    <cellStyle name="ハイパーリンク" xfId="4674" builtinId="8" hidden="1"/>
    <cellStyle name="ハイパーリンク" xfId="4676" builtinId="8" hidden="1"/>
    <cellStyle name="ハイパーリンク" xfId="4678" builtinId="8" hidden="1"/>
    <cellStyle name="ハイパーリンク" xfId="4680" builtinId="8" hidden="1"/>
    <cellStyle name="ハイパーリンク" xfId="4682" builtinId="8" hidden="1"/>
    <cellStyle name="ハイパーリンク" xfId="4684" builtinId="8" hidden="1"/>
    <cellStyle name="ハイパーリンク" xfId="4686" builtinId="8" hidden="1"/>
    <cellStyle name="ハイパーリンク" xfId="4688" builtinId="8" hidden="1"/>
    <cellStyle name="ハイパーリンク" xfId="4690" builtinId="8" hidden="1"/>
    <cellStyle name="ハイパーリンク" xfId="4692" builtinId="8" hidden="1"/>
    <cellStyle name="ハイパーリンク" xfId="4694" builtinId="8" hidden="1"/>
    <cellStyle name="ハイパーリンク" xfId="4696" builtinId="8" hidden="1"/>
    <cellStyle name="ハイパーリンク" xfId="4698" builtinId="8" hidden="1"/>
    <cellStyle name="ハイパーリンク" xfId="4700" builtinId="8" hidden="1"/>
    <cellStyle name="ハイパーリンク" xfId="4702" builtinId="8" hidden="1"/>
    <cellStyle name="ハイパーリンク" xfId="4704" builtinId="8" hidden="1"/>
    <cellStyle name="ハイパーリンク" xfId="4706" builtinId="8" hidden="1"/>
    <cellStyle name="ハイパーリンク" xfId="4708" builtinId="8" hidden="1"/>
    <cellStyle name="ハイパーリンク" xfId="4710" builtinId="8" hidden="1"/>
    <cellStyle name="ハイパーリンク" xfId="4712" builtinId="8" hidden="1"/>
    <cellStyle name="ハイパーリンク" xfId="4714" builtinId="8" hidden="1"/>
    <cellStyle name="ハイパーリンク" xfId="4716" builtinId="8" hidden="1"/>
    <cellStyle name="ハイパーリンク" xfId="4718" builtinId="8" hidden="1"/>
    <cellStyle name="ハイパーリンク" xfId="4720" builtinId="8" hidden="1"/>
    <cellStyle name="ハイパーリンク" xfId="4722" builtinId="8" hidden="1"/>
    <cellStyle name="ハイパーリンク" xfId="4724" builtinId="8" hidden="1"/>
    <cellStyle name="ハイパーリンク" xfId="4726" builtinId="8" hidden="1"/>
    <cellStyle name="ハイパーリンク" xfId="4728" builtinId="8" hidden="1"/>
    <cellStyle name="ハイパーリンク" xfId="4730" builtinId="8" hidden="1"/>
    <cellStyle name="ハイパーリンク" xfId="4732" builtinId="8" hidden="1"/>
    <cellStyle name="ハイパーリンク" xfId="4734" builtinId="8" hidden="1"/>
    <cellStyle name="ハイパーリンク" xfId="4736" builtinId="8" hidden="1"/>
    <cellStyle name="ハイパーリンク" xfId="4738" builtinId="8" hidden="1"/>
    <cellStyle name="ハイパーリンク" xfId="4740" builtinId="8" hidden="1"/>
    <cellStyle name="ハイパーリンク" xfId="4742" builtinId="8" hidden="1"/>
    <cellStyle name="ハイパーリンク" xfId="4744" builtinId="8" hidden="1"/>
    <cellStyle name="ハイパーリンク" xfId="4746" builtinId="8" hidden="1"/>
    <cellStyle name="ハイパーリンク" xfId="4748" builtinId="8" hidden="1"/>
    <cellStyle name="ハイパーリンク" xfId="4750" builtinId="8" hidden="1"/>
    <cellStyle name="ハイパーリンク" xfId="4752" builtinId="8" hidden="1"/>
    <cellStyle name="ハイパーリンク" xfId="4754" builtinId="8" hidden="1"/>
    <cellStyle name="ハイパーリンク" xfId="4756" builtinId="8" hidden="1"/>
    <cellStyle name="ハイパーリンク" xfId="4758" builtinId="8" hidden="1"/>
    <cellStyle name="ハイパーリンク" xfId="4760" builtinId="8" hidden="1"/>
    <cellStyle name="ハイパーリンク" xfId="4762" builtinId="8" hidden="1"/>
    <cellStyle name="ハイパーリンク" xfId="4764" builtinId="8" hidden="1"/>
    <cellStyle name="ハイパーリンク" xfId="4766" builtinId="8" hidden="1"/>
    <cellStyle name="ハイパーリンク" xfId="4768" builtinId="8" hidden="1"/>
    <cellStyle name="ハイパーリンク" xfId="4770" builtinId="8" hidden="1"/>
    <cellStyle name="ハイパーリンク" xfId="4772" builtinId="8" hidden="1"/>
    <cellStyle name="ハイパーリンク" xfId="4774" builtinId="8" hidden="1"/>
    <cellStyle name="ハイパーリンク" xfId="4776" builtinId="8" hidden="1"/>
    <cellStyle name="ハイパーリンク" xfId="4778" builtinId="8" hidden="1"/>
    <cellStyle name="ハイパーリンク" xfId="47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表示済みのハイパーリンク" xfId="4615" builtinId="9" hidden="1"/>
    <cellStyle name="表示済みのハイパーリンク" xfId="4617" builtinId="9" hidden="1"/>
    <cellStyle name="表示済みのハイパーリンク" xfId="4619" builtinId="9" hidden="1"/>
    <cellStyle name="表示済みのハイパーリンク" xfId="4621" builtinId="9" hidden="1"/>
    <cellStyle name="表示済みのハイパーリンク" xfId="4623" builtinId="9" hidden="1"/>
    <cellStyle name="表示済みのハイパーリンク" xfId="4625" builtinId="9" hidden="1"/>
    <cellStyle name="表示済みのハイパーリンク" xfId="4627" builtinId="9" hidden="1"/>
    <cellStyle name="表示済みのハイパーリンク" xfId="4629" builtinId="9" hidden="1"/>
    <cellStyle name="表示済みのハイパーリンク" xfId="4631" builtinId="9" hidden="1"/>
    <cellStyle name="表示済みのハイパーリンク" xfId="4633" builtinId="9" hidden="1"/>
    <cellStyle name="表示済みのハイパーリンク" xfId="4635" builtinId="9" hidden="1"/>
    <cellStyle name="表示済みのハイパーリンク" xfId="4637" builtinId="9" hidden="1"/>
    <cellStyle name="表示済みのハイパーリンク" xfId="4639" builtinId="9" hidden="1"/>
    <cellStyle name="表示済みのハイパーリンク" xfId="4641" builtinId="9" hidden="1"/>
    <cellStyle name="表示済みのハイパーリンク" xfId="4643" builtinId="9" hidden="1"/>
    <cellStyle name="表示済みのハイパーリンク" xfId="4645" builtinId="9" hidden="1"/>
    <cellStyle name="表示済みのハイパーリンク" xfId="4647" builtinId="9" hidden="1"/>
    <cellStyle name="表示済みのハイパーリンク" xfId="4649" builtinId="9" hidden="1"/>
    <cellStyle name="表示済みのハイパーリンク" xfId="4651" builtinId="9" hidden="1"/>
    <cellStyle name="表示済みのハイパーリンク" xfId="4653" builtinId="9" hidden="1"/>
    <cellStyle name="表示済みのハイパーリンク" xfId="4655" builtinId="9" hidden="1"/>
    <cellStyle name="表示済みのハイパーリンク" xfId="4657" builtinId="9" hidden="1"/>
    <cellStyle name="表示済みのハイパーリンク" xfId="4659" builtinId="9" hidden="1"/>
    <cellStyle name="表示済みのハイパーリンク" xfId="4661" builtinId="9" hidden="1"/>
    <cellStyle name="表示済みのハイパーリンク" xfId="4663" builtinId="9" hidden="1"/>
    <cellStyle name="表示済みのハイパーリンク" xfId="4665" builtinId="9" hidden="1"/>
    <cellStyle name="表示済みのハイパーリンク" xfId="4667" builtinId="9" hidden="1"/>
    <cellStyle name="表示済みのハイパーリンク" xfId="4669" builtinId="9" hidden="1"/>
    <cellStyle name="表示済みのハイパーリンク" xfId="4671" builtinId="9" hidden="1"/>
    <cellStyle name="表示済みのハイパーリンク" xfId="4673" builtinId="9" hidden="1"/>
    <cellStyle name="表示済みのハイパーリンク" xfId="4675" builtinId="9" hidden="1"/>
    <cellStyle name="表示済みのハイパーリンク" xfId="4677" builtinId="9" hidden="1"/>
    <cellStyle name="表示済みのハイパーリンク" xfId="4679" builtinId="9" hidden="1"/>
    <cellStyle name="表示済みのハイパーリンク" xfId="4681" builtinId="9" hidden="1"/>
    <cellStyle name="表示済みのハイパーリンク" xfId="4683" builtinId="9" hidden="1"/>
    <cellStyle name="表示済みのハイパーリンク" xfId="4685" builtinId="9" hidden="1"/>
    <cellStyle name="表示済みのハイパーリンク" xfId="4687" builtinId="9" hidden="1"/>
    <cellStyle name="表示済みのハイパーリンク" xfId="4689" builtinId="9" hidden="1"/>
    <cellStyle name="表示済みのハイパーリンク" xfId="4691" builtinId="9" hidden="1"/>
    <cellStyle name="表示済みのハイパーリンク" xfId="4693" builtinId="9" hidden="1"/>
    <cellStyle name="表示済みのハイパーリンク" xfId="4695" builtinId="9" hidden="1"/>
    <cellStyle name="表示済みのハイパーリンク" xfId="4697" builtinId="9" hidden="1"/>
    <cellStyle name="表示済みのハイパーリンク" xfId="4699" builtinId="9" hidden="1"/>
    <cellStyle name="表示済みのハイパーリンク" xfId="4701" builtinId="9" hidden="1"/>
    <cellStyle name="表示済みのハイパーリンク" xfId="4703" builtinId="9" hidden="1"/>
    <cellStyle name="表示済みのハイパーリンク" xfId="4705" builtinId="9" hidden="1"/>
    <cellStyle name="表示済みのハイパーリンク" xfId="4707" builtinId="9" hidden="1"/>
    <cellStyle name="表示済みのハイパーリンク" xfId="4709" builtinId="9" hidden="1"/>
    <cellStyle name="表示済みのハイパーリンク" xfId="4711" builtinId="9" hidden="1"/>
    <cellStyle name="表示済みのハイパーリンク" xfId="4713" builtinId="9" hidden="1"/>
    <cellStyle name="表示済みのハイパーリンク" xfId="4715" builtinId="9" hidden="1"/>
    <cellStyle name="表示済みのハイパーリンク" xfId="4717" builtinId="9" hidden="1"/>
    <cellStyle name="表示済みのハイパーリンク" xfId="4719" builtinId="9" hidden="1"/>
    <cellStyle name="表示済みのハイパーリンク" xfId="4721" builtinId="9" hidden="1"/>
    <cellStyle name="表示済みのハイパーリンク" xfId="4723" builtinId="9" hidden="1"/>
    <cellStyle name="表示済みのハイパーリンク" xfId="4725" builtinId="9" hidden="1"/>
    <cellStyle name="表示済みのハイパーリンク" xfId="4727" builtinId="9" hidden="1"/>
    <cellStyle name="表示済みのハイパーリンク" xfId="4729" builtinId="9" hidden="1"/>
    <cellStyle name="表示済みのハイパーリンク" xfId="4731" builtinId="9" hidden="1"/>
    <cellStyle name="表示済みのハイパーリンク" xfId="4733" builtinId="9" hidden="1"/>
    <cellStyle name="表示済みのハイパーリンク" xfId="4735" builtinId="9" hidden="1"/>
    <cellStyle name="表示済みのハイパーリンク" xfId="4737" builtinId="9" hidden="1"/>
    <cellStyle name="表示済みのハイパーリンク" xfId="4739" builtinId="9" hidden="1"/>
    <cellStyle name="表示済みのハイパーリンク" xfId="4741" builtinId="9" hidden="1"/>
    <cellStyle name="表示済みのハイパーリンク" xfId="4743" builtinId="9" hidden="1"/>
    <cellStyle name="表示済みのハイパーリンク" xfId="4745" builtinId="9" hidden="1"/>
    <cellStyle name="表示済みのハイパーリンク" xfId="4747" builtinId="9" hidden="1"/>
    <cellStyle name="表示済みのハイパーリンク" xfId="4749" builtinId="9" hidden="1"/>
    <cellStyle name="表示済みのハイパーリンク" xfId="4751" builtinId="9" hidden="1"/>
    <cellStyle name="表示済みのハイパーリンク" xfId="4753" builtinId="9" hidden="1"/>
    <cellStyle name="表示済みのハイパーリンク" xfId="4755" builtinId="9" hidden="1"/>
    <cellStyle name="表示済みのハイパーリンク" xfId="4757" builtinId="9" hidden="1"/>
    <cellStyle name="表示済みのハイパーリンク" xfId="4759" builtinId="9" hidden="1"/>
    <cellStyle name="表示済みのハイパーリンク" xfId="4761" builtinId="9" hidden="1"/>
    <cellStyle name="表示済みのハイパーリンク" xfId="4763" builtinId="9" hidden="1"/>
    <cellStyle name="表示済みのハイパーリンク" xfId="4765" builtinId="9" hidden="1"/>
    <cellStyle name="表示済みのハイパーリンク" xfId="4767" builtinId="9" hidden="1"/>
    <cellStyle name="表示済みのハイパーリンク" xfId="4769" builtinId="9" hidden="1"/>
    <cellStyle name="表示済みのハイパーリンク" xfId="4771" builtinId="9" hidden="1"/>
    <cellStyle name="表示済みのハイパーリンク" xfId="4773" builtinId="9" hidden="1"/>
    <cellStyle name="表示済みのハイパーリンク" xfId="4775" builtinId="9" hidden="1"/>
    <cellStyle name="表示済みのハイパーリンク" xfId="4777" builtinId="9" hidden="1"/>
    <cellStyle name="表示済みのハイパーリンク" xfId="4779" builtinId="9" hidden="1"/>
    <cellStyle name="表示済みのハイパーリンク" xfId="4781" builtinId="9" hidden="1"/>
    <cellStyle name="赤字強調" xfId="4"/>
    <cellStyle name="青字強調" xfId="3"/>
  </cellStyles>
  <dxfs count="35">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200</v>
          </cell>
          <cell r="B14" t="str">
            <v>ja</v>
          </cell>
          <cell r="C14" t="str">
            <v>ウィルス無効</v>
          </cell>
          <cell r="D14" t="str">
            <v>自身にかかるウィルスを無効化する</v>
          </cell>
        </row>
        <row r="15">
          <cell r="A15">
            <v>201</v>
          </cell>
          <cell r="B15" t="str">
            <v>ja</v>
          </cell>
          <cell r="C15" t="str">
            <v>スキルバインド無効</v>
          </cell>
          <cell r="D15" t="str">
            <v>自身にかかるスキルバインドを無効化する</v>
          </cell>
        </row>
        <row r="16">
          <cell r="A16">
            <v>202</v>
          </cell>
          <cell r="B16" t="str">
            <v>ja</v>
          </cell>
          <cell r="C16" t="str">
            <v>スリープ無効</v>
          </cell>
          <cell r="D16" t="str">
            <v>自身にかかるスリープを無効化する</v>
          </cell>
        </row>
        <row r="17">
          <cell r="A17">
            <v>203</v>
          </cell>
          <cell r="B17" t="str">
            <v>ja</v>
          </cell>
          <cell r="C17" t="str">
            <v>爆風軽減無効</v>
          </cell>
          <cell r="D17" t="str">
            <v>自身が先頭の時、爆風軽減を無効化する</v>
          </cell>
        </row>
        <row r="18">
          <cell r="A18">
            <v>204</v>
          </cell>
          <cell r="B18" t="str">
            <v>ja</v>
          </cell>
          <cell r="C18" t="str">
            <v>爆風強化</v>
          </cell>
          <cell r="D18" t="str">
            <v>自身が先頭の時、ボムの爆風を強化する</v>
          </cell>
        </row>
        <row r="19">
          <cell r="A19">
            <v>205</v>
          </cell>
          <cell r="B19" t="str">
            <v>ja</v>
          </cell>
          <cell r="C19" t="str">
            <v>ハート無効化耐性</v>
          </cell>
          <cell r="D19" t="str">
            <v>自身が先頭の時、ハート無効化の影響を受けない</v>
          </cell>
        </row>
        <row r="20">
          <cell r="A20">
            <v>206</v>
          </cell>
          <cell r="B20" t="str">
            <v>ja</v>
          </cell>
          <cell r="C20" t="str">
            <v>赤・緑パネル無効化耐性</v>
          </cell>
          <cell r="D20" t="str">
            <v>自身が先頭の時、赤・緑パネル無効化の影響を受けない</v>
          </cell>
        </row>
        <row r="21">
          <cell r="A21">
            <v>207</v>
          </cell>
          <cell r="B21" t="str">
            <v>ja</v>
          </cell>
          <cell r="C21" t="str">
            <v>赤・青パネル無効化耐性</v>
          </cell>
          <cell r="D21" t="str">
            <v>自身が先頭の時、赤・青パネル無効化の影響を受けない</v>
          </cell>
        </row>
        <row r="22">
          <cell r="A22">
            <v>208</v>
          </cell>
          <cell r="B22" t="str">
            <v>ja</v>
          </cell>
          <cell r="C22" t="str">
            <v>黄・緑パネル無効化耐性</v>
          </cell>
          <cell r="D22" t="str">
            <v>自身が先頭の時、黄・緑パネル無効化の影響を受けない</v>
          </cell>
        </row>
        <row r="23">
          <cell r="A23">
            <v>209</v>
          </cell>
          <cell r="B23" t="str">
            <v>ja</v>
          </cell>
          <cell r="C23" t="str">
            <v>黄・ハートパネル無効化耐性</v>
          </cell>
          <cell r="D23" t="str">
            <v>自身が先頭の時、黄・ハートパネル無効化の影響を受けない</v>
          </cell>
        </row>
        <row r="24">
          <cell r="A24">
            <v>210</v>
          </cell>
          <cell r="B24" t="str">
            <v>ja</v>
          </cell>
          <cell r="C24" t="str">
            <v>緑・赤・青・黄パネル無効化耐性</v>
          </cell>
          <cell r="D24" t="str">
            <v>自身が先頭の時、緑・赤・青・黄パネル無効化の影響を受けない</v>
          </cell>
        </row>
        <row r="25">
          <cell r="A25">
            <v>211</v>
          </cell>
          <cell r="B25" t="str">
            <v>ja</v>
          </cell>
          <cell r="C25" t="str">
            <v>全パネル無効化耐性</v>
          </cell>
          <cell r="D25" t="str">
            <v>自身が先頭の時、全てのパネル無効化の影響を受けない</v>
          </cell>
        </row>
        <row r="26">
          <cell r="A26">
            <v>300</v>
          </cell>
          <cell r="B26" t="str">
            <v>ja</v>
          </cell>
          <cell r="C26" t="str">
            <v>対ゴッド ダメージUP</v>
          </cell>
          <cell r="D26" t="str">
            <v>自身の攻撃対象が種族ゴッドの場合全ての攻撃の威力をUP</v>
          </cell>
        </row>
        <row r="27">
          <cell r="A27">
            <v>301</v>
          </cell>
          <cell r="B27" t="str">
            <v>ja</v>
          </cell>
          <cell r="C27" t="str">
            <v>対ゴッド ダメージ大UP</v>
          </cell>
          <cell r="D27" t="str">
            <v>自身の攻撃対象が種族ゴッドの場合全ての攻撃の威力をUP</v>
          </cell>
        </row>
        <row r="28">
          <cell r="A28">
            <v>302</v>
          </cell>
          <cell r="B28" t="str">
            <v>ja</v>
          </cell>
          <cell r="C28" t="str">
            <v>対ゴッド ダメージ特大UP</v>
          </cell>
          <cell r="D28" t="str">
            <v>自身の攻撃対象が種族ゴッドの場合全ての攻撃の威力をUP</v>
          </cell>
        </row>
        <row r="29">
          <cell r="A29">
            <v>303</v>
          </cell>
          <cell r="B29" t="str">
            <v>ja</v>
          </cell>
          <cell r="C29" t="str">
            <v>対ゴッド ダメージ超大UP</v>
          </cell>
          <cell r="D29" t="str">
            <v>自身の攻撃対象が種族ゴッドの場合全ての攻撃の威力をUP</v>
          </cell>
        </row>
        <row r="30">
          <cell r="A30">
            <v>304</v>
          </cell>
          <cell r="B30" t="str">
            <v>ja</v>
          </cell>
          <cell r="C30" t="str">
            <v>対ヒューマン ダメージUP</v>
          </cell>
          <cell r="D30" t="str">
            <v>自身の攻撃対象が種族ヒューマンの場合全ての攻撃の威力をUP</v>
          </cell>
        </row>
        <row r="31">
          <cell r="A31">
            <v>305</v>
          </cell>
          <cell r="B31" t="str">
            <v>ja</v>
          </cell>
          <cell r="C31" t="str">
            <v>対ヒューマン ダメージUP</v>
          </cell>
          <cell r="D31" t="str">
            <v>自身の攻撃対象が種族ヒューマンの場合全ての攻撃の威力をUP</v>
          </cell>
        </row>
        <row r="32">
          <cell r="A32">
            <v>306</v>
          </cell>
          <cell r="B32" t="str">
            <v>ja</v>
          </cell>
          <cell r="C32" t="str">
            <v>対ヒューマン ダメージUP</v>
          </cell>
          <cell r="D32" t="str">
            <v>自身の攻撃対象が種族ヒューマンの場合全ての攻撃の威力をUP</v>
          </cell>
        </row>
        <row r="33">
          <cell r="A33">
            <v>307</v>
          </cell>
          <cell r="B33" t="str">
            <v>ja</v>
          </cell>
          <cell r="C33" t="str">
            <v>対ヒューマン ダメージUP</v>
          </cell>
          <cell r="D33" t="str">
            <v>自身の攻撃対象が種族ヒューマンの場合全ての攻撃の威力をUP</v>
          </cell>
        </row>
        <row r="34">
          <cell r="A34">
            <v>308</v>
          </cell>
          <cell r="B34" t="str">
            <v>ja</v>
          </cell>
          <cell r="C34" t="str">
            <v>対アニマル ダメージUP</v>
          </cell>
          <cell r="D34" t="str">
            <v>自身の攻撃対象が種族アニマルの場合全ての攻撃の威力をUP</v>
          </cell>
        </row>
        <row r="35">
          <cell r="A35">
            <v>309</v>
          </cell>
          <cell r="B35" t="str">
            <v>ja</v>
          </cell>
          <cell r="C35" t="str">
            <v>対アニマル ダメージUP</v>
          </cell>
          <cell r="D35" t="str">
            <v>自身の攻撃対象が種族アニマルの場合全ての攻撃の威力をUP</v>
          </cell>
        </row>
        <row r="36">
          <cell r="A36">
            <v>310</v>
          </cell>
          <cell r="B36" t="str">
            <v>ja</v>
          </cell>
          <cell r="C36" t="str">
            <v>対アニマル ダメージUP</v>
          </cell>
          <cell r="D36" t="str">
            <v>自身の攻撃対象が種族アニマルの場合全ての攻撃の威力をUP</v>
          </cell>
        </row>
        <row r="37">
          <cell r="A37">
            <v>311</v>
          </cell>
          <cell r="B37" t="str">
            <v>ja</v>
          </cell>
          <cell r="C37" t="str">
            <v>対アニマル ダメージUP</v>
          </cell>
          <cell r="D37" t="str">
            <v>自身の攻撃対象が種族アニマルの場合全ての攻撃の威力をUP</v>
          </cell>
        </row>
        <row r="38">
          <cell r="A38">
            <v>312</v>
          </cell>
          <cell r="B38" t="str">
            <v>ja</v>
          </cell>
          <cell r="C38" t="str">
            <v>対ドラゴン ダメージUP</v>
          </cell>
          <cell r="D38" t="str">
            <v>自身の攻撃対象が種族ドラゴンの場合全ての攻撃の威力をUP</v>
          </cell>
        </row>
        <row r="39">
          <cell r="A39">
            <v>313</v>
          </cell>
          <cell r="B39" t="str">
            <v>ja</v>
          </cell>
          <cell r="C39" t="str">
            <v>対ドラゴン ダメージUP</v>
          </cell>
          <cell r="D39" t="str">
            <v>自身の攻撃対象が種族ドラゴンの場合全ての攻撃の威力をUP</v>
          </cell>
        </row>
        <row r="40">
          <cell r="A40">
            <v>314</v>
          </cell>
          <cell r="B40" t="str">
            <v>ja</v>
          </cell>
          <cell r="C40" t="str">
            <v>対ドラゴン ダメージUP</v>
          </cell>
          <cell r="D40" t="str">
            <v>自身の攻撃対象が種族ドラゴンの場合全ての攻撃の威力をUP</v>
          </cell>
        </row>
        <row r="41">
          <cell r="A41">
            <v>315</v>
          </cell>
          <cell r="B41" t="str">
            <v>ja</v>
          </cell>
          <cell r="C41" t="str">
            <v>対ドラゴン ダメージUP</v>
          </cell>
          <cell r="D41" t="str">
            <v>自身の攻撃対象が種族ドラゴンの場合全ての攻撃の威力をUP</v>
          </cell>
        </row>
        <row r="42">
          <cell r="A42">
            <v>316</v>
          </cell>
          <cell r="B42" t="str">
            <v>ja</v>
          </cell>
          <cell r="C42" t="str">
            <v>対Unknown ダメージUP</v>
          </cell>
          <cell r="D42" t="str">
            <v>自身の攻撃対象が種族Unknownの場合全ての攻撃の威力をUP</v>
          </cell>
        </row>
        <row r="43">
          <cell r="A43">
            <v>317</v>
          </cell>
          <cell r="B43" t="str">
            <v>ja</v>
          </cell>
          <cell r="C43" t="str">
            <v>対Unknown ダメージUP</v>
          </cell>
          <cell r="D43" t="str">
            <v>自身の攻撃対象が種族Unknownの場合全ての攻撃の威力をUP</v>
          </cell>
        </row>
        <row r="44">
          <cell r="A44">
            <v>318</v>
          </cell>
          <cell r="B44" t="str">
            <v>ja</v>
          </cell>
          <cell r="C44" t="str">
            <v>対Unknown ダメージUP</v>
          </cell>
          <cell r="D44" t="str">
            <v>自身の攻撃対象が種族Unknownの場合全ての攻撃の威力をUP</v>
          </cell>
        </row>
        <row r="45">
          <cell r="A45">
            <v>319</v>
          </cell>
          <cell r="B45" t="str">
            <v>ja</v>
          </cell>
          <cell r="C45" t="str">
            <v>対Unknown ダメージUP</v>
          </cell>
          <cell r="D45" t="str">
            <v>自身の攻撃対象が種族Unknownの場合全ての攻撃の威力をUP</v>
          </cell>
        </row>
        <row r="46">
          <cell r="A46">
            <v>320</v>
          </cell>
          <cell r="B46" t="str">
            <v>ja</v>
          </cell>
          <cell r="C46" t="str">
            <v>対サムライ ダメージUP</v>
          </cell>
          <cell r="D46" t="str">
            <v>自身の攻撃対象が種族サムライの場合全ての攻撃の威力をUP</v>
          </cell>
        </row>
        <row r="47">
          <cell r="A47">
            <v>321</v>
          </cell>
          <cell r="B47" t="str">
            <v>ja</v>
          </cell>
          <cell r="C47" t="str">
            <v>対サムライ ダメージUP</v>
          </cell>
          <cell r="D47" t="str">
            <v>自身の攻撃対象が種族サムライの場合全ての攻撃の威力をUP</v>
          </cell>
        </row>
        <row r="48">
          <cell r="A48">
            <v>322</v>
          </cell>
          <cell r="B48" t="str">
            <v>ja</v>
          </cell>
          <cell r="C48" t="str">
            <v>対サムライ ダメージUP</v>
          </cell>
          <cell r="D48" t="str">
            <v>自身の攻撃対象が種族サムライの場合全ての攻撃の威力をUP</v>
          </cell>
        </row>
        <row r="49">
          <cell r="A49">
            <v>323</v>
          </cell>
          <cell r="B49" t="str">
            <v>ja</v>
          </cell>
          <cell r="C49" t="str">
            <v>対サムライ ダメージUP</v>
          </cell>
          <cell r="D49" t="str">
            <v>自身の攻撃対象が種族サムライの場合全ての攻撃の威力をUP</v>
          </cell>
        </row>
        <row r="50">
          <cell r="A50">
            <v>324</v>
          </cell>
          <cell r="B50" t="str">
            <v>ja</v>
          </cell>
          <cell r="C50" t="str">
            <v>対ウェポン ダメージUP</v>
          </cell>
          <cell r="D50" t="str">
            <v>自身の攻撃対象が種族ウェポンの場合全ての攻撃の威力をUP</v>
          </cell>
        </row>
        <row r="51">
          <cell r="A51">
            <v>325</v>
          </cell>
          <cell r="B51" t="str">
            <v>ja</v>
          </cell>
          <cell r="C51" t="str">
            <v>対ウェポン ダメージUP</v>
          </cell>
          <cell r="D51" t="str">
            <v>自身の攻撃対象が種族ウェポンの場合全ての攻撃の威力をUP</v>
          </cell>
        </row>
        <row r="52">
          <cell r="A52">
            <v>326</v>
          </cell>
          <cell r="B52" t="str">
            <v>ja</v>
          </cell>
          <cell r="C52" t="str">
            <v>対ウェポン ダメージUP</v>
          </cell>
          <cell r="D52" t="str">
            <v>自身の攻撃対象が種族ウェポンの場合全ての攻撃の威力をUP</v>
          </cell>
        </row>
        <row r="53">
          <cell r="A53">
            <v>327</v>
          </cell>
          <cell r="B53" t="str">
            <v>ja</v>
          </cell>
          <cell r="C53" t="str">
            <v>対ウェポン ダメージUP</v>
          </cell>
          <cell r="D53" t="str">
            <v>自身の攻撃対象が種族ウェポンの場合全ての攻撃の威力をUP</v>
          </cell>
        </row>
        <row r="54">
          <cell r="A54">
            <v>328</v>
          </cell>
          <cell r="B54" t="str">
            <v>ja</v>
          </cell>
          <cell r="C54" t="str">
            <v>対アカデミア ダメージUP</v>
          </cell>
          <cell r="D54" t="str">
            <v>自身の攻撃対象が種族アカデミアの場合全ての攻撃の威力をUP</v>
          </cell>
        </row>
        <row r="55">
          <cell r="A55">
            <v>329</v>
          </cell>
          <cell r="B55" t="str">
            <v>ja</v>
          </cell>
          <cell r="C55" t="str">
            <v>対アカデミア ダメージUP</v>
          </cell>
          <cell r="D55" t="str">
            <v>自身の攻撃対象が種族アカデミアの場合全ての攻撃の威力をUP</v>
          </cell>
        </row>
        <row r="56">
          <cell r="A56">
            <v>330</v>
          </cell>
          <cell r="B56" t="str">
            <v>ja</v>
          </cell>
          <cell r="C56" t="str">
            <v>対アカデミア ダメージUP</v>
          </cell>
          <cell r="D56" t="str">
            <v>自身の攻撃対象が種族アカデミアの場合全ての攻撃の威力をUP</v>
          </cell>
        </row>
        <row r="57">
          <cell r="A57">
            <v>331</v>
          </cell>
          <cell r="B57" t="str">
            <v>ja</v>
          </cell>
          <cell r="C57" t="str">
            <v>対アカデミア ダメージUP</v>
          </cell>
          <cell r="D57" t="str">
            <v>自身の攻撃対象が種族アカデミアの場合全ての攻撃の威力をUP</v>
          </cell>
        </row>
        <row r="58">
          <cell r="A58">
            <v>332</v>
          </cell>
          <cell r="B58" t="str">
            <v>ja</v>
          </cell>
          <cell r="C58" t="str">
            <v>対タイタン ダメージUP</v>
          </cell>
          <cell r="D58" t="str">
            <v>自身の攻撃対象が種族タイタンの場合全ての攻撃の威力をUP</v>
          </cell>
        </row>
        <row r="59">
          <cell r="A59">
            <v>333</v>
          </cell>
          <cell r="B59" t="str">
            <v>ja</v>
          </cell>
          <cell r="C59" t="str">
            <v>対タイタン ダメージUP</v>
          </cell>
          <cell r="D59" t="str">
            <v>自身の攻撃対象が種族タイタンの場合全ての攻撃の威力をUP</v>
          </cell>
        </row>
        <row r="60">
          <cell r="A60">
            <v>334</v>
          </cell>
          <cell r="B60" t="str">
            <v>ja</v>
          </cell>
          <cell r="C60" t="str">
            <v>対タイタン ダメージUP</v>
          </cell>
          <cell r="D60" t="str">
            <v>自身の攻撃対象が種族タイタンの場合全ての攻撃の威力をUP</v>
          </cell>
        </row>
        <row r="61">
          <cell r="A61">
            <v>335</v>
          </cell>
          <cell r="B61" t="str">
            <v>ja</v>
          </cell>
          <cell r="C61" t="str">
            <v>対タイタン ダメージUP</v>
          </cell>
          <cell r="D61" t="str">
            <v>自身の攻撃対象が種族タイタンの場合全ての攻撃の威力をUP</v>
          </cell>
        </row>
        <row r="62">
          <cell r="A62">
            <v>336</v>
          </cell>
          <cell r="B62" t="str">
            <v>ja</v>
          </cell>
          <cell r="C62" t="str">
            <v>対マシン ダメージUP</v>
          </cell>
          <cell r="D62" t="str">
            <v>自身の攻撃対象が種族マシンの場合全ての攻撃の威力をUP</v>
          </cell>
        </row>
        <row r="63">
          <cell r="A63">
            <v>337</v>
          </cell>
          <cell r="B63" t="str">
            <v>ja</v>
          </cell>
          <cell r="C63" t="str">
            <v>対マシン ダメージUP</v>
          </cell>
          <cell r="D63" t="str">
            <v>自身の攻撃対象が種族マシンの場合全ての攻撃の威力をUP</v>
          </cell>
        </row>
        <row r="64">
          <cell r="A64">
            <v>338</v>
          </cell>
          <cell r="B64" t="str">
            <v>ja</v>
          </cell>
          <cell r="C64" t="str">
            <v>対マシン ダメージUP</v>
          </cell>
          <cell r="D64" t="str">
            <v>自身の攻撃対象が種族マシンの場合全ての攻撃の威力をUP</v>
          </cell>
        </row>
        <row r="65">
          <cell r="A65">
            <v>339</v>
          </cell>
          <cell r="B65" t="str">
            <v>ja</v>
          </cell>
          <cell r="C65" t="str">
            <v>対マシン ダメージUP</v>
          </cell>
          <cell r="D65" t="str">
            <v>自身の攻撃対象が種族マシンの場合全ての攻撃の威力をUP</v>
          </cell>
        </row>
        <row r="66">
          <cell r="A66">
            <v>340</v>
          </cell>
          <cell r="B66" t="str">
            <v>ja</v>
          </cell>
          <cell r="C66" t="str">
            <v>対ドラゴン&amp;アニマルダメージUP</v>
          </cell>
          <cell r="D66" t="str">
            <v>自身の攻撃対象が種族ドラゴン、アニマルの場合全ての攻撃の威力をUP</v>
          </cell>
        </row>
        <row r="67">
          <cell r="A67">
            <v>400</v>
          </cell>
          <cell r="B67" t="str">
            <v>ja</v>
          </cell>
          <cell r="C67" t="str">
            <v>攻撃タイプキラー</v>
          </cell>
          <cell r="D67" t="str">
            <v>攻撃対象が攻撃タイプの場合威力UP</v>
          </cell>
        </row>
        <row r="68">
          <cell r="A68">
            <v>401</v>
          </cell>
          <cell r="B68" t="str">
            <v>ja</v>
          </cell>
          <cell r="C68" t="str">
            <v>攻撃タイプキラー</v>
          </cell>
          <cell r="D68" t="str">
            <v>攻撃対象が攻撃タイプの場合威力UP</v>
          </cell>
        </row>
        <row r="69">
          <cell r="A69">
            <v>402</v>
          </cell>
          <cell r="B69" t="str">
            <v>ja</v>
          </cell>
          <cell r="C69" t="str">
            <v>攻撃タイプキラー</v>
          </cell>
          <cell r="D69" t="str">
            <v>攻撃対象が攻撃タイプの場合威力UP</v>
          </cell>
        </row>
        <row r="70">
          <cell r="A70">
            <v>403</v>
          </cell>
          <cell r="B70" t="str">
            <v>ja</v>
          </cell>
          <cell r="C70" t="str">
            <v>攻撃タイプキラー</v>
          </cell>
          <cell r="D70" t="str">
            <v>攻撃対象が攻撃タイプの場合威力UP</v>
          </cell>
        </row>
        <row r="71">
          <cell r="A71">
            <v>404</v>
          </cell>
          <cell r="B71" t="str">
            <v>ja</v>
          </cell>
          <cell r="C71" t="str">
            <v>バランスタイプキラー</v>
          </cell>
          <cell r="D71" t="str">
            <v>攻撃対象が攻撃タイプの場合威力UP</v>
          </cell>
        </row>
        <row r="72">
          <cell r="A72">
            <v>405</v>
          </cell>
          <cell r="B72" t="str">
            <v>ja</v>
          </cell>
          <cell r="C72" t="str">
            <v>バランスタイプキラー</v>
          </cell>
          <cell r="D72" t="str">
            <v>攻撃対象が攻撃タイプの場合威力UP</v>
          </cell>
        </row>
        <row r="73">
          <cell r="A73">
            <v>406</v>
          </cell>
          <cell r="B73" t="str">
            <v>ja</v>
          </cell>
          <cell r="C73" t="str">
            <v>バランスタイプキラー</v>
          </cell>
          <cell r="D73" t="str">
            <v>攻撃対象が攻撃タイプの場合威力UP</v>
          </cell>
        </row>
        <row r="74">
          <cell r="A74">
            <v>407</v>
          </cell>
          <cell r="B74" t="str">
            <v>ja</v>
          </cell>
          <cell r="C74" t="str">
            <v>バランスタイプキラー</v>
          </cell>
          <cell r="D74" t="str">
            <v>攻撃対象が攻撃タイプの場合威力UP</v>
          </cell>
        </row>
        <row r="75">
          <cell r="A75">
            <v>408</v>
          </cell>
          <cell r="B75" t="str">
            <v>ja</v>
          </cell>
          <cell r="C75" t="str">
            <v>体力タイプキラー</v>
          </cell>
          <cell r="D75" t="str">
            <v>攻撃対象が攻撃タイプの場合威力UP</v>
          </cell>
        </row>
        <row r="76">
          <cell r="A76">
            <v>409</v>
          </cell>
          <cell r="B76" t="str">
            <v>ja</v>
          </cell>
          <cell r="C76" t="str">
            <v>体力タイプキラー</v>
          </cell>
          <cell r="D76" t="str">
            <v>攻撃対象が攻撃タイプの場合威力UP</v>
          </cell>
        </row>
        <row r="77">
          <cell r="A77">
            <v>410</v>
          </cell>
          <cell r="B77" t="str">
            <v>ja</v>
          </cell>
          <cell r="C77" t="str">
            <v>体力タイプキラー</v>
          </cell>
          <cell r="D77" t="str">
            <v>攻撃対象が攻撃タイプの場合威力UP</v>
          </cell>
        </row>
        <row r="78">
          <cell r="A78">
            <v>411</v>
          </cell>
          <cell r="B78" t="str">
            <v>ja</v>
          </cell>
          <cell r="C78" t="str">
            <v>体力タイプキラー</v>
          </cell>
          <cell r="D78" t="str">
            <v>攻撃対象が攻撃タイプの場合威力UP</v>
          </cell>
        </row>
        <row r="79">
          <cell r="A79">
            <v>412</v>
          </cell>
          <cell r="B79" t="str">
            <v>ja</v>
          </cell>
          <cell r="C79" t="str">
            <v>テクニカルタイプキラー</v>
          </cell>
          <cell r="D79" t="str">
            <v>攻撃対象が攻撃タイプの場合威力UP</v>
          </cell>
        </row>
        <row r="80">
          <cell r="A80">
            <v>413</v>
          </cell>
          <cell r="B80" t="str">
            <v>ja</v>
          </cell>
          <cell r="C80" t="str">
            <v>テクニカルタイプキラー</v>
          </cell>
          <cell r="D80" t="str">
            <v>攻撃対象が攻撃タイプの場合威力UP</v>
          </cell>
        </row>
        <row r="81">
          <cell r="A81">
            <v>414</v>
          </cell>
          <cell r="B81" t="str">
            <v>ja</v>
          </cell>
          <cell r="C81" t="str">
            <v>テクニカルタイプキラー</v>
          </cell>
          <cell r="D81" t="str">
            <v>攻撃対象が攻撃タイプの場合威力UP</v>
          </cell>
        </row>
        <row r="82">
          <cell r="A82">
            <v>415</v>
          </cell>
          <cell r="B82" t="str">
            <v>ja</v>
          </cell>
          <cell r="C82" t="str">
            <v>テクニカルタイプキラー</v>
          </cell>
          <cell r="D82" t="str">
            <v>攻撃対象が攻撃タイプの場合威力UP</v>
          </cell>
        </row>
        <row r="83">
          <cell r="A83">
            <v>416</v>
          </cell>
          <cell r="B83" t="str">
            <v>ja</v>
          </cell>
          <cell r="C83" t="str">
            <v>回復タイプキラー</v>
          </cell>
          <cell r="D83" t="str">
            <v>攻撃対象が攻撃タイプの場合威力UP</v>
          </cell>
        </row>
        <row r="84">
          <cell r="A84">
            <v>417</v>
          </cell>
          <cell r="B84" t="str">
            <v>ja</v>
          </cell>
          <cell r="C84" t="str">
            <v>回復タイプキラー</v>
          </cell>
          <cell r="D84" t="str">
            <v>攻撃対象が攻撃タイプの場合威力UP</v>
          </cell>
        </row>
        <row r="85">
          <cell r="A85">
            <v>418</v>
          </cell>
          <cell r="B85" t="str">
            <v>ja</v>
          </cell>
          <cell r="C85" t="str">
            <v>回復タイプキラー</v>
          </cell>
          <cell r="D85" t="str">
            <v>攻撃対象が攻撃タイプの場合威力UP</v>
          </cell>
        </row>
        <row r="86">
          <cell r="A86">
            <v>419</v>
          </cell>
          <cell r="B86" t="str">
            <v>ja</v>
          </cell>
          <cell r="C86" t="str">
            <v>回復タイプキラー</v>
          </cell>
          <cell r="D86" t="str">
            <v>攻撃対象が攻撃タイプの場合威力UP</v>
          </cell>
        </row>
        <row r="87">
          <cell r="A87">
            <v>420</v>
          </cell>
          <cell r="B87" t="str">
            <v>ja</v>
          </cell>
          <cell r="C87" t="str">
            <v>強化素材タイプキラー</v>
          </cell>
          <cell r="D87" t="str">
            <v>攻撃対象が攻撃タイプの場合威力UP</v>
          </cell>
        </row>
        <row r="88">
          <cell r="A88">
            <v>421</v>
          </cell>
          <cell r="B88" t="str">
            <v>ja</v>
          </cell>
          <cell r="C88" t="str">
            <v>強化素材タイプキラー</v>
          </cell>
          <cell r="D88" t="str">
            <v>攻撃対象が攻撃タイプの場合威力UP</v>
          </cell>
        </row>
        <row r="89">
          <cell r="A89">
            <v>422</v>
          </cell>
          <cell r="B89" t="str">
            <v>ja</v>
          </cell>
          <cell r="C89" t="str">
            <v>強化素材タイプキラー</v>
          </cell>
          <cell r="D89" t="str">
            <v>攻撃対象が攻撃タイプの場合威力UP</v>
          </cell>
        </row>
        <row r="90">
          <cell r="A90">
            <v>423</v>
          </cell>
          <cell r="B90" t="str">
            <v>ja</v>
          </cell>
          <cell r="C90" t="str">
            <v>強化素材タイプキラー</v>
          </cell>
          <cell r="D90" t="str">
            <v>攻撃対象が攻撃タイプの場合威力UP</v>
          </cell>
        </row>
        <row r="91">
          <cell r="A91">
            <v>424</v>
          </cell>
          <cell r="B91" t="str">
            <v>ja</v>
          </cell>
          <cell r="C91" t="str">
            <v>コインタイプキラー</v>
          </cell>
          <cell r="D91" t="str">
            <v>攻撃対象が攻撃タイプの場合威力UP</v>
          </cell>
        </row>
        <row r="92">
          <cell r="A92">
            <v>425</v>
          </cell>
          <cell r="B92" t="str">
            <v>ja</v>
          </cell>
          <cell r="C92" t="str">
            <v>コインタイプキラー</v>
          </cell>
          <cell r="D92" t="str">
            <v>攻撃対象が攻撃タイプの場合威力UP</v>
          </cell>
        </row>
        <row r="93">
          <cell r="A93">
            <v>426</v>
          </cell>
          <cell r="B93" t="str">
            <v>ja</v>
          </cell>
          <cell r="C93" t="str">
            <v>コインタイプキラー</v>
          </cell>
          <cell r="D93" t="str">
            <v>攻撃対象が攻撃タイプの場合威力UP</v>
          </cell>
        </row>
        <row r="94">
          <cell r="A94">
            <v>427</v>
          </cell>
          <cell r="B94" t="str">
            <v>ja</v>
          </cell>
          <cell r="C94" t="str">
            <v>コインタイプキラー</v>
          </cell>
          <cell r="D94" t="str">
            <v>攻撃対象が攻撃タイプの場合威力UP</v>
          </cell>
        </row>
        <row r="95">
          <cell r="A95">
            <v>428</v>
          </cell>
          <cell r="B95" t="str">
            <v>ja</v>
          </cell>
          <cell r="C95" t="str">
            <v>限界突破素材タイプキラー</v>
          </cell>
          <cell r="D95" t="str">
            <v>攻撃対象が攻撃タイプの場合威力UP</v>
          </cell>
        </row>
        <row r="96">
          <cell r="A96">
            <v>429</v>
          </cell>
          <cell r="B96" t="str">
            <v>ja</v>
          </cell>
          <cell r="C96" t="str">
            <v>限界突破素材タイプキラー</v>
          </cell>
          <cell r="D96" t="str">
            <v>攻撃対象が攻撃タイプの場合威力UP</v>
          </cell>
        </row>
        <row r="97">
          <cell r="A97">
            <v>430</v>
          </cell>
          <cell r="B97" t="str">
            <v>ja</v>
          </cell>
          <cell r="C97" t="str">
            <v>限界突破素材タイプキラー</v>
          </cell>
          <cell r="D97" t="str">
            <v>攻撃対象が攻撃タイプの場合威力UP</v>
          </cell>
        </row>
        <row r="98">
          <cell r="A98">
            <v>431</v>
          </cell>
          <cell r="B98" t="str">
            <v>ja</v>
          </cell>
          <cell r="C98" t="str">
            <v>限界突破素材タイプキラー</v>
          </cell>
          <cell r="D98" t="str">
            <v>攻撃対象が攻撃タイプの場合威力UP</v>
          </cell>
        </row>
        <row r="99">
          <cell r="A99">
            <v>432</v>
          </cell>
          <cell r="B99" t="str">
            <v>ja</v>
          </cell>
          <cell r="C99" t="str">
            <v>スキルレベル素材タイプキラー</v>
          </cell>
          <cell r="D99" t="str">
            <v>攻撃対象が攻撃タイプの場合威力UP</v>
          </cell>
        </row>
        <row r="100">
          <cell r="A100">
            <v>433</v>
          </cell>
          <cell r="B100" t="str">
            <v>ja</v>
          </cell>
          <cell r="C100" t="str">
            <v>スキルレベル素材タイプキラー</v>
          </cell>
          <cell r="D100" t="str">
            <v>攻撃対象が攻撃タイプの場合威力UP</v>
          </cell>
        </row>
        <row r="101">
          <cell r="A101">
            <v>434</v>
          </cell>
          <cell r="B101" t="str">
            <v>ja</v>
          </cell>
          <cell r="C101" t="str">
            <v>スキルレベル素材タイプキラー</v>
          </cell>
          <cell r="D101" t="str">
            <v>攻撃対象が攻撃タイプの場合威力UP</v>
          </cell>
        </row>
        <row r="102">
          <cell r="A102">
            <v>435</v>
          </cell>
          <cell r="B102" t="str">
            <v>ja</v>
          </cell>
          <cell r="C102" t="str">
            <v>スキルレベル素材タイプキラー</v>
          </cell>
          <cell r="D102" t="str">
            <v>攻撃対象が攻撃タイプの場合威力UP</v>
          </cell>
        </row>
        <row r="103">
          <cell r="A103">
            <v>436</v>
          </cell>
          <cell r="B103" t="str">
            <v>ja</v>
          </cell>
          <cell r="C103" t="str">
            <v>対ゴッド&amp;ヒーロー ダメージUP</v>
          </cell>
          <cell r="D103" t="str">
            <v>自身の攻撃対象が種族ゴッド、ヒーローの場合全ての攻撃の威力をUP</v>
          </cell>
        </row>
        <row r="104">
          <cell r="A104">
            <v>500</v>
          </cell>
          <cell r="B104" t="str">
            <v>ja</v>
          </cell>
          <cell r="C104" t="str">
            <v>青属性キラー</v>
          </cell>
          <cell r="D104" t="str">
            <v>攻撃対象が青属性の場合威力UP</v>
          </cell>
        </row>
        <row r="105">
          <cell r="A105">
            <v>600</v>
          </cell>
          <cell r="B105" t="str">
            <v>ja</v>
          </cell>
          <cell r="C105" t="str">
            <v>赤属性耐性25</v>
          </cell>
          <cell r="D105" t="str">
            <v>自身に対する赤属性の敵からの攻撃を25％軽減</v>
          </cell>
        </row>
        <row r="106">
          <cell r="A106">
            <v>601</v>
          </cell>
          <cell r="B106" t="str">
            <v>ja</v>
          </cell>
          <cell r="C106" t="str">
            <v>赤属性耐性25</v>
          </cell>
          <cell r="D106" t="str">
            <v>自身に対する赤属性の敵からの攻撃を25％軽減</v>
          </cell>
        </row>
        <row r="107">
          <cell r="A107">
            <v>602</v>
          </cell>
          <cell r="B107" t="str">
            <v>ja</v>
          </cell>
          <cell r="C107" t="str">
            <v>赤属性耐性25</v>
          </cell>
          <cell r="D107" t="str">
            <v>自身に対する赤属性の敵からの攻撃を25％軽減</v>
          </cell>
        </row>
        <row r="108">
          <cell r="A108">
            <v>603</v>
          </cell>
          <cell r="B108" t="str">
            <v>ja</v>
          </cell>
          <cell r="C108" t="str">
            <v>青属性耐性25</v>
          </cell>
          <cell r="D108" t="str">
            <v>自身に対する青属性の敵からの攻撃を25％軽減</v>
          </cell>
        </row>
        <row r="109">
          <cell r="A109">
            <v>604</v>
          </cell>
          <cell r="B109" t="str">
            <v>ja</v>
          </cell>
          <cell r="C109" t="str">
            <v>青属性耐性25</v>
          </cell>
          <cell r="D109" t="str">
            <v>自身に対する青属性の敵からの攻撃を25％軽減</v>
          </cell>
        </row>
        <row r="110">
          <cell r="A110">
            <v>605</v>
          </cell>
          <cell r="B110" t="str">
            <v>ja</v>
          </cell>
          <cell r="C110" t="str">
            <v>青属性耐性25</v>
          </cell>
          <cell r="D110" t="str">
            <v>自身に対する青属性の敵からの攻撃を25％軽減</v>
          </cell>
        </row>
        <row r="111">
          <cell r="A111">
            <v>606</v>
          </cell>
          <cell r="B111" t="str">
            <v>ja</v>
          </cell>
          <cell r="C111" t="str">
            <v>緑属性耐性25</v>
          </cell>
          <cell r="D111" t="str">
            <v>自身に対する緑属性の敵からの攻撃を25％軽減</v>
          </cell>
        </row>
        <row r="112">
          <cell r="A112">
            <v>607</v>
          </cell>
          <cell r="B112" t="str">
            <v>ja</v>
          </cell>
          <cell r="C112" t="str">
            <v>緑属性耐性25</v>
          </cell>
          <cell r="D112" t="str">
            <v>自身に対する緑属性の敵からの攻撃を25％軽減</v>
          </cell>
        </row>
        <row r="113">
          <cell r="A113">
            <v>608</v>
          </cell>
          <cell r="B113" t="str">
            <v>ja</v>
          </cell>
          <cell r="C113" t="str">
            <v>緑属性耐性25</v>
          </cell>
          <cell r="D113" t="str">
            <v>自身に対する緑属性の敵からの攻撃を25％軽減</v>
          </cell>
        </row>
        <row r="114">
          <cell r="A114">
            <v>609</v>
          </cell>
          <cell r="B114" t="str">
            <v>ja</v>
          </cell>
          <cell r="C114" t="str">
            <v>黄属性耐性25</v>
          </cell>
          <cell r="D114" t="str">
            <v>自身に対する黄属性の敵からの攻撃を25％軽減</v>
          </cell>
        </row>
        <row r="115">
          <cell r="A115">
            <v>610</v>
          </cell>
          <cell r="B115" t="str">
            <v>ja</v>
          </cell>
          <cell r="C115" t="str">
            <v>黄属性耐性25</v>
          </cell>
          <cell r="D115" t="str">
            <v>自身に対する黄属性の敵からの攻撃を25％軽減</v>
          </cell>
        </row>
        <row r="116">
          <cell r="A116">
            <v>611</v>
          </cell>
          <cell r="B116" t="str">
            <v>ja</v>
          </cell>
          <cell r="C116" t="str">
            <v>黄属性耐性25</v>
          </cell>
          <cell r="D116" t="str">
            <v>自身に対する黄属性の敵からの攻撃を25％軽減</v>
          </cell>
        </row>
        <row r="117">
          <cell r="A117">
            <v>612</v>
          </cell>
          <cell r="B117" t="str">
            <v>ja</v>
          </cell>
          <cell r="C117" t="str">
            <v>全属性耐性10</v>
          </cell>
          <cell r="D117" t="str">
            <v>自身に対する全属性の敵からの攻撃を10％軽減</v>
          </cell>
        </row>
        <row r="118">
          <cell r="A118">
            <v>613</v>
          </cell>
          <cell r="B118" t="str">
            <v>ja</v>
          </cell>
          <cell r="C118" t="str">
            <v>赤属性耐性10</v>
          </cell>
          <cell r="D118" t="str">
            <v>自身に対する赤属性の敵からの攻撃を10％軽減</v>
          </cell>
        </row>
        <row r="119">
          <cell r="A119">
            <v>614</v>
          </cell>
          <cell r="B119" t="str">
            <v>ja</v>
          </cell>
          <cell r="C119" t="str">
            <v>青属性耐性10</v>
          </cell>
          <cell r="D119" t="str">
            <v>自身に対する青属性の敵からの攻撃を10％軽減</v>
          </cell>
        </row>
        <row r="120">
          <cell r="A120">
            <v>615</v>
          </cell>
          <cell r="B120" t="str">
            <v>ja</v>
          </cell>
          <cell r="C120" t="str">
            <v>緑属性耐性10</v>
          </cell>
          <cell r="D120" t="str">
            <v>自身に対する緑属性の敵からの攻撃を10％軽減</v>
          </cell>
        </row>
        <row r="121">
          <cell r="A121">
            <v>616</v>
          </cell>
          <cell r="B121" t="str">
            <v>ja</v>
          </cell>
          <cell r="C121" t="str">
            <v>黄属性耐性10</v>
          </cell>
          <cell r="D121" t="str">
            <v>自身に対する黄属性の敵からの攻撃を10％軽減</v>
          </cell>
        </row>
        <row r="122">
          <cell r="A122">
            <v>617</v>
          </cell>
          <cell r="B122" t="str">
            <v>ja</v>
          </cell>
          <cell r="C122" t="str">
            <v>ゴッド種族耐性10</v>
          </cell>
          <cell r="D122" t="str">
            <v>自身に対するゴッド種族の敵からの攻撃を25％軽減</v>
          </cell>
        </row>
        <row r="123">
          <cell r="A123">
            <v>618</v>
          </cell>
          <cell r="B123" t="str">
            <v>ja</v>
          </cell>
          <cell r="C123" t="str">
            <v>赤属性耐性8</v>
          </cell>
          <cell r="D123" t="str">
            <v>自身に対する赤属性の敵からの攻撃を8%軽減</v>
          </cell>
        </row>
        <row r="124">
          <cell r="A124">
            <v>619</v>
          </cell>
          <cell r="B124" t="str">
            <v>ja</v>
          </cell>
          <cell r="C124" t="str">
            <v>青属性耐性8</v>
          </cell>
          <cell r="D124" t="str">
            <v>自身に対する青属性の敵からの攻撃を8%軽減</v>
          </cell>
        </row>
        <row r="125">
          <cell r="A125">
            <v>620</v>
          </cell>
          <cell r="B125" t="str">
            <v>ja</v>
          </cell>
          <cell r="C125" t="str">
            <v>緑属性耐性8</v>
          </cell>
          <cell r="D125" t="str">
            <v>自身に対する緑属性の敵からの攻撃を8%軽減</v>
          </cell>
        </row>
        <row r="126">
          <cell r="A126">
            <v>621</v>
          </cell>
          <cell r="B126" t="str">
            <v>ja</v>
          </cell>
          <cell r="C126" t="str">
            <v>黄属性耐性8</v>
          </cell>
          <cell r="D126" t="str">
            <v>自身に対する黄属性の敵からの攻撃を8%軽減</v>
          </cell>
        </row>
        <row r="127">
          <cell r="A127">
            <v>622</v>
          </cell>
          <cell r="B127" t="str">
            <v>ja</v>
          </cell>
          <cell r="C127" t="str">
            <v>赤・青属性耐性15</v>
          </cell>
          <cell r="D127" t="str">
            <v>自身に対する赤・青属性の敵からの攻撃を15%軽減</v>
          </cell>
        </row>
        <row r="128">
          <cell r="A128">
            <v>700</v>
          </cell>
          <cell r="B128" t="str">
            <v>ja</v>
          </cell>
          <cell r="C128" t="str">
            <v>フロア 回復</v>
          </cell>
          <cell r="D128" t="str">
            <v>全フロアの1ターン目終了時にパーティの合計HPの20％を回復する</v>
          </cell>
        </row>
        <row r="129">
          <cell r="A129">
            <v>701</v>
          </cell>
          <cell r="B129" t="str">
            <v>ja</v>
          </cell>
          <cell r="C129" t="str">
            <v>フロア 防御力アップ</v>
          </cell>
          <cell r="D129" t="str">
            <v>全フロアの1ターン目終了時に全ユニットの防御力を1ターン400UP</v>
          </cell>
        </row>
        <row r="130">
          <cell r="A130">
            <v>800</v>
          </cell>
          <cell r="B130" t="str">
            <v>ja</v>
          </cell>
          <cell r="C130" t="str">
            <v>パネルブレイク30 攻撃力UP</v>
          </cell>
          <cell r="D130" t="str">
            <v>自身が先頭の時、1ターンの間に合計30個以上パネルを破壊した場合に攻撃力UP</v>
          </cell>
        </row>
        <row r="131">
          <cell r="A131">
            <v>801</v>
          </cell>
          <cell r="B131" t="str">
            <v>ja</v>
          </cell>
          <cell r="C131" t="str">
            <v>パネルブレイク30 回復力UP</v>
          </cell>
          <cell r="D131" t="str">
            <v>自身が先頭の時、1ターンの間に合計30個以上パネルを破壊した場合に回復力UP</v>
          </cell>
        </row>
        <row r="132">
          <cell r="A132">
            <v>802</v>
          </cell>
          <cell r="B132" t="str">
            <v>ja</v>
          </cell>
          <cell r="C132" t="str">
            <v>パネルブレイク30 防御力小UP</v>
          </cell>
          <cell r="D132" t="str">
            <v>自身が先頭の時、1ターンの間に合計30個以上パネルを破壊した場合に防御力小UP</v>
          </cell>
        </row>
        <row r="133">
          <cell r="A133">
            <v>803</v>
          </cell>
          <cell r="B133" t="str">
            <v>ja</v>
          </cell>
          <cell r="C133" t="str">
            <v>パネルブレイク30 防御力UP</v>
          </cell>
          <cell r="D133" t="str">
            <v>自身が先頭の時、1ターンの間に合計30個以上パネルを破壊した場合に防御力UP</v>
          </cell>
        </row>
        <row r="134">
          <cell r="A134">
            <v>804</v>
          </cell>
          <cell r="B134" t="str">
            <v>ja</v>
          </cell>
          <cell r="C134" t="str">
            <v>パネルブレイク30 防御力大UP</v>
          </cell>
          <cell r="D134" t="str">
            <v>自身が先頭の時、1ターンの間に合計30個以上パネルを破壊した場合に防御力大UP</v>
          </cell>
        </row>
        <row r="135">
          <cell r="A135">
            <v>805</v>
          </cell>
          <cell r="B135" t="str">
            <v>ja</v>
          </cell>
          <cell r="C135" t="str">
            <v>パネルブレイク30 防御力特大UP</v>
          </cell>
          <cell r="D135" t="str">
            <v>自身が先頭の時、1ターンの間に合計30個以上パネルを破壊した場合に防御力特大UP</v>
          </cell>
        </row>
        <row r="136">
          <cell r="A136">
            <v>806</v>
          </cell>
          <cell r="B136" t="str">
            <v>ja</v>
          </cell>
          <cell r="C136" t="str">
            <v>ボムブレイク10 防御力UP</v>
          </cell>
          <cell r="D136" t="str">
            <v>自身または味方が1ターンの間に合計10個以上ボムパネルを破壊した場合に防御力UP</v>
          </cell>
        </row>
        <row r="137">
          <cell r="A137">
            <v>807</v>
          </cell>
          <cell r="B137" t="str">
            <v>ja</v>
          </cell>
          <cell r="C137" t="str">
            <v>パネル18 破壊フィーバーゲージ上昇</v>
          </cell>
          <cell r="D137" t="str">
            <v>自身が先頭の時、1ターンの間に合計18個以上パネルを破壊した場合にフィーバーゲージ上昇</v>
          </cell>
        </row>
        <row r="138">
          <cell r="A138">
            <v>808</v>
          </cell>
          <cell r="B138" t="str">
            <v>ja</v>
          </cell>
          <cell r="C138" t="str">
            <v>パネルブレイク40 防御力UP</v>
          </cell>
          <cell r="D138" t="str">
            <v>自身が先頭の時、1ターンの間に合計40個以上パネルを破壊した場合に青属性ユニットの防御力を400UP</v>
          </cell>
        </row>
        <row r="139">
          <cell r="A139">
            <v>809</v>
          </cell>
          <cell r="B139" t="str">
            <v>ja</v>
          </cell>
          <cell r="C139" t="str">
            <v>パネルブレイク40 攻撃力UP</v>
          </cell>
          <cell r="D139" t="str">
            <v>自身が先頭の時、1ターンの間に合計40個以上パネルを破壊した場合に攻撃力UP</v>
          </cell>
        </row>
        <row r="140">
          <cell r="A140">
            <v>810</v>
          </cell>
          <cell r="B140" t="str">
            <v>ja</v>
          </cell>
          <cell r="C140" t="str">
            <v>パネルブレイク40 攻撃力小UP</v>
          </cell>
          <cell r="D140" t="str">
            <v>自身が先頭の時、1ターンの間に合計40個以上パネルを破壊した場合に攻撃力小UP</v>
          </cell>
        </row>
        <row r="141">
          <cell r="A141">
            <v>811</v>
          </cell>
          <cell r="B141" t="str">
            <v>ja</v>
          </cell>
          <cell r="C141" t="str">
            <v>パネルブレイク30 攻撃力小UP</v>
          </cell>
          <cell r="D141" t="str">
            <v>自身が先頭の時、1ターンの間に合計30個以上パネルを破壊した場合に攻撃力小UP</v>
          </cell>
        </row>
        <row r="142">
          <cell r="A142">
            <v>812</v>
          </cell>
          <cell r="B142" t="str">
            <v>ja</v>
          </cell>
          <cell r="C142" t="str">
            <v>パネルブレイク40 HP小回復</v>
          </cell>
          <cell r="D142" t="str">
            <v>自身が先頭の時、1ターンの間に合計40個以上パネルを破壊した場合にターン終了時HP小回復</v>
          </cell>
        </row>
        <row r="143">
          <cell r="A143">
            <v>813</v>
          </cell>
          <cell r="B143" t="str">
            <v>ja</v>
          </cell>
          <cell r="C143" t="str">
            <v>パネルブレイク100 攻撃力UP</v>
          </cell>
          <cell r="D143" t="str">
            <v>自身が先頭の時、1ターンの間に合計100個以上パネルを破壊した場合に攻撃力2140UP</v>
          </cell>
        </row>
        <row r="144">
          <cell r="A144">
            <v>814</v>
          </cell>
          <cell r="B144" t="str">
            <v>ja</v>
          </cell>
          <cell r="C144" t="str">
            <v>パネルブレイク50 タップ回数UP</v>
          </cell>
          <cell r="D144" t="str">
            <v>自身が先頭の時、1ターンの間に合計50個以上パネルを破壊した場合にタップ回数を1回増やす</v>
          </cell>
        </row>
        <row r="145">
          <cell r="A145">
            <v>815</v>
          </cell>
          <cell r="B145" t="str">
            <v>ja</v>
          </cell>
          <cell r="C145" t="str">
            <v>パネルブレイク50 HP回復</v>
          </cell>
          <cell r="D145" t="str">
            <v>自身が先頭の時、1ターンの間に合計50個以上パネルを破壊した場合にターン終了時HP回復</v>
          </cell>
        </row>
        <row r="146">
          <cell r="A146">
            <v>816</v>
          </cell>
          <cell r="B146" t="str">
            <v>ja</v>
          </cell>
          <cell r="C146" t="str">
            <v>ボムブレイク10 黄属性攻撃力UP</v>
          </cell>
          <cell r="D146" t="str">
            <v>自身または味方が1ターンの間に合計10個以上ボムパネルを破壊した場合に黄属性ユニットの攻撃力UP</v>
          </cell>
        </row>
        <row r="147">
          <cell r="A147">
            <v>817</v>
          </cell>
          <cell r="B147" t="str">
            <v>ja</v>
          </cell>
          <cell r="C147" t="str">
            <v>パネルブレイク50 生成短縮激烈</v>
          </cell>
          <cell r="D147" t="str">
            <v>自身が先頭の時、1ターンの間に合計50個以上パネルを破壊した場合にCパネル生成に必要なチェイン数を12短縮する</v>
          </cell>
        </row>
        <row r="148">
          <cell r="A148">
            <v>818</v>
          </cell>
          <cell r="B148" t="str">
            <v>ja</v>
          </cell>
          <cell r="C148" t="str">
            <v>パネルブレイク33 赤･緑属性防御UP</v>
          </cell>
          <cell r="D148" t="str">
            <v>自身が先頭の時、1ターンの間に合計33個以上パネルを破壊した場合に赤・緑属性の防御力を330UP</v>
          </cell>
        </row>
        <row r="149">
          <cell r="A149">
            <v>819</v>
          </cell>
          <cell r="B149" t="str">
            <v>ja</v>
          </cell>
          <cell r="C149" t="str">
            <v>パネルブレイク25 回復力UP</v>
          </cell>
          <cell r="D149" t="str">
            <v>自身が先頭の時、1ターンの間に合計25個以上パネルを破壊した場合に回復力UP</v>
          </cell>
        </row>
        <row r="150">
          <cell r="A150">
            <v>820</v>
          </cell>
          <cell r="B150" t="str">
            <v>ja</v>
          </cell>
          <cell r="C150" t="str">
            <v>パネルブレイク90 タップ回数UP</v>
          </cell>
          <cell r="D150" t="str">
            <v>自身が先頭の時、1ターンの間に合計90個以上パネルを破壊した場合にタップ回数を1回増やす</v>
          </cell>
        </row>
        <row r="151">
          <cell r="A151">
            <v>821</v>
          </cell>
          <cell r="B151" t="str">
            <v>ja</v>
          </cell>
          <cell r="C151" t="str">
            <v>パネルブレイク80 攻撃力特大UP</v>
          </cell>
          <cell r="D151" t="str">
            <v>自身が先頭の時、1ターンの間に合計80個以上パネルを破壊した場合に攻撃力特大UP</v>
          </cell>
        </row>
        <row r="152">
          <cell r="A152">
            <v>822</v>
          </cell>
          <cell r="B152" t="str">
            <v>ja</v>
          </cell>
          <cell r="C152" t="str">
            <v>パネルブレイク35 CP生成短縮(特大)</v>
          </cell>
          <cell r="D152" t="str">
            <v>自身または、味方が1ターンの間に合計35個以上パネルを破壊した場合に先頭ユニットのCパネル生成短縮(効果特大)(1ターンに1度だけ発動)</v>
          </cell>
        </row>
        <row r="153">
          <cell r="A153">
            <v>823</v>
          </cell>
          <cell r="B153" t="str">
            <v>ja</v>
          </cell>
          <cell r="C153" t="str">
            <v>パネルブレイク100 タップ回数UP</v>
          </cell>
          <cell r="D153" t="str">
            <v>自身が先頭の時、1ターンの間に合計100個以上パネルを破壊した場合にタップ回数を1回増やす</v>
          </cell>
        </row>
        <row r="154">
          <cell r="A154">
            <v>824</v>
          </cell>
          <cell r="B154" t="str">
            <v>ja</v>
          </cell>
          <cell r="C154" t="str">
            <v>パネルブレイク40 CP生成短縮(特大)</v>
          </cell>
          <cell r="D154" t="str">
            <v>自身または、味方が1ターンの間に合計40個以上パネルを破壊した場合に先頭ユニットのCパネル生成短縮(効果特大)(1ターンに1度だけ発動)</v>
          </cell>
        </row>
        <row r="155">
          <cell r="A155">
            <v>900</v>
          </cell>
          <cell r="B155" t="str">
            <v>ja</v>
          </cell>
          <cell r="C155" t="str">
            <v>チェイン12 攻撃力UP</v>
          </cell>
          <cell r="D155" t="str">
            <v>自身が先頭の時、1タップで12個以上パネルを繋げた場合に攻撃力UP(1ターンに1度だけ発動)</v>
          </cell>
        </row>
        <row r="156">
          <cell r="A156">
            <v>901</v>
          </cell>
          <cell r="B156" t="str">
            <v>ja</v>
          </cell>
          <cell r="C156" t="str">
            <v>チェイン12 回復力UP</v>
          </cell>
          <cell r="D156" t="str">
            <v>自身が先頭の時、1タップで12個以上パネルを繋げた場合に回復力UP(1ターンに1度だけ発動)</v>
          </cell>
        </row>
        <row r="157">
          <cell r="A157">
            <v>902</v>
          </cell>
          <cell r="B157" t="str">
            <v>ja</v>
          </cell>
          <cell r="C157" t="str">
            <v>チェイン12 タップ回数UP</v>
          </cell>
          <cell r="D157" t="str">
            <v>自身が先頭の時、1タップで12個以上パネルを繋げた場合にタップ回数を1回増やす(1ターンに1度だけ発動)</v>
          </cell>
        </row>
        <row r="158">
          <cell r="A158">
            <v>903</v>
          </cell>
          <cell r="B158" t="str">
            <v>ja</v>
          </cell>
          <cell r="C158" t="str">
            <v>チェイン18 スキルゲージUP</v>
          </cell>
          <cell r="D158" t="str">
            <v>自身が先頭の時、1タップで18個以上パネルを繋げた場合に自身のスキルゲージを1増やす(1ターンに1度だけ発動)</v>
          </cell>
        </row>
        <row r="159">
          <cell r="A159">
            <v>904</v>
          </cell>
          <cell r="B159" t="str">
            <v>ja</v>
          </cell>
          <cell r="C159" t="str">
            <v>チェイン17 回復力UP</v>
          </cell>
          <cell r="D159" t="str">
            <v>自身が先頭の時、1タップで17個以上パネルを繋げた場合に自身の回復力を2017UP(1ターンに1度だけ発動)</v>
          </cell>
        </row>
        <row r="160">
          <cell r="A160">
            <v>905</v>
          </cell>
          <cell r="B160" t="str">
            <v>ja</v>
          </cell>
          <cell r="C160" t="str">
            <v>チェイン12 攻撃力小UP</v>
          </cell>
          <cell r="D160" t="str">
            <v>自身が先頭の時、1タップで12個以上パネルを繋げた場合に攻撃力小UP(1ターンに1度だけ発動)</v>
          </cell>
        </row>
        <row r="161">
          <cell r="A161">
            <v>906</v>
          </cell>
          <cell r="B161" t="str">
            <v>ja</v>
          </cell>
          <cell r="C161" t="str">
            <v>チェイン14 回復力小UP</v>
          </cell>
          <cell r="D161" t="str">
            <v>自身が先頭の時、1タップで14個以上パネルを繋げた場合に回復力小UP(1ターンに1度だけ発動)</v>
          </cell>
        </row>
        <row r="162">
          <cell r="A162">
            <v>907</v>
          </cell>
          <cell r="B162" t="str">
            <v>ja</v>
          </cell>
          <cell r="C162" t="str">
            <v>チェイン14 攻撃力UP</v>
          </cell>
          <cell r="D162" t="str">
            <v>自身が先頭の時、1タップで14個以上パネルを繋げた場合に攻撃力UP(1ターンに1度だけ発動)</v>
          </cell>
        </row>
        <row r="163">
          <cell r="A163">
            <v>908</v>
          </cell>
          <cell r="B163" t="str">
            <v>ja</v>
          </cell>
          <cell r="C163" t="str">
            <v>チェイン16 黄属性防御力UP</v>
          </cell>
          <cell r="D163" t="str">
            <v>自身が先頭の時、1タップで16個以上パネルを繋げた場合に黄属性ユニットの防御力UP(1ターンに1度だけ発動)</v>
          </cell>
        </row>
        <row r="164">
          <cell r="A164">
            <v>909</v>
          </cell>
          <cell r="B164" t="str">
            <v>ja</v>
          </cell>
          <cell r="C164" t="str">
            <v>チェイン30 Cパネル生成短縮(激烈)</v>
          </cell>
          <cell r="D164" t="str">
            <v>自身が先頭の時、1タップで30個以上パネルを繋げた場合にCパネル生成短縮(効果激烈)(1ターンに1度だけ発動)</v>
          </cell>
        </row>
        <row r="165">
          <cell r="A165">
            <v>910</v>
          </cell>
          <cell r="B165" t="str">
            <v>ja</v>
          </cell>
          <cell r="C165" t="str">
            <v>チェイン18 HP回復</v>
          </cell>
          <cell r="D165" t="str">
            <v>自身が先頭の時、1タップで18個以上パネルを繋げた場合にHPを2500回復(1ターンに1度だけ発動)</v>
          </cell>
        </row>
        <row r="166">
          <cell r="A166">
            <v>911</v>
          </cell>
          <cell r="B166" t="str">
            <v>ja</v>
          </cell>
          <cell r="C166" t="str">
            <v>チェイン24 ダメージ軽減</v>
          </cell>
          <cell r="D166" t="str">
            <v>自身が先頭の時、1タップで24個以上パネルを繋げた場合に敵からのダメージを15％軽減(1ターンに1度だけ発動)</v>
          </cell>
        </row>
        <row r="167">
          <cell r="A167">
            <v>912</v>
          </cell>
          <cell r="B167" t="str">
            <v>ja</v>
          </cell>
          <cell r="C167" t="str">
            <v>チェイン22 スキルゲージUP</v>
          </cell>
          <cell r="D167" t="str">
            <v>自身が先頭の時、1タップで22個以上パネルを繋げた場合に自身のスキルゲージを1増やす(1ターンに1度だけ発動)</v>
          </cell>
        </row>
        <row r="168">
          <cell r="A168">
            <v>913</v>
          </cell>
          <cell r="B168" t="str">
            <v>ja</v>
          </cell>
          <cell r="C168" t="str">
            <v>チェイン26 Cパネル生成短縮(特大)</v>
          </cell>
          <cell r="D168" t="str">
            <v>自身または、味方が1タップで26個以上パネルを繋げた場合に先頭ユニットのCパネル生成短縮(効果特大)(1ターンに1度だけ発動)</v>
          </cell>
        </row>
        <row r="169">
          <cell r="A169">
            <v>914</v>
          </cell>
          <cell r="B169" t="str">
            <v>ja</v>
          </cell>
          <cell r="C169" t="str">
            <v>チェイン14 スキルバインド解除</v>
          </cell>
          <cell r="D169" t="str">
            <v>自身が先頭の時、1タップで14個以上パネルを繋げた場合にスキルバインドを解除する</v>
          </cell>
        </row>
        <row r="170">
          <cell r="A170">
            <v>915</v>
          </cell>
          <cell r="B170" t="str">
            <v>ja</v>
          </cell>
          <cell r="C170" t="str">
            <v>チェイン16 スキルゲージUP</v>
          </cell>
          <cell r="D170" t="str">
            <v>自身が先頭の時、1タップで16個以上パネルを繋げた場合に自身のスキルゲージを1増やす(1ターンに1度だけ発動)</v>
          </cell>
        </row>
        <row r="171">
          <cell r="A171">
            <v>916</v>
          </cell>
          <cell r="B171" t="str">
            <v>ja</v>
          </cell>
          <cell r="C171" t="str">
            <v>チェイン14 黄属性防御力UP</v>
          </cell>
          <cell r="D171" t="str">
            <v>自身が先頭の時、1タップで14個以上パネルを繋げた場合に黄属性ユニットの防御力UP(1ターンに1度だけ発動)</v>
          </cell>
        </row>
        <row r="172">
          <cell r="A172">
            <v>1100</v>
          </cell>
          <cell r="B172" t="str">
            <v>ja</v>
          </cell>
          <cell r="C172" t="str">
            <v>Cパネル生成短縮</v>
          </cell>
          <cell r="D172" t="str">
            <v>自身が先頭の時、Cパネル生成に必要なチェイン数を1短縮する</v>
          </cell>
        </row>
        <row r="173">
          <cell r="A173">
            <v>1101</v>
          </cell>
          <cell r="B173" t="str">
            <v>ja</v>
          </cell>
          <cell r="C173" t="str">
            <v>Cパネル生成短縮(大)</v>
          </cell>
          <cell r="D173" t="str">
            <v>自身が先頭の時、Cパネル生成に必要なチェイン数を2短縮する</v>
          </cell>
        </row>
        <row r="174">
          <cell r="A174">
            <v>1200</v>
          </cell>
          <cell r="B174" t="str">
            <v>ja</v>
          </cell>
          <cell r="C174" t="str">
            <v>フィーバー攻撃UP</v>
          </cell>
          <cell r="D174" t="str">
            <v>自身が先頭の時、フィーバー発動時に緑属性の攻撃力と回復力UP</v>
          </cell>
        </row>
        <row r="175">
          <cell r="A175">
            <v>1300</v>
          </cell>
          <cell r="B175" t="str">
            <v>ja</v>
          </cell>
          <cell r="C175" t="str">
            <v>チェイン12 HP回復</v>
          </cell>
          <cell r="D175" t="str">
            <v>自身が先頭の時、1タップで12個以上パネルを繋げた場合にHPを2000回復(1ターンに1度だけ発動)</v>
          </cell>
        </row>
        <row r="176">
          <cell r="A176">
            <v>1400</v>
          </cell>
          <cell r="B176" t="str">
            <v>ja</v>
          </cell>
          <cell r="C176" t="str">
            <v>カウンター威力UP</v>
          </cell>
          <cell r="D176" t="str">
            <v>4ターン毎に自身のカウンタースキルの威力が1ターンの間UP</v>
          </cell>
        </row>
        <row r="177">
          <cell r="A177">
            <v>1500</v>
          </cell>
          <cell r="B177" t="str">
            <v>ja</v>
          </cell>
          <cell r="C177" t="str">
            <v>バリア15000</v>
          </cell>
          <cell r="D177" t="str">
            <v>戦闘開始時に、自身への直接ダメージを15000まで防ぐバリアを一度だけ展開(バリアは破壊されると復活しない)</v>
          </cell>
        </row>
        <row r="178">
          <cell r="A178">
            <v>1501</v>
          </cell>
          <cell r="B178" t="str">
            <v>ja</v>
          </cell>
          <cell r="C178" t="str">
            <v>バリア</v>
          </cell>
          <cell r="D178" t="str">
            <v>戦闘開始時に、ダメージを25000まで防ぐバリアを一度だけ展開</v>
          </cell>
        </row>
        <row r="179">
          <cell r="A179">
            <v>1502</v>
          </cell>
          <cell r="B179" t="str">
            <v>ja</v>
          </cell>
          <cell r="C179" t="str">
            <v>バリア</v>
          </cell>
          <cell r="D179" t="str">
            <v>戦闘開始時に、ダメージを50000まで防ぐバリアを一度だけ展開</v>
          </cell>
        </row>
        <row r="180">
          <cell r="A180">
            <v>1503</v>
          </cell>
          <cell r="B180" t="str">
            <v>ja</v>
          </cell>
          <cell r="C180" t="str">
            <v>バリア8000</v>
          </cell>
          <cell r="D180" t="str">
            <v>戦闘開始時に、自身への直接ダメージを8000まで防ぐバリアを一度だけ展開(バリアは破壊されると復活しない)</v>
          </cell>
        </row>
        <row r="181">
          <cell r="A181">
            <v>1504</v>
          </cell>
          <cell r="B181" t="str">
            <v>ja</v>
          </cell>
          <cell r="C181" t="str">
            <v>バリア10000</v>
          </cell>
          <cell r="D181" t="str">
            <v>戦闘開始時に、自身への直接ダメージを10000まで防ぐバリアを一度だけ展開(バリアは破壊されると復活しない)</v>
          </cell>
        </row>
        <row r="182">
          <cell r="A182">
            <v>1505</v>
          </cell>
          <cell r="B182" t="str">
            <v>ja</v>
          </cell>
          <cell r="C182" t="str">
            <v>バリア3939</v>
          </cell>
          <cell r="D182" t="str">
            <v>戦闘開始時に、自身への直接ダメージを3939まで防ぐバリアを一度だけ展開(バリアは破壊されると復活しない)</v>
          </cell>
        </row>
        <row r="183">
          <cell r="A183">
            <v>1600</v>
          </cell>
          <cell r="B183" t="str">
            <v>ja</v>
          </cell>
          <cell r="C183" t="str">
            <v>攻撃力・回復力UP</v>
          </cell>
          <cell r="D183" t="str">
            <v>自身の攻撃力と回復力をUP</v>
          </cell>
        </row>
        <row r="184">
          <cell r="A184">
            <v>1700</v>
          </cell>
          <cell r="B184" t="str">
            <v>ja</v>
          </cell>
          <cell r="C184" t="str">
            <v>パネルブレイク30 ターンHP小回復</v>
          </cell>
          <cell r="D184" t="str">
            <v>自身が先頭の時、1ターンの間に合計30個以上パネルを破壊した場合に1ターン HP小回復</v>
          </cell>
        </row>
        <row r="185">
          <cell r="A185">
            <v>1800</v>
          </cell>
          <cell r="B185" t="str">
            <v>ja</v>
          </cell>
          <cell r="C185" t="str">
            <v>フィーバー強化</v>
          </cell>
          <cell r="D185" t="str">
            <v>フィーバー時自身の攻撃力、回復力を特大UP</v>
          </cell>
        </row>
        <row r="186">
          <cell r="A186">
            <v>1900</v>
          </cell>
          <cell r="B186" t="str">
            <v>ja</v>
          </cell>
          <cell r="C186" t="str">
            <v>ハート出現率UP</v>
          </cell>
          <cell r="D186" t="str">
            <v>自身が先頭の時、ハートパネルの出現率UP</v>
          </cell>
        </row>
        <row r="187">
          <cell r="A187">
            <v>2000</v>
          </cell>
          <cell r="B187" t="str">
            <v>ja</v>
          </cell>
          <cell r="C187" t="str">
            <v>赤パネル出現率UP</v>
          </cell>
          <cell r="D187" t="str">
            <v>自身が先頭の時、赤パネルの出現率UP</v>
          </cell>
        </row>
        <row r="188">
          <cell r="A188">
            <v>2100</v>
          </cell>
          <cell r="B188" t="str">
            <v>ja</v>
          </cell>
          <cell r="C188" t="str">
            <v>緑パネル出現率UP</v>
          </cell>
          <cell r="D188" t="str">
            <v>自身が先頭の時、緑パネルの出現率UP</v>
          </cell>
        </row>
        <row r="189">
          <cell r="A189">
            <v>2200</v>
          </cell>
          <cell r="B189" t="str">
            <v>ja</v>
          </cell>
          <cell r="C189" t="str">
            <v>青パネル出現率UP</v>
          </cell>
          <cell r="D189" t="str">
            <v>自身が先頭の時、青パネルの出現率UP</v>
          </cell>
        </row>
        <row r="190">
          <cell r="A190">
            <v>2201</v>
          </cell>
          <cell r="B190" t="str">
            <v>ja</v>
          </cell>
          <cell r="C190" t="str">
            <v>青パネル出現率UP</v>
          </cell>
          <cell r="D190" t="str">
            <v>自身が先頭の時、青パネルの出現率UP</v>
          </cell>
        </row>
        <row r="191">
          <cell r="A191">
            <v>2300</v>
          </cell>
          <cell r="B191" t="str">
            <v>ja</v>
          </cell>
          <cell r="C191" t="str">
            <v>黄パネル出現率UP</v>
          </cell>
          <cell r="D191" t="str">
            <v>自身が先頭の時、黄パネルの出現率UP</v>
          </cell>
        </row>
        <row r="192">
          <cell r="A192">
            <v>2400</v>
          </cell>
          <cell r="B192" t="str">
            <v>ja</v>
          </cell>
          <cell r="C192" t="str">
            <v>ハートボムパネルドロップ</v>
          </cell>
          <cell r="D192" t="str">
            <v>自身が先頭の時、ハートパネルを確率でハートボムパネルに変換しドロップ</v>
          </cell>
        </row>
        <row r="193">
          <cell r="A193">
            <v>2401</v>
          </cell>
          <cell r="B193" t="str">
            <v>ja</v>
          </cell>
          <cell r="C193" t="str">
            <v>赤ボムパネルドロップ</v>
          </cell>
          <cell r="D193" t="str">
            <v>自身が先頭の時、赤パネルを低確率で赤ボムパネルに変換しドロップ</v>
          </cell>
        </row>
        <row r="194">
          <cell r="A194">
            <v>2402</v>
          </cell>
          <cell r="B194" t="str">
            <v>ja</v>
          </cell>
          <cell r="C194" t="str">
            <v>緑ボムパネルドロップ</v>
          </cell>
          <cell r="D194" t="str">
            <v>自身が先頭の時、緑パネルを低確率で緑ボムパネルに変換しドロップ</v>
          </cell>
        </row>
        <row r="195">
          <cell r="A195">
            <v>2403</v>
          </cell>
          <cell r="B195" t="str">
            <v>ja</v>
          </cell>
          <cell r="C195" t="str">
            <v>青ボムパネルドロップ</v>
          </cell>
          <cell r="D195" t="str">
            <v>自身が先頭の時、青パネルを確率で青ボムパネルに変換しドロップ</v>
          </cell>
        </row>
        <row r="196">
          <cell r="A196">
            <v>2500</v>
          </cell>
          <cell r="B196" t="str">
            <v>ja</v>
          </cell>
          <cell r="C196" t="str">
            <v>青パネルドロップ</v>
          </cell>
          <cell r="D196" t="str">
            <v>自身が先頭の時、緑パネルを確率で青パネルに変換しドロップ</v>
          </cell>
        </row>
        <row r="197">
          <cell r="A197">
            <v>2501</v>
          </cell>
          <cell r="B197" t="str">
            <v>ja</v>
          </cell>
          <cell r="C197" t="str">
            <v>黄パネルドロップ</v>
          </cell>
          <cell r="D197" t="str">
            <v>自身が先頭の時、青パネルを確率で黄パネルに変換しドロップ</v>
          </cell>
        </row>
        <row r="198">
          <cell r="A198">
            <v>2502</v>
          </cell>
          <cell r="B198" t="str">
            <v>ja</v>
          </cell>
          <cell r="C198" t="str">
            <v>赤パネルドロップ</v>
          </cell>
          <cell r="D198" t="str">
            <v>自身が先頭の時、黄パネルを確率で赤パネルに変換しドロップ</v>
          </cell>
        </row>
        <row r="199">
          <cell r="A199">
            <v>2503</v>
          </cell>
          <cell r="B199" t="str">
            <v>ja</v>
          </cell>
          <cell r="C199" t="str">
            <v>黄パネルドロップ</v>
          </cell>
          <cell r="D199" t="str">
            <v>自身が先頭の時、赤パネルを確率で黄パネルに変換しドロップ</v>
          </cell>
        </row>
        <row r="200">
          <cell r="A200">
            <v>2504</v>
          </cell>
          <cell r="B200" t="str">
            <v>ja</v>
          </cell>
          <cell r="C200" t="str">
            <v>SCパネルドロップ</v>
          </cell>
          <cell r="D200" t="str">
            <v>自身が先頭の時、緑パネルを確率でSCパネルに変換しドロップ</v>
          </cell>
        </row>
        <row r="201">
          <cell r="A201">
            <v>2505</v>
          </cell>
          <cell r="B201" t="str">
            <v>ja</v>
          </cell>
          <cell r="C201" t="str">
            <v>緑ボムパネル(大)ドロップ</v>
          </cell>
          <cell r="D201" t="str">
            <v>自身が先頭の時、低確率で緑ボムパネル(大)をドロップ</v>
          </cell>
        </row>
        <row r="202">
          <cell r="A202">
            <v>2506</v>
          </cell>
          <cell r="B202" t="str">
            <v>ja</v>
          </cell>
          <cell r="C202" t="str">
            <v>ハートボムパネル(大)ドロップ</v>
          </cell>
          <cell r="D202" t="str">
            <v>自身が先頭の時、低確率でハートボムパネル(大)をドロップ</v>
          </cell>
        </row>
        <row r="203">
          <cell r="A203">
            <v>2507</v>
          </cell>
          <cell r="B203" t="str">
            <v>ja</v>
          </cell>
          <cell r="C203" t="str">
            <v>Cパネルドロップ</v>
          </cell>
          <cell r="D203" t="str">
            <v>自身が先頭の時、低確率でCパネルをドロップ</v>
          </cell>
        </row>
        <row r="204">
          <cell r="A204">
            <v>2508</v>
          </cell>
          <cell r="B204" t="str">
            <v>ja</v>
          </cell>
          <cell r="C204" t="str">
            <v>黄パネルドロップ</v>
          </cell>
          <cell r="D204" t="str">
            <v>自身が先頭の時、緑パネルを確率で黄パネルに変換しドロップ</v>
          </cell>
        </row>
        <row r="205">
          <cell r="A205">
            <v>2509</v>
          </cell>
          <cell r="B205" t="str">
            <v>ja</v>
          </cell>
          <cell r="C205" t="str">
            <v>赤ボムパネル(大)ドロップ</v>
          </cell>
          <cell r="D205" t="str">
            <v>自身が先頭の時、低確率で赤ボムパネル(大)をドロップ</v>
          </cell>
        </row>
        <row r="206">
          <cell r="A206">
            <v>2600</v>
          </cell>
          <cell r="B206" t="str">
            <v>ja</v>
          </cell>
          <cell r="C206" t="str">
            <v>回復力400UP</v>
          </cell>
          <cell r="D206" t="str">
            <v>自身の回復力を400UP</v>
          </cell>
        </row>
        <row r="207">
          <cell r="A207">
            <v>2601</v>
          </cell>
          <cell r="B207" t="str">
            <v>ja</v>
          </cell>
          <cell r="C207" t="str">
            <v>回復力300UP</v>
          </cell>
          <cell r="D207" t="str">
            <v>自身の回復力を300UP</v>
          </cell>
        </row>
        <row r="208">
          <cell r="A208">
            <v>2700</v>
          </cell>
          <cell r="B208" t="str">
            <v>ja</v>
          </cell>
          <cell r="C208" t="str">
            <v>攻撃力UP</v>
          </cell>
          <cell r="D208" t="str">
            <v>自身の攻撃力を300UP</v>
          </cell>
        </row>
        <row r="209">
          <cell r="A209">
            <v>2701</v>
          </cell>
          <cell r="B209" t="str">
            <v>ja</v>
          </cell>
          <cell r="C209" t="str">
            <v>攻撃力UP</v>
          </cell>
          <cell r="D209" t="str">
            <v>自身の攻撃力を500UP</v>
          </cell>
        </row>
        <row r="210">
          <cell r="A210">
            <v>2800</v>
          </cell>
          <cell r="B210" t="str">
            <v>ja</v>
          </cell>
          <cell r="C210" t="str">
            <v>防御力UP</v>
          </cell>
          <cell r="D210" t="str">
            <v>自身の防御力を250UP</v>
          </cell>
        </row>
        <row r="211">
          <cell r="A211">
            <v>2801</v>
          </cell>
          <cell r="B211" t="str">
            <v>ja</v>
          </cell>
          <cell r="C211" t="str">
            <v>防御力UP</v>
          </cell>
          <cell r="D211" t="str">
            <v>自身の防御力を350UP</v>
          </cell>
        </row>
        <row r="212">
          <cell r="A212">
            <v>2802</v>
          </cell>
          <cell r="B212" t="str">
            <v>ja</v>
          </cell>
          <cell r="C212" t="str">
            <v>防御力UP</v>
          </cell>
          <cell r="D212" t="str">
            <v>自身の防御力を300UP</v>
          </cell>
        </row>
        <row r="213">
          <cell r="A213">
            <v>2803</v>
          </cell>
          <cell r="B213" t="str">
            <v>ja</v>
          </cell>
          <cell r="C213" t="str">
            <v>防御力UP</v>
          </cell>
          <cell r="D213" t="str">
            <v>自身の防御力を400UP</v>
          </cell>
        </row>
        <row r="214">
          <cell r="A214">
            <v>2804</v>
          </cell>
          <cell r="B214" t="str">
            <v>ja</v>
          </cell>
          <cell r="C214" t="str">
            <v>防御力UP</v>
          </cell>
          <cell r="D214" t="str">
            <v>自身の防御力を280UP</v>
          </cell>
        </row>
        <row r="215">
          <cell r="A215">
            <v>2900</v>
          </cell>
          <cell r="B215" t="str">
            <v>ja</v>
          </cell>
          <cell r="C215" t="str">
            <v>フィーバー50 攻撃力小UP</v>
          </cell>
          <cell r="D215" t="str">
            <v>フィーバーゲージが50％以上の時、自身の攻撃力小UP</v>
          </cell>
        </row>
        <row r="216">
          <cell r="A216">
            <v>2901</v>
          </cell>
          <cell r="B216" t="str">
            <v>ja</v>
          </cell>
          <cell r="C216" t="str">
            <v>フィーバー40 攻撃力UP</v>
          </cell>
          <cell r="D216" t="str">
            <v>フィーバーゲージが40％以上の時、自身の攻撃力UP</v>
          </cell>
        </row>
        <row r="217">
          <cell r="A217">
            <v>2902</v>
          </cell>
          <cell r="B217" t="str">
            <v>ja</v>
          </cell>
          <cell r="C217" t="str">
            <v>フィーバー80 攻撃力大UP</v>
          </cell>
          <cell r="D217" t="str">
            <v>フィーバーゲージが80％以上の時、自身の攻撃力大UP</v>
          </cell>
        </row>
        <row r="218">
          <cell r="A218">
            <v>3000</v>
          </cell>
          <cell r="B218" t="str">
            <v>ja</v>
          </cell>
          <cell r="C218" t="str">
            <v>攻撃参加</v>
          </cell>
          <cell r="D218" t="str">
            <v>最初の1ターン目と、その後7ターン毎に自身が先頭以外でも通常攻撃に参加する</v>
          </cell>
        </row>
        <row r="219">
          <cell r="A219">
            <v>3001</v>
          </cell>
          <cell r="B219" t="str">
            <v>ja</v>
          </cell>
          <cell r="C219" t="str">
            <v>攻撃参加</v>
          </cell>
          <cell r="D219" t="str">
            <v>最初の1ターン目と、その後6ターン毎に自身が先頭以外でも通常攻撃に参加する</v>
          </cell>
        </row>
        <row r="220">
          <cell r="A220">
            <v>3002</v>
          </cell>
          <cell r="B220" t="str">
            <v>ja</v>
          </cell>
          <cell r="C220" t="str">
            <v>攻撃参加</v>
          </cell>
          <cell r="D220" t="str">
            <v>最初の1ターン目と、その後9ターン毎に自身が先頭以外でも通常攻撃に参加する</v>
          </cell>
        </row>
        <row r="221">
          <cell r="A221">
            <v>3100</v>
          </cell>
          <cell r="B221" t="str">
            <v>ja</v>
          </cell>
          <cell r="C221" t="str">
            <v>ボスフロア Cパネル生成短縮(特大)</v>
          </cell>
          <cell r="D221" t="str">
            <v>ボスフロア内で自身が先頭の時、Cパネル生成に必要なチェイン数を短縮する</v>
          </cell>
        </row>
        <row r="222">
          <cell r="A222">
            <v>3101</v>
          </cell>
          <cell r="B222" t="str">
            <v>ja</v>
          </cell>
          <cell r="C222" t="str">
            <v>ボスフロア時 バリア8000</v>
          </cell>
          <cell r="D222" t="str">
            <v>ボスフロアの1ターン目終了時に自身への直接ダメージを8000まで防ぐバリアを一度だけ展開(バリアは破壊されると復活しない)</v>
          </cell>
        </row>
        <row r="223">
          <cell r="A223">
            <v>3102</v>
          </cell>
          <cell r="B223" t="str">
            <v>ja</v>
          </cell>
          <cell r="C223" t="str">
            <v>ボスフロア時 Cスキル威力UP</v>
          </cell>
          <cell r="D223" t="str">
            <v>ボスフロアの1ターン目終了時に自身のCスキルの威力をUP</v>
          </cell>
        </row>
        <row r="224">
          <cell r="A224">
            <v>3103</v>
          </cell>
          <cell r="B224" t="str">
            <v>ja</v>
          </cell>
          <cell r="C224" t="str">
            <v>ボスフロア 攻撃力UP</v>
          </cell>
          <cell r="D224" t="str">
            <v>ボスフロア内で自身の攻撃力を700UP</v>
          </cell>
        </row>
        <row r="225">
          <cell r="A225">
            <v>3200</v>
          </cell>
          <cell r="B225" t="str">
            <v>ja</v>
          </cell>
          <cell r="C225" t="str">
            <v>HP33%以下 攻撃力UP</v>
          </cell>
          <cell r="D225" t="str">
            <v>自身が先頭の時、残りHPが33%以下で攻撃力特大UP</v>
          </cell>
        </row>
        <row r="226">
          <cell r="A226">
            <v>3201</v>
          </cell>
          <cell r="B226" t="str">
            <v>ja</v>
          </cell>
          <cell r="C226" t="str">
            <v>HP35%以下 回復力UP</v>
          </cell>
          <cell r="D226" t="str">
            <v>自身が先頭の時、残りHPが35%以下で回復力40%UP</v>
          </cell>
        </row>
        <row r="227">
          <cell r="A227">
            <v>3202</v>
          </cell>
          <cell r="B227" t="str">
            <v>ja</v>
          </cell>
          <cell r="C227" t="str">
            <v>HP90%以上 全属性耐性15</v>
          </cell>
          <cell r="D227" t="str">
            <v>自身が先頭の時、残りHPが90%以上で全ユニットに対する全属性の敵からの攻撃を15％軽減</v>
          </cell>
        </row>
        <row r="228">
          <cell r="A228">
            <v>3203</v>
          </cell>
          <cell r="B228" t="str">
            <v>ja</v>
          </cell>
          <cell r="C228" t="str">
            <v>HP50%以下 防御力UP</v>
          </cell>
          <cell r="D228" t="str">
            <v>自身が先頭の時、残りHPが50%以下で防御力398UP</v>
          </cell>
        </row>
        <row r="229">
          <cell r="A229">
            <v>3204</v>
          </cell>
          <cell r="B229" t="str">
            <v>ja</v>
          </cell>
          <cell r="C229" t="str">
            <v>HP30%以下 攻撃力大UP</v>
          </cell>
          <cell r="D229" t="str">
            <v>自身が先頭の時、残りHPが30%以下で攻撃力大UP</v>
          </cell>
        </row>
        <row r="230">
          <cell r="A230">
            <v>3205</v>
          </cell>
          <cell r="B230" t="str">
            <v>ja</v>
          </cell>
          <cell r="C230" t="str">
            <v>HP90%以上 ダメージ軽減</v>
          </cell>
          <cell r="D230" t="str">
            <v>自身が先頭の時、残りHPが90%以上で敵からのダメージを15％軽減</v>
          </cell>
        </row>
        <row r="231">
          <cell r="A231">
            <v>4000</v>
          </cell>
          <cell r="B231" t="str">
            <v>ja</v>
          </cell>
          <cell r="C231" t="str">
            <v>被ダメージ時 HP回復</v>
          </cell>
          <cell r="D231" t="str">
            <v>自身が攻撃を受けた場合、次のターンの開始時にHP500回復する</v>
          </cell>
        </row>
        <row r="232">
          <cell r="A232">
            <v>9000</v>
          </cell>
          <cell r="B232" t="str">
            <v>ja</v>
          </cell>
          <cell r="C232" t="str">
            <v>ハップルチャレンジ ダメージUP</v>
          </cell>
          <cell r="D232" t="str">
            <v>ハップルチャレンジ内で自身の全ての攻撃の威力をUP</v>
          </cell>
        </row>
        <row r="233">
          <cell r="A233">
            <v>9001</v>
          </cell>
          <cell r="B233" t="str">
            <v>ja</v>
          </cell>
          <cell r="C233" t="str">
            <v>クロネッカーチャレンジ ダメージUP</v>
          </cell>
          <cell r="D233" t="str">
            <v>クロネッカーチャレンジ内で自身の全ての攻撃の威力をUP</v>
          </cell>
        </row>
        <row r="234">
          <cell r="A234">
            <v>9002</v>
          </cell>
          <cell r="B234" t="str">
            <v>ja</v>
          </cell>
          <cell r="C234" t="str">
            <v>クロネッカーチャレンジ ダメージUP</v>
          </cell>
          <cell r="D234" t="str">
            <v>クロネッカーチャレンジ内で自身の全ての攻撃+カウンターの威力をUP</v>
          </cell>
        </row>
        <row r="235">
          <cell r="A235">
            <v>119402</v>
          </cell>
          <cell r="B235" t="str">
            <v>ja</v>
          </cell>
          <cell r="C235" t="str">
            <v>ハロウィンナイトパニック！ 威力UP</v>
          </cell>
          <cell r="D235" t="str">
            <v>ハロウィンナイトパニック！内で自身の全ての攻撃の威力を究極UP</v>
          </cell>
        </row>
        <row r="236">
          <cell r="A236">
            <v>500801</v>
          </cell>
          <cell r="B236" t="str">
            <v>ja</v>
          </cell>
          <cell r="C236" t="str">
            <v>パネルブレイク35 攻撃力小UP</v>
          </cell>
          <cell r="D236" t="str">
            <v>自身が先頭の時、1ターンの間に合計35個以上パネルを破壊した場合に攻撃力小UP</v>
          </cell>
        </row>
        <row r="237">
          <cell r="A237">
            <v>808082</v>
          </cell>
          <cell r="B237" t="str">
            <v>ja</v>
          </cell>
          <cell r="C237" t="str">
            <v>Cパネルドロップ</v>
          </cell>
          <cell r="D237" t="str">
            <v>自身が先頭の時、低確率でCパネルをドロップ</v>
          </cell>
        </row>
        <row r="238">
          <cell r="A238">
            <v>900000</v>
          </cell>
          <cell r="B238" t="str">
            <v>ja</v>
          </cell>
          <cell r="C238" t="str">
            <v>フィーバー100 プロテクトブレイク</v>
          </cell>
          <cell r="D238" t="str">
            <v>フィーバーゲージが100％以上の時、1ターンプロテクトブレイク</v>
          </cell>
        </row>
        <row r="239">
          <cell r="A239">
            <v>900001</v>
          </cell>
          <cell r="B239" t="str">
            <v>ja</v>
          </cell>
          <cell r="C239" t="str">
            <v>フィーバー100 お邪魔ブレイク</v>
          </cell>
          <cell r="D239" t="str">
            <v>フィーバーゲージが100％以上の時、1ターンお邪魔ブレイク</v>
          </cell>
        </row>
        <row r="240">
          <cell r="A240">
            <v>900402</v>
          </cell>
          <cell r="B240" t="str">
            <v>ja</v>
          </cell>
          <cell r="C240" t="str">
            <v>バリア3500</v>
          </cell>
          <cell r="D240" t="str">
            <v>戦闘開始時に、自身への直接ダメージを3500まで防ぐバリアを一度だけ展開(バリアは破壊されると復活しない)</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119402</v>
          </cell>
          <cell r="B316" t="str">
            <v>ja</v>
          </cell>
          <cell r="C316" t="str">
            <v>ハロウィンナイトパニック！ 威力UP</v>
          </cell>
          <cell r="D316" t="str">
            <v>ハロウィンナイトパニック！内で自身の全ての攻撃の威力を究極UP</v>
          </cell>
        </row>
        <row r="317">
          <cell r="A317">
            <v>500801</v>
          </cell>
          <cell r="B317" t="str">
            <v>ja</v>
          </cell>
          <cell r="C317" t="str">
            <v>パネルブレイク35 攻撃力小UP</v>
          </cell>
          <cell r="D317" t="str">
            <v>自身が先頭の時、1ターンの間に合計35個以上パネルを破壊した場合に攻撃力小UP</v>
          </cell>
        </row>
        <row r="318">
          <cell r="A318">
            <v>808082</v>
          </cell>
          <cell r="B318" t="str">
            <v>ja</v>
          </cell>
          <cell r="C318" t="str">
            <v>Cパネルドロップ</v>
          </cell>
          <cell r="D318" t="str">
            <v>自身が先頭の時、低確率でCパネルをドロップ</v>
          </cell>
        </row>
        <row r="319">
          <cell r="A319">
            <v>900000</v>
          </cell>
          <cell r="B319" t="str">
            <v>ja</v>
          </cell>
          <cell r="C319" t="str">
            <v>フィーバー100 プロテクトブレイク</v>
          </cell>
          <cell r="D319" t="str">
            <v>フィーバーゲージが100％以上の時、1ターンプロテクトブレイク</v>
          </cell>
        </row>
        <row r="320">
          <cell r="A320">
            <v>900001</v>
          </cell>
          <cell r="B320" t="str">
            <v>ja</v>
          </cell>
          <cell r="C320" t="str">
            <v>フィーバー100 お邪魔ブレイク</v>
          </cell>
          <cell r="D320" t="str">
            <v>フィーバーゲージが100％以上の時、1ターンお邪魔ブレイク</v>
          </cell>
        </row>
        <row r="321">
          <cell r="A321">
            <v>900402</v>
          </cell>
          <cell r="B321" t="str">
            <v>ja</v>
          </cell>
          <cell r="C321" t="str">
            <v>バリア3500</v>
          </cell>
          <cell r="D321" t="str">
            <v>戦闘開始時に、自身への直接ダメージを3500まで防ぐバリアを一度だけ展開(バリアは破壊されると復活しない)</v>
          </cell>
        </row>
        <row r="322">
          <cell r="A322">
            <v>810202</v>
          </cell>
          <cell r="B322" t="str">
            <v>ja</v>
          </cell>
          <cell r="C322" t="str">
            <v>パネルブレイク50 ダメージ軽減</v>
          </cell>
          <cell r="D322" t="str">
            <v>自身が先頭の時、1ターンの間に合計50個以上パネルを破壊した場合敵からのダメージを15%軽減（1ターンに1度だけ発動）</v>
          </cell>
        </row>
        <row r="323">
          <cell r="A323">
            <v>811802</v>
          </cell>
          <cell r="B323" t="str">
            <v>ja</v>
          </cell>
          <cell r="C323" t="str">
            <v>ターン攻撃力UP</v>
          </cell>
          <cell r="D323" t="str">
            <v>最初の1ターン目と、その後6ターン毎に1ターン種族ドラゴン・ファンタジー・アニマルの攻撃力1000UP</v>
          </cell>
        </row>
        <row r="324">
          <cell r="A324">
            <v>812002</v>
          </cell>
          <cell r="B324" t="str">
            <v>ja</v>
          </cell>
          <cell r="C324" t="str">
            <v>ターンタップ増加</v>
          </cell>
          <cell r="D324" t="str">
            <v>最初の1ターン目と、その後6ターン毎に1ターン種族ドラゴン・ファンタジー・アニマルのタップ数1増加</v>
          </cell>
        </row>
        <row r="325">
          <cell r="A325">
            <v>811803</v>
          </cell>
          <cell r="B325" t="str">
            <v>ja</v>
          </cell>
          <cell r="C325" t="str">
            <v>端午クエスト ダメージUP</v>
          </cell>
          <cell r="D325" t="str">
            <v>端午クエスト内で自身の全ての攻撃の威力をUP</v>
          </cell>
        </row>
        <row r="326">
          <cell r="A326">
            <v>900802</v>
          </cell>
          <cell r="B326" t="str">
            <v>ja</v>
          </cell>
          <cell r="C326" t="str">
            <v>ターン攻撃力UP</v>
          </cell>
          <cell r="D326" t="str">
            <v>最初の1ターン目と、その後7ターン毎に1ターン赤属性の攻撃力777UP</v>
          </cell>
        </row>
        <row r="327">
          <cell r="A327">
            <v>810202</v>
          </cell>
          <cell r="B327" t="str">
            <v>ja</v>
          </cell>
          <cell r="C327" t="str">
            <v>パネルブレイク50 ダメージ軽減</v>
          </cell>
          <cell r="D327" t="str">
            <v>自身が先頭の時、1ターンの間に合計50個以上パネルを破壊した場合敵からのダメージを15%軽減（1ターンに1度だけ発動）</v>
          </cell>
        </row>
        <row r="328">
          <cell r="A328">
            <v>811802</v>
          </cell>
          <cell r="B328" t="str">
            <v>ja</v>
          </cell>
          <cell r="C328" t="str">
            <v>ターン攻撃力UP</v>
          </cell>
          <cell r="D328" t="str">
            <v>最初の1ターン目と、その後6ターン毎に1ターン種族ドラゴン・ファンタジー・アニマルの攻撃力1000UP</v>
          </cell>
        </row>
        <row r="329">
          <cell r="A329">
            <v>812002</v>
          </cell>
          <cell r="B329" t="str">
            <v>ja</v>
          </cell>
          <cell r="C329" t="str">
            <v>ターンタップ増加</v>
          </cell>
          <cell r="D329" t="str">
            <v>最初の1ターン目と、その後6ターン毎に1ターン種族ドラゴン・ファンタジー・アニマルのタップ数1増加</v>
          </cell>
        </row>
        <row r="330">
          <cell r="A330">
            <v>811803</v>
          </cell>
          <cell r="B330" t="str">
            <v>ja</v>
          </cell>
          <cell r="C330" t="str">
            <v>端午クエスト ダメージUP</v>
          </cell>
          <cell r="D330" t="str">
            <v>端午クエスト内で自身の全ての攻撃の威力をUP</v>
          </cell>
        </row>
        <row r="331">
          <cell r="A331">
            <v>900802</v>
          </cell>
          <cell r="B331" t="str">
            <v>ja</v>
          </cell>
          <cell r="C331" t="str">
            <v>ターン攻撃力UP</v>
          </cell>
          <cell r="D331"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K14" sqref="K14"/>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4" t="s">
        <v>121</v>
      </c>
      <c r="B1" s="104" t="s">
        <v>112</v>
      </c>
      <c r="C1" s="104" t="s">
        <v>113</v>
      </c>
      <c r="D1" s="104" t="s">
        <v>114</v>
      </c>
      <c r="E1" s="104" t="s">
        <v>115</v>
      </c>
      <c r="F1" s="104" t="s">
        <v>116</v>
      </c>
      <c r="G1" s="104" t="s">
        <v>117</v>
      </c>
      <c r="H1" s="104"/>
      <c r="I1" s="104"/>
      <c r="J1" s="104"/>
      <c r="K1" s="104"/>
      <c r="L1" s="105"/>
      <c r="M1" s="105"/>
      <c r="N1" s="105"/>
      <c r="O1" s="105"/>
      <c r="P1" s="105"/>
      <c r="Q1" s="105"/>
      <c r="R1" s="105"/>
      <c r="S1" s="105"/>
      <c r="T1" s="105"/>
      <c r="U1" s="105"/>
      <c r="V1" s="105"/>
      <c r="W1" s="105"/>
    </row>
    <row r="2" spans="1:29" x14ac:dyDescent="0.15">
      <c r="A2" s="106" t="s">
        <v>249</v>
      </c>
      <c r="B2" s="106" t="s">
        <v>124</v>
      </c>
      <c r="C2" s="162" t="s">
        <v>246</v>
      </c>
      <c r="D2" s="106" t="s">
        <v>123</v>
      </c>
      <c r="E2" s="105" t="str">
        <f>B2&amp;C2&amp;D2</f>
        <v>units_titan01.tmp</v>
      </c>
      <c r="F2" s="106" t="s">
        <v>120</v>
      </c>
      <c r="G2" s="60" t="s">
        <v>17</v>
      </c>
      <c r="H2" s="61" t="s">
        <v>93</v>
      </c>
      <c r="I2" s="61" t="s">
        <v>1</v>
      </c>
      <c r="J2" s="61" t="s">
        <v>3</v>
      </c>
      <c r="K2" s="61" t="s">
        <v>2</v>
      </c>
      <c r="L2" s="61" t="s">
        <v>95</v>
      </c>
      <c r="M2" s="61" t="s">
        <v>20</v>
      </c>
      <c r="N2" s="61" t="s">
        <v>99</v>
      </c>
      <c r="O2" s="61" t="s">
        <v>97</v>
      </c>
      <c r="P2" s="61" t="s">
        <v>39</v>
      </c>
      <c r="Q2" s="61" t="s">
        <v>54</v>
      </c>
      <c r="R2" s="106" t="s">
        <v>517</v>
      </c>
      <c r="S2" s="106"/>
      <c r="T2" s="106"/>
      <c r="U2" s="106"/>
      <c r="V2" s="106"/>
      <c r="W2" s="106"/>
    </row>
    <row r="3" spans="1:29" x14ac:dyDescent="0.15">
      <c r="A3" s="106" t="s">
        <v>249</v>
      </c>
      <c r="B3" s="106" t="s">
        <v>323</v>
      </c>
      <c r="C3" s="162" t="s">
        <v>246</v>
      </c>
      <c r="D3" s="106" t="s">
        <v>123</v>
      </c>
      <c r="E3" s="105" t="str">
        <f>B3&amp;C3&amp;D3</f>
        <v>fork_awake_units_titan01.tmp</v>
      </c>
      <c r="F3" s="106" t="s">
        <v>324</v>
      </c>
      <c r="G3" s="200" t="s">
        <v>133</v>
      </c>
      <c r="H3" s="201" t="s">
        <v>325</v>
      </c>
      <c r="I3" s="201" t="s">
        <v>326</v>
      </c>
      <c r="J3" s="110" t="s">
        <v>327</v>
      </c>
      <c r="K3" s="202"/>
      <c r="L3" s="109"/>
      <c r="M3" s="109"/>
      <c r="N3" s="109"/>
      <c r="O3" s="109"/>
      <c r="P3" s="109"/>
      <c r="Q3" s="109"/>
      <c r="R3" s="109"/>
      <c r="S3" s="109"/>
      <c r="T3" s="109"/>
      <c r="U3" s="109"/>
      <c r="V3" s="109"/>
      <c r="W3" s="109"/>
    </row>
    <row r="4" spans="1:29" x14ac:dyDescent="0.15">
      <c r="A4" s="106" t="s">
        <v>249</v>
      </c>
      <c r="B4" s="106" t="s">
        <v>125</v>
      </c>
      <c r="C4" s="162" t="s">
        <v>246</v>
      </c>
      <c r="D4" s="106" t="s">
        <v>123</v>
      </c>
      <c r="E4" s="105" t="str">
        <f>B4&amp;C4&amp;D4</f>
        <v>awake_materials_titan01.tmp</v>
      </c>
      <c r="F4" s="106" t="s">
        <v>119</v>
      </c>
      <c r="G4" s="107" t="s">
        <v>38</v>
      </c>
      <c r="H4" s="108" t="s">
        <v>36</v>
      </c>
      <c r="I4" s="108" t="s">
        <v>37</v>
      </c>
      <c r="J4" s="110" t="s">
        <v>122</v>
      </c>
      <c r="K4" s="109"/>
      <c r="L4" s="109"/>
      <c r="M4" s="109"/>
      <c r="N4" s="109"/>
      <c r="O4" s="109"/>
      <c r="P4" s="109"/>
      <c r="Q4" s="109"/>
      <c r="R4" s="109"/>
      <c r="S4" s="109"/>
      <c r="T4" s="109"/>
      <c r="U4" s="109"/>
      <c r="V4" s="109"/>
      <c r="W4" s="109"/>
    </row>
    <row r="5" spans="1:29" x14ac:dyDescent="0.15">
      <c r="A5" s="106" t="s">
        <v>249</v>
      </c>
      <c r="B5" s="106" t="s">
        <v>328</v>
      </c>
      <c r="C5" s="162" t="s">
        <v>246</v>
      </c>
      <c r="D5" s="106" t="s">
        <v>123</v>
      </c>
      <c r="E5" s="105" t="str">
        <f>B5&amp;C5&amp;D5</f>
        <v>fork_awake_materials_titan01.tmp</v>
      </c>
      <c r="F5" s="106" t="s">
        <v>119</v>
      </c>
      <c r="G5" s="200" t="s">
        <v>312</v>
      </c>
      <c r="H5" s="201" t="s">
        <v>325</v>
      </c>
      <c r="I5" s="201" t="s">
        <v>329</v>
      </c>
      <c r="J5" s="201" t="s">
        <v>37</v>
      </c>
      <c r="K5" s="110" t="s">
        <v>330</v>
      </c>
      <c r="L5" s="110" t="s">
        <v>331</v>
      </c>
      <c r="M5" s="109"/>
      <c r="N5" s="109"/>
      <c r="O5" s="109"/>
      <c r="P5" s="109"/>
      <c r="Q5" s="109"/>
      <c r="R5" s="109"/>
      <c r="S5" s="109"/>
      <c r="T5" s="109"/>
      <c r="U5" s="109"/>
      <c r="V5" s="109"/>
      <c r="W5" s="109"/>
    </row>
    <row r="6" spans="1:29" x14ac:dyDescent="0.15">
      <c r="A6" s="106" t="s">
        <v>249</v>
      </c>
      <c r="B6" s="106" t="s">
        <v>126</v>
      </c>
      <c r="C6" s="162" t="s">
        <v>246</v>
      </c>
      <c r="D6" s="106" t="s">
        <v>127</v>
      </c>
      <c r="E6" s="105" t="str">
        <f t="shared" ref="E6" si="0">B6&amp;C6&amp;D6</f>
        <v>unit_levels_calc_titan01.tmp</v>
      </c>
      <c r="F6" s="106" t="s">
        <v>118</v>
      </c>
      <c r="G6" s="56" t="s">
        <v>17</v>
      </c>
      <c r="H6" s="57" t="s">
        <v>2</v>
      </c>
      <c r="I6" s="58" t="s">
        <v>76</v>
      </c>
      <c r="J6" s="58" t="s">
        <v>77</v>
      </c>
      <c r="K6" s="58" t="s">
        <v>78</v>
      </c>
      <c r="L6" s="58" t="s">
        <v>79</v>
      </c>
      <c r="M6" s="58" t="s">
        <v>84</v>
      </c>
      <c r="N6" s="58" t="s">
        <v>85</v>
      </c>
      <c r="O6" s="58" t="s">
        <v>86</v>
      </c>
      <c r="P6" s="58" t="s">
        <v>87</v>
      </c>
      <c r="Q6" s="58" t="s">
        <v>88</v>
      </c>
      <c r="R6" s="58" t="s">
        <v>91</v>
      </c>
      <c r="S6" s="58" t="s">
        <v>89</v>
      </c>
      <c r="T6" s="58" t="s">
        <v>90</v>
      </c>
      <c r="U6" s="58" t="s">
        <v>80</v>
      </c>
      <c r="V6" s="58" t="s">
        <v>81</v>
      </c>
      <c r="W6" s="58" t="s">
        <v>82</v>
      </c>
    </row>
    <row r="7" spans="1:29" x14ac:dyDescent="0.15">
      <c r="A7" s="106" t="s">
        <v>249</v>
      </c>
      <c r="B7" s="106" t="s">
        <v>138</v>
      </c>
      <c r="C7" s="162" t="s">
        <v>246</v>
      </c>
      <c r="D7" s="106" t="s">
        <v>139</v>
      </c>
      <c r="E7" s="105" t="str">
        <f>B7&amp;C7&amp;D7</f>
        <v>unit_skills_data_titan01.tmp</v>
      </c>
      <c r="F7" s="106" t="s">
        <v>140</v>
      </c>
      <c r="G7" s="113" t="s">
        <v>20</v>
      </c>
      <c r="H7" s="113" t="s">
        <v>141</v>
      </c>
      <c r="I7" s="113" t="s">
        <v>2</v>
      </c>
      <c r="J7" s="113" t="s">
        <v>142</v>
      </c>
      <c r="K7" s="113" t="s">
        <v>143</v>
      </c>
      <c r="L7" s="113" t="s">
        <v>4</v>
      </c>
      <c r="M7" s="58"/>
      <c r="N7" s="58"/>
      <c r="O7" s="58"/>
      <c r="P7" s="58"/>
      <c r="Q7" s="58"/>
      <c r="R7" s="58"/>
      <c r="S7" s="58"/>
      <c r="T7" s="58"/>
      <c r="U7" s="58"/>
      <c r="V7" s="58"/>
      <c r="W7" s="58"/>
    </row>
    <row r="8" spans="1:29" x14ac:dyDescent="0.15">
      <c r="A8" s="106" t="s">
        <v>249</v>
      </c>
      <c r="B8" s="106" t="s">
        <v>144</v>
      </c>
      <c r="C8" s="162" t="s">
        <v>246</v>
      </c>
      <c r="D8" s="106" t="s">
        <v>123</v>
      </c>
      <c r="E8" s="105" t="str">
        <f>B8&amp;C8&amp;D8</f>
        <v>unit_skills_i18n_titan01.tmp</v>
      </c>
      <c r="F8" s="106" t="s">
        <v>140</v>
      </c>
      <c r="G8" s="113" t="s">
        <v>145</v>
      </c>
      <c r="H8" s="113" t="s">
        <v>129</v>
      </c>
      <c r="I8" s="113" t="s">
        <v>146</v>
      </c>
      <c r="J8" s="113" t="s">
        <v>147</v>
      </c>
      <c r="K8" s="109"/>
      <c r="L8" s="109"/>
      <c r="M8" s="58"/>
      <c r="N8" s="58"/>
      <c r="O8" s="58"/>
      <c r="P8" s="58"/>
      <c r="Q8" s="58"/>
      <c r="R8" s="58"/>
      <c r="S8" s="58"/>
      <c r="T8" s="58"/>
      <c r="U8" s="58"/>
      <c r="V8" s="58"/>
      <c r="W8" s="58"/>
    </row>
    <row r="9" spans="1:29" x14ac:dyDescent="0.15">
      <c r="A9" s="106" t="s">
        <v>249</v>
      </c>
      <c r="B9" s="106" t="s">
        <v>148</v>
      </c>
      <c r="C9" s="162" t="s">
        <v>246</v>
      </c>
      <c r="D9" s="106" t="s">
        <v>149</v>
      </c>
      <c r="E9" s="105" t="str">
        <f>B9&amp;C9&amp;D9</f>
        <v>crash_skills_data_titan01.tmp</v>
      </c>
      <c r="F9" s="106" t="s">
        <v>150</v>
      </c>
      <c r="G9" s="113" t="s">
        <v>151</v>
      </c>
      <c r="H9" s="113" t="s">
        <v>143</v>
      </c>
      <c r="I9" s="113" t="s">
        <v>4</v>
      </c>
      <c r="J9" s="109"/>
      <c r="K9" s="109"/>
      <c r="L9" s="109"/>
      <c r="M9" s="58"/>
      <c r="N9" s="58"/>
      <c r="O9" s="58"/>
      <c r="P9" s="58"/>
      <c r="Q9" s="58"/>
      <c r="R9" s="58"/>
      <c r="S9" s="58"/>
      <c r="T9" s="58"/>
      <c r="U9" s="58"/>
      <c r="V9" s="58"/>
      <c r="W9" s="58"/>
    </row>
    <row r="10" spans="1:29" x14ac:dyDescent="0.15">
      <c r="A10" s="106" t="s">
        <v>249</v>
      </c>
      <c r="B10" s="106" t="s">
        <v>152</v>
      </c>
      <c r="C10" s="162" t="s">
        <v>246</v>
      </c>
      <c r="D10" s="106" t="s">
        <v>153</v>
      </c>
      <c r="E10" s="105" t="str">
        <f t="shared" ref="E10" si="1">B10&amp;C10&amp;D10</f>
        <v>crash_skills_i18n_titan01.tmp</v>
      </c>
      <c r="F10" s="106" t="s">
        <v>150</v>
      </c>
      <c r="G10" s="113" t="s">
        <v>154</v>
      </c>
      <c r="H10" s="113" t="s">
        <v>155</v>
      </c>
      <c r="I10" s="113" t="s">
        <v>156</v>
      </c>
      <c r="J10" s="113" t="s">
        <v>157</v>
      </c>
      <c r="K10" s="114"/>
      <c r="L10" s="114"/>
      <c r="M10" s="58"/>
      <c r="N10" s="58"/>
      <c r="O10" s="58"/>
      <c r="P10" s="58"/>
      <c r="Q10" s="58"/>
      <c r="R10" s="58"/>
      <c r="S10" s="58"/>
      <c r="T10" s="58"/>
      <c r="U10" s="58"/>
      <c r="V10" s="58"/>
      <c r="W10" s="58"/>
    </row>
    <row r="11" spans="1:29" x14ac:dyDescent="0.15">
      <c r="A11" s="106" t="s">
        <v>249</v>
      </c>
      <c r="B11" s="109" t="s">
        <v>130</v>
      </c>
      <c r="C11" s="162" t="s">
        <v>246</v>
      </c>
      <c r="D11" s="106" t="s">
        <v>153</v>
      </c>
      <c r="E11" s="105" t="str">
        <f t="shared" ref="E11:E12" si="2">B11&amp;C11&amp;D11</f>
        <v>unit_serifs_data_titan01.tmp</v>
      </c>
      <c r="F11" s="109" t="s">
        <v>132</v>
      </c>
      <c r="G11" s="112" t="s">
        <v>133</v>
      </c>
      <c r="H11" s="113" t="s">
        <v>134</v>
      </c>
      <c r="I11" s="113" t="s">
        <v>128</v>
      </c>
      <c r="J11" s="111" t="s">
        <v>184</v>
      </c>
      <c r="K11" s="106"/>
      <c r="L11" s="106"/>
      <c r="M11" s="106"/>
      <c r="N11" s="106"/>
      <c r="O11" s="106"/>
      <c r="P11" s="106"/>
      <c r="Q11" s="106"/>
      <c r="R11" s="106"/>
      <c r="S11" s="106"/>
      <c r="T11" s="106"/>
      <c r="U11" s="106"/>
      <c r="V11" s="106"/>
      <c r="W11" s="106"/>
    </row>
    <row r="12" spans="1:29" x14ac:dyDescent="0.15">
      <c r="A12" s="106" t="s">
        <v>249</v>
      </c>
      <c r="B12" s="109" t="s">
        <v>131</v>
      </c>
      <c r="C12" s="162" t="s">
        <v>246</v>
      </c>
      <c r="D12" s="106" t="s">
        <v>153</v>
      </c>
      <c r="E12" s="105" t="str">
        <f t="shared" si="2"/>
        <v>unit_serifs_i18n_titan01.tmp</v>
      </c>
      <c r="F12" s="109" t="s">
        <v>132</v>
      </c>
      <c r="G12" s="112" t="s">
        <v>135</v>
      </c>
      <c r="H12" s="113" t="s">
        <v>136</v>
      </c>
      <c r="I12" s="113" t="s">
        <v>137</v>
      </c>
      <c r="J12" s="106"/>
      <c r="K12" s="106"/>
      <c r="L12" s="106"/>
      <c r="M12" s="106"/>
      <c r="N12" s="106"/>
      <c r="O12" s="106"/>
      <c r="P12" s="106"/>
      <c r="Q12" s="106"/>
      <c r="R12" s="106"/>
      <c r="S12" s="106"/>
      <c r="T12" s="106"/>
      <c r="U12" s="106"/>
      <c r="V12" s="106"/>
      <c r="W12" s="106"/>
    </row>
    <row r="13" spans="1:29" x14ac:dyDescent="0.15">
      <c r="A13" s="106" t="s">
        <v>249</v>
      </c>
      <c r="B13" s="106" t="s">
        <v>448</v>
      </c>
      <c r="C13" s="162" t="s">
        <v>246</v>
      </c>
      <c r="D13" s="106" t="s">
        <v>127</v>
      </c>
      <c r="E13" s="105" t="str">
        <f>B13&amp;C13&amp;D13</f>
        <v>abilities_tmp_titan01.tmp</v>
      </c>
      <c r="F13" s="106" t="s">
        <v>449</v>
      </c>
      <c r="G13" s="180" t="s">
        <v>450</v>
      </c>
      <c r="H13" s="180" t="s">
        <v>451</v>
      </c>
      <c r="I13" s="180" t="s">
        <v>452</v>
      </c>
      <c r="J13" s="180"/>
      <c r="K13" s="181"/>
      <c r="L13" s="106"/>
      <c r="M13" s="106"/>
      <c r="N13" s="106"/>
      <c r="O13" s="106"/>
      <c r="P13" s="106"/>
      <c r="Q13" s="106"/>
      <c r="R13" s="106"/>
      <c r="S13" s="106"/>
      <c r="T13" s="106"/>
      <c r="U13" s="106"/>
      <c r="V13" s="106"/>
      <c r="W13" s="106"/>
      <c r="X13" s="106"/>
      <c r="Y13" s="106"/>
      <c r="Z13" s="106"/>
      <c r="AA13" s="106"/>
      <c r="AB13" s="106"/>
      <c r="AC13" s="106"/>
    </row>
    <row r="14" spans="1:29" x14ac:dyDescent="0.15">
      <c r="A14" s="106" t="s">
        <v>247</v>
      </c>
      <c r="B14" s="106" t="s">
        <v>303</v>
      </c>
      <c r="C14" s="162" t="s">
        <v>246</v>
      </c>
      <c r="D14" s="106" t="s">
        <v>127</v>
      </c>
      <c r="E14" s="105" t="str">
        <f>B14&amp;C14&amp;D14</f>
        <v>abilities_i18n_titan01.tmp</v>
      </c>
      <c r="F14" s="106" t="s">
        <v>304</v>
      </c>
      <c r="G14" s="180" t="s">
        <v>292</v>
      </c>
      <c r="H14" s="180" t="s">
        <v>187</v>
      </c>
      <c r="I14" s="180" t="s">
        <v>146</v>
      </c>
      <c r="J14" s="180" t="s">
        <v>305</v>
      </c>
      <c r="K14" s="216" t="s">
        <v>520</v>
      </c>
      <c r="L14" s="106"/>
      <c r="M14" s="106"/>
      <c r="N14" s="106"/>
      <c r="O14" s="106"/>
      <c r="P14" s="106"/>
      <c r="Q14" s="106"/>
      <c r="R14" s="106"/>
      <c r="S14" s="106"/>
      <c r="T14" s="106"/>
      <c r="U14" s="106"/>
      <c r="V14" s="106"/>
      <c r="W14" s="106"/>
      <c r="X14" s="106"/>
      <c r="Y14" s="106"/>
      <c r="Z14" s="106"/>
      <c r="AA14" s="106"/>
      <c r="AB14" s="106"/>
      <c r="AC14" s="106"/>
    </row>
    <row r="15" spans="1:29" x14ac:dyDescent="0.15">
      <c r="A15" s="106" t="s">
        <v>249</v>
      </c>
      <c r="B15" s="106" t="s">
        <v>306</v>
      </c>
      <c r="C15" s="162" t="s">
        <v>246</v>
      </c>
      <c r="D15" s="106" t="s">
        <v>127</v>
      </c>
      <c r="E15" s="105" t="str">
        <f>B15&amp;C15&amp;D15</f>
        <v>unit_abilities_titan01.tmp</v>
      </c>
      <c r="F15" s="106" t="s">
        <v>307</v>
      </c>
      <c r="G15" s="180" t="s">
        <v>133</v>
      </c>
      <c r="H15" s="182" t="s">
        <v>308</v>
      </c>
      <c r="I15" s="182" t="s">
        <v>309</v>
      </c>
      <c r="J15" s="183" t="s">
        <v>310</v>
      </c>
      <c r="K15" s="180" t="s">
        <v>311</v>
      </c>
      <c r="L15" s="106"/>
      <c r="M15" s="106"/>
      <c r="N15" s="106"/>
      <c r="O15" s="106"/>
      <c r="P15" s="106"/>
      <c r="Q15" s="106"/>
      <c r="R15" s="106"/>
      <c r="S15" s="106"/>
      <c r="T15" s="106"/>
      <c r="U15" s="106"/>
      <c r="V15" s="106"/>
      <c r="W15" s="106"/>
      <c r="X15" s="106"/>
      <c r="Y15" s="106"/>
      <c r="Z15" s="106"/>
      <c r="AA15" s="106"/>
      <c r="AB15" s="106"/>
      <c r="AC15" s="106"/>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28"/>
  <sheetViews>
    <sheetView showGridLines="0" workbookViewId="0">
      <pane xSplit="9" ySplit="1" topLeftCell="J2" activePane="bottomRight" state="frozen"/>
      <selection pane="topRight" activeCell="J1" sqref="J1"/>
      <selection pane="bottomLeft" activeCell="A3" sqref="A3"/>
      <selection pane="bottomRight" activeCell="B11" sqref="B11"/>
    </sheetView>
  </sheetViews>
  <sheetFormatPr baseColWidth="12" defaultColWidth="8.83203125" defaultRowHeight="21" customHeight="1" outlineLevelCol="1" x14ac:dyDescent="0.15"/>
  <cols>
    <col min="1" max="1" width="12.83203125" style="12" customWidth="1"/>
    <col min="2" max="2" width="21.5" style="13" bestFit="1" customWidth="1"/>
    <col min="3" max="3" width="23.6640625" style="13" customWidth="1" outlineLevel="1"/>
    <col min="4" max="4" width="8.6640625" style="13" customWidth="1" outlineLevel="1"/>
    <col min="5" max="5" width="8" style="13" customWidth="1" outlineLevel="1"/>
    <col min="6" max="6" width="7.1640625" style="13"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3"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5" width="12" style="13" bestFit="1" customWidth="1"/>
    <col min="56" max="56" width="12" style="13" bestFit="1" customWidth="1" collapsed="1"/>
    <col min="57" max="57" width="14.33203125" style="13" hidden="1" customWidth="1" outlineLevel="1"/>
    <col min="58" max="58" width="16.1640625" style="13" hidden="1" customWidth="1" outlineLevel="1"/>
    <col min="59" max="62" width="11.83203125" style="13" hidden="1"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78" t="s">
        <v>104</v>
      </c>
      <c r="B1" s="80" t="s">
        <v>41</v>
      </c>
      <c r="C1" s="83" t="s">
        <v>27</v>
      </c>
      <c r="D1" s="83" t="s">
        <v>30</v>
      </c>
      <c r="E1" s="83" t="s">
        <v>28</v>
      </c>
      <c r="F1" s="83" t="s">
        <v>29</v>
      </c>
      <c r="G1" s="78" t="s">
        <v>1</v>
      </c>
      <c r="H1" s="81" t="s">
        <v>19</v>
      </c>
      <c r="I1" s="82" t="s">
        <v>0</v>
      </c>
      <c r="J1" s="84" t="s">
        <v>46</v>
      </c>
      <c r="K1" s="84" t="s">
        <v>45</v>
      </c>
      <c r="L1" s="84" t="s">
        <v>47</v>
      </c>
      <c r="M1" s="84" t="s">
        <v>48</v>
      </c>
      <c r="N1" s="78" t="s">
        <v>3</v>
      </c>
      <c r="O1" s="85" t="s">
        <v>2</v>
      </c>
      <c r="P1" s="78" t="s">
        <v>94</v>
      </c>
      <c r="Q1" s="86" t="s">
        <v>18</v>
      </c>
      <c r="R1" s="77" t="s">
        <v>49</v>
      </c>
      <c r="S1" s="87" t="s">
        <v>23</v>
      </c>
      <c r="T1" s="87" t="s">
        <v>24</v>
      </c>
      <c r="U1" s="87" t="s">
        <v>26</v>
      </c>
      <c r="V1" s="87" t="s">
        <v>25</v>
      </c>
      <c r="W1" s="82" t="s">
        <v>32</v>
      </c>
      <c r="X1" s="83" t="s">
        <v>50</v>
      </c>
      <c r="Y1" s="82" t="s">
        <v>33</v>
      </c>
      <c r="Z1" s="83" t="s">
        <v>50</v>
      </c>
      <c r="AA1" s="84" t="s">
        <v>23</v>
      </c>
      <c r="AB1" s="84" t="s">
        <v>24</v>
      </c>
      <c r="AC1" s="84" t="s">
        <v>26</v>
      </c>
      <c r="AD1" s="84" t="s">
        <v>25</v>
      </c>
      <c r="AE1" s="88" t="s">
        <v>96</v>
      </c>
      <c r="AF1" s="77" t="s">
        <v>42</v>
      </c>
      <c r="AG1" s="89" t="s">
        <v>55</v>
      </c>
      <c r="AH1" s="77" t="s">
        <v>42</v>
      </c>
      <c r="AI1" s="89" t="s">
        <v>43</v>
      </c>
      <c r="AJ1" s="79" t="s">
        <v>64</v>
      </c>
      <c r="AK1" s="77" t="s">
        <v>21</v>
      </c>
      <c r="AL1" s="90" t="s">
        <v>65</v>
      </c>
      <c r="AM1" s="91" t="s">
        <v>63</v>
      </c>
      <c r="AN1" s="91" t="s">
        <v>66</v>
      </c>
      <c r="AO1" s="92" t="s">
        <v>31</v>
      </c>
      <c r="AP1" s="88" t="s">
        <v>20</v>
      </c>
      <c r="AQ1" s="93" t="s">
        <v>109</v>
      </c>
      <c r="AR1" s="93" t="s">
        <v>103</v>
      </c>
      <c r="AS1" s="77" t="s">
        <v>100</v>
      </c>
      <c r="AT1" s="88" t="s">
        <v>98</v>
      </c>
      <c r="AU1" s="77" t="s">
        <v>106</v>
      </c>
      <c r="AV1" s="93" t="s">
        <v>103</v>
      </c>
      <c r="AW1" s="77" t="s">
        <v>100</v>
      </c>
      <c r="AX1" s="83" t="s">
        <v>4</v>
      </c>
      <c r="AY1" s="94" t="s">
        <v>51</v>
      </c>
      <c r="AZ1" s="94" t="s">
        <v>52</v>
      </c>
      <c r="BA1" s="94" t="s">
        <v>110</v>
      </c>
      <c r="BB1" s="94" t="s">
        <v>53</v>
      </c>
      <c r="BC1" s="5" t="s">
        <v>22</v>
      </c>
      <c r="BD1" s="97" t="s">
        <v>34</v>
      </c>
      <c r="BE1" s="95" t="s">
        <v>5</v>
      </c>
      <c r="BF1" s="96" t="s">
        <v>6</v>
      </c>
      <c r="BG1" s="98" t="s">
        <v>67</v>
      </c>
      <c r="BH1" s="98" t="s">
        <v>68</v>
      </c>
      <c r="BI1" s="98" t="s">
        <v>69</v>
      </c>
      <c r="BJ1" s="98" t="s">
        <v>70</v>
      </c>
      <c r="BK1" s="99" t="s">
        <v>71</v>
      </c>
      <c r="BL1" s="99" t="s">
        <v>92</v>
      </c>
      <c r="BM1" s="99" t="s">
        <v>72</v>
      </c>
      <c r="BN1" s="99" t="s">
        <v>73</v>
      </c>
      <c r="BO1" s="100" t="s">
        <v>74</v>
      </c>
      <c r="BP1" s="101" t="s">
        <v>75</v>
      </c>
      <c r="BQ1" s="79" t="s">
        <v>83</v>
      </c>
      <c r="BR1" s="10" t="s">
        <v>518</v>
      </c>
    </row>
    <row r="2" spans="1:70" ht="26" customHeight="1" x14ac:dyDescent="0.15">
      <c r="A2" s="12">
        <v>977</v>
      </c>
      <c r="B2" s="54" t="str">
        <f ca="1">VLOOKUP($A2,OFFSET([1]characters!$A$1,0,0,COUNTA([1]characters!$A:$A),MATCH(B$1,[1]characters!$1:$1,0)-MATCH($A$1,[1]characters!$1:$1,0)+1),MATCH(B$1,[1]characters!$1:$1,0)-MATCH($A$1,[1]characters!$1:$1,0)+1,FALSE)</f>
        <v>リヴァイ お掃除ver</v>
      </c>
      <c r="C2" s="54" t="str">
        <f ca="1">VLOOKUP($A2,OFFSET([1]characters!$A$1,0,0,COUNTA([1]characters!$A:$A),MATCH(C$1,[1]characters!$1:$1,0)-MATCH($A$1,[1]characters!$1:$1,0)+1),MATCH(C$1,[1]characters!$1:$1,0)-MATCH($A$1,[1]characters!$1:$1,0)+1,FALSE)</f>
        <v>リヴァイ お掃除ver.</v>
      </c>
      <c r="D2" s="54" t="str">
        <f ca="1">VLOOKUP($A2,OFFSET([1]characters!$A$1,0,0,COUNTA([1]characters!$A:$A),MATCH(D$1,[1]characters!$1:$1,0)-MATCH($A$1,[1]characters!$1:$1,0)+1),MATCH(D$1,[1]characters!$1:$1,0)-MATCH($A$1,[1]characters!$1:$1,0)+1,FALSE)</f>
        <v>執行者</v>
      </c>
      <c r="E2" s="54" t="str">
        <f ca="1">VLOOKUP($A2,OFFSET([1]characters!$A$1,0,0,COUNTA([1]characters!$A:$A),MATCH(E$1,[1]characters!$1:$1,0)-MATCH($A$1,[1]characters!$1:$1,0)+1),MATCH(E$1,[1]characters!$1:$1,0)-MATCH($A$1,[1]characters!$1:$1,0)+1,FALSE)</f>
        <v>格好いい</v>
      </c>
      <c r="F2" s="54" t="str">
        <f ca="1">VLOOKUP($A2,OFFSET([1]characters!$A$1,0,0,COUNTA([1]characters!$A:$A),MATCH(F$1,[1]characters!$1:$1,0)-MATCH($A$1,[1]characters!$1:$1,0)+1),MATCH(F$1,[1]characters!$1:$1,0)-MATCH($A$1,[1]characters!$1:$1,0)+1,FALSE)</f>
        <v>男性</v>
      </c>
      <c r="G2" s="54">
        <f ca="1">VLOOKUP($A2,OFFSET([1]characters!$A$1,0,0,COUNTA([1]characters!$A:$A),MATCH(G$1,[1]characters!$1:$1,0)-MATCH($A$1,[1]characters!$1:$1,0)+1),MATCH(G$1,[1]characters!$1:$1,0)-MATCH($A$1,[1]characters!$1:$1,0)+1,FALSE)</f>
        <v>4</v>
      </c>
      <c r="H2" s="54" t="str">
        <f ca="1">VLOOKUP($A2,OFFSET([1]characters!$A$1,0,0,COUNTA([1]characters!$A:$A),MATCH(H$1,[1]characters!$1:$1,0)-MATCH($A$1,[1]characters!$1:$1,0)+1),MATCH(H$1,[1]characters!$1:$1,0)-MATCH($A$1,[1]characters!$1:$1,0)+1,FALSE)</f>
        <v>Drop2N</v>
      </c>
      <c r="I2" s="54" t="str">
        <f ca="1">VLOOKUP($A2,OFFSET([1]characters!$A$1,0,0,COUNTA([1]characters!$A:$A),MATCH(I$1,[1]characters!$1:$1,0)-MATCH($A$1,[1]characters!$1:$1,0)+1),MATCH(I$1,[1]characters!$1:$1,0)-MATCH($A$1,[1]characters!$1:$1,0)+1,FALSE)</f>
        <v>blue</v>
      </c>
      <c r="J2" s="11">
        <f ca="1">VLOOKUP(I2,[1]属性!$A:$E,2,FALSE)</f>
        <v>1</v>
      </c>
      <c r="K2" s="11">
        <f ca="1">VLOOKUP(I2,[1]属性!$A:$E,3,FALSE)</f>
        <v>0.98</v>
      </c>
      <c r="L2" s="11">
        <f ca="1">VLOOKUP(I2,[1]属性!$A:$E,4,FALSE)</f>
        <v>1</v>
      </c>
      <c r="M2" s="11">
        <f ca="1">VLOOKUP(I2,[1]属性!$A:$E,5,FALSE)</f>
        <v>1.02</v>
      </c>
      <c r="N2" s="11">
        <f ca="1">INDEX(コスト!$A$1:$I$20,MATCH(H2,コスト!$A$1:$A$20,FALSE),MATCH(G2,コスト!$A$1:$I$1,FALSE))</f>
        <v>17</v>
      </c>
      <c r="O2" s="11">
        <f ca="1">INDEX(レベル!$A$1:$I$21,MATCH(H2,レベル!$A$1:$A$21,FALSE),MATCH(G2,レベル!$A$1:$I$1,FALSE))</f>
        <v>60</v>
      </c>
      <c r="P2" s="213">
        <v>30</v>
      </c>
      <c r="Q2" s="54" t="str">
        <f ca="1">VLOOKUP($A2,OFFSET([1]characters!$A$1,0,0,COUNTA([1]characters!$A:$A),MATCH(Q$1,[1]characters!$1:$1,0)-MATCH($A$1,[1]characters!$1:$1,0)+1),MATCH(Q$1,[1]characters!$1:$1,0)-MATCH($A$1,[1]characters!$1:$1,0)+1,FALSE)</f>
        <v>balance</v>
      </c>
      <c r="R2" s="5" t="str">
        <f ca="1">VLOOKUP(Q2,[1]character_type_i18n!$A:$H,3,FALSE)</f>
        <v>バランスタイプ</v>
      </c>
      <c r="S2" s="11">
        <f ca="1">VLOOKUP(Q2,[1]character_type_i18n!$A:$H,4,FALSE)</f>
        <v>1</v>
      </c>
      <c r="T2" s="11">
        <f ca="1">VLOOKUP(Q2,[1]character_type_i18n!$A:$H,5,FALSE)</f>
        <v>1</v>
      </c>
      <c r="U2" s="11">
        <f ca="1">VLOOKUP(Q2,[1]character_type_i18n!$A:$H,6,FALSE)</f>
        <v>1</v>
      </c>
      <c r="V2" s="11">
        <f ca="1">VLOOKUP(Q2,[1]character_type_i18n!$A:$H,7,FALSE)</f>
        <v>1</v>
      </c>
      <c r="W2" s="54" t="str">
        <f ca="1">VLOOKUP($A2,OFFSET([1]characters!$A$1,0,0,COUNTA([1]characters!$A:$A),MATCH(W$1,[1]characters!$1:$1,0)-MATCH($A$1,[1]characters!$1:$1,0)+1),MATCH(W$1,[1]characters!$1:$1,0)-MATCH($A$1,[1]characters!$1:$1,0)+1,FALSE)</f>
        <v>human</v>
      </c>
      <c r="X2" s="5" t="str">
        <f ca="1">VLOOKUP(W2,[1]character_tribe_i18n!$A:$H,3,FALSE)</f>
        <v>ヒューマン</v>
      </c>
      <c r="Y2" s="54"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0.94</v>
      </c>
      <c r="AB2" s="11">
        <f ca="1">VLOOKUP(W2,[1]character_tribe_i18n!$A:$H,5,FALSE)</f>
        <v>0.99</v>
      </c>
      <c r="AC2" s="11">
        <f ca="1">VLOOKUP(W2,[1]character_tribe_i18n!$A:$H,6,FALSE)</f>
        <v>1</v>
      </c>
      <c r="AD2" s="11">
        <f ca="1">VLOOKUP(W2,[1]character_tribe_i18n!$A:$H,7,FALSE)</f>
        <v>1.07</v>
      </c>
      <c r="AE2" s="9">
        <f>A3</f>
        <v>978</v>
      </c>
      <c r="AF2" s="59" t="str">
        <f ca="1">IF(AE2="NULL","",VLOOKUP($AE2,OFFSET([1]characters!$A$1,0,0,COUNTA([1]characters!$A:$A),MATCH(AF$1,[1]characters!$1:$1,0)-MATCH($A$1,[1]characters!$1:$1,0)+1),MATCH(AF$1,[1]characters!$1:$1,0)-MATCH($A$1,[1]characters!$1:$1,0)+1,FALSE))</f>
        <v>潔癖の掃討 リヴァイ お掃除ver</v>
      </c>
      <c r="AG2" s="5">
        <f t="shared" ref="AG2:AG11" ca="1" si="0">IF(ISNA(MATCH(A2,AE:AE,0)),A2,INDIRECT(ADDRESS(MATCH(A2,AE:AE,0),COLUMN())))</f>
        <v>977</v>
      </c>
      <c r="AH2" s="59" t="str">
        <f ca="1">VLOOKUP($AG2,OFFSET([1]characters!$A$1,0,0,COUNTA([1]characters!$A:$A),MATCH(AH$1,[1]characters!$1:$1,0)-MATCH($A$1,[1]characters!$1:$1,0)+1),MATCH(AH$1,[1]characters!$1:$1,0)-MATCH($A$1,[1]characters!$1:$1,0)+1,FALSE)</f>
        <v>リヴァイ お掃除ver</v>
      </c>
      <c r="AI2" s="11">
        <f ca="1">IF(AE2="NULL","NULL",VLOOKUP(G2,ビット!$A$2:$B$7,2))</f>
        <v>50000</v>
      </c>
      <c r="AJ2" s="6">
        <v>2</v>
      </c>
      <c r="AK2" s="7" t="str">
        <f t="shared" ref="AK2:AK3" si="1">IF(AJ2=1,"早熟",IF(AJ2=2,"普通",IF(AJ2=3,"晩成","")))</f>
        <v>普通</v>
      </c>
      <c r="AL2" s="11" t="str">
        <f ca="1">INDEX(経験値!$A$1:$I$20,MATCH(H2,経験値!$A$1:$A$20,FALSE),MATCH(G2,経験値!$A$1:$I$1,FALSE))</f>
        <v>required_exp_200</v>
      </c>
      <c r="AM2" s="8">
        <f ca="1">VLOOKUP(G2,経験値!$A$27:$B$31,2)</f>
        <v>3400</v>
      </c>
      <c r="AN2" s="17">
        <f ca="1">VLOOKUP(G2,ビット!$G$2:$H$7,2)</f>
        <v>600</v>
      </c>
      <c r="AO2" s="42"/>
      <c r="AP2" s="64">
        <f>A2</f>
        <v>977</v>
      </c>
      <c r="AQ2" s="54" t="str">
        <f ca="1">VLOOKUP($AP2,OFFSET(unit_skills!$A$1,0,0,COUNTA(unit_skills!$A:$A),MATCH(AQ$1,unit_skills!$1:$1,0)-MATCH($AP$1,unit_skills!$1:$1,0)+1),MATCH(AQ$1,unit_skills!$1:$1,0)-MATCH($AP$1,unit_skills!$1:$1,0)+1,FALSE)</f>
        <v>パーフェクト・スウィーパー</v>
      </c>
      <c r="AR2" s="54" t="str">
        <f ca="1">VLOOKUP($AP2,OFFSET(unit_skills!$A$1,0,0,COUNTA(unit_skills!$A:$A),MATCH(AR$1,unit_skills!$1:$1,0)-MATCH($AP$1,unit_skills!$1:$1,0)+1),MATCH(AR$1,unit_skills!$1:$1,0)-MATCH($AP$1,unit_skills!$1:$1,0)+1,FALSE)</f>
        <v>3ターン全てのユニットの防御力と回復力を特大UP</v>
      </c>
      <c r="AS2" s="54">
        <f ca="1">VLOOKUP($AP2,OFFSET(unit_skills!$A$1,0,0,COUNTA(unit_skills!$A:$A),MATCH(AS$1,unit_skills!$1:$1,0)-MATCH($AP$1,unit_skills!$1:$1,0)+1),MATCH(AS$1,unit_skills!$1:$1,0)-MATCH($AP$1,unit_skills!$1:$1,0)+1,FALSE)</f>
        <v>0</v>
      </c>
      <c r="AT2" s="39">
        <f>A2</f>
        <v>977</v>
      </c>
      <c r="AU2" s="54" t="str">
        <f ca="1">VLOOKUP($AT2,OFFSET(crash_skills!$A$1,0,0,COUNTA(crash_skills!$A:$A),MATCH(AU$1,crash_skills!$1:$1,0)-MATCH($AT$1,crash_skills!$1:$1,0)+1),MATCH(AU$1,crash_skills!$1:$1,0)-MATCH($AT$1,crash_skills!$1:$1,0)+1,FALSE)</f>
        <v>厳正なる審美眼</v>
      </c>
      <c r="AV2" s="54" t="str">
        <f ca="1">VLOOKUP($AT2,OFFSET(crash_skills!$A$1,0,0,COUNTA(crash_skills!$A:$A),MATCH(AV$1,crash_skills!$1:$1,0)-MATCH($AT$1,crash_skills!$1:$1,0)+1),MATCH(AV$1,crash_skills!$1:$1,0)-MATCH($AT$1,crash_skills!$1:$1,0)+1,FALSE)</f>
        <v>1体に大ダメージ</v>
      </c>
      <c r="AW2" s="54">
        <f ca="1">VLOOKUP($AT2,OFFSET(crash_skills!$A$1,0,0,COUNTA(crash_skills!$A:$A),MATCH(AW$1,crash_skills!$1:$1,0)-MATCH($AT$1,crash_skills!$1:$1,0)+1),MATCH(AW$1,crash_skills!$1:$1,0)-MATCH($AT$1,crash_skills!$1:$1,0)+1,FALSE)</f>
        <v>0</v>
      </c>
      <c r="AX2" s="55">
        <f ca="1">VLOOKUP($A2,OFFSET([1]characters!$A$1,0,0,COUNTA([1]characters!$A:$A),MATCH(AX$1,[1]characters!$1:$1,0)-MATCH($A$1,[1]characters!$1:$1,0)+1),MATCH(AX$1,[1]characters!$1:$1,0)-MATCH($A$1,[1]characters!$1:$1,0)+1,FALSE)</f>
        <v>3</v>
      </c>
      <c r="AY2" s="65">
        <v>1.05</v>
      </c>
      <c r="AZ2" s="65">
        <v>1.05</v>
      </c>
      <c r="BA2" s="65">
        <v>0</v>
      </c>
      <c r="BB2" s="65">
        <v>0.98</v>
      </c>
      <c r="BC2" s="11">
        <f ca="1">INDEX('RC6SV'!$A$1:$G$20,MATCH(H2,'RC6SV'!$A$1:$A$20,FALSE),MATCH(G2,'RC6SV'!$A$1:$G$1,FALSE))</f>
        <v>5800</v>
      </c>
      <c r="BD2" s="45">
        <f t="shared" ref="BD2:BD3" ca="1" si="2">ROUND(BC2*IF(AJ2=1,0.95,IF(AJ2=2,1,IF(AJ2,1.05,0))),0)</f>
        <v>5800</v>
      </c>
      <c r="BE2" s="11">
        <f t="shared" ref="BE2:BE28" ca="1" si="3">ROUND(IFERROR(INDIRECT(ADDRESS(MATCH($A2,$AE:$AE,0),MATCH($BC$1,$1:$1,0))),0),0)</f>
        <v>0</v>
      </c>
      <c r="BF2" s="11">
        <f t="shared" ref="BF2:BF28" ca="1" si="4">ROUND(IFERROR(INDIRECT(ADDRESS(MATCH($A2,$AE:$AE,0),10)),INDIRECT(ADDRESS(MATCH($A2,$A:$A,0),10))),0)</f>
        <v>1</v>
      </c>
      <c r="BG2" s="16">
        <f ca="1">IF($BE2&lt;=0,ROUND(BK2*0.5,0), ROUND($BE2*S2*AA2*J2*AY2*0.8*[1]ステータス!$B$2,0))</f>
        <v>1431</v>
      </c>
      <c r="BH2" s="16">
        <f ca="1">IF($BE2&lt;=0,ROUND(BL2*0.5,0), ROUND($BE2*T2*AB2*K2*AZ2*0.8*[1]ステータス!$C$2,0))</f>
        <v>887</v>
      </c>
      <c r="BI2" s="16">
        <f ca="1">IF($BE2&lt;=0,ROUND(BM2*0.5,0), ROUND($BE2*U2*AC2*L2*BA2*0.8*[1]ステータス!$D$2,0))</f>
        <v>0</v>
      </c>
      <c r="BJ2" s="16">
        <f ca="1">IF($BE2&lt;=0,ROUND(BN2*0.5,0), ROUND($BE2*V2*AD2*M2*BB2*0.8*[1]ステータス!$E$2,0))</f>
        <v>776</v>
      </c>
      <c r="BK2" s="164">
        <f ca="1">ROUND(BD2*S2*AA2*J2*AY2*[1]ステータス!$B$2,0)</f>
        <v>2862</v>
      </c>
      <c r="BL2" s="164">
        <f ca="1">ROUND(BD2*T2*AB2*K2*AZ2*[1]ステータス!$C$2,0)</f>
        <v>1773</v>
      </c>
      <c r="BM2" s="164">
        <f ca="1">ROUND(BD2*U2*AC2*L2*BA2*[1]ステータス!$D$2,0)</f>
        <v>0</v>
      </c>
      <c r="BN2" s="164">
        <f ca="1">ROUND(BD2*V2*AD2*M2*BB2*[1]ステータス!$E$2,0)</f>
        <v>1551</v>
      </c>
      <c r="BO2" s="10">
        <v>0</v>
      </c>
      <c r="BP2" s="10">
        <v>1</v>
      </c>
      <c r="BQ2" s="10" t="s">
        <v>44</v>
      </c>
      <c r="BR2" s="10">
        <f ca="1">VLOOKUP(H2,ghosts_label!$A$2:$B$19,2,FALSE)</f>
        <v>1</v>
      </c>
    </row>
    <row r="3" spans="1:70" ht="26" customHeight="1" x14ac:dyDescent="0.15">
      <c r="A3" s="12">
        <v>978</v>
      </c>
      <c r="B3" s="54" t="str">
        <f ca="1">VLOOKUP($A3,OFFSET([1]characters!$A$1,0,0,COUNTA([1]characters!$A:$A),MATCH(B$1,[1]characters!$1:$1,0)-MATCH($A$1,[1]characters!$1:$1,0)+1),MATCH(B$1,[1]characters!$1:$1,0)-MATCH($A$1,[1]characters!$1:$1,0)+1,FALSE)</f>
        <v>潔癖の掃討 リヴァイ お掃除ver</v>
      </c>
      <c r="C3" s="54" t="str">
        <f ca="1">VLOOKUP($A3,OFFSET([1]characters!$A$1,0,0,COUNTA([1]characters!$A:$A),MATCH(C$1,[1]characters!$1:$1,0)-MATCH($A$1,[1]characters!$1:$1,0)+1),MATCH(C$1,[1]characters!$1:$1,0)-MATCH($A$1,[1]characters!$1:$1,0)+1,FALSE)</f>
        <v>リヴァイ お掃除ver.</v>
      </c>
      <c r="D3" s="54" t="str">
        <f ca="1">VLOOKUP($A3,OFFSET([1]characters!$A$1,0,0,COUNTA([1]characters!$A:$A),MATCH(D$1,[1]characters!$1:$1,0)-MATCH($A$1,[1]characters!$1:$1,0)+1),MATCH(D$1,[1]characters!$1:$1,0)-MATCH($A$1,[1]characters!$1:$1,0)+1,FALSE)</f>
        <v>執行者</v>
      </c>
      <c r="E3" s="54" t="str">
        <f ca="1">VLOOKUP($A3,OFFSET([1]characters!$A$1,0,0,COUNTA([1]characters!$A:$A),MATCH(E$1,[1]characters!$1:$1,0)-MATCH($A$1,[1]characters!$1:$1,0)+1),MATCH(E$1,[1]characters!$1:$1,0)-MATCH($A$1,[1]characters!$1:$1,0)+1,FALSE)</f>
        <v>格好いい</v>
      </c>
      <c r="F3" s="54" t="str">
        <f ca="1">VLOOKUP($A3,OFFSET([1]characters!$A$1,0,0,COUNTA([1]characters!$A:$A),MATCH(F$1,[1]characters!$1:$1,0)-MATCH($A$1,[1]characters!$1:$1,0)+1),MATCH(F$1,[1]characters!$1:$1,0)-MATCH($A$1,[1]characters!$1:$1,0)+1,FALSE)</f>
        <v>男性</v>
      </c>
      <c r="G3" s="54">
        <f ca="1">VLOOKUP($A3,OFFSET([1]characters!$A$1,0,0,COUNTA([1]characters!$A:$A),MATCH(G$1,[1]characters!$1:$1,0)-MATCH($A$1,[1]characters!$1:$1,0)+1),MATCH(G$1,[1]characters!$1:$1,0)-MATCH($A$1,[1]characters!$1:$1,0)+1,FALSE)</f>
        <v>5</v>
      </c>
      <c r="H3" s="54" t="str">
        <f ca="1">VLOOKUP($A3,OFFSET([1]characters!$A$1,0,0,COUNTA([1]characters!$A:$A),MATCH(H$1,[1]characters!$1:$1,0)-MATCH($A$1,[1]characters!$1:$1,0)+1),MATCH(H$1,[1]characters!$1:$1,0)-MATCH($A$1,[1]characters!$1:$1,0)+1,FALSE)</f>
        <v>Drop2N</v>
      </c>
      <c r="I3" s="54" t="str">
        <f ca="1">VLOOKUP($A3,OFFSET([1]characters!$A$1,0,0,COUNTA([1]characters!$A:$A),MATCH(I$1,[1]characters!$1:$1,0)-MATCH($A$1,[1]characters!$1:$1,0)+1),MATCH(I$1,[1]characters!$1:$1,0)-MATCH($A$1,[1]characters!$1:$1,0)+1,FALSE)</f>
        <v>blue</v>
      </c>
      <c r="J3" s="11">
        <f ca="1">VLOOKUP(I3,[1]属性!$A:$E,2,FALSE)</f>
        <v>1</v>
      </c>
      <c r="K3" s="11">
        <f ca="1">VLOOKUP(I3,[1]属性!$A:$E,3,FALSE)</f>
        <v>0.98</v>
      </c>
      <c r="L3" s="11">
        <f ca="1">VLOOKUP(I3,[1]属性!$A:$E,4,FALSE)</f>
        <v>1</v>
      </c>
      <c r="M3" s="11">
        <f ca="1">VLOOKUP(I3,[1]属性!$A:$E,5,FALSE)</f>
        <v>1.02</v>
      </c>
      <c r="N3" s="11">
        <f ca="1">INDEX(コスト!$A$1:$I$20,MATCH(H3,コスト!$A$1:$A$20,FALSE),MATCH(G3,コスト!$A$1:$I$1,FALSE))</f>
        <v>26</v>
      </c>
      <c r="O3" s="11">
        <f ca="1">INDEX(レベル!$A$1:$I$21,MATCH(H3,レベル!$A$1:$A$21,FALSE),MATCH(G3,レベル!$A$1:$I$1,FALSE))</f>
        <v>80</v>
      </c>
      <c r="P3" s="213">
        <v>30</v>
      </c>
      <c r="Q3" s="54"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4" t="str">
        <f ca="1">VLOOKUP($A3,OFFSET([1]characters!$A$1,0,0,COUNTA([1]characters!$A:$A),MATCH(W$1,[1]characters!$1:$1,0)-MATCH($A$1,[1]characters!$1:$1,0)+1),MATCH(W$1,[1]characters!$1:$1,0)-MATCH($A$1,[1]characters!$1:$1,0)+1,FALSE)</f>
        <v>human</v>
      </c>
      <c r="X3" s="5" t="str">
        <f ca="1">VLOOKUP(W3,[1]character_tribe_i18n!$A:$H,3,FALSE)</f>
        <v>ヒューマン</v>
      </c>
      <c r="Y3" s="54"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0.94</v>
      </c>
      <c r="AB3" s="11">
        <f ca="1">VLOOKUP(W3,[1]character_tribe_i18n!$A:$H,5,FALSE)</f>
        <v>0.99</v>
      </c>
      <c r="AC3" s="11">
        <f ca="1">VLOOKUP(W3,[1]character_tribe_i18n!$A:$H,6,FALSE)</f>
        <v>1</v>
      </c>
      <c r="AD3" s="11">
        <f ca="1">VLOOKUP(W3,[1]character_tribe_i18n!$A:$H,7,FALSE)</f>
        <v>1.07</v>
      </c>
      <c r="AE3" s="9" t="s">
        <v>178</v>
      </c>
      <c r="AF3" s="59" t="str">
        <f ca="1">IF(AE3="NULL","",VLOOKUP($AE3,OFFSET([1]characters!$A$1,0,0,COUNTA([1]characters!$A:$A),MATCH(AF$1,[1]characters!$1:$1,0)-MATCH($A$1,[1]characters!$1:$1,0)+1),MATCH(AF$1,[1]characters!$1:$1,0)-MATCH($A$1,[1]characters!$1:$1,0)+1,FALSE))</f>
        <v/>
      </c>
      <c r="AG3" s="5">
        <f t="shared" ca="1" si="0"/>
        <v>977</v>
      </c>
      <c r="AH3" s="59" t="str">
        <f ca="1">VLOOKUP($AG3,OFFSET([1]characters!$A$1,0,0,COUNTA([1]characters!$A:$A),MATCH(AH$1,[1]characters!$1:$1,0)-MATCH($A$1,[1]characters!$1:$1,0)+1),MATCH(AH$1,[1]characters!$1:$1,0)-MATCH($A$1,[1]characters!$1:$1,0)+1,FALSE)</f>
        <v>リヴァイ お掃除ver</v>
      </c>
      <c r="AI3" s="11" t="str">
        <f>IF(AE3="NULL","NULL",VLOOKUP(G3,ビット!$A$2:$B$7,2))</f>
        <v>NULL</v>
      </c>
      <c r="AJ3" s="6">
        <v>2</v>
      </c>
      <c r="AK3" s="7" t="str">
        <f t="shared" si="1"/>
        <v>普通</v>
      </c>
      <c r="AL3" s="11" t="str">
        <f ca="1">INDEX(経験値!$A$1:$I$20,MATCH(H3,経験値!$A$1:$A$20,FALSE),MATCH(G3,経験値!$A$1:$I$1,FALSE))</f>
        <v>required_exp_200</v>
      </c>
      <c r="AM3" s="8">
        <f ca="1">VLOOKUP(G3,経験値!$A$27:$B$31,2)</f>
        <v>6400</v>
      </c>
      <c r="AN3" s="17">
        <f ca="1">VLOOKUP(G3,ビット!$G$2:$H$7,2)</f>
        <v>900</v>
      </c>
      <c r="AO3" s="42"/>
      <c r="AP3" s="64">
        <f t="shared" ref="AP3:AP28" si="5">A3</f>
        <v>978</v>
      </c>
      <c r="AQ3" s="54" t="str">
        <f ca="1">VLOOKUP($AP3,OFFSET(unit_skills!$A$1,0,0,COUNTA(unit_skills!$A:$A),MATCH(AQ$1,unit_skills!$1:$1,0)-MATCH($AP$1,unit_skills!$1:$1,0)+1),MATCH(AQ$1,unit_skills!$1:$1,0)-MATCH($AP$1,unit_skills!$1:$1,0)+1,FALSE)</f>
        <v>パーフェクト・スウィーパー</v>
      </c>
      <c r="AR3" s="54" t="str">
        <f ca="1">VLOOKUP($AP3,OFFSET(unit_skills!$A$1,0,0,COUNTA(unit_skills!$A:$A),MATCH(AR$1,unit_skills!$1:$1,0)-MATCH($AP$1,unit_skills!$1:$1,0)+1),MATCH(AR$1,unit_skills!$1:$1,0)-MATCH($AP$1,unit_skills!$1:$1,0)+1,FALSE)</f>
        <v>3ターン全てのユニットの防御力と回復力を特大UP</v>
      </c>
      <c r="AS3" s="54">
        <f ca="1">VLOOKUP($AP3,OFFSET(unit_skills!$A$1,0,0,COUNTA(unit_skills!$A:$A),MATCH(AS$1,unit_skills!$1:$1,0)-MATCH($AP$1,unit_skills!$1:$1,0)+1),MATCH(AS$1,unit_skills!$1:$1,0)-MATCH($AP$1,unit_skills!$1:$1,0)+1,FALSE)</f>
        <v>0</v>
      </c>
      <c r="AT3" s="39">
        <f t="shared" ref="AT3:AT28" si="6">A3</f>
        <v>978</v>
      </c>
      <c r="AU3" s="54" t="str">
        <f ca="1">VLOOKUP($AT3,OFFSET(crash_skills!$A$1,0,0,COUNTA(crash_skills!$A:$A),MATCH(AU$1,crash_skills!$1:$1,0)-MATCH($AT$1,crash_skills!$1:$1,0)+1),MATCH(AU$1,crash_skills!$1:$1,0)-MATCH($AT$1,crash_skills!$1:$1,0)+1,FALSE)</f>
        <v>厳戒審査の潔癖者</v>
      </c>
      <c r="AV3" s="54" t="str">
        <f ca="1">VLOOKUP($AT3,OFFSET(crash_skills!$A$1,0,0,COUNTA(crash_skills!$A:$A),MATCH(AV$1,crash_skills!$1:$1,0)-MATCH($AT$1,crash_skills!$1:$1,0)+1),MATCH(AV$1,crash_skills!$1:$1,0)-MATCH($AT$1,crash_skills!$1:$1,0)+1,FALSE)</f>
        <v>1体に特大ダメージ</v>
      </c>
      <c r="AW3" s="54">
        <f ca="1">VLOOKUP($AT3,OFFSET(crash_skills!$A$1,0,0,COUNTA(crash_skills!$A:$A),MATCH(AW$1,crash_skills!$1:$1,0)-MATCH($AT$1,crash_skills!$1:$1,0)+1),MATCH(AW$1,crash_skills!$1:$1,0)-MATCH($AT$1,crash_skills!$1:$1,0)+1,FALSE)</f>
        <v>0</v>
      </c>
      <c r="AX3" s="55">
        <f ca="1">VLOOKUP($A3,OFFSET([1]characters!$A$1,0,0,COUNTA([1]characters!$A:$A),MATCH(AX$1,[1]characters!$1:$1,0)-MATCH($A$1,[1]characters!$1:$1,0)+1),MATCH(AX$1,[1]characters!$1:$1,0)-MATCH($A$1,[1]characters!$1:$1,0)+1,FALSE)</f>
        <v>3</v>
      </c>
      <c r="AY3" s="65">
        <v>1.05</v>
      </c>
      <c r="AZ3" s="65">
        <v>1.05</v>
      </c>
      <c r="BA3" s="65">
        <v>0</v>
      </c>
      <c r="BB3" s="65">
        <v>0.98</v>
      </c>
      <c r="BC3" s="11">
        <f ca="1">INDEX('RC6SV'!$A$1:$G$20,MATCH(H3,'RC6SV'!$A$1:$A$20,FALSE),MATCH(G3,'RC6SV'!$A$1:$G$1,FALSE))</f>
        <v>7600</v>
      </c>
      <c r="BD3" s="45">
        <f t="shared" ca="1" si="2"/>
        <v>7600</v>
      </c>
      <c r="BE3" s="11">
        <f t="shared" ca="1" si="3"/>
        <v>5800</v>
      </c>
      <c r="BF3" s="11">
        <f t="shared" ca="1" si="4"/>
        <v>1</v>
      </c>
      <c r="BG3" s="16">
        <f ca="1">IF($BE3&lt;=0,ROUND(BK3*0.5,0), ROUND($BE3*S3*AA3*J3*AY3*0.8*[1]ステータス!$B$2,0))</f>
        <v>2290</v>
      </c>
      <c r="BH3" s="16">
        <f ca="1">IF($BE3&lt;=0,ROUND(BL3*0.5,0), ROUND($BE3*T3*AB3*K3*AZ3*0.8*[1]ステータス!$C$2,0))</f>
        <v>1418</v>
      </c>
      <c r="BI3" s="16">
        <f ca="1">IF($BE3&lt;=0,ROUND(BM3*0.5,0), ROUND($BE3*U3*AC3*L3*BA3*0.8*[1]ステータス!$D$2,0))</f>
        <v>0</v>
      </c>
      <c r="BJ3" s="16">
        <f ca="1">IF($BE3&lt;=0,ROUND(BN3*0.5,0), ROUND($BE3*V3*AD3*M3*BB3*0.8*[1]ステータス!$E$2,0))</f>
        <v>1241</v>
      </c>
      <c r="BK3" s="164">
        <f ca="1">ROUND(BD3*S3*AA3*J3*AY3*[1]ステータス!$B$2,0)</f>
        <v>3751</v>
      </c>
      <c r="BL3" s="164">
        <f ca="1">ROUND(BD3*T3*AB3*K3*AZ3*[1]ステータス!$C$2,0)</f>
        <v>2323</v>
      </c>
      <c r="BM3" s="164">
        <f ca="1">ROUND(BD3*U3*AC3*L3*BA3*[1]ステータス!$D$2,0)</f>
        <v>0</v>
      </c>
      <c r="BN3" s="164">
        <f ca="1">ROUND(BD3*V3*AD3*M3*BB3*[1]ステータス!$E$2,0)</f>
        <v>2032</v>
      </c>
      <c r="BO3" s="10">
        <v>0</v>
      </c>
      <c r="BP3" s="10">
        <v>1</v>
      </c>
      <c r="BQ3" s="10" t="s">
        <v>44</v>
      </c>
      <c r="BR3" s="10">
        <f ca="1">VLOOKUP(H3,ghosts_label!$A$2:$B$19,2,FALSE)</f>
        <v>1</v>
      </c>
    </row>
    <row r="4" spans="1:70" ht="26" customHeight="1" x14ac:dyDescent="0.15">
      <c r="A4" s="12">
        <v>979</v>
      </c>
      <c r="B4" s="54" t="str">
        <f ca="1">VLOOKUP($A4,OFFSET([1]characters!$A$1,0,0,COUNTA([1]characters!$A:$A),MATCH(B$1,[1]characters!$1:$1,0)-MATCH($A$1,[1]characters!$1:$1,0)+1),MATCH(B$1,[1]characters!$1:$1,0)-MATCH($A$1,[1]characters!$1:$1,0)+1,FALSE)</f>
        <v>超大型巨人</v>
      </c>
      <c r="C4" s="54" t="str">
        <f ca="1">VLOOKUP($A4,OFFSET([1]characters!$A$1,0,0,COUNTA([1]characters!$A:$A),MATCH(C$1,[1]characters!$1:$1,0)-MATCH($A$1,[1]characters!$1:$1,0)+1),MATCH(C$1,[1]characters!$1:$1,0)-MATCH($A$1,[1]characters!$1:$1,0)+1,FALSE)</f>
        <v>超大型巨人</v>
      </c>
      <c r="D4" s="54" t="str">
        <f ca="1">VLOOKUP($A4,OFFSET([1]characters!$A$1,0,0,COUNTA([1]characters!$A:$A),MATCH(D$1,[1]characters!$1:$1,0)-MATCH($A$1,[1]characters!$1:$1,0)+1),MATCH(D$1,[1]characters!$1:$1,0)-MATCH($A$1,[1]characters!$1:$1,0)+1,FALSE)</f>
        <v>執行者</v>
      </c>
      <c r="E4" s="54" t="str">
        <f ca="1">VLOOKUP($A4,OFFSET([1]characters!$A$1,0,0,COUNTA([1]characters!$A:$A),MATCH(E$1,[1]characters!$1:$1,0)-MATCH($A$1,[1]characters!$1:$1,0)+1),MATCH(E$1,[1]characters!$1:$1,0)-MATCH($A$1,[1]characters!$1:$1,0)+1,FALSE)</f>
        <v>格好いい</v>
      </c>
      <c r="F4" s="54" t="str">
        <f ca="1">VLOOKUP($A4,OFFSET([1]characters!$A$1,0,0,COUNTA([1]characters!$A:$A),MATCH(F$1,[1]characters!$1:$1,0)-MATCH($A$1,[1]characters!$1:$1,0)+1),MATCH(F$1,[1]characters!$1:$1,0)-MATCH($A$1,[1]characters!$1:$1,0)+1,FALSE)</f>
        <v>男性</v>
      </c>
      <c r="G4" s="54">
        <f ca="1">VLOOKUP($A4,OFFSET([1]characters!$A$1,0,0,COUNTA([1]characters!$A:$A),MATCH(G$1,[1]characters!$1:$1,0)-MATCH($A$1,[1]characters!$1:$1,0)+1),MATCH(G$1,[1]characters!$1:$1,0)-MATCH($A$1,[1]characters!$1:$1,0)+1,FALSE)</f>
        <v>5</v>
      </c>
      <c r="H4" s="54" t="str">
        <f ca="1">VLOOKUP($A4,OFFSET([1]characters!$A$1,0,0,COUNTA([1]characters!$A:$A),MATCH(H$1,[1]characters!$1:$1,0)-MATCH($A$1,[1]characters!$1:$1,0)+1),MATCH(H$1,[1]characters!$1:$1,0)-MATCH($A$1,[1]characters!$1:$1,0)+1,FALSE)</f>
        <v>DropWizS</v>
      </c>
      <c r="I4" s="54" t="str">
        <f ca="1">VLOOKUP($A4,OFFSET([1]characters!$A$1,0,0,COUNTA([1]characters!$A:$A),MATCH(I$1,[1]characters!$1:$1,0)-MATCH($A$1,[1]characters!$1:$1,0)+1),MATCH(I$1,[1]characters!$1:$1,0)-MATCH($A$1,[1]characters!$1:$1,0)+1,FALSE)</f>
        <v>red</v>
      </c>
      <c r="J4" s="11">
        <f ca="1">VLOOKUP(I4,[1]属性!$A:$E,2,FALSE)</f>
        <v>1</v>
      </c>
      <c r="K4" s="11">
        <f ca="1">VLOOKUP(I4,[1]属性!$A:$E,3,FALSE)</f>
        <v>1.02</v>
      </c>
      <c r="L4" s="11">
        <f ca="1">VLOOKUP(I4,[1]属性!$A:$E,4,FALSE)</f>
        <v>1</v>
      </c>
      <c r="M4" s="11">
        <f ca="1">VLOOKUP(I4,[1]属性!$A:$E,5,FALSE)</f>
        <v>0.98</v>
      </c>
      <c r="N4" s="11">
        <f ca="1">INDEX(コスト!$A$1:$I$20,MATCH(H4,コスト!$A$1:$A$20,FALSE),MATCH(G4,コスト!$A$1:$I$1,FALSE))</f>
        <v>30</v>
      </c>
      <c r="O4" s="11">
        <f ca="1">INDEX(レベル!$A$1:$I$21,MATCH(H4,レベル!$A$1:$A$21,FALSE),MATCH(G4,レベル!$A$1:$I$1,FALSE))</f>
        <v>80</v>
      </c>
      <c r="P4" s="45">
        <f t="shared" ref="P4" ca="1" si="7">IF(G4 &gt;= 6, 99,G4*15)</f>
        <v>75</v>
      </c>
      <c r="Q4" s="54" t="str">
        <f ca="1">VLOOKUP($A4,OFFSET([1]characters!$A$1,0,0,COUNTA([1]characters!$A:$A),MATCH(Q$1,[1]characters!$1:$1,0)-MATCH($A$1,[1]characters!$1:$1,0)+1),MATCH(Q$1,[1]characters!$1:$1,0)-MATCH($A$1,[1]characters!$1:$1,0)+1,FALSE)</f>
        <v>hp</v>
      </c>
      <c r="R4" s="5" t="str">
        <f ca="1">VLOOKUP(Q4,[1]character_type_i18n!$A:$H,3,FALSE)</f>
        <v>体力タイプ</v>
      </c>
      <c r="S4" s="11">
        <f ca="1">VLOOKUP(Q4,[1]character_type_i18n!$A:$H,4,FALSE)</f>
        <v>1.45</v>
      </c>
      <c r="T4" s="11">
        <f ca="1">VLOOKUP(Q4,[1]character_type_i18n!$A:$H,5,FALSE)</f>
        <v>0.85</v>
      </c>
      <c r="U4" s="11">
        <f ca="1">VLOOKUP(Q4,[1]character_type_i18n!$A:$H,6,FALSE)</f>
        <v>1</v>
      </c>
      <c r="V4" s="11">
        <f ca="1">VLOOKUP(Q4,[1]character_type_i18n!$A:$H,7,FALSE)</f>
        <v>0.7</v>
      </c>
      <c r="W4" s="54" t="str">
        <f ca="1">VLOOKUP($A4,OFFSET([1]characters!$A$1,0,0,COUNTA([1]characters!$A:$A),MATCH(W$1,[1]characters!$1:$1,0)-MATCH($A$1,[1]characters!$1:$1,0)+1),MATCH(W$1,[1]characters!$1:$1,0)-MATCH($A$1,[1]characters!$1:$1,0)+1,FALSE)</f>
        <v>unknown</v>
      </c>
      <c r="X4" s="5" t="str">
        <f ca="1">VLOOKUP(W4,[1]character_tribe_i18n!$A:$H,3,FALSE)</f>
        <v>Unknown</v>
      </c>
      <c r="Y4" s="54"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1</v>
      </c>
      <c r="AB4" s="11">
        <f ca="1">VLOOKUP(W4,[1]character_tribe_i18n!$A:$H,5,FALSE)</f>
        <v>1</v>
      </c>
      <c r="AC4" s="11">
        <f ca="1">VLOOKUP(W4,[1]character_tribe_i18n!$A:$H,6,FALSE)</f>
        <v>1</v>
      </c>
      <c r="AD4" s="11">
        <f ca="1">VLOOKUP(W4,[1]character_tribe_i18n!$A:$H,7,FALSE)</f>
        <v>1</v>
      </c>
      <c r="AE4" s="9">
        <f t="shared" ref="AE4" si="8">A5</f>
        <v>980</v>
      </c>
      <c r="AF4" s="59" t="str">
        <f ca="1">IF(AE4="NULL","",VLOOKUP($AE4,OFFSET([1]characters!$A$1,0,0,COUNTA([1]characters!$A:$A),MATCH(AF$1,[1]characters!$1:$1,0)-MATCH($A$1,[1]characters!$1:$1,0)+1),MATCH(AF$1,[1]characters!$1:$1,0)-MATCH($A$1,[1]characters!$1:$1,0)+1,FALSE))</f>
        <v>猛熱の災厄 超大型巨人</v>
      </c>
      <c r="AG4" s="5">
        <f t="shared" ca="1" si="0"/>
        <v>979</v>
      </c>
      <c r="AH4" s="59" t="str">
        <f ca="1">VLOOKUP($AG4,OFFSET([1]characters!$A$1,0,0,COUNTA([1]characters!$A:$A),MATCH(AH$1,[1]characters!$1:$1,0)-MATCH($A$1,[1]characters!$1:$1,0)+1),MATCH(AH$1,[1]characters!$1:$1,0)-MATCH($A$1,[1]characters!$1:$1,0)+1,FALSE)</f>
        <v>超大型巨人</v>
      </c>
      <c r="AI4" s="11">
        <f ca="1">IF(AE4="NULL","NULL",VLOOKUP(G4,ビット!$A$2:$B$7,2))</f>
        <v>200000</v>
      </c>
      <c r="AJ4" s="6">
        <v>2</v>
      </c>
      <c r="AK4" s="7" t="str">
        <f t="shared" ref="AK4:AK17" si="9">IF(AJ4=1,"早熟",IF(AJ4=2,"普通",IF(AJ4=3,"晩成","")))</f>
        <v>普通</v>
      </c>
      <c r="AL4" s="11" t="str">
        <f ca="1">INDEX(経験値!$A$1:$I$20,MATCH(H4,経験値!$A$1:$A$20,FALSE),MATCH(G4,経験値!$A$1:$I$1,FALSE))</f>
        <v>required_exp_200</v>
      </c>
      <c r="AM4" s="8">
        <f ca="1">VLOOKUP(G4,経験値!$A$27:$B$31,2)</f>
        <v>6400</v>
      </c>
      <c r="AN4" s="17">
        <f ca="1">VLOOKUP(G4,ビット!$G$2:$H$7,2)</f>
        <v>900</v>
      </c>
      <c r="AO4" s="42"/>
      <c r="AP4" s="64">
        <f t="shared" si="5"/>
        <v>979</v>
      </c>
      <c r="AQ4" s="54" t="str">
        <f ca="1">VLOOKUP($AP4,OFFSET(unit_skills!$A$1,0,0,COUNTA(unit_skills!$A:$A),MATCH(AQ$1,unit_skills!$1:$1,0)-MATCH($AP$1,unit_skills!$1:$1,0)+1),MATCH(AQ$1,unit_skills!$1:$1,0)-MATCH($AP$1,unit_skills!$1:$1,0)+1,FALSE)</f>
        <v>絶滅の熱腕</v>
      </c>
      <c r="AR4" s="54" t="str">
        <f ca="1">VLOOKUP($AP4,OFFSET(unit_skills!$A$1,0,0,COUNTA(unit_skills!$A:$A),MATCH(AR$1,unit_skills!$1:$1,0)-MATCH($AP$1,unit_skills!$1:$1,0)+1),MATCH(AR$1,unit_skills!$1:$1,0)-MATCH($AP$1,unit_skills!$1:$1,0)+1,FALSE)</f>
        <v>ランダムで1つSCパネル(特大)に変換+1ターン赤パネルの出現率大UP</v>
      </c>
      <c r="AS4" s="54">
        <f ca="1">VLOOKUP($AP4,OFFSET(unit_skills!$A$1,0,0,COUNTA(unit_skills!$A:$A),MATCH(AS$1,unit_skills!$1:$1,0)-MATCH($AP$1,unit_skills!$1:$1,0)+1),MATCH(AS$1,unit_skills!$1:$1,0)-MATCH($AP$1,unit_skills!$1:$1,0)+1,FALSE)</f>
        <v>0</v>
      </c>
      <c r="AT4" s="39">
        <f t="shared" si="6"/>
        <v>979</v>
      </c>
      <c r="AU4" s="54" t="str">
        <f ca="1">VLOOKUP($AT4,OFFSET(crash_skills!$A$1,0,0,COUNTA(crash_skills!$A:$A),MATCH(AU$1,crash_skills!$1:$1,0)-MATCH($AT$1,crash_skills!$1:$1,0)+1),MATCH(AU$1,crash_skills!$1:$1,0)-MATCH($AT$1,crash_skills!$1:$1,0)+1,FALSE)</f>
        <v>パワー・オブ・タイタン</v>
      </c>
      <c r="AV4" s="54" t="str">
        <f ca="1">VLOOKUP($AT4,OFFSET(crash_skills!$A$1,0,0,COUNTA(crash_skills!$A:$A),MATCH(AV$1,crash_skills!$1:$1,0)-MATCH($AT$1,crash_skills!$1:$1,0)+1),MATCH(AV$1,crash_skills!$1:$1,0)-MATCH($AT$1,crash_skills!$1:$1,0)+1,FALSE)</f>
        <v>全体に特大ダメージ</v>
      </c>
      <c r="AW4" s="54">
        <f ca="1">VLOOKUP($AT4,OFFSET(crash_skills!$A$1,0,0,COUNTA(crash_skills!$A:$A),MATCH(AW$1,crash_skills!$1:$1,0)-MATCH($AT$1,crash_skills!$1:$1,0)+1),MATCH(AW$1,crash_skills!$1:$1,0)-MATCH($AT$1,crash_skills!$1:$1,0)+1,FALSE)</f>
        <v>0</v>
      </c>
      <c r="AX4" s="55">
        <f ca="1">VLOOKUP($A4,OFFSET([1]characters!$A$1,0,0,COUNTA([1]characters!$A:$A),MATCH(AX$1,[1]characters!$1:$1,0)-MATCH($A$1,[1]characters!$1:$1,0)+1),MATCH(AX$1,[1]characters!$1:$1,0)-MATCH($A$1,[1]characters!$1:$1,0)+1,FALSE)</f>
        <v>3</v>
      </c>
      <c r="AY4" s="65">
        <v>1.05</v>
      </c>
      <c r="AZ4" s="65">
        <v>1.05</v>
      </c>
      <c r="BA4" s="65">
        <v>0</v>
      </c>
      <c r="BB4" s="65">
        <v>0.98</v>
      </c>
      <c r="BC4" s="11">
        <f ca="1">INDEX('RC6SV'!$A$1:$G$20,MATCH(H4,'RC6SV'!$A$1:$A$20,FALSE),MATCH(G4,'RC6SV'!$A$1:$G$1,FALSE))</f>
        <v>9000</v>
      </c>
      <c r="BD4" s="45">
        <f t="shared" ref="BD4:BD17" ca="1" si="10">ROUND(BC4*IF(AJ4=1,0.95,IF(AJ4=2,1,IF(AJ4,1.05,0))),0)</f>
        <v>9000</v>
      </c>
      <c r="BE4" s="11">
        <f t="shared" ca="1" si="3"/>
        <v>0</v>
      </c>
      <c r="BF4" s="11">
        <f t="shared" ca="1" si="4"/>
        <v>1</v>
      </c>
      <c r="BG4" s="16">
        <f ca="1">IF($BE4&lt;=0,ROUND(BK4*0.5,0), ROUND($BE4*S4*AA4*J4*AY4*0.8*[1]ステータス!$B$2,0))</f>
        <v>3426</v>
      </c>
      <c r="BH4" s="16">
        <f ca="1">IF($BE4&lt;=0,ROUND(BL4*0.5,0), ROUND($BE4*T4*AB4*K4*AZ4*0.8*[1]ステータス!$C$2,0))</f>
        <v>1229</v>
      </c>
      <c r="BI4" s="16">
        <f ca="1">IF($BE4&lt;=0,ROUND(BM4*0.5,0), ROUND($BE4*U4*AC4*L4*BA4*0.8*[1]ステータス!$D$2,0))</f>
        <v>0</v>
      </c>
      <c r="BJ4" s="16">
        <f ca="1">IF($BE4&lt;=0,ROUND(BN4*0.5,0), ROUND($BE4*V4*AD4*M4*BB4*0.8*[1]ステータス!$E$2,0))</f>
        <v>757</v>
      </c>
      <c r="BK4" s="164">
        <f ca="1">ROUND(BD4*S4*AA4*J4*AY4*[1]ステータス!$B$2,0)</f>
        <v>6851</v>
      </c>
      <c r="BL4" s="164">
        <f ca="1">ROUND(BD4*T4*AB4*K4*AZ4*[1]ステータス!$C$2,0)</f>
        <v>2458</v>
      </c>
      <c r="BM4" s="164">
        <f ca="1">ROUND(BD4*U4*AC4*L4*BA4*[1]ステータス!$D$2,0)</f>
        <v>0</v>
      </c>
      <c r="BN4" s="164">
        <f ca="1">ROUND(BD4*V4*AD4*M4*BB4*[1]ステータス!$E$2,0)</f>
        <v>1513</v>
      </c>
      <c r="BO4" s="10">
        <v>0</v>
      </c>
      <c r="BP4" s="10">
        <v>1</v>
      </c>
      <c r="BQ4" s="10" t="s">
        <v>44</v>
      </c>
      <c r="BR4" s="10">
        <f ca="1">VLOOKUP(H4,ghosts_label!$A$2:$B$19,2,FALSE)</f>
        <v>1</v>
      </c>
    </row>
    <row r="5" spans="1:70" ht="26" customHeight="1" x14ac:dyDescent="0.15">
      <c r="A5" s="12">
        <v>980</v>
      </c>
      <c r="B5" s="54" t="str">
        <f ca="1">VLOOKUP($A5,OFFSET([1]characters!$A$1,0,0,COUNTA([1]characters!$A:$A),MATCH(B$1,[1]characters!$1:$1,0)-MATCH($A$1,[1]characters!$1:$1,0)+1),MATCH(B$1,[1]characters!$1:$1,0)-MATCH($A$1,[1]characters!$1:$1,0)+1,FALSE)</f>
        <v>猛熱の災厄 超大型巨人</v>
      </c>
      <c r="C5" s="54" t="str">
        <f ca="1">VLOOKUP($A5,OFFSET([1]characters!$A$1,0,0,COUNTA([1]characters!$A:$A),MATCH(C$1,[1]characters!$1:$1,0)-MATCH($A$1,[1]characters!$1:$1,0)+1),MATCH(C$1,[1]characters!$1:$1,0)-MATCH($A$1,[1]characters!$1:$1,0)+1,FALSE)</f>
        <v>超大型巨人</v>
      </c>
      <c r="D5" s="54" t="str">
        <f ca="1">VLOOKUP($A5,OFFSET([1]characters!$A$1,0,0,COUNTA([1]characters!$A:$A),MATCH(D$1,[1]characters!$1:$1,0)-MATCH($A$1,[1]characters!$1:$1,0)+1),MATCH(D$1,[1]characters!$1:$1,0)-MATCH($A$1,[1]characters!$1:$1,0)+1,FALSE)</f>
        <v>執行者</v>
      </c>
      <c r="E5" s="54" t="str">
        <f ca="1">VLOOKUP($A5,OFFSET([1]characters!$A$1,0,0,COUNTA([1]characters!$A:$A),MATCH(E$1,[1]characters!$1:$1,0)-MATCH($A$1,[1]characters!$1:$1,0)+1),MATCH(E$1,[1]characters!$1:$1,0)-MATCH($A$1,[1]characters!$1:$1,0)+1,FALSE)</f>
        <v>格好いい</v>
      </c>
      <c r="F5" s="54" t="str">
        <f ca="1">VLOOKUP($A5,OFFSET([1]characters!$A$1,0,0,COUNTA([1]characters!$A:$A),MATCH(F$1,[1]characters!$1:$1,0)-MATCH($A$1,[1]characters!$1:$1,0)+1),MATCH(F$1,[1]characters!$1:$1,0)-MATCH($A$1,[1]characters!$1:$1,0)+1,FALSE)</f>
        <v>男性</v>
      </c>
      <c r="G5" s="54">
        <f ca="1">VLOOKUP($A5,OFFSET([1]characters!$A$1,0,0,COUNTA([1]characters!$A:$A),MATCH(G$1,[1]characters!$1:$1,0)-MATCH($A$1,[1]characters!$1:$1,0)+1),MATCH(G$1,[1]characters!$1:$1,0)-MATCH($A$1,[1]characters!$1:$1,0)+1,FALSE)</f>
        <v>6</v>
      </c>
      <c r="H5" s="54" t="str">
        <f ca="1">VLOOKUP($A5,OFFSET([1]characters!$A$1,0,0,COUNTA([1]characters!$A:$A),MATCH(H$1,[1]characters!$1:$1,0)-MATCH($A$1,[1]characters!$1:$1,0)+1),MATCH(H$1,[1]characters!$1:$1,0)-MATCH($A$1,[1]characters!$1:$1,0)+1,FALSE)</f>
        <v>DropWizS</v>
      </c>
      <c r="I5" s="54" t="str">
        <f ca="1">VLOOKUP($A5,OFFSET([1]characters!$A$1,0,0,COUNTA([1]characters!$A:$A),MATCH(I$1,[1]characters!$1:$1,0)-MATCH($A$1,[1]characters!$1:$1,0)+1),MATCH(I$1,[1]characters!$1:$1,0)-MATCH($A$1,[1]characters!$1:$1,0)+1,FALSE)</f>
        <v>red</v>
      </c>
      <c r="J5" s="11">
        <f ca="1">VLOOKUP(I5,[1]属性!$A:$E,2,FALSE)</f>
        <v>1</v>
      </c>
      <c r="K5" s="11">
        <f ca="1">VLOOKUP(I5,[1]属性!$A:$E,3,FALSE)</f>
        <v>1.02</v>
      </c>
      <c r="L5" s="11">
        <f ca="1">VLOOKUP(I5,[1]属性!$A:$E,4,FALSE)</f>
        <v>1</v>
      </c>
      <c r="M5" s="11">
        <f ca="1">VLOOKUP(I5,[1]属性!$A:$E,5,FALSE)</f>
        <v>0.98</v>
      </c>
      <c r="N5" s="11">
        <f ca="1">INDEX(コスト!$A$1:$I$20,MATCH(H5,コスト!$A$1:$A$20,FALSE),MATCH(G5,コスト!$A$1:$I$1,FALSE))</f>
        <v>45</v>
      </c>
      <c r="O5" s="11">
        <f ca="1">INDEX(レベル!$A$1:$I$21,MATCH(H5,レベル!$A$1:$A$21,FALSE),MATCH(G5,レベル!$A$1:$I$1,FALSE))</f>
        <v>99</v>
      </c>
      <c r="P5" s="45">
        <f t="shared" ref="P5:P17" ca="1" si="11">IF(G5 &gt;= 6, 99,G5*15)</f>
        <v>99</v>
      </c>
      <c r="Q5" s="54" t="str">
        <f ca="1">VLOOKUP($A5,OFFSET([1]characters!$A$1,0,0,COUNTA([1]characters!$A:$A),MATCH(Q$1,[1]characters!$1:$1,0)-MATCH($A$1,[1]characters!$1:$1,0)+1),MATCH(Q$1,[1]characters!$1:$1,0)-MATCH($A$1,[1]characters!$1:$1,0)+1,FALSE)</f>
        <v>hp</v>
      </c>
      <c r="R5" s="5" t="str">
        <f ca="1">VLOOKUP(Q5,[1]character_type_i18n!$A:$H,3,FALSE)</f>
        <v>体力タイプ</v>
      </c>
      <c r="S5" s="11">
        <f ca="1">VLOOKUP(Q5,[1]character_type_i18n!$A:$H,4,FALSE)</f>
        <v>1.45</v>
      </c>
      <c r="T5" s="11">
        <f ca="1">VLOOKUP(Q5,[1]character_type_i18n!$A:$H,5,FALSE)</f>
        <v>0.85</v>
      </c>
      <c r="U5" s="11">
        <f ca="1">VLOOKUP(Q5,[1]character_type_i18n!$A:$H,6,FALSE)</f>
        <v>1</v>
      </c>
      <c r="V5" s="11">
        <f ca="1">VLOOKUP(Q5,[1]character_type_i18n!$A:$H,7,FALSE)</f>
        <v>0.7</v>
      </c>
      <c r="W5" s="54" t="str">
        <f ca="1">VLOOKUP($A5,OFFSET([1]characters!$A$1,0,0,COUNTA([1]characters!$A:$A),MATCH(W$1,[1]characters!$1:$1,0)-MATCH($A$1,[1]characters!$1:$1,0)+1),MATCH(W$1,[1]characters!$1:$1,0)-MATCH($A$1,[1]characters!$1:$1,0)+1,FALSE)</f>
        <v>unknown</v>
      </c>
      <c r="X5" s="5" t="str">
        <f ca="1">VLOOKUP(W5,[1]character_tribe_i18n!$A:$H,3,FALSE)</f>
        <v>Unknown</v>
      </c>
      <c r="Y5" s="54"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1</v>
      </c>
      <c r="AB5" s="11">
        <f ca="1">VLOOKUP(W5,[1]character_tribe_i18n!$A:$H,5,FALSE)</f>
        <v>1</v>
      </c>
      <c r="AC5" s="11">
        <f ca="1">VLOOKUP(W5,[1]character_tribe_i18n!$A:$H,6,FALSE)</f>
        <v>1</v>
      </c>
      <c r="AD5" s="11">
        <f ca="1">VLOOKUP(W5,[1]character_tribe_i18n!$A:$H,7,FALSE)</f>
        <v>1</v>
      </c>
      <c r="AE5" s="9" t="s">
        <v>178</v>
      </c>
      <c r="AF5" s="59" t="str">
        <f ca="1">IF(AE5="NULL","",VLOOKUP($AE5,OFFSET([1]characters!$A$1,0,0,COUNTA([1]characters!$A:$A),MATCH(AF$1,[1]characters!$1:$1,0)-MATCH($A$1,[1]characters!$1:$1,0)+1),MATCH(AF$1,[1]characters!$1:$1,0)-MATCH($A$1,[1]characters!$1:$1,0)+1,FALSE))</f>
        <v/>
      </c>
      <c r="AG5" s="5">
        <f t="shared" ca="1" si="0"/>
        <v>979</v>
      </c>
      <c r="AH5" s="59" t="str">
        <f ca="1">VLOOKUP($AG5,OFFSET([1]characters!$A$1,0,0,COUNTA([1]characters!$A:$A),MATCH(AH$1,[1]characters!$1:$1,0)-MATCH($A$1,[1]characters!$1:$1,0)+1),MATCH(AH$1,[1]characters!$1:$1,0)-MATCH($A$1,[1]characters!$1:$1,0)+1,FALSE)</f>
        <v>超大型巨人</v>
      </c>
      <c r="AI5" s="11" t="str">
        <f>IF(AE5="NULL","NULL",VLOOKUP(G5,ビット!$A$2:$B$7,2))</f>
        <v>NULL</v>
      </c>
      <c r="AJ5" s="6">
        <v>2</v>
      </c>
      <c r="AK5" s="7" t="str">
        <f t="shared" si="9"/>
        <v>普通</v>
      </c>
      <c r="AL5" s="11" t="str">
        <f ca="1">INDEX(経験値!$A$1:$I$20,MATCH(H5,経験値!$A$1:$A$20,FALSE),MATCH(G5,経験値!$A$1:$I$1,FALSE))</f>
        <v>required_exp_250</v>
      </c>
      <c r="AM5" s="8">
        <f ca="1">VLOOKUP(G5,経験値!$A$27:$B$31,2)</f>
        <v>6400</v>
      </c>
      <c r="AN5" s="17">
        <f ca="1">VLOOKUP(G5,ビット!$G$2:$H$7,2)</f>
        <v>900</v>
      </c>
      <c r="AO5" s="42"/>
      <c r="AP5" s="64">
        <f t="shared" si="5"/>
        <v>980</v>
      </c>
      <c r="AQ5" s="54" t="str">
        <f ca="1">VLOOKUP($AP5,OFFSET(unit_skills!$A$1,0,0,COUNTA(unit_skills!$A:$A),MATCH(AQ$1,unit_skills!$1:$1,0)-MATCH($AP$1,unit_skills!$1:$1,0)+1),MATCH(AQ$1,unit_skills!$1:$1,0)-MATCH($AP$1,unit_skills!$1:$1,0)+1,FALSE)</f>
        <v>絶滅の熱腕</v>
      </c>
      <c r="AR5" s="54" t="str">
        <f ca="1">VLOOKUP($AP5,OFFSET(unit_skills!$A$1,0,0,COUNTA(unit_skills!$A:$A),MATCH(AR$1,unit_skills!$1:$1,0)-MATCH($AP$1,unit_skills!$1:$1,0)+1),MATCH(AR$1,unit_skills!$1:$1,0)-MATCH($AP$1,unit_skills!$1:$1,0)+1,FALSE)</f>
        <v>ランダムで1つSCパネル(特大)に変換+1ターン赤パネルの出現率大UP</v>
      </c>
      <c r="AS5" s="54">
        <f ca="1">VLOOKUP($AP5,OFFSET(unit_skills!$A$1,0,0,COUNTA(unit_skills!$A:$A),MATCH(AS$1,unit_skills!$1:$1,0)-MATCH($AP$1,unit_skills!$1:$1,0)+1),MATCH(AS$1,unit_skills!$1:$1,0)-MATCH($AP$1,unit_skills!$1:$1,0)+1,FALSE)</f>
        <v>0</v>
      </c>
      <c r="AT5" s="39">
        <f t="shared" si="6"/>
        <v>980</v>
      </c>
      <c r="AU5" s="54" t="str">
        <f ca="1">VLOOKUP($AT5,OFFSET(crash_skills!$A$1,0,0,COUNTA(crash_skills!$A:$A),MATCH(AU$1,crash_skills!$1:$1,0)-MATCH($AT$1,crash_skills!$1:$1,0)+1),MATCH(AU$1,crash_skills!$1:$1,0)-MATCH($AT$1,crash_skills!$1:$1,0)+1,FALSE)</f>
        <v>ディザスター・オブ・タイタン</v>
      </c>
      <c r="AV5" s="54" t="str">
        <f ca="1">VLOOKUP($AT5,OFFSET(crash_skills!$A$1,0,0,COUNTA(crash_skills!$A:$A),MATCH(AV$1,crash_skills!$1:$1,0)-MATCH($AT$1,crash_skills!$1:$1,0)+1),MATCH(AV$1,crash_skills!$1:$1,0)-MATCH($AT$1,crash_skills!$1:$1,0)+1,FALSE)</f>
        <v>全体に超大ダメージ</v>
      </c>
      <c r="AW5" s="54">
        <f ca="1">VLOOKUP($AT5,OFFSET(crash_skills!$A$1,0,0,COUNTA(crash_skills!$A:$A),MATCH(AW$1,crash_skills!$1:$1,0)-MATCH($AT$1,crash_skills!$1:$1,0)+1),MATCH(AW$1,crash_skills!$1:$1,0)-MATCH($AT$1,crash_skills!$1:$1,0)+1,FALSE)</f>
        <v>0</v>
      </c>
      <c r="AX5" s="55">
        <f ca="1">VLOOKUP($A5,OFFSET([1]characters!$A$1,0,0,COUNTA([1]characters!$A:$A),MATCH(AX$1,[1]characters!$1:$1,0)-MATCH($A$1,[1]characters!$1:$1,0)+1),MATCH(AX$1,[1]characters!$1:$1,0)-MATCH($A$1,[1]characters!$1:$1,0)+1,FALSE)</f>
        <v>3</v>
      </c>
      <c r="AY5" s="65">
        <v>1.05</v>
      </c>
      <c r="AZ5" s="65">
        <v>1.05</v>
      </c>
      <c r="BA5" s="65">
        <v>0</v>
      </c>
      <c r="BB5" s="65">
        <v>0.98</v>
      </c>
      <c r="BC5" s="11">
        <f ca="1">INDEX('RC6SV'!$A$1:$G$20,MATCH(H5,'RC6SV'!$A$1:$A$20,FALSE),MATCH(G5,'RC6SV'!$A$1:$G$1,FALSE))</f>
        <v>12000</v>
      </c>
      <c r="BD5" s="45">
        <f t="shared" ca="1" si="10"/>
        <v>12000</v>
      </c>
      <c r="BE5" s="11">
        <f t="shared" ca="1" si="3"/>
        <v>9000</v>
      </c>
      <c r="BF5" s="11">
        <f t="shared" ca="1" si="4"/>
        <v>1</v>
      </c>
      <c r="BG5" s="16">
        <f ca="1">IF($BE5&lt;=0,ROUND(BK5*0.5,0), ROUND($BE5*S5*AA5*J5*AY5*0.8*[1]ステータス!$B$2,0))</f>
        <v>5481</v>
      </c>
      <c r="BH5" s="16">
        <f ca="1">IF($BE5&lt;=0,ROUND(BL5*0.5,0), ROUND($BE5*T5*AB5*K5*AZ5*0.8*[1]ステータス!$C$2,0))</f>
        <v>1966</v>
      </c>
      <c r="BI5" s="16">
        <f ca="1">IF($BE5&lt;=0,ROUND(BM5*0.5,0), ROUND($BE5*U5*AC5*L5*BA5*0.8*[1]ステータス!$D$2,0))</f>
        <v>0</v>
      </c>
      <c r="BJ5" s="16">
        <f ca="1">IF($BE5&lt;=0,ROUND(BN5*0.5,0), ROUND($BE5*V5*AD5*M5*BB5*0.8*[1]ステータス!$E$2,0))</f>
        <v>1210</v>
      </c>
      <c r="BK5" s="164">
        <f ca="1">ROUND(BD5*S5*AA5*J5*AY5*[1]ステータス!$B$2,0)</f>
        <v>9135</v>
      </c>
      <c r="BL5" s="164">
        <f ca="1">ROUND(BD5*T5*AB5*K5*AZ5*[1]ステータス!$C$2,0)</f>
        <v>3277</v>
      </c>
      <c r="BM5" s="164">
        <f ca="1">ROUND(BD5*U5*AC5*L5*BA5*[1]ステータス!$D$2,0)</f>
        <v>0</v>
      </c>
      <c r="BN5" s="164">
        <f ca="1">ROUND(BD5*V5*AD5*M5*BB5*[1]ステータス!$E$2,0)</f>
        <v>2017</v>
      </c>
      <c r="BO5" s="10">
        <v>0</v>
      </c>
      <c r="BP5" s="10">
        <v>1</v>
      </c>
      <c r="BQ5" s="10" t="s">
        <v>44</v>
      </c>
      <c r="BR5" s="10">
        <f ca="1">VLOOKUP(H5,ghosts_label!$A$2:$B$19,2,FALSE)</f>
        <v>1</v>
      </c>
    </row>
    <row r="6" spans="1:70" ht="26" customHeight="1" x14ac:dyDescent="0.15">
      <c r="A6" s="12">
        <v>981</v>
      </c>
      <c r="B6" s="54" t="str">
        <f ca="1">VLOOKUP($A6,OFFSET([1]characters!$A$1,0,0,COUNTA([1]characters!$A:$A),MATCH(B$1,[1]characters!$1:$1,0)-MATCH($A$1,[1]characters!$1:$1,0)+1),MATCH(B$1,[1]characters!$1:$1,0)-MATCH($A$1,[1]characters!$1:$1,0)+1,FALSE)</f>
        <v>女型の巨人</v>
      </c>
      <c r="C6" s="54" t="str">
        <f ca="1">VLOOKUP($A6,OFFSET([1]characters!$A$1,0,0,COUNTA([1]characters!$A:$A),MATCH(C$1,[1]characters!$1:$1,0)-MATCH($A$1,[1]characters!$1:$1,0)+1),MATCH(C$1,[1]characters!$1:$1,0)-MATCH($A$1,[1]characters!$1:$1,0)+1,FALSE)</f>
        <v>女型の巨人</v>
      </c>
      <c r="D6" s="54" t="str">
        <f ca="1">VLOOKUP($A6,OFFSET([1]characters!$A$1,0,0,COUNTA([1]characters!$A:$A),MATCH(D$1,[1]characters!$1:$1,0)-MATCH($A$1,[1]characters!$1:$1,0)+1),MATCH(D$1,[1]characters!$1:$1,0)-MATCH($A$1,[1]characters!$1:$1,0)+1,FALSE)</f>
        <v>執行者</v>
      </c>
      <c r="E6" s="54" t="str">
        <f ca="1">VLOOKUP($A6,OFFSET([1]characters!$A$1,0,0,COUNTA([1]characters!$A:$A),MATCH(E$1,[1]characters!$1:$1,0)-MATCH($A$1,[1]characters!$1:$1,0)+1),MATCH(E$1,[1]characters!$1:$1,0)-MATCH($A$1,[1]characters!$1:$1,0)+1,FALSE)</f>
        <v>格好いい</v>
      </c>
      <c r="F6" s="54" t="str">
        <f ca="1">VLOOKUP($A6,OFFSET([1]characters!$A$1,0,0,COUNTA([1]characters!$A:$A),MATCH(F$1,[1]characters!$1:$1,0)-MATCH($A$1,[1]characters!$1:$1,0)+1),MATCH(F$1,[1]characters!$1:$1,0)-MATCH($A$1,[1]characters!$1:$1,0)+1,FALSE)</f>
        <v>男性</v>
      </c>
      <c r="G6" s="54">
        <f ca="1">VLOOKUP($A6,OFFSET([1]characters!$A$1,0,0,COUNTA([1]characters!$A:$A),MATCH(G$1,[1]characters!$1:$1,0)-MATCH($A$1,[1]characters!$1:$1,0)+1),MATCH(G$1,[1]characters!$1:$1,0)-MATCH($A$1,[1]characters!$1:$1,0)+1,FALSE)</f>
        <v>4</v>
      </c>
      <c r="H6" s="54" t="str">
        <f ca="1">VLOOKUP($A6,OFFSET([1]characters!$A$1,0,0,COUNTA([1]characters!$A:$A),MATCH(H$1,[1]characters!$1:$1,0)-MATCH($A$1,[1]characters!$1:$1,0)+1),MATCH(H$1,[1]characters!$1:$1,0)-MATCH($A$1,[1]characters!$1:$1,0)+1,FALSE)</f>
        <v>Drop2N</v>
      </c>
      <c r="I6" s="54" t="str">
        <f ca="1">VLOOKUP($A6,OFFSET([1]characters!$A$1,0,0,COUNTA([1]characters!$A:$A),MATCH(I$1,[1]characters!$1:$1,0)-MATCH($A$1,[1]characters!$1:$1,0)+1),MATCH(I$1,[1]characters!$1:$1,0)-MATCH($A$1,[1]characters!$1:$1,0)+1,FALSE)</f>
        <v>green</v>
      </c>
      <c r="J6" s="11">
        <f ca="1">VLOOKUP(I6,[1]属性!$A:$E,2,FALSE)</f>
        <v>1.02</v>
      </c>
      <c r="K6" s="11">
        <f ca="1">VLOOKUP(I6,[1]属性!$A:$E,3,FALSE)</f>
        <v>0.98</v>
      </c>
      <c r="L6" s="11">
        <f ca="1">VLOOKUP(I6,[1]属性!$A:$E,4,FALSE)</f>
        <v>1</v>
      </c>
      <c r="M6" s="11">
        <f ca="1">VLOOKUP(I6,[1]属性!$A:$E,5,FALSE)</f>
        <v>1</v>
      </c>
      <c r="N6" s="11">
        <f ca="1">INDEX(コスト!$A$1:$I$20,MATCH(H6,コスト!$A$1:$A$20,FALSE),MATCH(G6,コスト!$A$1:$I$1,FALSE))</f>
        <v>17</v>
      </c>
      <c r="O6" s="11">
        <f ca="1">INDEX(レベル!$A$1:$I$21,MATCH(H6,レベル!$A$1:$A$21,FALSE),MATCH(G6,レベル!$A$1:$I$1,FALSE))</f>
        <v>60</v>
      </c>
      <c r="P6" s="45">
        <f t="shared" ca="1" si="11"/>
        <v>60</v>
      </c>
      <c r="Q6" s="54" t="str">
        <f ca="1">VLOOKUP($A6,OFFSET([1]characters!$A$1,0,0,COUNTA([1]characters!$A:$A),MATCH(Q$1,[1]characters!$1:$1,0)-MATCH($A$1,[1]characters!$1:$1,0)+1),MATCH(Q$1,[1]characters!$1:$1,0)-MATCH($A$1,[1]characters!$1:$1,0)+1,FALSE)</f>
        <v>balance</v>
      </c>
      <c r="R6" s="5" t="str">
        <f ca="1">VLOOKUP(Q6,[1]character_type_i18n!$A:$H,3,FALSE)</f>
        <v>バランスタイプ</v>
      </c>
      <c r="S6" s="11">
        <f ca="1">VLOOKUP(Q6,[1]character_type_i18n!$A:$H,4,FALSE)</f>
        <v>1</v>
      </c>
      <c r="T6" s="11">
        <f ca="1">VLOOKUP(Q6,[1]character_type_i18n!$A:$H,5,FALSE)</f>
        <v>1</v>
      </c>
      <c r="U6" s="11">
        <f ca="1">VLOOKUP(Q6,[1]character_type_i18n!$A:$H,6,FALSE)</f>
        <v>1</v>
      </c>
      <c r="V6" s="11">
        <f ca="1">VLOOKUP(Q6,[1]character_type_i18n!$A:$H,7,FALSE)</f>
        <v>1</v>
      </c>
      <c r="W6" s="54" t="str">
        <f ca="1">VLOOKUP($A6,OFFSET([1]characters!$A$1,0,0,COUNTA([1]characters!$A:$A),MATCH(W$1,[1]characters!$1:$1,0)-MATCH($A$1,[1]characters!$1:$1,0)+1),MATCH(W$1,[1]characters!$1:$1,0)-MATCH($A$1,[1]characters!$1:$1,0)+1,FALSE)</f>
        <v>unknown</v>
      </c>
      <c r="X6" s="5" t="str">
        <f ca="1">VLOOKUP(W6,[1]character_tribe_i18n!$A:$H,3,FALSE)</f>
        <v>Unknown</v>
      </c>
      <c r="Y6" s="54"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1</v>
      </c>
      <c r="AB6" s="11">
        <f ca="1">VLOOKUP(W6,[1]character_tribe_i18n!$A:$H,5,FALSE)</f>
        <v>1</v>
      </c>
      <c r="AC6" s="11">
        <f ca="1">VLOOKUP(W6,[1]character_tribe_i18n!$A:$H,6,FALSE)</f>
        <v>1</v>
      </c>
      <c r="AD6" s="11">
        <f ca="1">VLOOKUP(W6,[1]character_tribe_i18n!$A:$H,7,FALSE)</f>
        <v>1</v>
      </c>
      <c r="AE6" s="9">
        <f t="shared" ref="AE6" si="12">A7</f>
        <v>982</v>
      </c>
      <c r="AF6" s="59" t="str">
        <f ca="1">IF(AE6="NULL","",VLOOKUP($AE6,OFFSET([1]characters!$A$1,0,0,COUNTA([1]characters!$A:$A),MATCH(AF$1,[1]characters!$1:$1,0)-MATCH($A$1,[1]characters!$1:$1,0)+1),MATCH(AF$1,[1]characters!$1:$1,0)-MATCH($A$1,[1]characters!$1:$1,0)+1,FALSE))</f>
        <v>柔靭なる剛脚 女型の巨人</v>
      </c>
      <c r="AG6" s="5">
        <f t="shared" ca="1" si="0"/>
        <v>981</v>
      </c>
      <c r="AH6" s="59" t="str">
        <f ca="1">VLOOKUP($AG6,OFFSET([1]characters!$A$1,0,0,COUNTA([1]characters!$A:$A),MATCH(AH$1,[1]characters!$1:$1,0)-MATCH($A$1,[1]characters!$1:$1,0)+1),MATCH(AH$1,[1]characters!$1:$1,0)-MATCH($A$1,[1]characters!$1:$1,0)+1,FALSE)</f>
        <v>女型の巨人</v>
      </c>
      <c r="AI6" s="11">
        <f ca="1">IF(AE6="NULL","NULL",VLOOKUP(G6,ビット!$A$2:$B$7,2))</f>
        <v>50000</v>
      </c>
      <c r="AJ6" s="6">
        <v>2</v>
      </c>
      <c r="AK6" s="7" t="str">
        <f t="shared" si="9"/>
        <v>普通</v>
      </c>
      <c r="AL6" s="11" t="str">
        <f ca="1">INDEX(経験値!$A$1:$I$20,MATCH(H6,経験値!$A$1:$A$20,FALSE),MATCH(G6,経験値!$A$1:$I$1,FALSE))</f>
        <v>required_exp_200</v>
      </c>
      <c r="AM6" s="8">
        <f ca="1">VLOOKUP(G6,経験値!$A$27:$B$31,2)</f>
        <v>3400</v>
      </c>
      <c r="AN6" s="17">
        <f ca="1">VLOOKUP(G6,ビット!$G$2:$H$7,2)</f>
        <v>600</v>
      </c>
      <c r="AO6" s="42"/>
      <c r="AP6" s="64">
        <f t="shared" si="5"/>
        <v>981</v>
      </c>
      <c r="AQ6" s="54" t="str">
        <f ca="1">VLOOKUP($AP6,OFFSET(unit_skills!$A$1,0,0,COUNTA(unit_skills!$A:$A),MATCH(AQ$1,unit_skills!$1:$1,0)-MATCH($AP$1,unit_skills!$1:$1,0)+1),MATCH(AQ$1,unit_skills!$1:$1,0)-MATCH($AP$1,unit_skills!$1:$1,0)+1,FALSE)</f>
        <v>不可避の鞭蹴・硬化</v>
      </c>
      <c r="AR6" s="54" t="str">
        <f ca="1">VLOOKUP($AP6,OFFSET(unit_skills!$A$1,0,0,COUNTA(unit_skills!$A:$A),MATCH(AR$1,unit_skills!$1:$1,0)-MATCH($AP$1,unit_skills!$1:$1,0)+1),MATCH(AR$1,unit_skills!$1:$1,0)-MATCH($AP$1,unit_skills!$1:$1,0)+1,FALSE)</f>
        <v>3ターン自身の攻撃力と防御力を特大UPし、大カウンター</v>
      </c>
      <c r="AS6" s="54">
        <f ca="1">VLOOKUP($AP6,OFFSET(unit_skills!$A$1,0,0,COUNTA(unit_skills!$A:$A),MATCH(AS$1,unit_skills!$1:$1,0)-MATCH($AP$1,unit_skills!$1:$1,0)+1),MATCH(AS$1,unit_skills!$1:$1,0)-MATCH($AP$1,unit_skills!$1:$1,0)+1,FALSE)</f>
        <v>0</v>
      </c>
      <c r="AT6" s="39">
        <f t="shared" si="6"/>
        <v>981</v>
      </c>
      <c r="AU6" s="54" t="str">
        <f ca="1">VLOOKUP($AT6,OFFSET(crash_skills!$A$1,0,0,COUNTA(crash_skills!$A:$A),MATCH(AU$1,crash_skills!$1:$1,0)-MATCH($AT$1,crash_skills!$1:$1,0)+1),MATCH(AU$1,crash_skills!$1:$1,0)-MATCH($AT$1,crash_skills!$1:$1,0)+1,FALSE)</f>
        <v>地を震わせる猛追</v>
      </c>
      <c r="AV6" s="54" t="str">
        <f ca="1">VLOOKUP($AT6,OFFSET(crash_skills!$A$1,0,0,COUNTA(crash_skills!$A:$A),MATCH(AV$1,crash_skills!$1:$1,0)-MATCH($AT$1,crash_skills!$1:$1,0)+1),MATCH(AV$1,crash_skills!$1:$1,0)-MATCH($AT$1,crash_skills!$1:$1,0)+1,FALSE)</f>
        <v>単体に2回中ダメージ</v>
      </c>
      <c r="AW6" s="54">
        <f ca="1">VLOOKUP($AT6,OFFSET(crash_skills!$A$1,0,0,COUNTA(crash_skills!$A:$A),MATCH(AW$1,crash_skills!$1:$1,0)-MATCH($AT$1,crash_skills!$1:$1,0)+1),MATCH(AW$1,crash_skills!$1:$1,0)-MATCH($AT$1,crash_skills!$1:$1,0)+1,FALSE)</f>
        <v>0</v>
      </c>
      <c r="AX6" s="55">
        <f ca="1">VLOOKUP($A6,OFFSET([1]characters!$A$1,0,0,COUNTA([1]characters!$A:$A),MATCH(AX$1,[1]characters!$1:$1,0)-MATCH($A$1,[1]characters!$1:$1,0)+1),MATCH(AX$1,[1]characters!$1:$1,0)-MATCH($A$1,[1]characters!$1:$1,0)+1,FALSE)</f>
        <v>3</v>
      </c>
      <c r="AY6" s="65">
        <v>1.05</v>
      </c>
      <c r="AZ6" s="65">
        <v>1.05</v>
      </c>
      <c r="BA6" s="65">
        <v>0</v>
      </c>
      <c r="BB6" s="65">
        <v>0.98</v>
      </c>
      <c r="BC6" s="11">
        <f ca="1">INDEX('RC6SV'!$A$1:$G$20,MATCH(H6,'RC6SV'!$A$1:$A$20,FALSE),MATCH(G6,'RC6SV'!$A$1:$G$1,FALSE))</f>
        <v>5800</v>
      </c>
      <c r="BD6" s="45">
        <f t="shared" ca="1" si="10"/>
        <v>5800</v>
      </c>
      <c r="BE6" s="11">
        <f t="shared" ca="1" si="3"/>
        <v>0</v>
      </c>
      <c r="BF6" s="11">
        <f t="shared" ca="1" si="4"/>
        <v>1</v>
      </c>
      <c r="BG6" s="16">
        <f ca="1">IF($BE6&lt;=0,ROUND(BK6*0.5,0), ROUND($BE6*S6*AA6*J6*AY6*0.8*[1]ステータス!$B$2,0))</f>
        <v>1553</v>
      </c>
      <c r="BH6" s="16">
        <f ca="1">IF($BE6&lt;=0,ROUND(BL6*0.5,0), ROUND($BE6*T6*AB6*K6*AZ6*0.8*[1]ステータス!$C$2,0))</f>
        <v>895</v>
      </c>
      <c r="BI6" s="16">
        <f ca="1">IF($BE6&lt;=0,ROUND(BM6*0.5,0), ROUND($BE6*U6*AC6*L6*BA6*0.8*[1]ステータス!$D$2,0))</f>
        <v>0</v>
      </c>
      <c r="BJ6" s="16">
        <f ca="1">IF($BE6&lt;=0,ROUND(BN6*0.5,0), ROUND($BE6*V6*AD6*M6*BB6*0.8*[1]ステータス!$E$2,0))</f>
        <v>711</v>
      </c>
      <c r="BK6" s="164">
        <f ca="1">ROUND(BD6*S6*AA6*J6*AY6*[1]ステータス!$B$2,0)</f>
        <v>3106</v>
      </c>
      <c r="BL6" s="164">
        <f ca="1">ROUND(BD6*T6*AB6*K6*AZ6*[1]ステータス!$C$2,0)</f>
        <v>1790</v>
      </c>
      <c r="BM6" s="164">
        <f ca="1">ROUND(BD6*U6*AC6*L6*BA6*[1]ステータス!$D$2,0)</f>
        <v>0</v>
      </c>
      <c r="BN6" s="164">
        <f ca="1">ROUND(BD6*V6*AD6*M6*BB6*[1]ステータス!$E$2,0)</f>
        <v>1421</v>
      </c>
      <c r="BO6" s="10">
        <v>0</v>
      </c>
      <c r="BP6" s="10">
        <v>1</v>
      </c>
      <c r="BQ6" s="10" t="s">
        <v>44</v>
      </c>
      <c r="BR6" s="10">
        <f ca="1">VLOOKUP(H6,ghosts_label!$A$2:$B$19,2,FALSE)</f>
        <v>1</v>
      </c>
    </row>
    <row r="7" spans="1:70" ht="26" customHeight="1" x14ac:dyDescent="0.15">
      <c r="A7" s="12">
        <v>982</v>
      </c>
      <c r="B7" s="54" t="str">
        <f ca="1">VLOOKUP($A7,OFFSET([1]characters!$A$1,0,0,COUNTA([1]characters!$A:$A),MATCH(B$1,[1]characters!$1:$1,0)-MATCH($A$1,[1]characters!$1:$1,0)+1),MATCH(B$1,[1]characters!$1:$1,0)-MATCH($A$1,[1]characters!$1:$1,0)+1,FALSE)</f>
        <v>柔靭なる剛脚 女型の巨人</v>
      </c>
      <c r="C7" s="54" t="str">
        <f ca="1">VLOOKUP($A7,OFFSET([1]characters!$A$1,0,0,COUNTA([1]characters!$A:$A),MATCH(C$1,[1]characters!$1:$1,0)-MATCH($A$1,[1]characters!$1:$1,0)+1),MATCH(C$1,[1]characters!$1:$1,0)-MATCH($A$1,[1]characters!$1:$1,0)+1,FALSE)</f>
        <v>女型の巨人</v>
      </c>
      <c r="D7" s="54" t="str">
        <f ca="1">VLOOKUP($A7,OFFSET([1]characters!$A$1,0,0,COUNTA([1]characters!$A:$A),MATCH(D$1,[1]characters!$1:$1,0)-MATCH($A$1,[1]characters!$1:$1,0)+1),MATCH(D$1,[1]characters!$1:$1,0)-MATCH($A$1,[1]characters!$1:$1,0)+1,FALSE)</f>
        <v>執行者</v>
      </c>
      <c r="E7" s="54" t="str">
        <f ca="1">VLOOKUP($A7,OFFSET([1]characters!$A$1,0,0,COUNTA([1]characters!$A:$A),MATCH(E$1,[1]characters!$1:$1,0)-MATCH($A$1,[1]characters!$1:$1,0)+1),MATCH(E$1,[1]characters!$1:$1,0)-MATCH($A$1,[1]characters!$1:$1,0)+1,FALSE)</f>
        <v>格好いい</v>
      </c>
      <c r="F7" s="54" t="str">
        <f ca="1">VLOOKUP($A7,OFFSET([1]characters!$A$1,0,0,COUNTA([1]characters!$A:$A),MATCH(F$1,[1]characters!$1:$1,0)-MATCH($A$1,[1]characters!$1:$1,0)+1),MATCH(F$1,[1]characters!$1:$1,0)-MATCH($A$1,[1]characters!$1:$1,0)+1,FALSE)</f>
        <v>男性</v>
      </c>
      <c r="G7" s="54">
        <f ca="1">VLOOKUP($A7,OFFSET([1]characters!$A$1,0,0,COUNTA([1]characters!$A:$A),MATCH(G$1,[1]characters!$1:$1,0)-MATCH($A$1,[1]characters!$1:$1,0)+1),MATCH(G$1,[1]characters!$1:$1,0)-MATCH($A$1,[1]characters!$1:$1,0)+1,FALSE)</f>
        <v>5</v>
      </c>
      <c r="H7" s="54" t="str">
        <f ca="1">VLOOKUP($A7,OFFSET([1]characters!$A$1,0,0,COUNTA([1]characters!$A:$A),MATCH(H$1,[1]characters!$1:$1,0)-MATCH($A$1,[1]characters!$1:$1,0)+1),MATCH(H$1,[1]characters!$1:$1,0)-MATCH($A$1,[1]characters!$1:$1,0)+1,FALSE)</f>
        <v>Drop2N</v>
      </c>
      <c r="I7" s="54" t="str">
        <f ca="1">VLOOKUP($A7,OFFSET([1]characters!$A$1,0,0,COUNTA([1]characters!$A:$A),MATCH(I$1,[1]characters!$1:$1,0)-MATCH($A$1,[1]characters!$1:$1,0)+1),MATCH(I$1,[1]characters!$1:$1,0)-MATCH($A$1,[1]characters!$1:$1,0)+1,FALSE)</f>
        <v>green</v>
      </c>
      <c r="J7" s="11">
        <f ca="1">VLOOKUP(I7,[1]属性!$A:$E,2,FALSE)</f>
        <v>1.02</v>
      </c>
      <c r="K7" s="11">
        <f ca="1">VLOOKUP(I7,[1]属性!$A:$E,3,FALSE)</f>
        <v>0.98</v>
      </c>
      <c r="L7" s="11">
        <f ca="1">VLOOKUP(I7,[1]属性!$A:$E,4,FALSE)</f>
        <v>1</v>
      </c>
      <c r="M7" s="11">
        <f ca="1">VLOOKUP(I7,[1]属性!$A:$E,5,FALSE)</f>
        <v>1</v>
      </c>
      <c r="N7" s="11">
        <f ca="1">INDEX(コスト!$A$1:$I$20,MATCH(H7,コスト!$A$1:$A$20,FALSE),MATCH(G7,コスト!$A$1:$I$1,FALSE))</f>
        <v>26</v>
      </c>
      <c r="O7" s="11">
        <f ca="1">INDEX(レベル!$A$1:$I$21,MATCH(H7,レベル!$A$1:$A$21,FALSE),MATCH(G7,レベル!$A$1:$I$1,FALSE))</f>
        <v>80</v>
      </c>
      <c r="P7" s="45">
        <f t="shared" ca="1" si="11"/>
        <v>75</v>
      </c>
      <c r="Q7" s="54" t="str">
        <f ca="1">VLOOKUP($A7,OFFSET([1]characters!$A$1,0,0,COUNTA([1]characters!$A:$A),MATCH(Q$1,[1]characters!$1:$1,0)-MATCH($A$1,[1]characters!$1:$1,0)+1),MATCH(Q$1,[1]characters!$1:$1,0)-MATCH($A$1,[1]characters!$1:$1,0)+1,FALSE)</f>
        <v>balance</v>
      </c>
      <c r="R7" s="5" t="str">
        <f ca="1">VLOOKUP(Q7,[1]character_type_i18n!$A:$H,3,FALSE)</f>
        <v>バランスタイプ</v>
      </c>
      <c r="S7" s="11">
        <f ca="1">VLOOKUP(Q7,[1]character_type_i18n!$A:$H,4,FALSE)</f>
        <v>1</v>
      </c>
      <c r="T7" s="11">
        <f ca="1">VLOOKUP(Q7,[1]character_type_i18n!$A:$H,5,FALSE)</f>
        <v>1</v>
      </c>
      <c r="U7" s="11">
        <f ca="1">VLOOKUP(Q7,[1]character_type_i18n!$A:$H,6,FALSE)</f>
        <v>1</v>
      </c>
      <c r="V7" s="11">
        <f ca="1">VLOOKUP(Q7,[1]character_type_i18n!$A:$H,7,FALSE)</f>
        <v>1</v>
      </c>
      <c r="W7" s="54" t="str">
        <f ca="1">VLOOKUP($A7,OFFSET([1]characters!$A$1,0,0,COUNTA([1]characters!$A:$A),MATCH(W$1,[1]characters!$1:$1,0)-MATCH($A$1,[1]characters!$1:$1,0)+1),MATCH(W$1,[1]characters!$1:$1,0)-MATCH($A$1,[1]characters!$1:$1,0)+1,FALSE)</f>
        <v>unknown</v>
      </c>
      <c r="X7" s="5" t="str">
        <f ca="1">VLOOKUP(W7,[1]character_tribe_i18n!$A:$H,3,FALSE)</f>
        <v>Unknown</v>
      </c>
      <c r="Y7" s="54" t="str">
        <f ca="1">VLOOKUP($A7,OFFSET([1]characters!$A$1,0,0,COUNTA([1]characters!$A:$A),MATCH(Y$1,[1]characters!$1:$1,0)-MATCH($A$1,[1]characters!$1:$1,0)+1),MATCH(Y$1,[1]characters!$1:$1,0)-MATCH($A$1,[1]characters!$1:$1,0)+1,FALSE)</f>
        <v>none</v>
      </c>
      <c r="Z7" s="5" t="str">
        <f ca="1">VLOOKUP(Y7,[1]character_tribe_i18n!$A:$H,3,FALSE)</f>
        <v>種族なし</v>
      </c>
      <c r="AA7" s="11">
        <f ca="1">VLOOKUP(W7,[1]character_tribe_i18n!$A:$H,4,FALSE)</f>
        <v>1</v>
      </c>
      <c r="AB7" s="11">
        <f ca="1">VLOOKUP(W7,[1]character_tribe_i18n!$A:$H,5,FALSE)</f>
        <v>1</v>
      </c>
      <c r="AC7" s="11">
        <f ca="1">VLOOKUP(W7,[1]character_tribe_i18n!$A:$H,6,FALSE)</f>
        <v>1</v>
      </c>
      <c r="AD7" s="11">
        <f ca="1">VLOOKUP(W7,[1]character_tribe_i18n!$A:$H,7,FALSE)</f>
        <v>1</v>
      </c>
      <c r="AE7" s="9" t="s">
        <v>178</v>
      </c>
      <c r="AF7" s="59" t="str">
        <f ca="1">IF(AE7="NULL","",VLOOKUP($AE7,OFFSET([1]characters!$A$1,0,0,COUNTA([1]characters!$A:$A),MATCH(AF$1,[1]characters!$1:$1,0)-MATCH($A$1,[1]characters!$1:$1,0)+1),MATCH(AF$1,[1]characters!$1:$1,0)-MATCH($A$1,[1]characters!$1:$1,0)+1,FALSE))</f>
        <v/>
      </c>
      <c r="AG7" s="5">
        <f t="shared" ca="1" si="0"/>
        <v>981</v>
      </c>
      <c r="AH7" s="59" t="str">
        <f ca="1">VLOOKUP($AG7,OFFSET([1]characters!$A$1,0,0,COUNTA([1]characters!$A:$A),MATCH(AH$1,[1]characters!$1:$1,0)-MATCH($A$1,[1]characters!$1:$1,0)+1),MATCH(AH$1,[1]characters!$1:$1,0)-MATCH($A$1,[1]characters!$1:$1,0)+1,FALSE)</f>
        <v>女型の巨人</v>
      </c>
      <c r="AI7" s="11" t="str">
        <f>IF(AE7="NULL","NULL",VLOOKUP(G7,ビット!$A$2:$B$7,2))</f>
        <v>NULL</v>
      </c>
      <c r="AJ7" s="6">
        <v>2</v>
      </c>
      <c r="AK7" s="7" t="str">
        <f t="shared" si="9"/>
        <v>普通</v>
      </c>
      <c r="AL7" s="11" t="str">
        <f ca="1">INDEX(経験値!$A$1:$I$20,MATCH(H7,経験値!$A$1:$A$20,FALSE),MATCH(G7,経験値!$A$1:$I$1,FALSE))</f>
        <v>required_exp_200</v>
      </c>
      <c r="AM7" s="8">
        <f ca="1">VLOOKUP(G7,経験値!$A$27:$B$31,2)</f>
        <v>6400</v>
      </c>
      <c r="AN7" s="17">
        <f ca="1">VLOOKUP(G7,ビット!$G$2:$H$7,2)</f>
        <v>900</v>
      </c>
      <c r="AO7" s="42"/>
      <c r="AP7" s="64">
        <f t="shared" si="5"/>
        <v>982</v>
      </c>
      <c r="AQ7" s="54" t="str">
        <f ca="1">VLOOKUP($AP7,OFFSET(unit_skills!$A$1,0,0,COUNTA(unit_skills!$A:$A),MATCH(AQ$1,unit_skills!$1:$1,0)-MATCH($AP$1,unit_skills!$1:$1,0)+1),MATCH(AQ$1,unit_skills!$1:$1,0)-MATCH($AP$1,unit_skills!$1:$1,0)+1,FALSE)</f>
        <v>不可避の鞭蹴・硬化</v>
      </c>
      <c r="AR7" s="54" t="str">
        <f ca="1">VLOOKUP($AP7,OFFSET(unit_skills!$A$1,0,0,COUNTA(unit_skills!$A:$A),MATCH(AR$1,unit_skills!$1:$1,0)-MATCH($AP$1,unit_skills!$1:$1,0)+1),MATCH(AR$1,unit_skills!$1:$1,0)-MATCH($AP$1,unit_skills!$1:$1,0)+1,FALSE)</f>
        <v>3ターン自身の攻撃力と防御力を特大UPし、大カウンター</v>
      </c>
      <c r="AS7" s="54">
        <f ca="1">VLOOKUP($AP7,OFFSET(unit_skills!$A$1,0,0,COUNTA(unit_skills!$A:$A),MATCH(AS$1,unit_skills!$1:$1,0)-MATCH($AP$1,unit_skills!$1:$1,0)+1),MATCH(AS$1,unit_skills!$1:$1,0)-MATCH($AP$1,unit_skills!$1:$1,0)+1,FALSE)</f>
        <v>0</v>
      </c>
      <c r="AT7" s="39">
        <f t="shared" si="6"/>
        <v>982</v>
      </c>
      <c r="AU7" s="54" t="str">
        <f ca="1">VLOOKUP($AT7,OFFSET(crash_skills!$A$1,0,0,COUNTA(crash_skills!$A:$A),MATCH(AU$1,crash_skills!$1:$1,0)-MATCH($AT$1,crash_skills!$1:$1,0)+1),MATCH(AU$1,crash_skills!$1:$1,0)-MATCH($AT$1,crash_skills!$1:$1,0)+1,FALSE)</f>
        <v>地を震わせる猛追</v>
      </c>
      <c r="AV7" s="54" t="str">
        <f ca="1">VLOOKUP($AT7,OFFSET(crash_skills!$A$1,0,0,COUNTA(crash_skills!$A:$A),MATCH(AV$1,crash_skills!$1:$1,0)-MATCH($AT$1,crash_skills!$1:$1,0)+1),MATCH(AV$1,crash_skills!$1:$1,0)-MATCH($AT$1,crash_skills!$1:$1,0)+1,FALSE)</f>
        <v>単体に2回中ダメージ</v>
      </c>
      <c r="AW7" s="54">
        <f ca="1">VLOOKUP($AT7,OFFSET(crash_skills!$A$1,0,0,COUNTA(crash_skills!$A:$A),MATCH(AW$1,crash_skills!$1:$1,0)-MATCH($AT$1,crash_skills!$1:$1,0)+1),MATCH(AW$1,crash_skills!$1:$1,0)-MATCH($AT$1,crash_skills!$1:$1,0)+1,FALSE)</f>
        <v>0</v>
      </c>
      <c r="AX7" s="55">
        <f ca="1">VLOOKUP($A7,OFFSET([1]characters!$A$1,0,0,COUNTA([1]characters!$A:$A),MATCH(AX$1,[1]characters!$1:$1,0)-MATCH($A$1,[1]characters!$1:$1,0)+1),MATCH(AX$1,[1]characters!$1:$1,0)-MATCH($A$1,[1]characters!$1:$1,0)+1,FALSE)</f>
        <v>3</v>
      </c>
      <c r="AY7" s="65">
        <v>1.05</v>
      </c>
      <c r="AZ7" s="65">
        <v>1.05</v>
      </c>
      <c r="BA7" s="65">
        <v>0</v>
      </c>
      <c r="BB7" s="65">
        <v>0.98</v>
      </c>
      <c r="BC7" s="11">
        <f ca="1">INDEX('RC6SV'!$A$1:$G$20,MATCH(H7,'RC6SV'!$A$1:$A$20,FALSE),MATCH(G7,'RC6SV'!$A$1:$G$1,FALSE))</f>
        <v>7600</v>
      </c>
      <c r="BD7" s="45">
        <f t="shared" ca="1" si="10"/>
        <v>7600</v>
      </c>
      <c r="BE7" s="11">
        <f t="shared" ca="1" si="3"/>
        <v>5800</v>
      </c>
      <c r="BF7" s="11">
        <f t="shared" ca="1" si="4"/>
        <v>1</v>
      </c>
      <c r="BG7" s="16">
        <f ca="1">IF($BE7&lt;=0,ROUND(BK7*0.5,0), ROUND($BE7*S7*AA7*J7*AY7*0.8*[1]ステータス!$B$2,0))</f>
        <v>2485</v>
      </c>
      <c r="BH7" s="16">
        <f ca="1">IF($BE7&lt;=0,ROUND(BL7*0.5,0), ROUND($BE7*T7*AB7*K7*AZ7*0.8*[1]ステータス!$C$2,0))</f>
        <v>1432</v>
      </c>
      <c r="BI7" s="16">
        <f ca="1">IF($BE7&lt;=0,ROUND(BM7*0.5,0), ROUND($BE7*U7*AC7*L7*BA7*0.8*[1]ステータス!$D$2,0))</f>
        <v>0</v>
      </c>
      <c r="BJ7" s="16">
        <f ca="1">IF($BE7&lt;=0,ROUND(BN7*0.5,0), ROUND($BE7*V7*AD7*M7*BB7*0.8*[1]ステータス!$E$2,0))</f>
        <v>1137</v>
      </c>
      <c r="BK7" s="164">
        <f ca="1">ROUND(BD7*S7*AA7*J7*AY7*[1]ステータス!$B$2,0)</f>
        <v>4070</v>
      </c>
      <c r="BL7" s="164">
        <f ca="1">ROUND(BD7*T7*AB7*K7*AZ7*[1]ステータス!$C$2,0)</f>
        <v>2346</v>
      </c>
      <c r="BM7" s="164">
        <f ca="1">ROUND(BD7*U7*AC7*L7*BA7*[1]ステータス!$D$2,0)</f>
        <v>0</v>
      </c>
      <c r="BN7" s="164">
        <f ca="1">ROUND(BD7*V7*AD7*M7*BB7*[1]ステータス!$E$2,0)</f>
        <v>1862</v>
      </c>
      <c r="BO7" s="10">
        <v>0</v>
      </c>
      <c r="BP7" s="10">
        <v>1</v>
      </c>
      <c r="BQ7" s="10" t="s">
        <v>44</v>
      </c>
      <c r="BR7" s="10">
        <f ca="1">VLOOKUP(H7,ghosts_label!$A$2:$B$19,2,FALSE)</f>
        <v>1</v>
      </c>
    </row>
    <row r="8" spans="1:70" ht="26" customHeight="1" x14ac:dyDescent="0.15">
      <c r="A8" s="12">
        <v>983</v>
      </c>
      <c r="B8" s="54" t="str">
        <f ca="1">VLOOKUP($A8,OFFSET([1]characters!$A$1,0,0,COUNTA([1]characters!$A:$A),MATCH(B$1,[1]characters!$1:$1,0)-MATCH($A$1,[1]characters!$1:$1,0)+1),MATCH(B$1,[1]characters!$1:$1,0)-MATCH($A$1,[1]characters!$1:$1,0)+1,FALSE)</f>
        <v>鎧の巨人</v>
      </c>
      <c r="C8" s="54" t="str">
        <f ca="1">VLOOKUP($A8,OFFSET([1]characters!$A$1,0,0,COUNTA([1]characters!$A:$A),MATCH(C$1,[1]characters!$1:$1,0)-MATCH($A$1,[1]characters!$1:$1,0)+1),MATCH(C$1,[1]characters!$1:$1,0)-MATCH($A$1,[1]characters!$1:$1,0)+1,FALSE)</f>
        <v>鎧の巨人</v>
      </c>
      <c r="D8" s="54" t="str">
        <f ca="1">VLOOKUP($A8,OFFSET([1]characters!$A$1,0,0,COUNTA([1]characters!$A:$A),MATCH(D$1,[1]characters!$1:$1,0)-MATCH($A$1,[1]characters!$1:$1,0)+1),MATCH(D$1,[1]characters!$1:$1,0)-MATCH($A$1,[1]characters!$1:$1,0)+1,FALSE)</f>
        <v>執行者</v>
      </c>
      <c r="E8" s="54" t="str">
        <f ca="1">VLOOKUP($A8,OFFSET([1]characters!$A$1,0,0,COUNTA([1]characters!$A:$A),MATCH(E$1,[1]characters!$1:$1,0)-MATCH($A$1,[1]characters!$1:$1,0)+1),MATCH(E$1,[1]characters!$1:$1,0)-MATCH($A$1,[1]characters!$1:$1,0)+1,FALSE)</f>
        <v>格好いい</v>
      </c>
      <c r="F8" s="54" t="str">
        <f ca="1">VLOOKUP($A8,OFFSET([1]characters!$A$1,0,0,COUNTA([1]characters!$A:$A),MATCH(F$1,[1]characters!$1:$1,0)-MATCH($A$1,[1]characters!$1:$1,0)+1),MATCH(F$1,[1]characters!$1:$1,0)-MATCH($A$1,[1]characters!$1:$1,0)+1,FALSE)</f>
        <v>男性</v>
      </c>
      <c r="G8" s="54">
        <f ca="1">VLOOKUP($A8,OFFSET([1]characters!$A$1,0,0,COUNTA([1]characters!$A:$A),MATCH(G$1,[1]characters!$1:$1,0)-MATCH($A$1,[1]characters!$1:$1,0)+1),MATCH(G$1,[1]characters!$1:$1,0)-MATCH($A$1,[1]characters!$1:$1,0)+1,FALSE)</f>
        <v>4</v>
      </c>
      <c r="H8" s="54" t="str">
        <f ca="1">VLOOKUP($A8,OFFSET([1]characters!$A$1,0,0,COUNTA([1]characters!$A:$A),MATCH(H$1,[1]characters!$1:$1,0)-MATCH($A$1,[1]characters!$1:$1,0)+1),MATCH(H$1,[1]characters!$1:$1,0)-MATCH($A$1,[1]characters!$1:$1,0)+1,FALSE)</f>
        <v>Drop2N</v>
      </c>
      <c r="I8" s="54" t="str">
        <f ca="1">VLOOKUP($A8,OFFSET([1]characters!$A$1,0,0,COUNTA([1]characters!$A:$A),MATCH(I$1,[1]characters!$1:$1,0)-MATCH($A$1,[1]characters!$1:$1,0)+1),MATCH(I$1,[1]characters!$1:$1,0)-MATCH($A$1,[1]characters!$1:$1,0)+1,FALSE)</f>
        <v>yellow</v>
      </c>
      <c r="J8" s="11">
        <f ca="1">VLOOKUP(I8,[1]属性!$A:$E,2,FALSE)</f>
        <v>0.98</v>
      </c>
      <c r="K8" s="11">
        <f ca="1">VLOOKUP(I8,[1]属性!$A:$E,3,FALSE)</f>
        <v>1.01</v>
      </c>
      <c r="L8" s="11">
        <f ca="1">VLOOKUP(I8,[1]属性!$A:$E,4,FALSE)</f>
        <v>1</v>
      </c>
      <c r="M8" s="11">
        <f ca="1">VLOOKUP(I8,[1]属性!$A:$E,5,FALSE)</f>
        <v>1.01</v>
      </c>
      <c r="N8" s="11">
        <f ca="1">INDEX(コスト!$A$1:$I$20,MATCH(H8,コスト!$A$1:$A$20,FALSE),MATCH(G8,コスト!$A$1:$I$1,FALSE))</f>
        <v>17</v>
      </c>
      <c r="O8" s="11">
        <f ca="1">INDEX(レベル!$A$1:$I$21,MATCH(H8,レベル!$A$1:$A$21,FALSE),MATCH(G8,レベル!$A$1:$I$1,FALSE))</f>
        <v>60</v>
      </c>
      <c r="P8" s="45">
        <f t="shared" ca="1" si="11"/>
        <v>60</v>
      </c>
      <c r="Q8" s="54"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4" t="str">
        <f ca="1">VLOOKUP($A8,OFFSET([1]characters!$A$1,0,0,COUNTA([1]characters!$A:$A),MATCH(W$1,[1]characters!$1:$1,0)-MATCH($A$1,[1]characters!$1:$1,0)+1),MATCH(W$1,[1]characters!$1:$1,0)-MATCH($A$1,[1]characters!$1:$1,0)+1,FALSE)</f>
        <v>unknown</v>
      </c>
      <c r="X8" s="5" t="str">
        <f ca="1">VLOOKUP(W8,[1]character_tribe_i18n!$A:$H,3,FALSE)</f>
        <v>Unknown</v>
      </c>
      <c r="Y8" s="54"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1</v>
      </c>
      <c r="AB8" s="11">
        <f ca="1">VLOOKUP(W8,[1]character_tribe_i18n!$A:$H,5,FALSE)</f>
        <v>1</v>
      </c>
      <c r="AC8" s="11">
        <f ca="1">VLOOKUP(W8,[1]character_tribe_i18n!$A:$H,6,FALSE)</f>
        <v>1</v>
      </c>
      <c r="AD8" s="11">
        <f ca="1">VLOOKUP(W8,[1]character_tribe_i18n!$A:$H,7,FALSE)</f>
        <v>1</v>
      </c>
      <c r="AE8" s="9">
        <f t="shared" ref="AE8" si="13">A9</f>
        <v>984</v>
      </c>
      <c r="AF8" s="59" t="str">
        <f ca="1">IF(AE8="NULL","",VLOOKUP($AE8,OFFSET([1]characters!$A$1,0,0,COUNTA([1]characters!$A:$A),MATCH(AF$1,[1]characters!$1:$1,0)-MATCH($A$1,[1]characters!$1:$1,0)+1),MATCH(AF$1,[1]characters!$1:$1,0)-MATCH($A$1,[1]characters!$1:$1,0)+1,FALSE))</f>
        <v>破壁の剛弾 鎧の巨人</v>
      </c>
      <c r="AG8" s="5">
        <f t="shared" ca="1" si="0"/>
        <v>983</v>
      </c>
      <c r="AH8" s="59" t="str">
        <f ca="1">VLOOKUP($AG8,OFFSET([1]characters!$A$1,0,0,COUNTA([1]characters!$A:$A),MATCH(AH$1,[1]characters!$1:$1,0)-MATCH($A$1,[1]characters!$1:$1,0)+1),MATCH(AH$1,[1]characters!$1:$1,0)-MATCH($A$1,[1]characters!$1:$1,0)+1,FALSE)</f>
        <v>鎧の巨人</v>
      </c>
      <c r="AI8" s="11">
        <f ca="1">IF(AE8="NULL","NULL",VLOOKUP(G8,ビット!$A$2:$B$7,2))</f>
        <v>50000</v>
      </c>
      <c r="AJ8" s="6">
        <v>2</v>
      </c>
      <c r="AK8" s="7" t="str">
        <f t="shared" si="9"/>
        <v>普通</v>
      </c>
      <c r="AL8" s="11" t="str">
        <f ca="1">INDEX(経験値!$A$1:$I$20,MATCH(H8,経験値!$A$1:$A$20,FALSE),MATCH(G8,経験値!$A$1:$I$1,FALSE))</f>
        <v>required_exp_200</v>
      </c>
      <c r="AM8" s="8">
        <f ca="1">VLOOKUP(G8,経験値!$A$27:$B$31,2)</f>
        <v>3400</v>
      </c>
      <c r="AN8" s="17">
        <f ca="1">VLOOKUP(G8,ビット!$G$2:$H$7,2)</f>
        <v>600</v>
      </c>
      <c r="AO8" s="42"/>
      <c r="AP8" s="64">
        <f t="shared" si="5"/>
        <v>983</v>
      </c>
      <c r="AQ8" s="54" t="str">
        <f ca="1">VLOOKUP($AP8,OFFSET(unit_skills!$A$1,0,0,COUNTA(unit_skills!$A:$A),MATCH(AQ$1,unit_skills!$1:$1,0)-MATCH($AP$1,unit_skills!$1:$1,0)+1),MATCH(AQ$1,unit_skills!$1:$1,0)-MATCH($AP$1,unit_skills!$1:$1,0)+1,FALSE)</f>
        <v>壊滅、ウォール・マリア</v>
      </c>
      <c r="AR8" s="54" t="str">
        <f ca="1">VLOOKUP($AP8,OFFSET(unit_skills!$A$1,0,0,COUNTA(unit_skills!$A:$A),MATCH(AR$1,unit_skills!$1:$1,0)-MATCH($AP$1,unit_skills!$1:$1,0)+1),MATCH(AR$1,unit_skills!$1:$1,0)-MATCH($AP$1,unit_skills!$1:$1,0)+1,FALSE)</f>
        <v>カウンター状態を解除＋単体に黄属性の特大ダメージ(カウンター状態の敵には効果超大)</v>
      </c>
      <c r="AS8" s="54">
        <f ca="1">VLOOKUP($AP8,OFFSET(unit_skills!$A$1,0,0,COUNTA(unit_skills!$A:$A),MATCH(AS$1,unit_skills!$1:$1,0)-MATCH($AP$1,unit_skills!$1:$1,0)+1),MATCH(AS$1,unit_skills!$1:$1,0)-MATCH($AP$1,unit_skills!$1:$1,0)+1,FALSE)</f>
        <v>0</v>
      </c>
      <c r="AT8" s="39">
        <f t="shared" si="6"/>
        <v>983</v>
      </c>
      <c r="AU8" s="54" t="str">
        <f ca="1">VLOOKUP($AT8,OFFSET(crash_skills!$A$1,0,0,COUNTA(crash_skills!$A:$A),MATCH(AU$1,crash_skills!$1:$1,0)-MATCH($AT$1,crash_skills!$1:$1,0)+1),MATCH(AU$1,crash_skills!$1:$1,0)-MATCH($AT$1,crash_skills!$1:$1,0)+1,FALSE)</f>
        <v>不倒の証明</v>
      </c>
      <c r="AV8" s="54" t="str">
        <f ca="1">VLOOKUP($AT8,OFFSET(crash_skills!$A$1,0,0,COUNTA(crash_skills!$A:$A),MATCH(AV$1,crash_skills!$1:$1,0)-MATCH($AT$1,crash_skills!$1:$1,0)+1),MATCH(AV$1,crash_skills!$1:$1,0)-MATCH($AT$1,crash_skills!$1:$1,0)+1,FALSE)</f>
        <v>1体に特大ダメージ_x000D_+1ターン全ユニットの防御力UP</v>
      </c>
      <c r="AW8" s="54">
        <f ca="1">VLOOKUP($AT8,OFFSET(crash_skills!$A$1,0,0,COUNTA(crash_skills!$A:$A),MATCH(AW$1,crash_skills!$1:$1,0)-MATCH($AT$1,crash_skills!$1:$1,0)+1),MATCH(AW$1,crash_skills!$1:$1,0)-MATCH($AT$1,crash_skills!$1:$1,0)+1,FALSE)</f>
        <v>0</v>
      </c>
      <c r="AX8" s="55">
        <f ca="1">VLOOKUP($A8,OFFSET([1]characters!$A$1,0,0,COUNTA([1]characters!$A:$A),MATCH(AX$1,[1]characters!$1:$1,0)-MATCH($A$1,[1]characters!$1:$1,0)+1),MATCH(AX$1,[1]characters!$1:$1,0)-MATCH($A$1,[1]characters!$1:$1,0)+1,FALSE)</f>
        <v>3</v>
      </c>
      <c r="AY8" s="65">
        <v>1.05</v>
      </c>
      <c r="AZ8" s="65">
        <v>1.05</v>
      </c>
      <c r="BA8" s="65">
        <v>0</v>
      </c>
      <c r="BB8" s="65">
        <v>0.98</v>
      </c>
      <c r="BC8" s="11">
        <f ca="1">INDEX('RC6SV'!$A$1:$G$20,MATCH(H8,'RC6SV'!$A$1:$A$20,FALSE),MATCH(G8,'RC6SV'!$A$1:$G$1,FALSE))</f>
        <v>5800</v>
      </c>
      <c r="BD8" s="45">
        <f t="shared" ca="1" si="10"/>
        <v>5800</v>
      </c>
      <c r="BE8" s="11">
        <f t="shared" ca="1" si="3"/>
        <v>0</v>
      </c>
      <c r="BF8" s="11">
        <f t="shared" ca="1" si="4"/>
        <v>1</v>
      </c>
      <c r="BG8" s="16">
        <f ca="1">IF($BE8&lt;=0,ROUND(BK8*0.5,0), ROUND($BE8*S8*AA8*J8*AY8*0.8*[1]ステータス!$B$2,0))</f>
        <v>1492</v>
      </c>
      <c r="BH8" s="16">
        <f ca="1">IF($BE8&lt;=0,ROUND(BL8*0.5,0), ROUND($BE8*T8*AB8*K8*AZ8*0.8*[1]ステータス!$C$2,0))</f>
        <v>1227</v>
      </c>
      <c r="BI8" s="16">
        <f ca="1">IF($BE8&lt;=0,ROUND(BM8*0.5,0), ROUND($BE8*U8*AC8*L8*BA8*0.8*[1]ステータス!$D$2,0))</f>
        <v>0</v>
      </c>
      <c r="BJ8" s="16">
        <f ca="1">IF($BE8&lt;=0,ROUND(BN8*0.5,0), ROUND($BE8*V8*AD8*M8*BB8*0.8*[1]ステータス!$E$2,0))</f>
        <v>481</v>
      </c>
      <c r="BK8" s="164">
        <f ca="1">ROUND(BD8*S8*AA8*J8*AY8*[1]ステータス!$B$2,0)</f>
        <v>2984</v>
      </c>
      <c r="BL8" s="164">
        <f ca="1">ROUND(BD8*T8*AB8*K8*AZ8*[1]ステータス!$C$2,0)</f>
        <v>2454</v>
      </c>
      <c r="BM8" s="164">
        <f ca="1">ROUND(BD8*U8*AC8*L8*BA8*[1]ステータス!$D$2,0)</f>
        <v>0</v>
      </c>
      <c r="BN8" s="164">
        <f ca="1">ROUND(BD8*V8*AD8*M8*BB8*[1]ステータス!$E$2,0)</f>
        <v>962</v>
      </c>
      <c r="BO8" s="10">
        <v>0</v>
      </c>
      <c r="BP8" s="10">
        <v>1</v>
      </c>
      <c r="BQ8" s="10" t="s">
        <v>44</v>
      </c>
      <c r="BR8" s="10">
        <f ca="1">VLOOKUP(H8,ghosts_label!$A$2:$B$19,2,FALSE)</f>
        <v>1</v>
      </c>
    </row>
    <row r="9" spans="1:70" ht="26" customHeight="1" x14ac:dyDescent="0.15">
      <c r="A9" s="12">
        <v>984</v>
      </c>
      <c r="B9" s="54" t="str">
        <f ca="1">VLOOKUP($A9,OFFSET([1]characters!$A$1,0,0,COUNTA([1]characters!$A:$A),MATCH(B$1,[1]characters!$1:$1,0)-MATCH($A$1,[1]characters!$1:$1,0)+1),MATCH(B$1,[1]characters!$1:$1,0)-MATCH($A$1,[1]characters!$1:$1,0)+1,FALSE)</f>
        <v>破壁の剛弾 鎧の巨人</v>
      </c>
      <c r="C9" s="54" t="str">
        <f ca="1">VLOOKUP($A9,OFFSET([1]characters!$A$1,0,0,COUNTA([1]characters!$A:$A),MATCH(C$1,[1]characters!$1:$1,0)-MATCH($A$1,[1]characters!$1:$1,0)+1),MATCH(C$1,[1]characters!$1:$1,0)-MATCH($A$1,[1]characters!$1:$1,0)+1,FALSE)</f>
        <v>鎧の巨人</v>
      </c>
      <c r="D9" s="54" t="str">
        <f ca="1">VLOOKUP($A9,OFFSET([1]characters!$A$1,0,0,COUNTA([1]characters!$A:$A),MATCH(D$1,[1]characters!$1:$1,0)-MATCH($A$1,[1]characters!$1:$1,0)+1),MATCH(D$1,[1]characters!$1:$1,0)-MATCH($A$1,[1]characters!$1:$1,0)+1,FALSE)</f>
        <v>執行者</v>
      </c>
      <c r="E9" s="54" t="str">
        <f ca="1">VLOOKUP($A9,OFFSET([1]characters!$A$1,0,0,COUNTA([1]characters!$A:$A),MATCH(E$1,[1]characters!$1:$1,0)-MATCH($A$1,[1]characters!$1:$1,0)+1),MATCH(E$1,[1]characters!$1:$1,0)-MATCH($A$1,[1]characters!$1:$1,0)+1,FALSE)</f>
        <v>格好いい</v>
      </c>
      <c r="F9" s="54" t="str">
        <f ca="1">VLOOKUP($A9,OFFSET([1]characters!$A$1,0,0,COUNTA([1]characters!$A:$A),MATCH(F$1,[1]characters!$1:$1,0)-MATCH($A$1,[1]characters!$1:$1,0)+1),MATCH(F$1,[1]characters!$1:$1,0)-MATCH($A$1,[1]characters!$1:$1,0)+1,FALSE)</f>
        <v>男性</v>
      </c>
      <c r="G9" s="54">
        <f ca="1">VLOOKUP($A9,OFFSET([1]characters!$A$1,0,0,COUNTA([1]characters!$A:$A),MATCH(G$1,[1]characters!$1:$1,0)-MATCH($A$1,[1]characters!$1:$1,0)+1),MATCH(G$1,[1]characters!$1:$1,0)-MATCH($A$1,[1]characters!$1:$1,0)+1,FALSE)</f>
        <v>5</v>
      </c>
      <c r="H9" s="54" t="str">
        <f ca="1">VLOOKUP($A9,OFFSET([1]characters!$A$1,0,0,COUNTA([1]characters!$A:$A),MATCH(H$1,[1]characters!$1:$1,0)-MATCH($A$1,[1]characters!$1:$1,0)+1),MATCH(H$1,[1]characters!$1:$1,0)-MATCH($A$1,[1]characters!$1:$1,0)+1,FALSE)</f>
        <v>Drop2N</v>
      </c>
      <c r="I9" s="54" t="str">
        <f ca="1">VLOOKUP($A9,OFFSET([1]characters!$A$1,0,0,COUNTA([1]characters!$A:$A),MATCH(I$1,[1]characters!$1:$1,0)-MATCH($A$1,[1]characters!$1:$1,0)+1),MATCH(I$1,[1]characters!$1:$1,0)-MATCH($A$1,[1]characters!$1:$1,0)+1,FALSE)</f>
        <v>yellow</v>
      </c>
      <c r="J9" s="11">
        <f ca="1">VLOOKUP(I9,[1]属性!$A:$E,2,FALSE)</f>
        <v>0.98</v>
      </c>
      <c r="K9" s="11">
        <f ca="1">VLOOKUP(I9,[1]属性!$A:$E,3,FALSE)</f>
        <v>1.01</v>
      </c>
      <c r="L9" s="11">
        <f ca="1">VLOOKUP(I9,[1]属性!$A:$E,4,FALSE)</f>
        <v>1</v>
      </c>
      <c r="M9" s="11">
        <f ca="1">VLOOKUP(I9,[1]属性!$A:$E,5,FALSE)</f>
        <v>1.01</v>
      </c>
      <c r="N9" s="11">
        <f ca="1">INDEX(コスト!$A$1:$I$20,MATCH(H9,コスト!$A$1:$A$20,FALSE),MATCH(G9,コスト!$A$1:$I$1,FALSE))</f>
        <v>26</v>
      </c>
      <c r="O9" s="11">
        <f ca="1">INDEX(レベル!$A$1:$I$21,MATCH(H9,レベル!$A$1:$A$21,FALSE),MATCH(G9,レベル!$A$1:$I$1,FALSE))</f>
        <v>80</v>
      </c>
      <c r="P9" s="45">
        <f t="shared" ca="1" si="11"/>
        <v>75</v>
      </c>
      <c r="Q9" s="54"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4" t="str">
        <f ca="1">VLOOKUP($A9,OFFSET([1]characters!$A$1,0,0,COUNTA([1]characters!$A:$A),MATCH(W$1,[1]characters!$1:$1,0)-MATCH($A$1,[1]characters!$1:$1,0)+1),MATCH(W$1,[1]characters!$1:$1,0)-MATCH($A$1,[1]characters!$1:$1,0)+1,FALSE)</f>
        <v>unknown</v>
      </c>
      <c r="X9" s="5" t="str">
        <f ca="1">VLOOKUP(W9,[1]character_tribe_i18n!$A:$H,3,FALSE)</f>
        <v>Unknown</v>
      </c>
      <c r="Y9" s="54"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1</v>
      </c>
      <c r="AB9" s="11">
        <f ca="1">VLOOKUP(W9,[1]character_tribe_i18n!$A:$H,5,FALSE)</f>
        <v>1</v>
      </c>
      <c r="AC9" s="11">
        <f ca="1">VLOOKUP(W9,[1]character_tribe_i18n!$A:$H,6,FALSE)</f>
        <v>1</v>
      </c>
      <c r="AD9" s="11">
        <f ca="1">VLOOKUP(W9,[1]character_tribe_i18n!$A:$H,7,FALSE)</f>
        <v>1</v>
      </c>
      <c r="AE9" s="9" t="s">
        <v>178</v>
      </c>
      <c r="AF9" s="59" t="str">
        <f ca="1">IF(AE9="NULL","",VLOOKUP($AE9,OFFSET([1]characters!$A$1,0,0,COUNTA([1]characters!$A:$A),MATCH(AF$1,[1]characters!$1:$1,0)-MATCH($A$1,[1]characters!$1:$1,0)+1),MATCH(AF$1,[1]characters!$1:$1,0)-MATCH($A$1,[1]characters!$1:$1,0)+1,FALSE))</f>
        <v/>
      </c>
      <c r="AG9" s="5">
        <f t="shared" ca="1" si="0"/>
        <v>983</v>
      </c>
      <c r="AH9" s="59" t="str">
        <f ca="1">VLOOKUP($AG9,OFFSET([1]characters!$A$1,0,0,COUNTA([1]characters!$A:$A),MATCH(AH$1,[1]characters!$1:$1,0)-MATCH($A$1,[1]characters!$1:$1,0)+1),MATCH(AH$1,[1]characters!$1:$1,0)-MATCH($A$1,[1]characters!$1:$1,0)+1,FALSE)</f>
        <v>鎧の巨人</v>
      </c>
      <c r="AI9" s="11" t="str">
        <f>IF(AE9="NULL","NULL",VLOOKUP(G9,ビット!$A$2:$B$7,2))</f>
        <v>NULL</v>
      </c>
      <c r="AJ9" s="6">
        <v>2</v>
      </c>
      <c r="AK9" s="7" t="str">
        <f t="shared" si="9"/>
        <v>普通</v>
      </c>
      <c r="AL9" s="11" t="str">
        <f ca="1">INDEX(経験値!$A$1:$I$20,MATCH(H9,経験値!$A$1:$A$20,FALSE),MATCH(G9,経験値!$A$1:$I$1,FALSE))</f>
        <v>required_exp_200</v>
      </c>
      <c r="AM9" s="8">
        <f ca="1">VLOOKUP(G9,経験値!$A$27:$B$31,2)</f>
        <v>6400</v>
      </c>
      <c r="AN9" s="17">
        <f ca="1">VLOOKUP(G9,ビット!$G$2:$H$7,2)</f>
        <v>900</v>
      </c>
      <c r="AO9" s="42"/>
      <c r="AP9" s="64">
        <f t="shared" si="5"/>
        <v>984</v>
      </c>
      <c r="AQ9" s="54" t="str">
        <f ca="1">VLOOKUP($AP9,OFFSET(unit_skills!$A$1,0,0,COUNTA(unit_skills!$A:$A),MATCH(AQ$1,unit_skills!$1:$1,0)-MATCH($AP$1,unit_skills!$1:$1,0)+1),MATCH(AQ$1,unit_skills!$1:$1,0)-MATCH($AP$1,unit_skills!$1:$1,0)+1,FALSE)</f>
        <v>壊滅、ウォール・マリア</v>
      </c>
      <c r="AR9" s="54" t="str">
        <f ca="1">VLOOKUP($AP9,OFFSET(unit_skills!$A$1,0,0,COUNTA(unit_skills!$A:$A),MATCH(AR$1,unit_skills!$1:$1,0)-MATCH($AP$1,unit_skills!$1:$1,0)+1),MATCH(AR$1,unit_skills!$1:$1,0)-MATCH($AP$1,unit_skills!$1:$1,0)+1,FALSE)</f>
        <v>カウンター状態を解除＋単体に黄属性の特大ダメージ(カウンター状態の敵には効果超大)</v>
      </c>
      <c r="AS9" s="54">
        <f ca="1">VLOOKUP($AP9,OFFSET(unit_skills!$A$1,0,0,COUNTA(unit_skills!$A:$A),MATCH(AS$1,unit_skills!$1:$1,0)-MATCH($AP$1,unit_skills!$1:$1,0)+1),MATCH(AS$1,unit_skills!$1:$1,0)-MATCH($AP$1,unit_skills!$1:$1,0)+1,FALSE)</f>
        <v>0</v>
      </c>
      <c r="AT9" s="39">
        <f t="shared" si="6"/>
        <v>984</v>
      </c>
      <c r="AU9" s="54" t="str">
        <f ca="1">VLOOKUP($AT9,OFFSET(crash_skills!$A$1,0,0,COUNTA(crash_skills!$A:$A),MATCH(AU$1,crash_skills!$1:$1,0)-MATCH($AT$1,crash_skills!$1:$1,0)+1),MATCH(AU$1,crash_skills!$1:$1,0)-MATCH($AT$1,crash_skills!$1:$1,0)+1,FALSE)</f>
        <v>不倒の証明</v>
      </c>
      <c r="AV9" s="54" t="str">
        <f ca="1">VLOOKUP($AT9,OFFSET(crash_skills!$A$1,0,0,COUNTA(crash_skills!$A:$A),MATCH(AV$1,crash_skills!$1:$1,0)-MATCH($AT$1,crash_skills!$1:$1,0)+1),MATCH(AV$1,crash_skills!$1:$1,0)-MATCH($AT$1,crash_skills!$1:$1,0)+1,FALSE)</f>
        <v>1体に特大ダメージ_x000D_+1ターン全ユニットの防御力UP</v>
      </c>
      <c r="AW9" s="54">
        <f ca="1">VLOOKUP($AT9,OFFSET(crash_skills!$A$1,0,0,COUNTA(crash_skills!$A:$A),MATCH(AW$1,crash_skills!$1:$1,0)-MATCH($AT$1,crash_skills!$1:$1,0)+1),MATCH(AW$1,crash_skills!$1:$1,0)-MATCH($AT$1,crash_skills!$1:$1,0)+1,FALSE)</f>
        <v>0</v>
      </c>
      <c r="AX9" s="55">
        <f ca="1">VLOOKUP($A9,OFFSET([1]characters!$A$1,0,0,COUNTA([1]characters!$A:$A),MATCH(AX$1,[1]characters!$1:$1,0)-MATCH($A$1,[1]characters!$1:$1,0)+1),MATCH(AX$1,[1]characters!$1:$1,0)-MATCH($A$1,[1]characters!$1:$1,0)+1,FALSE)</f>
        <v>3</v>
      </c>
      <c r="AY9" s="65">
        <v>1.05</v>
      </c>
      <c r="AZ9" s="65">
        <v>1.05</v>
      </c>
      <c r="BA9" s="65">
        <v>0</v>
      </c>
      <c r="BB9" s="65">
        <v>0.98</v>
      </c>
      <c r="BC9" s="11">
        <f ca="1">INDEX('RC6SV'!$A$1:$G$20,MATCH(H9,'RC6SV'!$A$1:$A$20,FALSE),MATCH(G9,'RC6SV'!$A$1:$G$1,FALSE))</f>
        <v>7600</v>
      </c>
      <c r="BD9" s="45">
        <f t="shared" ca="1" si="10"/>
        <v>7600</v>
      </c>
      <c r="BE9" s="11">
        <f t="shared" ca="1" si="3"/>
        <v>5800</v>
      </c>
      <c r="BF9" s="11">
        <f t="shared" ca="1" si="4"/>
        <v>1</v>
      </c>
      <c r="BG9" s="16">
        <f ca="1">IF($BE9&lt;=0,ROUND(BK9*0.5,0), ROUND($BE9*S9*AA9*J9*AY9*0.8*[1]ステータス!$B$2,0))</f>
        <v>2387</v>
      </c>
      <c r="BH9" s="16">
        <f ca="1">IF($BE9&lt;=0,ROUND(BL9*0.5,0), ROUND($BE9*T9*AB9*K9*AZ9*0.8*[1]ステータス!$C$2,0))</f>
        <v>1963</v>
      </c>
      <c r="BI9" s="16">
        <f ca="1">IF($BE9&lt;=0,ROUND(BM9*0.5,0), ROUND($BE9*U9*AC9*L9*BA9*0.8*[1]ステータス!$D$2,0))</f>
        <v>0</v>
      </c>
      <c r="BJ9" s="16">
        <f ca="1">IF($BE9&lt;=0,ROUND(BN9*0.5,0), ROUND($BE9*V9*AD9*M9*BB9*0.8*[1]ステータス!$E$2,0))</f>
        <v>769</v>
      </c>
      <c r="BK9" s="164">
        <f ca="1">ROUND(BD9*S9*AA9*J9*AY9*[1]ステータス!$B$2,0)</f>
        <v>3910</v>
      </c>
      <c r="BL9" s="164">
        <f ca="1">ROUND(BD9*T9*AB9*K9*AZ9*[1]ステータス!$C$2,0)</f>
        <v>3216</v>
      </c>
      <c r="BM9" s="164">
        <f ca="1">ROUND(BD9*U9*AC9*L9*BA9*[1]ステータス!$D$2,0)</f>
        <v>0</v>
      </c>
      <c r="BN9" s="164">
        <f ca="1">ROUND(BD9*V9*AD9*M9*BB9*[1]ステータス!$E$2,0)</f>
        <v>1260</v>
      </c>
      <c r="BO9" s="10">
        <v>0</v>
      </c>
      <c r="BP9" s="10">
        <v>1</v>
      </c>
      <c r="BQ9" s="10" t="s">
        <v>44</v>
      </c>
      <c r="BR9" s="10">
        <f ca="1">VLOOKUP(H9,ghosts_label!$A$2:$B$19,2,FALSE)</f>
        <v>1</v>
      </c>
    </row>
    <row r="10" spans="1:70" ht="26" customHeight="1" x14ac:dyDescent="0.15">
      <c r="A10" s="12">
        <v>985</v>
      </c>
      <c r="B10" s="54" t="str">
        <f ca="1">VLOOKUP($A10,OFFSET([1]characters!$A$1,0,0,COUNTA([1]characters!$A:$A),MATCH(B$1,[1]characters!$1:$1,0)-MATCH($A$1,[1]characters!$1:$1,0)+1),MATCH(B$1,[1]characters!$1:$1,0)-MATCH($A$1,[1]characters!$1:$1,0)+1,FALSE)</f>
        <v>エレン</v>
      </c>
      <c r="C10" s="54" t="str">
        <f ca="1">VLOOKUP($A10,OFFSET([1]characters!$A$1,0,0,COUNTA([1]characters!$A:$A),MATCH(C$1,[1]characters!$1:$1,0)-MATCH($A$1,[1]characters!$1:$1,0)+1),MATCH(C$1,[1]characters!$1:$1,0)-MATCH($A$1,[1]characters!$1:$1,0)+1,FALSE)</f>
        <v>エレン・イェーガー</v>
      </c>
      <c r="D10" s="54" t="str">
        <f ca="1">VLOOKUP($A10,OFFSET([1]characters!$A$1,0,0,COUNTA([1]characters!$A:$A),MATCH(D$1,[1]characters!$1:$1,0)-MATCH($A$1,[1]characters!$1:$1,0)+1),MATCH(D$1,[1]characters!$1:$1,0)-MATCH($A$1,[1]characters!$1:$1,0)+1,FALSE)</f>
        <v>執行者</v>
      </c>
      <c r="E10" s="54" t="str">
        <f ca="1">VLOOKUP($A10,OFFSET([1]characters!$A$1,0,0,COUNTA([1]characters!$A:$A),MATCH(E$1,[1]characters!$1:$1,0)-MATCH($A$1,[1]characters!$1:$1,0)+1),MATCH(E$1,[1]characters!$1:$1,0)-MATCH($A$1,[1]characters!$1:$1,0)+1,FALSE)</f>
        <v>格好いい</v>
      </c>
      <c r="F10" s="54" t="str">
        <f ca="1">VLOOKUP($A10,OFFSET([1]characters!$A$1,0,0,COUNTA([1]characters!$A:$A),MATCH(F$1,[1]characters!$1:$1,0)-MATCH($A$1,[1]characters!$1:$1,0)+1),MATCH(F$1,[1]characters!$1:$1,0)-MATCH($A$1,[1]characters!$1:$1,0)+1,FALSE)</f>
        <v>男性</v>
      </c>
      <c r="G10" s="54">
        <f ca="1">VLOOKUP($A10,OFFSET([1]characters!$A$1,0,0,COUNTA([1]characters!$A:$A),MATCH(G$1,[1]characters!$1:$1,0)-MATCH($A$1,[1]characters!$1:$1,0)+1),MATCH(G$1,[1]characters!$1:$1,0)-MATCH($A$1,[1]characters!$1:$1,0)+1,FALSE)</f>
        <v>5</v>
      </c>
      <c r="H10" s="54" t="str">
        <f ca="1">VLOOKUP($A10,OFFSET([1]characters!$A$1,0,0,COUNTA([1]characters!$A:$A),MATCH(H$1,[1]characters!$1:$1,0)-MATCH($A$1,[1]characters!$1:$1,0)+1),MATCH(H$1,[1]characters!$1:$1,0)-MATCH($A$1,[1]characters!$1:$1,0)+1,FALSE)</f>
        <v>PremiumSS</v>
      </c>
      <c r="I10" s="54" t="str">
        <f ca="1">VLOOKUP($A10,OFFSET([1]characters!$A$1,0,0,COUNTA([1]characters!$A:$A),MATCH(I$1,[1]characters!$1:$1,0)-MATCH($A$1,[1]characters!$1:$1,0)+1),MATCH(I$1,[1]characters!$1:$1,0)-MATCH($A$1,[1]characters!$1:$1,0)+1,FALSE)</f>
        <v>red</v>
      </c>
      <c r="J10" s="11">
        <f ca="1">VLOOKUP(I10,[1]属性!$A:$E,2,FALSE)</f>
        <v>1</v>
      </c>
      <c r="K10" s="11">
        <f ca="1">VLOOKUP(I10,[1]属性!$A:$E,3,FALSE)</f>
        <v>1.02</v>
      </c>
      <c r="L10" s="11">
        <f ca="1">VLOOKUP(I10,[1]属性!$A:$E,4,FALSE)</f>
        <v>1</v>
      </c>
      <c r="M10" s="11">
        <f ca="1">VLOOKUP(I10,[1]属性!$A:$E,5,FALSE)</f>
        <v>0.98</v>
      </c>
      <c r="N10" s="11">
        <f ca="1">INDEX(コスト!$A$1:$I$20,MATCH(H10,コスト!$A$1:$A$20,FALSE),MATCH(G10,コスト!$A$1:$I$1,FALSE))</f>
        <v>35</v>
      </c>
      <c r="O10" s="11">
        <f ca="1">INDEX(レベル!$A$1:$I$21,MATCH(H10,レベル!$A$1:$A$21,FALSE),MATCH(G10,レベル!$A$1:$I$1,FALSE))</f>
        <v>80</v>
      </c>
      <c r="P10" s="45">
        <f t="shared" ca="1" si="11"/>
        <v>75</v>
      </c>
      <c r="Q10" s="54"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4" t="str">
        <f ca="1">VLOOKUP($A10,OFFSET([1]characters!$A$1,0,0,COUNTA([1]characters!$A:$A),MATCH(W$1,[1]characters!$1:$1,0)-MATCH($A$1,[1]characters!$1:$1,0)+1),MATCH(W$1,[1]characters!$1:$1,0)-MATCH($A$1,[1]characters!$1:$1,0)+1,FALSE)</f>
        <v>human</v>
      </c>
      <c r="X10" s="5" t="str">
        <f ca="1">VLOOKUP(W10,[1]character_tribe_i18n!$A:$H,3,FALSE)</f>
        <v>ヒューマン</v>
      </c>
      <c r="Y10" s="54" t="str">
        <f ca="1">VLOOKUP($A10,OFFSET([1]characters!$A$1,0,0,COUNTA([1]characters!$A:$A),MATCH(Y$1,[1]characters!$1:$1,0)-MATCH($A$1,[1]characters!$1:$1,0)+1),MATCH(Y$1,[1]characters!$1:$1,0)-MATCH($A$1,[1]characters!$1:$1,0)+1,FALSE)</f>
        <v>machine</v>
      </c>
      <c r="Z10" s="5" t="str">
        <f ca="1">VLOOKUP(Y10,[1]character_tribe_i18n!$A:$H,3,FALSE)</f>
        <v>マシン</v>
      </c>
      <c r="AA10" s="11">
        <f ca="1">VLOOKUP(W10,[1]character_tribe_i18n!$A:$H,4,FALSE)</f>
        <v>0.94</v>
      </c>
      <c r="AB10" s="11">
        <f ca="1">VLOOKUP(W10,[1]character_tribe_i18n!$A:$H,5,FALSE)</f>
        <v>0.99</v>
      </c>
      <c r="AC10" s="11">
        <f ca="1">VLOOKUP(W10,[1]character_tribe_i18n!$A:$H,6,FALSE)</f>
        <v>1</v>
      </c>
      <c r="AD10" s="11">
        <f ca="1">VLOOKUP(W10,[1]character_tribe_i18n!$A:$H,7,FALSE)</f>
        <v>1.07</v>
      </c>
      <c r="AE10" s="9">
        <f t="shared" ref="AE10" si="14">A11</f>
        <v>986</v>
      </c>
      <c r="AF10" s="59" t="str">
        <f ca="1">IF(AE10="NULL","",VLOOKUP($AE10,OFFSET([1]characters!$A$1,0,0,COUNTA([1]characters!$A:$A),MATCH(AF$1,[1]characters!$1:$1,0)-MATCH($A$1,[1]characters!$1:$1,0)+1),MATCH(AF$1,[1]characters!$1:$1,0)-MATCH($A$1,[1]characters!$1:$1,0)+1,FALSE))</f>
        <v>復讐の誓約 エレン</v>
      </c>
      <c r="AG10" s="5">
        <f t="shared" ca="1" si="0"/>
        <v>985</v>
      </c>
      <c r="AH10" s="59" t="str">
        <f ca="1">VLOOKUP($AG10,OFFSET([1]characters!$A$1,0,0,COUNTA([1]characters!$A:$A),MATCH(AH$1,[1]characters!$1:$1,0)-MATCH($A$1,[1]characters!$1:$1,0)+1),MATCH(AH$1,[1]characters!$1:$1,0)-MATCH($A$1,[1]characters!$1:$1,0)+1,FALSE)</f>
        <v>エレン</v>
      </c>
      <c r="AI10" s="11">
        <f ca="1">IF(AE10="NULL","NULL",VLOOKUP(G10,ビット!$A$2:$B$7,2))</f>
        <v>200000</v>
      </c>
      <c r="AJ10" s="6">
        <v>2</v>
      </c>
      <c r="AK10" s="7" t="str">
        <f t="shared" si="9"/>
        <v>普通</v>
      </c>
      <c r="AL10" s="11" t="str">
        <f ca="1">INDEX(経験値!$A$1:$I$20,MATCH(H10,経験値!$A$1:$A$20,FALSE),MATCH(G10,経験値!$A$1:$I$1,FALSE))</f>
        <v>required_exp_200</v>
      </c>
      <c r="AM10" s="8">
        <f ca="1">VLOOKUP(G10,経験値!$A$27:$B$31,2)</f>
        <v>6400</v>
      </c>
      <c r="AN10" s="17">
        <f ca="1">VLOOKUP(G10,ビット!$G$2:$H$7,2)</f>
        <v>900</v>
      </c>
      <c r="AO10" s="42"/>
      <c r="AP10" s="64">
        <f t="shared" si="5"/>
        <v>985</v>
      </c>
      <c r="AQ10" s="54" t="str">
        <f ca="1">VLOOKUP($AP10,OFFSET(unit_skills!$A$1,0,0,COUNTA(unit_skills!$A:$A),MATCH(AQ$1,unit_skills!$1:$1,0)-MATCH($AP$1,unit_skills!$1:$1,0)+1),MATCH(AQ$1,unit_skills!$1:$1,0)-MATCH($AP$1,unit_skills!$1:$1,0)+1,FALSE)</f>
        <v>迫撃の立体機動</v>
      </c>
      <c r="AR10" s="54" t="str">
        <f ca="1">VLOOKUP($AP10,OFFSET(unit_skills!$A$1,0,0,COUNTA(unit_skills!$A:$A),MATCH(AR$1,unit_skills!$1:$1,0)-MATCH($AP$1,unit_skills!$1:$1,0)+1),MATCH(AR$1,unit_skills!$1:$1,0)-MATCH($AP$1,unit_skills!$1:$1,0)+1,FALSE)</f>
        <v>ランダムで1つSCパネル(大)に変換</v>
      </c>
      <c r="AS10" s="54">
        <f ca="1">VLOOKUP($AP10,OFFSET(unit_skills!$A$1,0,0,COUNTA(unit_skills!$A:$A),MATCH(AS$1,unit_skills!$1:$1,0)-MATCH($AP$1,unit_skills!$1:$1,0)+1),MATCH(AS$1,unit_skills!$1:$1,0)-MATCH($AP$1,unit_skills!$1:$1,0)+1,FALSE)</f>
        <v>0</v>
      </c>
      <c r="AT10" s="39">
        <f t="shared" si="6"/>
        <v>985</v>
      </c>
      <c r="AU10" s="54" t="str">
        <f ca="1">VLOOKUP($AT10,OFFSET(crash_skills!$A$1,0,0,COUNTA(crash_skills!$A:$A),MATCH(AU$1,crash_skills!$1:$1,0)-MATCH($AT$1,crash_skills!$1:$1,0)+1),MATCH(AU$1,crash_skills!$1:$1,0)-MATCH($AT$1,crash_skills!$1:$1,0)+1,FALSE)</f>
        <v>炎情・スナップブレード</v>
      </c>
      <c r="AV10" s="54" t="str">
        <f ca="1">VLOOKUP($AT10,OFFSET(crash_skills!$A$1,0,0,COUNTA(crash_skills!$A:$A),MATCH(AV$1,crash_skills!$1:$1,0)-MATCH($AT$1,crash_skills!$1:$1,0)+1),MATCH(AV$1,crash_skills!$1:$1,0)-MATCH($AT$1,crash_skills!$1:$1,0)+1,FALSE)</f>
        <v>1体に大ダメージ</v>
      </c>
      <c r="AW10" s="54">
        <f ca="1">VLOOKUP($AT10,OFFSET(crash_skills!$A$1,0,0,COUNTA(crash_skills!$A:$A),MATCH(AW$1,crash_skills!$1:$1,0)-MATCH($AT$1,crash_skills!$1:$1,0)+1),MATCH(AW$1,crash_skills!$1:$1,0)-MATCH($AT$1,crash_skills!$1:$1,0)+1,FALSE)</f>
        <v>0</v>
      </c>
      <c r="AX10" s="55">
        <f ca="1">VLOOKUP($A10,OFFSET([1]characters!$A$1,0,0,COUNTA([1]characters!$A:$A),MATCH(AX$1,[1]characters!$1:$1,0)-MATCH($A$1,[1]characters!$1:$1,0)+1),MATCH(AX$1,[1]characters!$1:$1,0)-MATCH($A$1,[1]characters!$1:$1,0)+1,FALSE)</f>
        <v>3</v>
      </c>
      <c r="AY10" s="65">
        <v>1.05</v>
      </c>
      <c r="AZ10" s="65">
        <v>1.05</v>
      </c>
      <c r="BA10" s="65">
        <v>0</v>
      </c>
      <c r="BB10" s="65">
        <v>0.98</v>
      </c>
      <c r="BC10" s="11">
        <f ca="1">INDEX('RC6SV'!$A$1:$G$20,MATCH(H10,'RC6SV'!$A$1:$A$20,FALSE),MATCH(G10,'RC6SV'!$A$1:$G$1,FALSE))</f>
        <v>9500</v>
      </c>
      <c r="BD10" s="45">
        <f t="shared" ca="1" si="10"/>
        <v>9500</v>
      </c>
      <c r="BE10" s="11">
        <f t="shared" ca="1" si="3"/>
        <v>0</v>
      </c>
      <c r="BF10" s="11">
        <f t="shared" ca="1" si="4"/>
        <v>1</v>
      </c>
      <c r="BG10" s="16">
        <f ca="1">IF($BE10&lt;=0,ROUND(BK10*0.5,0), ROUND($BE10*S10*AA10*J10*AY10*0.8*[1]ステータス!$B$2,0))</f>
        <v>2344</v>
      </c>
      <c r="BH10" s="16">
        <f ca="1">IF($BE10&lt;=0,ROUND(BL10*0.5,0), ROUND($BE10*T10*AB10*K10*AZ10*0.8*[1]ステータス!$C$2,0))</f>
        <v>1511</v>
      </c>
      <c r="BI10" s="16">
        <f ca="1">IF($BE10&lt;=0,ROUND(BM10*0.5,0), ROUND($BE10*U10*AC10*L10*BA10*0.8*[1]ステータス!$D$2,0))</f>
        <v>0</v>
      </c>
      <c r="BJ10" s="16">
        <f ca="1">IF($BE10&lt;=0,ROUND(BN10*0.5,0), ROUND($BE10*V10*AD10*M10*BB10*0.8*[1]ステータス!$E$2,0))</f>
        <v>1221</v>
      </c>
      <c r="BK10" s="164">
        <f ca="1">ROUND(BD10*S10*AA10*J10*AY10*[1]ステータス!$B$2,0)</f>
        <v>4688</v>
      </c>
      <c r="BL10" s="164">
        <f ca="1">ROUND(BD10*T10*AB10*K10*AZ10*[1]ステータス!$C$2,0)</f>
        <v>3022</v>
      </c>
      <c r="BM10" s="164">
        <f ca="1">ROUND(BD10*U10*AC10*L10*BA10*[1]ステータス!$D$2,0)</f>
        <v>0</v>
      </c>
      <c r="BN10" s="164">
        <f ca="1">ROUND(BD10*V10*AD10*M10*BB10*[1]ステータス!$E$2,0)</f>
        <v>2441</v>
      </c>
      <c r="BO10" s="10">
        <v>0</v>
      </c>
      <c r="BP10" s="10">
        <v>1</v>
      </c>
      <c r="BQ10" s="10" t="s">
        <v>44</v>
      </c>
      <c r="BR10" s="214">
        <v>1833</v>
      </c>
    </row>
    <row r="11" spans="1:70" ht="26" customHeight="1" x14ac:dyDescent="0.15">
      <c r="A11" s="12">
        <v>986</v>
      </c>
      <c r="B11" s="54" t="str">
        <f ca="1">VLOOKUP($A11,OFFSET([1]characters!$A$1,0,0,COUNTA([1]characters!$A:$A),MATCH(B$1,[1]characters!$1:$1,0)-MATCH($A$1,[1]characters!$1:$1,0)+1),MATCH(B$1,[1]characters!$1:$1,0)-MATCH($A$1,[1]characters!$1:$1,0)+1,FALSE)</f>
        <v>復讐の誓約 エレン</v>
      </c>
      <c r="C11" s="54" t="str">
        <f ca="1">VLOOKUP($A11,OFFSET([1]characters!$A$1,0,0,COUNTA([1]characters!$A:$A),MATCH(C$1,[1]characters!$1:$1,0)-MATCH($A$1,[1]characters!$1:$1,0)+1),MATCH(C$1,[1]characters!$1:$1,0)-MATCH($A$1,[1]characters!$1:$1,0)+1,FALSE)</f>
        <v>エレン・イェーガー（人間）</v>
      </c>
      <c r="D11" s="54" t="str">
        <f ca="1">VLOOKUP($A11,OFFSET([1]characters!$A$1,0,0,COUNTA([1]characters!$A:$A),MATCH(D$1,[1]characters!$1:$1,0)-MATCH($A$1,[1]characters!$1:$1,0)+1),MATCH(D$1,[1]characters!$1:$1,0)-MATCH($A$1,[1]characters!$1:$1,0)+1,FALSE)</f>
        <v>執行者</v>
      </c>
      <c r="E11" s="54" t="str">
        <f ca="1">VLOOKUP($A11,OFFSET([1]characters!$A$1,0,0,COUNTA([1]characters!$A:$A),MATCH(E$1,[1]characters!$1:$1,0)-MATCH($A$1,[1]characters!$1:$1,0)+1),MATCH(E$1,[1]characters!$1:$1,0)-MATCH($A$1,[1]characters!$1:$1,0)+1,FALSE)</f>
        <v>格好いい</v>
      </c>
      <c r="F11" s="54" t="str">
        <f ca="1">VLOOKUP($A11,OFFSET([1]characters!$A$1,0,0,COUNTA([1]characters!$A:$A),MATCH(F$1,[1]characters!$1:$1,0)-MATCH($A$1,[1]characters!$1:$1,0)+1),MATCH(F$1,[1]characters!$1:$1,0)-MATCH($A$1,[1]characters!$1:$1,0)+1,FALSE)</f>
        <v>男性</v>
      </c>
      <c r="G11" s="54">
        <f ca="1">VLOOKUP($A11,OFFSET([1]characters!$A$1,0,0,COUNTA([1]characters!$A:$A),MATCH(G$1,[1]characters!$1:$1,0)-MATCH($A$1,[1]characters!$1:$1,0)+1),MATCH(G$1,[1]characters!$1:$1,0)-MATCH($A$1,[1]characters!$1:$1,0)+1,FALSE)</f>
        <v>6</v>
      </c>
      <c r="H11" s="54" t="str">
        <f ca="1">VLOOKUP($A11,OFFSET([1]characters!$A$1,0,0,COUNTA([1]characters!$A:$A),MATCH(H$1,[1]characters!$1:$1,0)-MATCH($A$1,[1]characters!$1:$1,0)+1),MATCH(H$1,[1]characters!$1:$1,0)-MATCH($A$1,[1]characters!$1:$1,0)+1,FALSE)</f>
        <v>PremiumSS</v>
      </c>
      <c r="I11" s="54" t="str">
        <f ca="1">VLOOKUP($A11,OFFSET([1]characters!$A$1,0,0,COUNTA([1]characters!$A:$A),MATCH(I$1,[1]characters!$1:$1,0)-MATCH($A$1,[1]characters!$1:$1,0)+1),MATCH(I$1,[1]characters!$1:$1,0)-MATCH($A$1,[1]characters!$1:$1,0)+1,FALSE)</f>
        <v>red</v>
      </c>
      <c r="J11" s="11">
        <f ca="1">VLOOKUP(I11,[1]属性!$A:$E,2,FALSE)</f>
        <v>1</v>
      </c>
      <c r="K11" s="11">
        <f ca="1">VLOOKUP(I11,[1]属性!$A:$E,3,FALSE)</f>
        <v>1.02</v>
      </c>
      <c r="L11" s="11">
        <f ca="1">VLOOKUP(I11,[1]属性!$A:$E,4,FALSE)</f>
        <v>1</v>
      </c>
      <c r="M11" s="11">
        <f ca="1">VLOOKUP(I11,[1]属性!$A:$E,5,FALSE)</f>
        <v>0.98</v>
      </c>
      <c r="N11" s="11">
        <f ca="1">INDEX(コスト!$A$1:$I$20,MATCH(H11,コスト!$A$1:$A$20,FALSE),MATCH(G11,コスト!$A$1:$I$1,FALSE))</f>
        <v>50</v>
      </c>
      <c r="O11" s="11">
        <f ca="1">INDEX(レベル!$A$1:$I$21,MATCH(H11,レベル!$A$1:$A$21,FALSE),MATCH(G11,レベル!$A$1:$I$1,FALSE))</f>
        <v>99</v>
      </c>
      <c r="P11" s="45">
        <f t="shared" ca="1" si="11"/>
        <v>99</v>
      </c>
      <c r="Q11" s="54"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4" t="str">
        <f ca="1">VLOOKUP($A11,OFFSET([1]characters!$A$1,0,0,COUNTA([1]characters!$A:$A),MATCH(W$1,[1]characters!$1:$1,0)-MATCH($A$1,[1]characters!$1:$1,0)+1),MATCH(W$1,[1]characters!$1:$1,0)-MATCH($A$1,[1]characters!$1:$1,0)+1,FALSE)</f>
        <v>human</v>
      </c>
      <c r="X11" s="5" t="str">
        <f ca="1">VLOOKUP(W11,[1]character_tribe_i18n!$A:$H,3,FALSE)</f>
        <v>ヒューマン</v>
      </c>
      <c r="Y11" s="54" t="str">
        <f ca="1">VLOOKUP($A11,OFFSET([1]characters!$A$1,0,0,COUNTA([1]characters!$A:$A),MATCH(Y$1,[1]characters!$1:$1,0)-MATCH($A$1,[1]characters!$1:$1,0)+1),MATCH(Y$1,[1]characters!$1:$1,0)-MATCH($A$1,[1]characters!$1:$1,0)+1,FALSE)</f>
        <v>machine</v>
      </c>
      <c r="Z11" s="5" t="str">
        <f ca="1">VLOOKUP(Y11,[1]character_tribe_i18n!$A:$H,3,FALSE)</f>
        <v>マシン</v>
      </c>
      <c r="AA11" s="11">
        <f ca="1">VLOOKUP(W11,[1]character_tribe_i18n!$A:$H,4,FALSE)</f>
        <v>0.94</v>
      </c>
      <c r="AB11" s="11">
        <f ca="1">VLOOKUP(W11,[1]character_tribe_i18n!$A:$H,5,FALSE)</f>
        <v>0.99</v>
      </c>
      <c r="AC11" s="11">
        <f ca="1">VLOOKUP(W11,[1]character_tribe_i18n!$A:$H,6,FALSE)</f>
        <v>1</v>
      </c>
      <c r="AD11" s="11">
        <f ca="1">VLOOKUP(W11,[1]character_tribe_i18n!$A:$H,7,FALSE)</f>
        <v>1.07</v>
      </c>
      <c r="AE11" s="9" t="s">
        <v>178</v>
      </c>
      <c r="AF11" s="59" t="str">
        <f ca="1">IF(AE11="NULL","",VLOOKUP($AE11,OFFSET([1]characters!$A$1,0,0,COUNTA([1]characters!$A:$A),MATCH(AF$1,[1]characters!$1:$1,0)-MATCH($A$1,[1]characters!$1:$1,0)+1),MATCH(AF$1,[1]characters!$1:$1,0)-MATCH($A$1,[1]characters!$1:$1,0)+1,FALSE))</f>
        <v/>
      </c>
      <c r="AG11" s="5">
        <f t="shared" ca="1" si="0"/>
        <v>985</v>
      </c>
      <c r="AH11" s="59" t="str">
        <f ca="1">VLOOKUP($AG11,OFFSET([1]characters!$A$1,0,0,COUNTA([1]characters!$A:$A),MATCH(AH$1,[1]characters!$1:$1,0)-MATCH($A$1,[1]characters!$1:$1,0)+1),MATCH(AH$1,[1]characters!$1:$1,0)-MATCH($A$1,[1]characters!$1:$1,0)+1,FALSE)</f>
        <v>エレン</v>
      </c>
      <c r="AI11" s="11" t="str">
        <f>IF(AE11="NULL","NULL",VLOOKUP(G11,ビット!$A$2:$B$7,2))</f>
        <v>NULL</v>
      </c>
      <c r="AJ11" s="6">
        <v>2</v>
      </c>
      <c r="AK11" s="7" t="str">
        <f t="shared" si="9"/>
        <v>普通</v>
      </c>
      <c r="AL11" s="11" t="str">
        <f ca="1">INDEX(経験値!$A$1:$I$20,MATCH(H11,経験値!$A$1:$A$20,FALSE),MATCH(G11,経験値!$A$1:$I$1,FALSE))</f>
        <v>required_exp_250</v>
      </c>
      <c r="AM11" s="8">
        <f ca="1">VLOOKUP(G11,経験値!$A$27:$B$31,2)</f>
        <v>6400</v>
      </c>
      <c r="AN11" s="17">
        <f ca="1">VLOOKUP(G11,ビット!$G$2:$H$7,2)</f>
        <v>900</v>
      </c>
      <c r="AO11" s="42"/>
      <c r="AP11" s="64">
        <f t="shared" si="5"/>
        <v>986</v>
      </c>
      <c r="AQ11" s="54" t="str">
        <f ca="1">VLOOKUP($AP11,OFFSET(unit_skills!$A$1,0,0,COUNTA(unit_skills!$A:$A),MATCH(AQ$1,unit_skills!$1:$1,0)-MATCH($AP$1,unit_skills!$1:$1,0)+1),MATCH(AQ$1,unit_skills!$1:$1,0)-MATCH($AP$1,unit_skills!$1:$1,0)+1,FALSE)</f>
        <v>血讐の立体機動</v>
      </c>
      <c r="AR11" s="54" t="str">
        <f ca="1">VLOOKUP($AP11,OFFSET(unit_skills!$A$1,0,0,COUNTA(unit_skills!$A:$A),MATCH(AR$1,unit_skills!$1:$1,0)-MATCH($AP$1,unit_skills!$1:$1,0)+1),MATCH(AR$1,unit_skills!$1:$1,0)-MATCH($AP$1,unit_skills!$1:$1,0)+1,FALSE)</f>
        <v>ランダムで2つSCパネル(大)に変換</v>
      </c>
      <c r="AS11" s="54">
        <f ca="1">VLOOKUP($AP11,OFFSET(unit_skills!$A$1,0,0,COUNTA(unit_skills!$A:$A),MATCH(AS$1,unit_skills!$1:$1,0)-MATCH($AP$1,unit_skills!$1:$1,0)+1),MATCH(AS$1,unit_skills!$1:$1,0)-MATCH($AP$1,unit_skills!$1:$1,0)+1,FALSE)</f>
        <v>0</v>
      </c>
      <c r="AT11" s="39">
        <f t="shared" si="6"/>
        <v>986</v>
      </c>
      <c r="AU11" s="54" t="str">
        <f ca="1">VLOOKUP($AT11,OFFSET(crash_skills!$A$1,0,0,COUNTA(crash_skills!$A:$A),MATCH(AU$1,crash_skills!$1:$1,0)-MATCH($AT$1,crash_skills!$1:$1,0)+1),MATCH(AU$1,crash_skills!$1:$1,0)-MATCH($AT$1,crash_skills!$1:$1,0)+1,FALSE)</f>
        <v>二刀両断・スナップブレード</v>
      </c>
      <c r="AV11" s="54" t="str">
        <f ca="1">VLOOKUP($AT11,OFFSET(crash_skills!$A$1,0,0,COUNTA(crash_skills!$A:$A),MATCH(AV$1,crash_skills!$1:$1,0)-MATCH($AT$1,crash_skills!$1:$1,0)+1),MATCH(AV$1,crash_skills!$1:$1,0)-MATCH($AT$1,crash_skills!$1:$1,0)+1,FALSE)</f>
        <v>単体に2回大ダメージ</v>
      </c>
      <c r="AW11" s="54">
        <f ca="1">VLOOKUP($AT11,OFFSET(crash_skills!$A$1,0,0,COUNTA(crash_skills!$A:$A),MATCH(AW$1,crash_skills!$1:$1,0)-MATCH($AT$1,crash_skills!$1:$1,0)+1),MATCH(AW$1,crash_skills!$1:$1,0)-MATCH($AT$1,crash_skills!$1:$1,0)+1,FALSE)</f>
        <v>0</v>
      </c>
      <c r="AX11" s="55">
        <f ca="1">VLOOKUP($A11,OFFSET([1]characters!$A$1,0,0,COUNTA([1]characters!$A:$A),MATCH(AX$1,[1]characters!$1:$1,0)-MATCH($A$1,[1]characters!$1:$1,0)+1),MATCH(AX$1,[1]characters!$1:$1,0)-MATCH($A$1,[1]characters!$1:$1,0)+1,FALSE)</f>
        <v>3</v>
      </c>
      <c r="AY11" s="65">
        <v>1.05</v>
      </c>
      <c r="AZ11" s="65">
        <v>1.05</v>
      </c>
      <c r="BA11" s="65">
        <v>0</v>
      </c>
      <c r="BB11" s="65">
        <v>0.98</v>
      </c>
      <c r="BC11" s="11">
        <f ca="1">INDEX('RC6SV'!$A$1:$G$20,MATCH(H11,'RC6SV'!$A$1:$A$20,FALSE),MATCH(G11,'RC6SV'!$A$1:$G$1,FALSE))</f>
        <v>13000</v>
      </c>
      <c r="BD11" s="45">
        <f t="shared" ca="1" si="10"/>
        <v>13000</v>
      </c>
      <c r="BE11" s="11">
        <f t="shared" ca="1" si="3"/>
        <v>9500</v>
      </c>
      <c r="BF11" s="11">
        <f t="shared" ca="1" si="4"/>
        <v>1</v>
      </c>
      <c r="BG11" s="16">
        <f ca="1">IF($BE11&lt;=0,ROUND(BK11*0.5,0), ROUND($BE11*S11*AA11*J11*AY11*0.8*[1]ステータス!$B$2,0))</f>
        <v>3751</v>
      </c>
      <c r="BH11" s="16">
        <f ca="1">IF($BE11&lt;=0,ROUND(BL11*0.5,0), ROUND($BE11*T11*AB11*K11*AZ11*0.8*[1]ステータス!$C$2,0))</f>
        <v>2417</v>
      </c>
      <c r="BI11" s="16">
        <f ca="1">IF($BE11&lt;=0,ROUND(BM11*0.5,0), ROUND($BE11*U11*AC11*L11*BA11*0.8*[1]ステータス!$D$2,0))</f>
        <v>0</v>
      </c>
      <c r="BJ11" s="16">
        <f ca="1">IF($BE11&lt;=0,ROUND(BN11*0.5,0), ROUND($BE11*V11*AD11*M11*BB11*0.8*[1]ステータス!$E$2,0))</f>
        <v>1952</v>
      </c>
      <c r="BK11" s="164">
        <f ca="1">ROUND(BD11*S11*AA11*J11*AY11*[1]ステータス!$B$2,0)</f>
        <v>6416</v>
      </c>
      <c r="BL11" s="164">
        <f ca="1">ROUND(BD11*T11*AB11*K11*AZ11*[1]ステータス!$C$2,0)</f>
        <v>4135</v>
      </c>
      <c r="BM11" s="164">
        <f ca="1">ROUND(BD11*U11*AC11*L11*BA11*[1]ステータス!$D$2,0)</f>
        <v>0</v>
      </c>
      <c r="BN11" s="164">
        <f ca="1">ROUND(BD11*V11*AD11*M11*BB11*[1]ステータス!$E$2,0)</f>
        <v>3340</v>
      </c>
      <c r="BO11" s="10">
        <v>0</v>
      </c>
      <c r="BP11" s="10">
        <v>1</v>
      </c>
      <c r="BQ11" s="10" t="s">
        <v>44</v>
      </c>
      <c r="BR11" s="214">
        <v>1833</v>
      </c>
    </row>
    <row r="12" spans="1:70" ht="26" customHeight="1" x14ac:dyDescent="0.15">
      <c r="A12" s="12">
        <v>987</v>
      </c>
      <c r="B12" s="54" t="str">
        <f ca="1">VLOOKUP($A12,OFFSET([1]characters!$A$1,0,0,COUNTA([1]characters!$A:$A),MATCH(B$1,[1]characters!$1:$1,0)-MATCH($A$1,[1]characters!$1:$1,0)+1),MATCH(B$1,[1]characters!$1:$1,0)-MATCH($A$1,[1]characters!$1:$1,0)+1,FALSE)</f>
        <v>撃壊の眼煌 エレン巨人</v>
      </c>
      <c r="C12" s="54" t="str">
        <f ca="1">VLOOKUP($A12,OFFSET([1]characters!$A$1,0,0,COUNTA([1]characters!$A:$A),MATCH(C$1,[1]characters!$1:$1,0)-MATCH($A$1,[1]characters!$1:$1,0)+1),MATCH(C$1,[1]characters!$1:$1,0)-MATCH($A$1,[1]characters!$1:$1,0)+1,FALSE)</f>
        <v>エレン・イェーガー（巨人）</v>
      </c>
      <c r="D12" s="54" t="str">
        <f ca="1">VLOOKUP($A12,OFFSET([1]characters!$A$1,0,0,COUNTA([1]characters!$A:$A),MATCH(D$1,[1]characters!$1:$1,0)-MATCH($A$1,[1]characters!$1:$1,0)+1),MATCH(D$1,[1]characters!$1:$1,0)-MATCH($A$1,[1]characters!$1:$1,0)+1,FALSE)</f>
        <v>執行者</v>
      </c>
      <c r="E12" s="54" t="str">
        <f ca="1">VLOOKUP($A12,OFFSET([1]characters!$A$1,0,0,COUNTA([1]characters!$A:$A),MATCH(E$1,[1]characters!$1:$1,0)-MATCH($A$1,[1]characters!$1:$1,0)+1),MATCH(E$1,[1]characters!$1:$1,0)-MATCH($A$1,[1]characters!$1:$1,0)+1,FALSE)</f>
        <v>格好いい</v>
      </c>
      <c r="F12" s="54" t="str">
        <f ca="1">VLOOKUP($A12,OFFSET([1]characters!$A$1,0,0,COUNTA([1]characters!$A:$A),MATCH(F$1,[1]characters!$1:$1,0)-MATCH($A$1,[1]characters!$1:$1,0)+1),MATCH(F$1,[1]characters!$1:$1,0)-MATCH($A$1,[1]characters!$1:$1,0)+1,FALSE)</f>
        <v>男性</v>
      </c>
      <c r="G12" s="54">
        <f ca="1">VLOOKUP($A12,OFFSET([1]characters!$A$1,0,0,COUNTA([1]characters!$A:$A),MATCH(G$1,[1]characters!$1:$1,0)-MATCH($A$1,[1]characters!$1:$1,0)+1),MATCH(G$1,[1]characters!$1:$1,0)-MATCH($A$1,[1]characters!$1:$1,0)+1,FALSE)</f>
        <v>6</v>
      </c>
      <c r="H12" s="54" t="str">
        <f ca="1">VLOOKUP($A12,OFFSET([1]characters!$A$1,0,0,COUNTA([1]characters!$A:$A),MATCH(H$1,[1]characters!$1:$1,0)-MATCH($A$1,[1]characters!$1:$1,0)+1),MATCH(H$1,[1]characters!$1:$1,0)-MATCH($A$1,[1]characters!$1:$1,0)+1,FALSE)</f>
        <v>PremiumSS</v>
      </c>
      <c r="I12" s="54" t="str">
        <f ca="1">VLOOKUP($A12,OFFSET([1]characters!$A$1,0,0,COUNTA([1]characters!$A:$A),MATCH(I$1,[1]characters!$1:$1,0)-MATCH($A$1,[1]characters!$1:$1,0)+1),MATCH(I$1,[1]characters!$1:$1,0)-MATCH($A$1,[1]characters!$1:$1,0)+1,FALSE)</f>
        <v>blue</v>
      </c>
      <c r="J12" s="11">
        <f ca="1">VLOOKUP(I12,[1]属性!$A:$E,2,FALSE)</f>
        <v>1</v>
      </c>
      <c r="K12" s="11">
        <f ca="1">VLOOKUP(I12,[1]属性!$A:$E,3,FALSE)</f>
        <v>0.98</v>
      </c>
      <c r="L12" s="11">
        <f ca="1">VLOOKUP(I12,[1]属性!$A:$E,4,FALSE)</f>
        <v>1</v>
      </c>
      <c r="M12" s="11">
        <f ca="1">VLOOKUP(I12,[1]属性!$A:$E,5,FALSE)</f>
        <v>1.02</v>
      </c>
      <c r="N12" s="11">
        <f ca="1">INDEX(コスト!$A$1:$I$20,MATCH(H12,コスト!$A$1:$A$20,FALSE),MATCH(G12,コスト!$A$1:$I$1,FALSE))</f>
        <v>50</v>
      </c>
      <c r="O12" s="11">
        <f ca="1">INDEX(レベル!$A$1:$I$21,MATCH(H12,レベル!$A$1:$A$21,FALSE),MATCH(G12,レベル!$A$1:$I$1,FALSE))</f>
        <v>99</v>
      </c>
      <c r="P12" s="45">
        <f t="shared" ca="1" si="11"/>
        <v>99</v>
      </c>
      <c r="Q12" s="54" t="str">
        <f ca="1">VLOOKUP($A12,OFFSET([1]characters!$A$1,0,0,COUNTA([1]characters!$A:$A),MATCH(Q$1,[1]characters!$1:$1,0)-MATCH($A$1,[1]characters!$1:$1,0)+1),MATCH(Q$1,[1]characters!$1:$1,0)-MATCH($A$1,[1]characters!$1:$1,0)+1,FALSE)</f>
        <v>attack</v>
      </c>
      <c r="R12" s="5" t="str">
        <f ca="1">VLOOKUP(Q12,[1]character_type_i18n!$A:$H,3,FALSE)</f>
        <v>攻撃タイプ</v>
      </c>
      <c r="S12" s="11">
        <f ca="1">VLOOKUP(Q12,[1]character_type_i18n!$A:$H,4,FALSE)</f>
        <v>1</v>
      </c>
      <c r="T12" s="11">
        <f ca="1">VLOOKUP(Q12,[1]character_type_i18n!$A:$H,5,FALSE)</f>
        <v>1.33</v>
      </c>
      <c r="U12" s="11">
        <f ca="1">VLOOKUP(Q12,[1]character_type_i18n!$A:$H,6,FALSE)</f>
        <v>1</v>
      </c>
      <c r="V12" s="11">
        <f ca="1">VLOOKUP(Q12,[1]character_type_i18n!$A:$H,7,FALSE)</f>
        <v>0.67</v>
      </c>
      <c r="W12" s="54" t="str">
        <f ca="1">VLOOKUP($A12,OFFSET([1]characters!$A$1,0,0,COUNTA([1]characters!$A:$A),MATCH(W$1,[1]characters!$1:$1,0)-MATCH($A$1,[1]characters!$1:$1,0)+1),MATCH(W$1,[1]characters!$1:$1,0)-MATCH($A$1,[1]characters!$1:$1,0)+1,FALSE)</f>
        <v>unknown</v>
      </c>
      <c r="X12" s="5" t="str">
        <f ca="1">VLOOKUP(W12,[1]character_tribe_i18n!$A:$H,3,FALSE)</f>
        <v>Unknown</v>
      </c>
      <c r="Y12" s="54"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1</v>
      </c>
      <c r="AB12" s="11">
        <f ca="1">VLOOKUP(W12,[1]character_tribe_i18n!$A:$H,5,FALSE)</f>
        <v>1</v>
      </c>
      <c r="AC12" s="11">
        <f ca="1">VLOOKUP(W12,[1]character_tribe_i18n!$A:$H,6,FALSE)</f>
        <v>1</v>
      </c>
      <c r="AD12" s="11">
        <f ca="1">VLOOKUP(W12,[1]character_tribe_i18n!$A:$H,7,FALSE)</f>
        <v>1</v>
      </c>
      <c r="AE12" s="9" t="s">
        <v>178</v>
      </c>
      <c r="AF12" s="59" t="str">
        <f ca="1">IF(AE12="NULL","",VLOOKUP($AE12,OFFSET([1]characters!$A$1,0,0,COUNTA([1]characters!$A:$A),MATCH(AF$1,[1]characters!$1:$1,0)-MATCH($A$1,[1]characters!$1:$1,0)+1),MATCH(AF$1,[1]characters!$1:$1,0)-MATCH($A$1,[1]characters!$1:$1,0)+1,FALSE))</f>
        <v/>
      </c>
      <c r="AG12" s="214">
        <v>985</v>
      </c>
      <c r="AH12" s="59" t="str">
        <f ca="1">VLOOKUP($AG12,OFFSET([1]characters!$A$1,0,0,COUNTA([1]characters!$A:$A),MATCH(AH$1,[1]characters!$1:$1,0)-MATCH($A$1,[1]characters!$1:$1,0)+1),MATCH(AH$1,[1]characters!$1:$1,0)-MATCH($A$1,[1]characters!$1:$1,0)+1,FALSE)</f>
        <v>エレン</v>
      </c>
      <c r="AI12" s="11" t="str">
        <f>IF(AE12="NULL","NULL",VLOOKUP(G12,ビット!$A$2:$B$7,2))</f>
        <v>NULL</v>
      </c>
      <c r="AJ12" s="6">
        <v>2</v>
      </c>
      <c r="AK12" s="7" t="str">
        <f t="shared" si="9"/>
        <v>普通</v>
      </c>
      <c r="AL12" s="11" t="str">
        <f ca="1">INDEX(経験値!$A$1:$I$20,MATCH(H12,経験値!$A$1:$A$20,FALSE),MATCH(G12,経験値!$A$1:$I$1,FALSE))</f>
        <v>required_exp_250</v>
      </c>
      <c r="AM12" s="8">
        <f ca="1">VLOOKUP(G12,経験値!$A$27:$B$31,2)</f>
        <v>6400</v>
      </c>
      <c r="AN12" s="17">
        <f ca="1">VLOOKUP(G12,ビット!$G$2:$H$7,2)</f>
        <v>900</v>
      </c>
      <c r="AO12" s="42"/>
      <c r="AP12" s="64">
        <f t="shared" si="5"/>
        <v>987</v>
      </c>
      <c r="AQ12" s="54" t="str">
        <f ca="1">VLOOKUP($AP12,OFFSET(unit_skills!$A$1,0,0,COUNTA(unit_skills!$A:$A),MATCH(AQ$1,unit_skills!$1:$1,0)-MATCH($AP$1,unit_skills!$1:$1,0)+1),MATCH(AQ$1,unit_skills!$1:$1,0)-MATCH($AP$1,unit_skills!$1:$1,0)+1,FALSE)</f>
        <v>憤怒の巨拳</v>
      </c>
      <c r="AR12" s="54" t="str">
        <f ca="1">VLOOKUP($AP12,OFFSET(unit_skills!$A$1,0,0,COUNTA(unit_skills!$A:$A),MATCH(AR$1,unit_skills!$1:$1,0)-MATCH($AP$1,unit_skills!$1:$1,0)+1),MATCH(AR$1,unit_skills!$1:$1,0)-MATCH($AP$1,unit_skills!$1:$1,0)+1,FALSE)</f>
        <v>ランダムでSCパネルを3つ生成し、1ターン自身の攻撃力を超大UP</v>
      </c>
      <c r="AS12" s="54">
        <f ca="1">VLOOKUP($AP12,OFFSET(unit_skills!$A$1,0,0,COUNTA(unit_skills!$A:$A),MATCH(AS$1,unit_skills!$1:$1,0)-MATCH($AP$1,unit_skills!$1:$1,0)+1),MATCH(AS$1,unit_skills!$1:$1,0)-MATCH($AP$1,unit_skills!$1:$1,0)+1,FALSE)</f>
        <v>0</v>
      </c>
      <c r="AT12" s="39">
        <f t="shared" si="6"/>
        <v>987</v>
      </c>
      <c r="AU12" s="54" t="str">
        <f ca="1">VLOOKUP($AT12,OFFSET(crash_skills!$A$1,0,0,COUNTA(crash_skills!$A:$A),MATCH(AU$1,crash_skills!$1:$1,0)-MATCH($AT$1,crash_skills!$1:$1,0)+1),MATCH(AU$1,crash_skills!$1:$1,0)-MATCH($AT$1,crash_skills!$1:$1,0)+1,FALSE)</f>
        <v>自傷の代償</v>
      </c>
      <c r="AV12" s="54" t="str">
        <f ca="1">VLOOKUP($AT12,OFFSET(crash_skills!$A$1,0,0,COUNTA(crash_skills!$A:$A),MATCH(AV$1,crash_skills!$1:$1,0)-MATCH($AT$1,crash_skills!$1:$1,0)+1),MATCH(AV$1,crash_skills!$1:$1,0)-MATCH($AT$1,crash_skills!$1:$1,0)+1,FALSE)</f>
        <v>1体に特大ダメージ_x000D_Unknownに効果超大</v>
      </c>
      <c r="AW12" s="54">
        <f ca="1">VLOOKUP($AT12,OFFSET(crash_skills!$A$1,0,0,COUNTA(crash_skills!$A:$A),MATCH(AW$1,crash_skills!$1:$1,0)-MATCH($AT$1,crash_skills!$1:$1,0)+1),MATCH(AW$1,crash_skills!$1:$1,0)-MATCH($AT$1,crash_skills!$1:$1,0)+1,FALSE)</f>
        <v>0</v>
      </c>
      <c r="AX12" s="55">
        <f ca="1">VLOOKUP($A12,OFFSET([1]characters!$A$1,0,0,COUNTA([1]characters!$A:$A),MATCH(AX$1,[1]characters!$1:$1,0)-MATCH($A$1,[1]characters!$1:$1,0)+1),MATCH(AX$1,[1]characters!$1:$1,0)-MATCH($A$1,[1]characters!$1:$1,0)+1,FALSE)</f>
        <v>3</v>
      </c>
      <c r="AY12" s="65">
        <v>1.02</v>
      </c>
      <c r="AZ12" s="65">
        <v>1.03</v>
      </c>
      <c r="BA12" s="65">
        <v>0</v>
      </c>
      <c r="BB12" s="65">
        <v>0.98</v>
      </c>
      <c r="BC12" s="11">
        <f ca="1">INDEX('RC6SV'!$A$1:$G$20,MATCH(H12,'RC6SV'!$A$1:$A$20,FALSE),MATCH(G12,'RC6SV'!$A$1:$G$1,FALSE))</f>
        <v>13000</v>
      </c>
      <c r="BD12" s="45">
        <f t="shared" ca="1" si="10"/>
        <v>13000</v>
      </c>
      <c r="BE12" s="11">
        <f t="shared" ca="1" si="3"/>
        <v>0</v>
      </c>
      <c r="BF12" s="11">
        <f t="shared" ca="1" si="4"/>
        <v>1</v>
      </c>
      <c r="BG12" s="16">
        <f ca="1">IF($BE12&lt;=0,ROUND(BK12*0.5,0), ROUND($BE12*S12*AA12*J12*AY12*0.8*[1]ステータス!$B$2,0))</f>
        <v>3315</v>
      </c>
      <c r="BH12" s="16">
        <f ca="1">IF($BE12&lt;=0,ROUND(BL12*0.5,0), ROUND($BE12*T12*AB12*K12*AZ12*0.8*[1]ステータス!$C$2,0))</f>
        <v>2618</v>
      </c>
      <c r="BI12" s="16">
        <f ca="1">IF($BE12&lt;=0,ROUND(BM12*0.5,0), ROUND($BE12*U12*AC12*L12*BA12*0.8*[1]ステータス!$D$2,0))</f>
        <v>0</v>
      </c>
      <c r="BJ12" s="16">
        <f ca="1">IF($BE12&lt;=0,ROUND(BN12*0.5,0), ROUND($BE12*V12*AD12*M12*BB12*0.8*[1]ステータス!$E$2,0))</f>
        <v>1089</v>
      </c>
      <c r="BK12" s="164">
        <f ca="1">ROUND(BD12*S12*AA12*J12*AY12*[1]ステータス!$B$2,0)</f>
        <v>6630</v>
      </c>
      <c r="BL12" s="164">
        <f ca="1">ROUND(BD12*T12*AB12*K12*AZ12*[1]ステータス!$C$2,0)</f>
        <v>5236</v>
      </c>
      <c r="BM12" s="164">
        <f ca="1">ROUND(BD12*U12*AC12*L12*BA12*[1]ステータス!$D$2,0)</f>
        <v>0</v>
      </c>
      <c r="BN12" s="164">
        <f ca="1">ROUND(BD12*V12*AD12*M12*BB12*[1]ステータス!$E$2,0)</f>
        <v>2177</v>
      </c>
      <c r="BO12" s="10">
        <v>0</v>
      </c>
      <c r="BP12" s="10">
        <v>1</v>
      </c>
      <c r="BQ12" s="10" t="s">
        <v>44</v>
      </c>
      <c r="BR12" s="214">
        <v>1833</v>
      </c>
    </row>
    <row r="13" spans="1:70" ht="26" customHeight="1" x14ac:dyDescent="0.15">
      <c r="A13" s="12">
        <v>988</v>
      </c>
      <c r="B13" s="54" t="str">
        <f ca="1">VLOOKUP($A13,OFFSET([1]characters!$A$1,0,0,COUNTA([1]characters!$A:$A),MATCH(B$1,[1]characters!$1:$1,0)-MATCH($A$1,[1]characters!$1:$1,0)+1),MATCH(B$1,[1]characters!$1:$1,0)-MATCH($A$1,[1]characters!$1:$1,0)+1,FALSE)</f>
        <v>ミカサ</v>
      </c>
      <c r="C13" s="54" t="str">
        <f ca="1">VLOOKUP($A13,OFFSET([1]characters!$A$1,0,0,COUNTA([1]characters!$A:$A),MATCH(C$1,[1]characters!$1:$1,0)-MATCH($A$1,[1]characters!$1:$1,0)+1),MATCH(C$1,[1]characters!$1:$1,0)-MATCH($A$1,[1]characters!$1:$1,0)+1,FALSE)</f>
        <v>ミカサ・アッカーマン</v>
      </c>
      <c r="D13" s="54" t="str">
        <f ca="1">VLOOKUP($A13,OFFSET([1]characters!$A$1,0,0,COUNTA([1]characters!$A:$A),MATCH(D$1,[1]characters!$1:$1,0)-MATCH($A$1,[1]characters!$1:$1,0)+1),MATCH(D$1,[1]characters!$1:$1,0)-MATCH($A$1,[1]characters!$1:$1,0)+1,FALSE)</f>
        <v>執行者</v>
      </c>
      <c r="E13" s="54" t="str">
        <f ca="1">VLOOKUP($A13,OFFSET([1]characters!$A$1,0,0,COUNTA([1]characters!$A:$A),MATCH(E$1,[1]characters!$1:$1,0)-MATCH($A$1,[1]characters!$1:$1,0)+1),MATCH(E$1,[1]characters!$1:$1,0)-MATCH($A$1,[1]characters!$1:$1,0)+1,FALSE)</f>
        <v>格好いい</v>
      </c>
      <c r="F13" s="54" t="str">
        <f ca="1">VLOOKUP($A13,OFFSET([1]characters!$A$1,0,0,COUNTA([1]characters!$A:$A),MATCH(F$1,[1]characters!$1:$1,0)-MATCH($A$1,[1]characters!$1:$1,0)+1),MATCH(F$1,[1]characters!$1:$1,0)-MATCH($A$1,[1]characters!$1:$1,0)+1,FALSE)</f>
        <v>男性</v>
      </c>
      <c r="G13" s="54">
        <f ca="1">VLOOKUP($A13,OFFSET([1]characters!$A$1,0,0,COUNTA([1]characters!$A:$A),MATCH(G$1,[1]characters!$1:$1,0)-MATCH($A$1,[1]characters!$1:$1,0)+1),MATCH(G$1,[1]characters!$1:$1,0)-MATCH($A$1,[1]characters!$1:$1,0)+1,FALSE)</f>
        <v>5</v>
      </c>
      <c r="H13" s="54" t="str">
        <f ca="1">VLOOKUP($A13,OFFSET([1]characters!$A$1,0,0,COUNTA([1]characters!$A:$A),MATCH(H$1,[1]characters!$1:$1,0)-MATCH($A$1,[1]characters!$1:$1,0)+1),MATCH(H$1,[1]characters!$1:$1,0)-MATCH($A$1,[1]characters!$1:$1,0)+1,FALSE)</f>
        <v>PremiumSS</v>
      </c>
      <c r="I13" s="54" t="str">
        <f ca="1">VLOOKUP($A13,OFFSET([1]characters!$A$1,0,0,COUNTA([1]characters!$A:$A),MATCH(I$1,[1]characters!$1:$1,0)-MATCH($A$1,[1]characters!$1:$1,0)+1),MATCH(I$1,[1]characters!$1:$1,0)-MATCH($A$1,[1]characters!$1:$1,0)+1,FALSE)</f>
        <v>red</v>
      </c>
      <c r="J13" s="11">
        <f ca="1">VLOOKUP(I13,[1]属性!$A:$E,2,FALSE)</f>
        <v>1</v>
      </c>
      <c r="K13" s="11">
        <f ca="1">VLOOKUP(I13,[1]属性!$A:$E,3,FALSE)</f>
        <v>1.02</v>
      </c>
      <c r="L13" s="11">
        <f ca="1">VLOOKUP(I13,[1]属性!$A:$E,4,FALSE)</f>
        <v>1</v>
      </c>
      <c r="M13" s="11">
        <f ca="1">VLOOKUP(I13,[1]属性!$A:$E,5,FALSE)</f>
        <v>0.98</v>
      </c>
      <c r="N13" s="11">
        <f ca="1">INDEX(コスト!$A$1:$I$20,MATCH(H13,コスト!$A$1:$A$20,FALSE),MATCH(G13,コスト!$A$1:$I$1,FALSE))</f>
        <v>35</v>
      </c>
      <c r="O13" s="11">
        <f ca="1">INDEX(レベル!$A$1:$I$21,MATCH(H13,レベル!$A$1:$A$21,FALSE),MATCH(G13,レベル!$A$1:$I$1,FALSE))</f>
        <v>80</v>
      </c>
      <c r="P13" s="45">
        <f t="shared" ca="1" si="11"/>
        <v>75</v>
      </c>
      <c r="Q13" s="54" t="str">
        <f ca="1">VLOOKUP($A13,OFFSET([1]characters!$A$1,0,0,COUNTA([1]characters!$A:$A),MATCH(Q$1,[1]characters!$1:$1,0)-MATCH($A$1,[1]characters!$1:$1,0)+1),MATCH(Q$1,[1]characters!$1:$1,0)-MATCH($A$1,[1]characters!$1:$1,0)+1,FALSE)</f>
        <v>attack</v>
      </c>
      <c r="R13" s="5" t="str">
        <f ca="1">VLOOKUP(Q13,[1]character_type_i18n!$A:$H,3,FALSE)</f>
        <v>攻撃タイプ</v>
      </c>
      <c r="S13" s="11">
        <f ca="1">VLOOKUP(Q13,[1]character_type_i18n!$A:$H,4,FALSE)</f>
        <v>1</v>
      </c>
      <c r="T13" s="11">
        <f ca="1">VLOOKUP(Q13,[1]character_type_i18n!$A:$H,5,FALSE)</f>
        <v>1.33</v>
      </c>
      <c r="U13" s="11">
        <f ca="1">VLOOKUP(Q13,[1]character_type_i18n!$A:$H,6,FALSE)</f>
        <v>1</v>
      </c>
      <c r="V13" s="11">
        <f ca="1">VLOOKUP(Q13,[1]character_type_i18n!$A:$H,7,FALSE)</f>
        <v>0.67</v>
      </c>
      <c r="W13" s="54" t="str">
        <f ca="1">VLOOKUP($A13,OFFSET([1]characters!$A$1,0,0,COUNTA([1]characters!$A:$A),MATCH(W$1,[1]characters!$1:$1,0)-MATCH($A$1,[1]characters!$1:$1,0)+1),MATCH(W$1,[1]characters!$1:$1,0)-MATCH($A$1,[1]characters!$1:$1,0)+1,FALSE)</f>
        <v>human</v>
      </c>
      <c r="X13" s="5" t="str">
        <f ca="1">VLOOKUP(W13,[1]character_tribe_i18n!$A:$H,3,FALSE)</f>
        <v>ヒューマン</v>
      </c>
      <c r="Y13" s="54" t="str">
        <f ca="1">VLOOKUP($A13,OFFSET([1]characters!$A$1,0,0,COUNTA([1]characters!$A:$A),MATCH(Y$1,[1]characters!$1:$1,0)-MATCH($A$1,[1]characters!$1:$1,0)+1),MATCH(Y$1,[1]characters!$1:$1,0)-MATCH($A$1,[1]characters!$1:$1,0)+1,FALSE)</f>
        <v>machine</v>
      </c>
      <c r="Z13" s="5" t="str">
        <f ca="1">VLOOKUP(Y13,[1]character_tribe_i18n!$A:$H,3,FALSE)</f>
        <v>マシン</v>
      </c>
      <c r="AA13" s="11">
        <f ca="1">VLOOKUP(W13,[1]character_tribe_i18n!$A:$H,4,FALSE)</f>
        <v>0.94</v>
      </c>
      <c r="AB13" s="11">
        <f ca="1">VLOOKUP(W13,[1]character_tribe_i18n!$A:$H,5,FALSE)</f>
        <v>0.99</v>
      </c>
      <c r="AC13" s="11">
        <f ca="1">VLOOKUP(W13,[1]character_tribe_i18n!$A:$H,6,FALSE)</f>
        <v>1</v>
      </c>
      <c r="AD13" s="11">
        <f ca="1">VLOOKUP(W13,[1]character_tribe_i18n!$A:$H,7,FALSE)</f>
        <v>1.07</v>
      </c>
      <c r="AE13" s="9">
        <f>A14</f>
        <v>989</v>
      </c>
      <c r="AF13" s="59" t="str">
        <f ca="1">IF(AE13="NULL","",VLOOKUP($AE13,OFFSET([1]characters!$A$1,0,0,COUNTA([1]characters!$A:$A),MATCH(AF$1,[1]characters!$1:$1,0)-MATCH($A$1,[1]characters!$1:$1,0)+1),MATCH(AF$1,[1]characters!$1:$1,0)-MATCH($A$1,[1]characters!$1:$1,0)+1,FALSE))</f>
        <v>稀代の逸材 ミカサ</v>
      </c>
      <c r="AG13" s="5">
        <f t="shared" ref="AG13:AG28" ca="1" si="15">IF(ISNA(MATCH(A13,AE:AE,0)),A13,INDIRECT(ADDRESS(MATCH(A13,AE:AE,0),COLUMN())))</f>
        <v>988</v>
      </c>
      <c r="AH13" s="59" t="str">
        <f ca="1">VLOOKUP($AG13,OFFSET([1]characters!$A$1,0,0,COUNTA([1]characters!$A:$A),MATCH(AH$1,[1]characters!$1:$1,0)-MATCH($A$1,[1]characters!$1:$1,0)+1),MATCH(AH$1,[1]characters!$1:$1,0)-MATCH($A$1,[1]characters!$1:$1,0)+1,FALSE)</f>
        <v>ミカサ</v>
      </c>
      <c r="AI13" s="11">
        <f ca="1">IF(AE13="NULL","NULL",VLOOKUP(G13,ビット!$A$2:$B$7,2))</f>
        <v>200000</v>
      </c>
      <c r="AJ13" s="6">
        <v>2</v>
      </c>
      <c r="AK13" s="7" t="str">
        <f t="shared" si="9"/>
        <v>普通</v>
      </c>
      <c r="AL13" s="11" t="str">
        <f ca="1">INDEX(経験値!$A$1:$I$20,MATCH(H13,経験値!$A$1:$A$20,FALSE),MATCH(G13,経験値!$A$1:$I$1,FALSE))</f>
        <v>required_exp_200</v>
      </c>
      <c r="AM13" s="8">
        <f ca="1">VLOOKUP(G13,経験値!$A$27:$B$31,2)</f>
        <v>6400</v>
      </c>
      <c r="AN13" s="17">
        <f ca="1">VLOOKUP(G13,ビット!$G$2:$H$7,2)</f>
        <v>900</v>
      </c>
      <c r="AO13" s="42"/>
      <c r="AP13" s="64">
        <f t="shared" si="5"/>
        <v>988</v>
      </c>
      <c r="AQ13" s="54" t="str">
        <f ca="1">VLOOKUP($AP13,OFFSET(unit_skills!$A$1,0,0,COUNTA(unit_skills!$A:$A),MATCH(AQ$1,unit_skills!$1:$1,0)-MATCH($AP$1,unit_skills!$1:$1,0)+1),MATCH(AQ$1,unit_skills!$1:$1,0)-MATCH($AP$1,unit_skills!$1:$1,0)+1,FALSE)</f>
        <v>立体機動・急所斬り</v>
      </c>
      <c r="AR13" s="54" t="str">
        <f ca="1">VLOOKUP($AP13,OFFSET(unit_skills!$A$1,0,0,COUNTA(unit_skills!$A:$A),MATCH(AR$1,unit_skills!$1:$1,0)-MATCH($AP$1,unit_skills!$1:$1,0)+1),MATCH(AR$1,unit_skills!$1:$1,0)-MATCH($AP$1,unit_skills!$1:$1,0)+1,FALSE)</f>
        <v>緑パネルを赤パネルに変換+3ターン全ユニットの攻撃力を超大UPし、Cパネル生成短縮(効果特大)</v>
      </c>
      <c r="AS13" s="54">
        <f ca="1">VLOOKUP($AP13,OFFSET(unit_skills!$A$1,0,0,COUNTA(unit_skills!$A:$A),MATCH(AS$1,unit_skills!$1:$1,0)-MATCH($AP$1,unit_skills!$1:$1,0)+1),MATCH(AS$1,unit_skills!$1:$1,0)-MATCH($AP$1,unit_skills!$1:$1,0)+1,FALSE)</f>
        <v>0</v>
      </c>
      <c r="AT13" s="39">
        <f t="shared" si="6"/>
        <v>988</v>
      </c>
      <c r="AU13" s="54" t="str">
        <f ca="1">VLOOKUP($AT13,OFFSET(crash_skills!$A$1,0,0,COUNTA(crash_skills!$A:$A),MATCH(AU$1,crash_skills!$1:$1,0)-MATCH($AT$1,crash_skills!$1:$1,0)+1),MATCH(AU$1,crash_skills!$1:$1,0)-MATCH($AT$1,crash_skills!$1:$1,0)+1,FALSE)</f>
        <v>信念の護衛</v>
      </c>
      <c r="AV13" s="54" t="str">
        <f ca="1">VLOOKUP($AT13,OFFSET(crash_skills!$A$1,0,0,COUNTA(crash_skills!$A:$A),MATCH(AV$1,crash_skills!$1:$1,0)-MATCH($AT$1,crash_skills!$1:$1,0)+1),MATCH(AV$1,crash_skills!$1:$1,0)-MATCH($AT$1,crash_skills!$1:$1,0)+1,FALSE)</f>
        <v>単体に2回大ダメージ</v>
      </c>
      <c r="AW13" s="54">
        <f ca="1">VLOOKUP($AT13,OFFSET(crash_skills!$A$1,0,0,COUNTA(crash_skills!$A:$A),MATCH(AW$1,crash_skills!$1:$1,0)-MATCH($AT$1,crash_skills!$1:$1,0)+1),MATCH(AW$1,crash_skills!$1:$1,0)-MATCH($AT$1,crash_skills!$1:$1,0)+1,FALSE)</f>
        <v>0</v>
      </c>
      <c r="AX13" s="55">
        <f ca="1">VLOOKUP($A13,OFFSET([1]characters!$A$1,0,0,COUNTA([1]characters!$A:$A),MATCH(AX$1,[1]characters!$1:$1,0)-MATCH($A$1,[1]characters!$1:$1,0)+1),MATCH(AX$1,[1]characters!$1:$1,0)-MATCH($A$1,[1]characters!$1:$1,0)+1,FALSE)</f>
        <v>3</v>
      </c>
      <c r="AY13" s="65">
        <v>1.05</v>
      </c>
      <c r="AZ13" s="65">
        <v>1.05</v>
      </c>
      <c r="BA13" s="65">
        <v>0</v>
      </c>
      <c r="BB13" s="65">
        <v>0.98</v>
      </c>
      <c r="BC13" s="11">
        <f ca="1">INDEX('RC6SV'!$A$1:$G$20,MATCH(H13,'RC6SV'!$A$1:$A$20,FALSE),MATCH(G13,'RC6SV'!$A$1:$G$1,FALSE))</f>
        <v>9500</v>
      </c>
      <c r="BD13" s="45">
        <f t="shared" ca="1" si="10"/>
        <v>9500</v>
      </c>
      <c r="BE13" s="11">
        <f t="shared" ca="1" si="3"/>
        <v>0</v>
      </c>
      <c r="BF13" s="11">
        <f t="shared" ca="1" si="4"/>
        <v>1</v>
      </c>
      <c r="BG13" s="16">
        <f ca="1">IF($BE13&lt;=0,ROUND(BK13*0.5,0), ROUND($BE13*S13*AA13*J13*AY13*0.8*[1]ステータス!$B$2,0))</f>
        <v>2344</v>
      </c>
      <c r="BH13" s="16">
        <f ca="1">IF($BE13&lt;=0,ROUND(BL13*0.5,0), ROUND($BE13*T13*AB13*K13*AZ13*0.8*[1]ステータス!$C$2,0))</f>
        <v>2010</v>
      </c>
      <c r="BI13" s="16">
        <f ca="1">IF($BE13&lt;=0,ROUND(BM13*0.5,0), ROUND($BE13*U13*AC13*L13*BA13*0.8*[1]ステータス!$D$2,0))</f>
        <v>0</v>
      </c>
      <c r="BJ13" s="16">
        <f ca="1">IF($BE13&lt;=0,ROUND(BN13*0.5,0), ROUND($BE13*V13*AD13*M13*BB13*0.8*[1]ステータス!$E$2,0))</f>
        <v>818</v>
      </c>
      <c r="BK13" s="164">
        <f ca="1">ROUND(BD13*S13*AA13*J13*AY13*[1]ステータス!$B$2,0)</f>
        <v>4688</v>
      </c>
      <c r="BL13" s="164">
        <f ca="1">ROUND(BD13*T13*AB13*K13*AZ13*[1]ステータス!$C$2,0)</f>
        <v>4019</v>
      </c>
      <c r="BM13" s="164">
        <f ca="1">ROUND(BD13*U13*AC13*L13*BA13*[1]ステータス!$D$2,0)</f>
        <v>0</v>
      </c>
      <c r="BN13" s="164">
        <f ca="1">ROUND(BD13*V13*AD13*M13*BB13*[1]ステータス!$E$2,0)</f>
        <v>1635</v>
      </c>
      <c r="BO13" s="10">
        <v>0</v>
      </c>
      <c r="BP13" s="10">
        <v>1</v>
      </c>
      <c r="BQ13" s="10" t="s">
        <v>44</v>
      </c>
      <c r="BR13" s="214">
        <v>1833</v>
      </c>
    </row>
    <row r="14" spans="1:70" ht="26" customHeight="1" x14ac:dyDescent="0.15">
      <c r="A14" s="12">
        <v>989</v>
      </c>
      <c r="B14" s="54" t="str">
        <f ca="1">VLOOKUP($A14,OFFSET([1]characters!$A$1,0,0,COUNTA([1]characters!$A:$A),MATCH(B$1,[1]characters!$1:$1,0)-MATCH($A$1,[1]characters!$1:$1,0)+1),MATCH(B$1,[1]characters!$1:$1,0)-MATCH($A$1,[1]characters!$1:$1,0)+1,FALSE)</f>
        <v>稀代の逸材 ミカサ</v>
      </c>
      <c r="C14" s="54" t="str">
        <f ca="1">VLOOKUP($A14,OFFSET([1]characters!$A$1,0,0,COUNTA([1]characters!$A:$A),MATCH(C$1,[1]characters!$1:$1,0)-MATCH($A$1,[1]characters!$1:$1,0)+1),MATCH(C$1,[1]characters!$1:$1,0)-MATCH($A$1,[1]characters!$1:$1,0)+1,FALSE)</f>
        <v>ミカサ・アッカーマン</v>
      </c>
      <c r="D14" s="54" t="str">
        <f ca="1">VLOOKUP($A14,OFFSET([1]characters!$A$1,0,0,COUNTA([1]characters!$A:$A),MATCH(D$1,[1]characters!$1:$1,0)-MATCH($A$1,[1]characters!$1:$1,0)+1),MATCH(D$1,[1]characters!$1:$1,0)-MATCH($A$1,[1]characters!$1:$1,0)+1,FALSE)</f>
        <v>執行者</v>
      </c>
      <c r="E14" s="54" t="str">
        <f ca="1">VLOOKUP($A14,OFFSET([1]characters!$A$1,0,0,COUNTA([1]characters!$A:$A),MATCH(E$1,[1]characters!$1:$1,0)-MATCH($A$1,[1]characters!$1:$1,0)+1),MATCH(E$1,[1]characters!$1:$1,0)-MATCH($A$1,[1]characters!$1:$1,0)+1,FALSE)</f>
        <v>格好いい</v>
      </c>
      <c r="F14" s="54" t="str">
        <f ca="1">VLOOKUP($A14,OFFSET([1]characters!$A$1,0,0,COUNTA([1]characters!$A:$A),MATCH(F$1,[1]characters!$1:$1,0)-MATCH($A$1,[1]characters!$1:$1,0)+1),MATCH(F$1,[1]characters!$1:$1,0)-MATCH($A$1,[1]characters!$1:$1,0)+1,FALSE)</f>
        <v>男性</v>
      </c>
      <c r="G14" s="54">
        <f ca="1">VLOOKUP($A14,OFFSET([1]characters!$A$1,0,0,COUNTA([1]characters!$A:$A),MATCH(G$1,[1]characters!$1:$1,0)-MATCH($A$1,[1]characters!$1:$1,0)+1),MATCH(G$1,[1]characters!$1:$1,0)-MATCH($A$1,[1]characters!$1:$1,0)+1,FALSE)</f>
        <v>6</v>
      </c>
      <c r="H14" s="54" t="str">
        <f ca="1">VLOOKUP($A14,OFFSET([1]characters!$A$1,0,0,COUNTA([1]characters!$A:$A),MATCH(H$1,[1]characters!$1:$1,0)-MATCH($A$1,[1]characters!$1:$1,0)+1),MATCH(H$1,[1]characters!$1:$1,0)-MATCH($A$1,[1]characters!$1:$1,0)+1,FALSE)</f>
        <v>PremiumSS</v>
      </c>
      <c r="I14" s="54" t="str">
        <f ca="1">VLOOKUP($A14,OFFSET([1]characters!$A$1,0,0,COUNTA([1]characters!$A:$A),MATCH(I$1,[1]characters!$1:$1,0)-MATCH($A$1,[1]characters!$1:$1,0)+1),MATCH(I$1,[1]characters!$1:$1,0)-MATCH($A$1,[1]characters!$1:$1,0)+1,FALSE)</f>
        <v>red</v>
      </c>
      <c r="J14" s="11">
        <f ca="1">VLOOKUP(I14,[1]属性!$A:$E,2,FALSE)</f>
        <v>1</v>
      </c>
      <c r="K14" s="11">
        <f ca="1">VLOOKUP(I14,[1]属性!$A:$E,3,FALSE)</f>
        <v>1.02</v>
      </c>
      <c r="L14" s="11">
        <f ca="1">VLOOKUP(I14,[1]属性!$A:$E,4,FALSE)</f>
        <v>1</v>
      </c>
      <c r="M14" s="11">
        <f ca="1">VLOOKUP(I14,[1]属性!$A:$E,5,FALSE)</f>
        <v>0.98</v>
      </c>
      <c r="N14" s="11">
        <f ca="1">INDEX(コスト!$A$1:$I$20,MATCH(H14,コスト!$A$1:$A$20,FALSE),MATCH(G14,コスト!$A$1:$I$1,FALSE))</f>
        <v>50</v>
      </c>
      <c r="O14" s="11">
        <f ca="1">INDEX(レベル!$A$1:$I$21,MATCH(H14,レベル!$A$1:$A$21,FALSE),MATCH(G14,レベル!$A$1:$I$1,FALSE))</f>
        <v>99</v>
      </c>
      <c r="P14" s="45">
        <f t="shared" ca="1" si="11"/>
        <v>99</v>
      </c>
      <c r="Q14" s="54" t="str">
        <f ca="1">VLOOKUP($A14,OFFSET([1]characters!$A$1,0,0,COUNTA([1]characters!$A:$A),MATCH(Q$1,[1]characters!$1:$1,0)-MATCH($A$1,[1]characters!$1:$1,0)+1),MATCH(Q$1,[1]characters!$1:$1,0)-MATCH($A$1,[1]characters!$1:$1,0)+1,FALSE)</f>
        <v>attack</v>
      </c>
      <c r="R14" s="5" t="str">
        <f ca="1">VLOOKUP(Q14,[1]character_type_i18n!$A:$H,3,FALSE)</f>
        <v>攻撃タイプ</v>
      </c>
      <c r="S14" s="11">
        <f ca="1">VLOOKUP(Q14,[1]character_type_i18n!$A:$H,4,FALSE)</f>
        <v>1</v>
      </c>
      <c r="T14" s="11">
        <f ca="1">VLOOKUP(Q14,[1]character_type_i18n!$A:$H,5,FALSE)</f>
        <v>1.33</v>
      </c>
      <c r="U14" s="11">
        <f ca="1">VLOOKUP(Q14,[1]character_type_i18n!$A:$H,6,FALSE)</f>
        <v>1</v>
      </c>
      <c r="V14" s="11">
        <f ca="1">VLOOKUP(Q14,[1]character_type_i18n!$A:$H,7,FALSE)</f>
        <v>0.67</v>
      </c>
      <c r="W14" s="54" t="str">
        <f ca="1">VLOOKUP($A14,OFFSET([1]characters!$A$1,0,0,COUNTA([1]characters!$A:$A),MATCH(W$1,[1]characters!$1:$1,0)-MATCH($A$1,[1]characters!$1:$1,0)+1),MATCH(W$1,[1]characters!$1:$1,0)-MATCH($A$1,[1]characters!$1:$1,0)+1,FALSE)</f>
        <v>human</v>
      </c>
      <c r="X14" s="5" t="str">
        <f ca="1">VLOOKUP(W14,[1]character_tribe_i18n!$A:$H,3,FALSE)</f>
        <v>ヒューマン</v>
      </c>
      <c r="Y14" s="54" t="str">
        <f ca="1">VLOOKUP($A14,OFFSET([1]characters!$A$1,0,0,COUNTA([1]characters!$A:$A),MATCH(Y$1,[1]characters!$1:$1,0)-MATCH($A$1,[1]characters!$1:$1,0)+1),MATCH(Y$1,[1]characters!$1:$1,0)-MATCH($A$1,[1]characters!$1:$1,0)+1,FALSE)</f>
        <v>machine</v>
      </c>
      <c r="Z14" s="5" t="str">
        <f ca="1">VLOOKUP(Y14,[1]character_tribe_i18n!$A:$H,3,FALSE)</f>
        <v>マシン</v>
      </c>
      <c r="AA14" s="11">
        <f ca="1">VLOOKUP(W14,[1]character_tribe_i18n!$A:$H,4,FALSE)</f>
        <v>0.94</v>
      </c>
      <c r="AB14" s="11">
        <f ca="1">VLOOKUP(W14,[1]character_tribe_i18n!$A:$H,5,FALSE)</f>
        <v>0.99</v>
      </c>
      <c r="AC14" s="11">
        <f ca="1">VLOOKUP(W14,[1]character_tribe_i18n!$A:$H,6,FALSE)</f>
        <v>1</v>
      </c>
      <c r="AD14" s="11">
        <f ca="1">VLOOKUP(W14,[1]character_tribe_i18n!$A:$H,7,FALSE)</f>
        <v>1.07</v>
      </c>
      <c r="AE14" s="9" t="s">
        <v>178</v>
      </c>
      <c r="AF14" s="59" t="str">
        <f ca="1">IF(AE14="NULL","",VLOOKUP($AE14,OFFSET([1]characters!$A$1,0,0,COUNTA([1]characters!$A:$A),MATCH(AF$1,[1]characters!$1:$1,0)-MATCH($A$1,[1]characters!$1:$1,0)+1),MATCH(AF$1,[1]characters!$1:$1,0)-MATCH($A$1,[1]characters!$1:$1,0)+1,FALSE))</f>
        <v/>
      </c>
      <c r="AG14" s="5">
        <f t="shared" ca="1" si="15"/>
        <v>988</v>
      </c>
      <c r="AH14" s="59" t="str">
        <f ca="1">VLOOKUP($AG14,OFFSET([1]characters!$A$1,0,0,COUNTA([1]characters!$A:$A),MATCH(AH$1,[1]characters!$1:$1,0)-MATCH($A$1,[1]characters!$1:$1,0)+1),MATCH(AH$1,[1]characters!$1:$1,0)-MATCH($A$1,[1]characters!$1:$1,0)+1,FALSE)</f>
        <v>ミカサ</v>
      </c>
      <c r="AI14" s="11" t="str">
        <f>IF(AE14="NULL","NULL",VLOOKUP(G14,ビット!$A$2:$B$7,2))</f>
        <v>NULL</v>
      </c>
      <c r="AJ14" s="6">
        <v>2</v>
      </c>
      <c r="AK14" s="7" t="str">
        <f t="shared" si="9"/>
        <v>普通</v>
      </c>
      <c r="AL14" s="11" t="str">
        <f ca="1">INDEX(経験値!$A$1:$I$20,MATCH(H14,経験値!$A$1:$A$20,FALSE),MATCH(G14,経験値!$A$1:$I$1,FALSE))</f>
        <v>required_exp_250</v>
      </c>
      <c r="AM14" s="8">
        <f ca="1">VLOOKUP(G14,経験値!$A$27:$B$31,2)</f>
        <v>6400</v>
      </c>
      <c r="AN14" s="17">
        <f ca="1">VLOOKUP(G14,ビット!$G$2:$H$7,2)</f>
        <v>900</v>
      </c>
      <c r="AO14" s="42"/>
      <c r="AP14" s="64">
        <f t="shared" si="5"/>
        <v>989</v>
      </c>
      <c r="AQ14" s="54" t="str">
        <f ca="1">VLOOKUP($AP14,OFFSET(unit_skills!$A$1,0,0,COUNTA(unit_skills!$A:$A),MATCH(AQ$1,unit_skills!$1:$1,0)-MATCH($AP$1,unit_skills!$1:$1,0)+1),MATCH(AQ$1,unit_skills!$1:$1,0)-MATCH($AP$1,unit_skills!$1:$1,0)+1,FALSE)</f>
        <v>立体機動・急所斬り</v>
      </c>
      <c r="AR14" s="54" t="str">
        <f ca="1">VLOOKUP($AP14,OFFSET(unit_skills!$A$1,0,0,COUNTA(unit_skills!$A:$A),MATCH(AR$1,unit_skills!$1:$1,0)-MATCH($AP$1,unit_skills!$1:$1,0)+1),MATCH(AR$1,unit_skills!$1:$1,0)-MATCH($AP$1,unit_skills!$1:$1,0)+1,FALSE)</f>
        <v>緑パネルを赤パネルに変換+3ターン全ユニットの攻撃力を超大UPし、Cパネル生成短縮(効果特大)</v>
      </c>
      <c r="AS14" s="54">
        <f ca="1">VLOOKUP($AP14,OFFSET(unit_skills!$A$1,0,0,COUNTA(unit_skills!$A:$A),MATCH(AS$1,unit_skills!$1:$1,0)-MATCH($AP$1,unit_skills!$1:$1,0)+1),MATCH(AS$1,unit_skills!$1:$1,0)-MATCH($AP$1,unit_skills!$1:$1,0)+1,FALSE)</f>
        <v>0</v>
      </c>
      <c r="AT14" s="39">
        <f t="shared" si="6"/>
        <v>989</v>
      </c>
      <c r="AU14" s="54" t="str">
        <f ca="1">VLOOKUP($AT14,OFFSET(crash_skills!$A$1,0,0,COUNTA(crash_skills!$A:$A),MATCH(AU$1,crash_skills!$1:$1,0)-MATCH($AT$1,crash_skills!$1:$1,0)+1),MATCH(AU$1,crash_skills!$1:$1,0)-MATCH($AT$1,crash_skills!$1:$1,0)+1,FALSE)</f>
        <v>信念の護衛</v>
      </c>
      <c r="AV14" s="54" t="str">
        <f ca="1">VLOOKUP($AT14,OFFSET(crash_skills!$A$1,0,0,COUNTA(crash_skills!$A:$A),MATCH(AV$1,crash_skills!$1:$1,0)-MATCH($AT$1,crash_skills!$1:$1,0)+1),MATCH(AV$1,crash_skills!$1:$1,0)-MATCH($AT$1,crash_skills!$1:$1,0)+1,FALSE)</f>
        <v>単体に2回大ダメージ</v>
      </c>
      <c r="AW14" s="54">
        <f ca="1">VLOOKUP($AT14,OFFSET(crash_skills!$A$1,0,0,COUNTA(crash_skills!$A:$A),MATCH(AW$1,crash_skills!$1:$1,0)-MATCH($AT$1,crash_skills!$1:$1,0)+1),MATCH(AW$1,crash_skills!$1:$1,0)-MATCH($AT$1,crash_skills!$1:$1,0)+1,FALSE)</f>
        <v>0</v>
      </c>
      <c r="AX14" s="55">
        <f ca="1">VLOOKUP($A14,OFFSET([1]characters!$A$1,0,0,COUNTA([1]characters!$A:$A),MATCH(AX$1,[1]characters!$1:$1,0)-MATCH($A$1,[1]characters!$1:$1,0)+1),MATCH(AX$1,[1]characters!$1:$1,0)-MATCH($A$1,[1]characters!$1:$1,0)+1,FALSE)</f>
        <v>3</v>
      </c>
      <c r="AY14" s="65">
        <v>1</v>
      </c>
      <c r="AZ14" s="65">
        <v>1</v>
      </c>
      <c r="BA14" s="65">
        <v>0</v>
      </c>
      <c r="BB14" s="65">
        <v>0.98</v>
      </c>
      <c r="BC14" s="11">
        <f ca="1">INDEX('RC6SV'!$A$1:$G$20,MATCH(H14,'RC6SV'!$A$1:$A$20,FALSE),MATCH(G14,'RC6SV'!$A$1:$G$1,FALSE))</f>
        <v>13000</v>
      </c>
      <c r="BD14" s="45">
        <f t="shared" ca="1" si="10"/>
        <v>13000</v>
      </c>
      <c r="BE14" s="11">
        <f t="shared" ca="1" si="3"/>
        <v>9500</v>
      </c>
      <c r="BF14" s="11">
        <f t="shared" ca="1" si="4"/>
        <v>1</v>
      </c>
      <c r="BG14" s="16">
        <f ca="1">IF($BE14&lt;=0,ROUND(BK14*0.5,0), ROUND($BE14*S14*AA14*J14*AY14*0.8*[1]ステータス!$B$2,0))</f>
        <v>3572</v>
      </c>
      <c r="BH14" s="16">
        <f ca="1">IF($BE14&lt;=0,ROUND(BL14*0.5,0), ROUND($BE14*T14*AB14*K14*AZ14*0.8*[1]ステータス!$C$2,0))</f>
        <v>3062</v>
      </c>
      <c r="BI14" s="16">
        <f ca="1">IF($BE14&lt;=0,ROUND(BM14*0.5,0), ROUND($BE14*U14*AC14*L14*BA14*0.8*[1]ステータス!$D$2,0))</f>
        <v>0</v>
      </c>
      <c r="BJ14" s="16">
        <f ca="1">IF($BE14&lt;=0,ROUND(BN14*0.5,0), ROUND($BE14*V14*AD14*M14*BB14*0.8*[1]ステータス!$E$2,0))</f>
        <v>1308</v>
      </c>
      <c r="BK14" s="164">
        <f ca="1">ROUND(BD14*S14*AA14*J14*AY14*[1]ステータス!$B$2,0)</f>
        <v>6110</v>
      </c>
      <c r="BL14" s="164">
        <f ca="1">ROUND(BD14*T14*AB14*K14*AZ14*[1]ステータス!$C$2,0)</f>
        <v>5238</v>
      </c>
      <c r="BM14" s="164">
        <f ca="1">ROUND(BD14*U14*AC14*L14*BA14*[1]ステータス!$D$2,0)</f>
        <v>0</v>
      </c>
      <c r="BN14" s="164">
        <f ca="1">ROUND(BD14*V14*AD14*M14*BB14*[1]ステータス!$E$2,0)</f>
        <v>2238</v>
      </c>
      <c r="BO14" s="10">
        <v>0</v>
      </c>
      <c r="BP14" s="10">
        <v>1</v>
      </c>
      <c r="BQ14" s="10" t="s">
        <v>44</v>
      </c>
      <c r="BR14" s="214">
        <v>1833</v>
      </c>
    </row>
    <row r="15" spans="1:70" ht="26" customHeight="1" x14ac:dyDescent="0.15">
      <c r="A15" s="12">
        <v>990</v>
      </c>
      <c r="B15" s="54" t="str">
        <f ca="1">VLOOKUP($A15,OFFSET([1]characters!$A$1,0,0,COUNTA([1]characters!$A:$A),MATCH(B$1,[1]characters!$1:$1,0)-MATCH($A$1,[1]characters!$1:$1,0)+1),MATCH(B$1,[1]characters!$1:$1,0)-MATCH($A$1,[1]characters!$1:$1,0)+1,FALSE)</f>
        <v>エルヴィン</v>
      </c>
      <c r="C15" s="54" t="str">
        <f ca="1">VLOOKUP($A15,OFFSET([1]characters!$A$1,0,0,COUNTA([1]characters!$A:$A),MATCH(C$1,[1]characters!$1:$1,0)-MATCH($A$1,[1]characters!$1:$1,0)+1),MATCH(C$1,[1]characters!$1:$1,0)-MATCH($A$1,[1]characters!$1:$1,0)+1,FALSE)</f>
        <v>エルヴィン・スミス</v>
      </c>
      <c r="D15" s="54" t="str">
        <f ca="1">VLOOKUP($A15,OFFSET([1]characters!$A$1,0,0,COUNTA([1]characters!$A:$A),MATCH(D$1,[1]characters!$1:$1,0)-MATCH($A$1,[1]characters!$1:$1,0)+1),MATCH(D$1,[1]characters!$1:$1,0)-MATCH($A$1,[1]characters!$1:$1,0)+1,FALSE)</f>
        <v>執行者</v>
      </c>
      <c r="E15" s="54" t="str">
        <f ca="1">VLOOKUP($A15,OFFSET([1]characters!$A$1,0,0,COUNTA([1]characters!$A:$A),MATCH(E$1,[1]characters!$1:$1,0)-MATCH($A$1,[1]characters!$1:$1,0)+1),MATCH(E$1,[1]characters!$1:$1,0)-MATCH($A$1,[1]characters!$1:$1,0)+1,FALSE)</f>
        <v>格好いい</v>
      </c>
      <c r="F15" s="54" t="str">
        <f ca="1">VLOOKUP($A15,OFFSET([1]characters!$A$1,0,0,COUNTA([1]characters!$A:$A),MATCH(F$1,[1]characters!$1:$1,0)-MATCH($A$1,[1]characters!$1:$1,0)+1),MATCH(F$1,[1]characters!$1:$1,0)-MATCH($A$1,[1]characters!$1:$1,0)+1,FALSE)</f>
        <v>男性</v>
      </c>
      <c r="G15" s="54">
        <f ca="1">VLOOKUP($A15,OFFSET([1]characters!$A$1,0,0,COUNTA([1]characters!$A:$A),MATCH(G$1,[1]characters!$1:$1,0)-MATCH($A$1,[1]characters!$1:$1,0)+1),MATCH(G$1,[1]characters!$1:$1,0)-MATCH($A$1,[1]characters!$1:$1,0)+1,FALSE)</f>
        <v>4</v>
      </c>
      <c r="H15" s="54" t="str">
        <f ca="1">VLOOKUP($A15,OFFSET([1]characters!$A$1,0,0,COUNTA([1]characters!$A:$A),MATCH(H$1,[1]characters!$1:$1,0)-MATCH($A$1,[1]characters!$1:$1,0)+1),MATCH(H$1,[1]characters!$1:$1,0)-MATCH($A$1,[1]characters!$1:$1,0)+1,FALSE)</f>
        <v>PremiumS</v>
      </c>
      <c r="I15" s="54" t="str">
        <f ca="1">VLOOKUP($A15,OFFSET([1]characters!$A$1,0,0,COUNTA([1]characters!$A:$A),MATCH(I$1,[1]characters!$1:$1,0)-MATCH($A$1,[1]characters!$1:$1,0)+1),MATCH(I$1,[1]characters!$1:$1,0)-MATCH($A$1,[1]characters!$1:$1,0)+1,FALSE)</f>
        <v>red</v>
      </c>
      <c r="J15" s="11">
        <f ca="1">VLOOKUP(I15,[1]属性!$A:$E,2,FALSE)</f>
        <v>1</v>
      </c>
      <c r="K15" s="11">
        <f ca="1">VLOOKUP(I15,[1]属性!$A:$E,3,FALSE)</f>
        <v>1.02</v>
      </c>
      <c r="L15" s="11">
        <f ca="1">VLOOKUP(I15,[1]属性!$A:$E,4,FALSE)</f>
        <v>1</v>
      </c>
      <c r="M15" s="11">
        <f ca="1">VLOOKUP(I15,[1]属性!$A:$E,5,FALSE)</f>
        <v>0.98</v>
      </c>
      <c r="N15" s="11">
        <f ca="1">INDEX(コスト!$A$1:$I$20,MATCH(H15,コスト!$A$1:$A$20,FALSE),MATCH(G15,コスト!$A$1:$I$1,FALSE))</f>
        <v>20</v>
      </c>
      <c r="O15" s="11">
        <f ca="1">INDEX(レベル!$A$1:$I$21,MATCH(H15,レベル!$A$1:$A$21,FALSE),MATCH(G15,レベル!$A$1:$I$1,FALSE))</f>
        <v>60</v>
      </c>
      <c r="P15" s="45">
        <f t="shared" ca="1" si="11"/>
        <v>60</v>
      </c>
      <c r="Q15" s="54" t="str">
        <f ca="1">VLOOKUP($A15,OFFSET([1]characters!$A$1,0,0,COUNTA([1]characters!$A:$A),MATCH(Q$1,[1]characters!$1:$1,0)-MATCH($A$1,[1]characters!$1:$1,0)+1),MATCH(Q$1,[1]characters!$1:$1,0)-MATCH($A$1,[1]characters!$1:$1,0)+1,FALSE)</f>
        <v>balance</v>
      </c>
      <c r="R15" s="5" t="str">
        <f ca="1">VLOOKUP(Q15,[1]character_type_i18n!$A:$H,3,FALSE)</f>
        <v>バランスタイプ</v>
      </c>
      <c r="S15" s="11">
        <f ca="1">VLOOKUP(Q15,[1]character_type_i18n!$A:$H,4,FALSE)</f>
        <v>1</v>
      </c>
      <c r="T15" s="11">
        <f ca="1">VLOOKUP(Q15,[1]character_type_i18n!$A:$H,5,FALSE)</f>
        <v>1</v>
      </c>
      <c r="U15" s="11">
        <f ca="1">VLOOKUP(Q15,[1]character_type_i18n!$A:$H,6,FALSE)</f>
        <v>1</v>
      </c>
      <c r="V15" s="11">
        <f ca="1">VLOOKUP(Q15,[1]character_type_i18n!$A:$H,7,FALSE)</f>
        <v>1</v>
      </c>
      <c r="W15" s="54" t="str">
        <f ca="1">VLOOKUP($A15,OFFSET([1]characters!$A$1,0,0,COUNTA([1]characters!$A:$A),MATCH(W$1,[1]characters!$1:$1,0)-MATCH($A$1,[1]characters!$1:$1,0)+1),MATCH(W$1,[1]characters!$1:$1,0)-MATCH($A$1,[1]characters!$1:$1,0)+1,FALSE)</f>
        <v>human</v>
      </c>
      <c r="X15" s="5" t="str">
        <f ca="1">VLOOKUP(W15,[1]character_tribe_i18n!$A:$H,3,FALSE)</f>
        <v>ヒューマン</v>
      </c>
      <c r="Y15" s="54" t="str">
        <f ca="1">VLOOKUP($A15,OFFSET([1]characters!$A$1,0,0,COUNTA([1]characters!$A:$A),MATCH(Y$1,[1]characters!$1:$1,0)-MATCH($A$1,[1]characters!$1:$1,0)+1),MATCH(Y$1,[1]characters!$1:$1,0)-MATCH($A$1,[1]characters!$1:$1,0)+1,FALSE)</f>
        <v>machine</v>
      </c>
      <c r="Z15" s="5" t="str">
        <f ca="1">VLOOKUP(Y15,[1]character_tribe_i18n!$A:$H,3,FALSE)</f>
        <v>マシン</v>
      </c>
      <c r="AA15" s="11">
        <f ca="1">VLOOKUP(W15,[1]character_tribe_i18n!$A:$H,4,FALSE)</f>
        <v>0.94</v>
      </c>
      <c r="AB15" s="11">
        <f ca="1">VLOOKUP(W15,[1]character_tribe_i18n!$A:$H,5,FALSE)</f>
        <v>0.99</v>
      </c>
      <c r="AC15" s="11">
        <f ca="1">VLOOKUP(W15,[1]character_tribe_i18n!$A:$H,6,FALSE)</f>
        <v>1</v>
      </c>
      <c r="AD15" s="11">
        <f ca="1">VLOOKUP(W15,[1]character_tribe_i18n!$A:$H,7,FALSE)</f>
        <v>1.07</v>
      </c>
      <c r="AE15" s="9">
        <f t="shared" ref="AE15" si="16">A16</f>
        <v>991</v>
      </c>
      <c r="AF15" s="59" t="str">
        <f ca="1">IF(AE15="NULL","",VLOOKUP($AE15,OFFSET([1]characters!$A$1,0,0,COUNTA([1]characters!$A:$A),MATCH(AF$1,[1]characters!$1:$1,0)-MATCH($A$1,[1]characters!$1:$1,0)+1),MATCH(AF$1,[1]characters!$1:$1,0)-MATCH($A$1,[1]characters!$1:$1,0)+1,FALSE))</f>
        <v>反撃の核心 エルヴィン</v>
      </c>
      <c r="AG15" s="5">
        <f t="shared" ca="1" si="15"/>
        <v>990</v>
      </c>
      <c r="AH15" s="59" t="str">
        <f ca="1">VLOOKUP($AG15,OFFSET([1]characters!$A$1,0,0,COUNTA([1]characters!$A:$A),MATCH(AH$1,[1]characters!$1:$1,0)-MATCH($A$1,[1]characters!$1:$1,0)+1),MATCH(AH$1,[1]characters!$1:$1,0)-MATCH($A$1,[1]characters!$1:$1,0)+1,FALSE)</f>
        <v>エルヴィン</v>
      </c>
      <c r="AI15" s="11">
        <f ca="1">IF(AE15="NULL","NULL",VLOOKUP(G15,ビット!$A$2:$B$7,2))</f>
        <v>50000</v>
      </c>
      <c r="AJ15" s="6">
        <v>2</v>
      </c>
      <c r="AK15" s="7" t="str">
        <f t="shared" si="9"/>
        <v>普通</v>
      </c>
      <c r="AL15" s="11" t="str">
        <f ca="1">INDEX(経験値!$A$1:$I$20,MATCH(H15,経験値!$A$1:$A$20,FALSE),MATCH(G15,経験値!$A$1:$I$1,FALSE))</f>
        <v>required_exp_200</v>
      </c>
      <c r="AM15" s="8">
        <f ca="1">VLOOKUP(G15,経験値!$A$27:$B$31,2)</f>
        <v>3400</v>
      </c>
      <c r="AN15" s="17">
        <f ca="1">VLOOKUP(G15,ビット!$G$2:$H$7,2)</f>
        <v>600</v>
      </c>
      <c r="AO15" s="42"/>
      <c r="AP15" s="64">
        <f t="shared" si="5"/>
        <v>990</v>
      </c>
      <c r="AQ15" s="54" t="str">
        <f ca="1">VLOOKUP($AP15,OFFSET(unit_skills!$A$1,0,0,COUNTA(unit_skills!$A:$A),MATCH(AQ$1,unit_skills!$1:$1,0)-MATCH($AP$1,unit_skills!$1:$1,0)+1),MATCH(AQ$1,unit_skills!$1:$1,0)-MATCH($AP$1,unit_skills!$1:$1,0)+1,FALSE)</f>
        <v>ブレイブ・アタック・オーダー</v>
      </c>
      <c r="AR15" s="54" t="str">
        <f ca="1">VLOOKUP($AP15,OFFSET(unit_skills!$A$1,0,0,COUNTA(unit_skills!$A:$A),MATCH(AR$1,unit_skills!$1:$1,0)-MATCH($AP$1,unit_skills!$1:$1,0)+1),MATCH(AR$1,unit_skills!$1:$1,0)-MATCH($AP$1,unit_skills!$1:$1,0)+1,FALSE)</f>
        <v>3ターンヒューマンの攻撃力と防御力と回復力を特大UP</v>
      </c>
      <c r="AS15" s="54">
        <f ca="1">VLOOKUP($AP15,OFFSET(unit_skills!$A$1,0,0,COUNTA(unit_skills!$A:$A),MATCH(AS$1,unit_skills!$1:$1,0)-MATCH($AP$1,unit_skills!$1:$1,0)+1),MATCH(AS$1,unit_skills!$1:$1,0)-MATCH($AP$1,unit_skills!$1:$1,0)+1,FALSE)</f>
        <v>0</v>
      </c>
      <c r="AT15" s="39">
        <f t="shared" si="6"/>
        <v>990</v>
      </c>
      <c r="AU15" s="54" t="str">
        <f ca="1">VLOOKUP($AT15,OFFSET(crash_skills!$A$1,0,0,COUNTA(crash_skills!$A:$A),MATCH(AU$1,crash_skills!$1:$1,0)-MATCH($AT$1,crash_skills!$1:$1,0)+1),MATCH(AU$1,crash_skills!$1:$1,0)-MATCH($AT$1,crash_skills!$1:$1,0)+1,FALSE)</f>
        <v>進軍の調査兵団</v>
      </c>
      <c r="AV15" s="54" t="str">
        <f ca="1">VLOOKUP($AT15,OFFSET(crash_skills!$A$1,0,0,COUNTA(crash_skills!$A:$A),MATCH(AV$1,crash_skills!$1:$1,0)-MATCH($AT$1,crash_skills!$1:$1,0)+1),MATCH(AV$1,crash_skills!$1:$1,0)-MATCH($AT$1,crash_skills!$1:$1,0)+1,FALSE)</f>
        <v>1体に特大ダメージ</v>
      </c>
      <c r="AW15" s="54">
        <f ca="1">VLOOKUP($AT15,OFFSET(crash_skills!$A$1,0,0,COUNTA(crash_skills!$A:$A),MATCH(AW$1,crash_skills!$1:$1,0)-MATCH($AT$1,crash_skills!$1:$1,0)+1),MATCH(AW$1,crash_skills!$1:$1,0)-MATCH($AT$1,crash_skills!$1:$1,0)+1,FALSE)</f>
        <v>0</v>
      </c>
      <c r="AX15" s="55">
        <f ca="1">VLOOKUP($A15,OFFSET([1]characters!$A$1,0,0,COUNTA([1]characters!$A:$A),MATCH(AX$1,[1]characters!$1:$1,0)-MATCH($A$1,[1]characters!$1:$1,0)+1),MATCH(AX$1,[1]characters!$1:$1,0)-MATCH($A$1,[1]characters!$1:$1,0)+1,FALSE)</f>
        <v>3</v>
      </c>
      <c r="AY15" s="65">
        <v>1.05</v>
      </c>
      <c r="AZ15" s="65">
        <v>1.05</v>
      </c>
      <c r="BA15" s="65">
        <v>0</v>
      </c>
      <c r="BB15" s="65">
        <v>1</v>
      </c>
      <c r="BC15" s="11">
        <f ca="1">INDEX('RC6SV'!$A$1:$G$20,MATCH(H15,'RC6SV'!$A$1:$A$20,FALSE),MATCH(G15,'RC6SV'!$A$1:$G$1,FALSE))</f>
        <v>7000</v>
      </c>
      <c r="BD15" s="45">
        <f t="shared" ca="1" si="10"/>
        <v>7000</v>
      </c>
      <c r="BE15" s="11">
        <f t="shared" ca="1" si="3"/>
        <v>0</v>
      </c>
      <c r="BF15" s="11">
        <f t="shared" ca="1" si="4"/>
        <v>1</v>
      </c>
      <c r="BG15" s="16">
        <f ca="1">IF($BE15&lt;=0,ROUND(BK15*0.5,0), ROUND($BE15*S15*AA15*J15*AY15*0.8*[1]ステータス!$B$2,0))</f>
        <v>1728</v>
      </c>
      <c r="BH15" s="16">
        <f ca="1">IF($BE15&lt;=0,ROUND(BL15*0.5,0), ROUND($BE15*T15*AB15*K15*AZ15*0.8*[1]ステータス!$C$2,0))</f>
        <v>1114</v>
      </c>
      <c r="BI15" s="16">
        <f ca="1">IF($BE15&lt;=0,ROUND(BM15*0.5,0), ROUND($BE15*U15*AC15*L15*BA15*0.8*[1]ステータス!$D$2,0))</f>
        <v>0</v>
      </c>
      <c r="BJ15" s="16">
        <f ca="1">IF($BE15&lt;=0,ROUND(BN15*0.5,0), ROUND($BE15*V15*AD15*M15*BB15*0.8*[1]ステータス!$E$2,0))</f>
        <v>918</v>
      </c>
      <c r="BK15" s="164">
        <f ca="1">ROUND(BD15*S15*AA15*J15*AY15*[1]ステータス!$B$2,0)</f>
        <v>3455</v>
      </c>
      <c r="BL15" s="164">
        <f ca="1">ROUND(BD15*T15*AB15*K15*AZ15*[1]ステータス!$C$2,0)</f>
        <v>2227</v>
      </c>
      <c r="BM15" s="164">
        <f ca="1">ROUND(BD15*U15*AC15*L15*BA15*[1]ステータス!$D$2,0)</f>
        <v>0</v>
      </c>
      <c r="BN15" s="164">
        <f ca="1">ROUND(BD15*V15*AD15*M15*BB15*[1]ステータス!$E$2,0)</f>
        <v>1835</v>
      </c>
      <c r="BO15" s="10">
        <v>0</v>
      </c>
      <c r="BP15" s="10">
        <v>1</v>
      </c>
      <c r="BQ15" s="10" t="s">
        <v>44</v>
      </c>
      <c r="BR15" s="214">
        <v>233</v>
      </c>
    </row>
    <row r="16" spans="1:70" ht="26" customHeight="1" x14ac:dyDescent="0.15">
      <c r="A16" s="12">
        <v>991</v>
      </c>
      <c r="B16" s="54" t="str">
        <f ca="1">VLOOKUP($A16,OFFSET([1]characters!$A$1,0,0,COUNTA([1]characters!$A:$A),MATCH(B$1,[1]characters!$1:$1,0)-MATCH($A$1,[1]characters!$1:$1,0)+1),MATCH(B$1,[1]characters!$1:$1,0)-MATCH($A$1,[1]characters!$1:$1,0)+1,FALSE)</f>
        <v>反撃の核心 エルヴィン</v>
      </c>
      <c r="C16" s="54" t="str">
        <f ca="1">VLOOKUP($A16,OFFSET([1]characters!$A$1,0,0,COUNTA([1]characters!$A:$A),MATCH(C$1,[1]characters!$1:$1,0)-MATCH($A$1,[1]characters!$1:$1,0)+1),MATCH(C$1,[1]characters!$1:$1,0)-MATCH($A$1,[1]characters!$1:$1,0)+1,FALSE)</f>
        <v>エルヴィン・スミス</v>
      </c>
      <c r="D16" s="54" t="str">
        <f ca="1">VLOOKUP($A16,OFFSET([1]characters!$A$1,0,0,COUNTA([1]characters!$A:$A),MATCH(D$1,[1]characters!$1:$1,0)-MATCH($A$1,[1]characters!$1:$1,0)+1),MATCH(D$1,[1]characters!$1:$1,0)-MATCH($A$1,[1]characters!$1:$1,0)+1,FALSE)</f>
        <v>執行者</v>
      </c>
      <c r="E16" s="54" t="str">
        <f ca="1">VLOOKUP($A16,OFFSET([1]characters!$A$1,0,0,COUNTA([1]characters!$A:$A),MATCH(E$1,[1]characters!$1:$1,0)-MATCH($A$1,[1]characters!$1:$1,0)+1),MATCH(E$1,[1]characters!$1:$1,0)-MATCH($A$1,[1]characters!$1:$1,0)+1,FALSE)</f>
        <v>格好いい</v>
      </c>
      <c r="F16" s="54" t="str">
        <f ca="1">VLOOKUP($A16,OFFSET([1]characters!$A$1,0,0,COUNTA([1]characters!$A:$A),MATCH(F$1,[1]characters!$1:$1,0)-MATCH($A$1,[1]characters!$1:$1,0)+1),MATCH(F$1,[1]characters!$1:$1,0)-MATCH($A$1,[1]characters!$1:$1,0)+1,FALSE)</f>
        <v>男性</v>
      </c>
      <c r="G16" s="54">
        <f ca="1">VLOOKUP($A16,OFFSET([1]characters!$A$1,0,0,COUNTA([1]characters!$A:$A),MATCH(G$1,[1]characters!$1:$1,0)-MATCH($A$1,[1]characters!$1:$1,0)+1),MATCH(G$1,[1]characters!$1:$1,0)-MATCH($A$1,[1]characters!$1:$1,0)+1,FALSE)</f>
        <v>5</v>
      </c>
      <c r="H16" s="54" t="str">
        <f ca="1">VLOOKUP($A16,OFFSET([1]characters!$A$1,0,0,COUNTA([1]characters!$A:$A),MATCH(H$1,[1]characters!$1:$1,0)-MATCH($A$1,[1]characters!$1:$1,0)+1),MATCH(H$1,[1]characters!$1:$1,0)-MATCH($A$1,[1]characters!$1:$1,0)+1,FALSE)</f>
        <v>PremiumS</v>
      </c>
      <c r="I16" s="54" t="str">
        <f ca="1">VLOOKUP($A16,OFFSET([1]characters!$A$1,0,0,COUNTA([1]characters!$A:$A),MATCH(I$1,[1]characters!$1:$1,0)-MATCH($A$1,[1]characters!$1:$1,0)+1),MATCH(I$1,[1]characters!$1:$1,0)-MATCH($A$1,[1]characters!$1:$1,0)+1,FALSE)</f>
        <v>red</v>
      </c>
      <c r="J16" s="11">
        <f ca="1">VLOOKUP(I16,[1]属性!$A:$E,2,FALSE)</f>
        <v>1</v>
      </c>
      <c r="K16" s="11">
        <f ca="1">VLOOKUP(I16,[1]属性!$A:$E,3,FALSE)</f>
        <v>1.02</v>
      </c>
      <c r="L16" s="11">
        <f ca="1">VLOOKUP(I16,[1]属性!$A:$E,4,FALSE)</f>
        <v>1</v>
      </c>
      <c r="M16" s="11">
        <f ca="1">VLOOKUP(I16,[1]属性!$A:$E,5,FALSE)</f>
        <v>0.98</v>
      </c>
      <c r="N16" s="11">
        <f ca="1">INDEX(コスト!$A$1:$I$20,MATCH(H16,コスト!$A$1:$A$20,FALSE),MATCH(G16,コスト!$A$1:$I$1,FALSE))</f>
        <v>30</v>
      </c>
      <c r="O16" s="11">
        <f ca="1">INDEX(レベル!$A$1:$I$21,MATCH(H16,レベル!$A$1:$A$21,FALSE),MATCH(G16,レベル!$A$1:$I$1,FALSE))</f>
        <v>80</v>
      </c>
      <c r="P16" s="45">
        <f t="shared" ca="1" si="11"/>
        <v>75</v>
      </c>
      <c r="Q16" s="54" t="str">
        <f ca="1">VLOOKUP($A16,OFFSET([1]characters!$A$1,0,0,COUNTA([1]characters!$A:$A),MATCH(Q$1,[1]characters!$1:$1,0)-MATCH($A$1,[1]characters!$1:$1,0)+1),MATCH(Q$1,[1]characters!$1:$1,0)-MATCH($A$1,[1]characters!$1:$1,0)+1,FALSE)</f>
        <v>balance</v>
      </c>
      <c r="R16" s="5" t="str">
        <f ca="1">VLOOKUP(Q16,[1]character_type_i18n!$A:$H,3,FALSE)</f>
        <v>バランスタイプ</v>
      </c>
      <c r="S16" s="11">
        <f ca="1">VLOOKUP(Q16,[1]character_type_i18n!$A:$H,4,FALSE)</f>
        <v>1</v>
      </c>
      <c r="T16" s="11">
        <f ca="1">VLOOKUP(Q16,[1]character_type_i18n!$A:$H,5,FALSE)</f>
        <v>1</v>
      </c>
      <c r="U16" s="11">
        <f ca="1">VLOOKUP(Q16,[1]character_type_i18n!$A:$H,6,FALSE)</f>
        <v>1</v>
      </c>
      <c r="V16" s="11">
        <f ca="1">VLOOKUP(Q16,[1]character_type_i18n!$A:$H,7,FALSE)</f>
        <v>1</v>
      </c>
      <c r="W16" s="54" t="str">
        <f ca="1">VLOOKUP($A16,OFFSET([1]characters!$A$1,0,0,COUNTA([1]characters!$A:$A),MATCH(W$1,[1]characters!$1:$1,0)-MATCH($A$1,[1]characters!$1:$1,0)+1),MATCH(W$1,[1]characters!$1:$1,0)-MATCH($A$1,[1]characters!$1:$1,0)+1,FALSE)</f>
        <v>human</v>
      </c>
      <c r="X16" s="5" t="str">
        <f ca="1">VLOOKUP(W16,[1]character_tribe_i18n!$A:$H,3,FALSE)</f>
        <v>ヒューマン</v>
      </c>
      <c r="Y16" s="54" t="str">
        <f ca="1">VLOOKUP($A16,OFFSET([1]characters!$A$1,0,0,COUNTA([1]characters!$A:$A),MATCH(Y$1,[1]characters!$1:$1,0)-MATCH($A$1,[1]characters!$1:$1,0)+1),MATCH(Y$1,[1]characters!$1:$1,0)-MATCH($A$1,[1]characters!$1:$1,0)+1,FALSE)</f>
        <v>machine</v>
      </c>
      <c r="Z16" s="5" t="str">
        <f ca="1">VLOOKUP(Y16,[1]character_tribe_i18n!$A:$H,3,FALSE)</f>
        <v>マシン</v>
      </c>
      <c r="AA16" s="11">
        <f ca="1">VLOOKUP(W16,[1]character_tribe_i18n!$A:$H,4,FALSE)</f>
        <v>0.94</v>
      </c>
      <c r="AB16" s="11">
        <f ca="1">VLOOKUP(W16,[1]character_tribe_i18n!$A:$H,5,FALSE)</f>
        <v>0.99</v>
      </c>
      <c r="AC16" s="11">
        <f ca="1">VLOOKUP(W16,[1]character_tribe_i18n!$A:$H,6,FALSE)</f>
        <v>1</v>
      </c>
      <c r="AD16" s="11">
        <f ca="1">VLOOKUP(W16,[1]character_tribe_i18n!$A:$H,7,FALSE)</f>
        <v>1.07</v>
      </c>
      <c r="AE16" s="9" t="s">
        <v>178</v>
      </c>
      <c r="AF16" s="59" t="str">
        <f ca="1">IF(AE16="NULL","",VLOOKUP($AE16,OFFSET([1]characters!$A$1,0,0,COUNTA([1]characters!$A:$A),MATCH(AF$1,[1]characters!$1:$1,0)-MATCH($A$1,[1]characters!$1:$1,0)+1),MATCH(AF$1,[1]characters!$1:$1,0)-MATCH($A$1,[1]characters!$1:$1,0)+1,FALSE))</f>
        <v/>
      </c>
      <c r="AG16" s="5">
        <f t="shared" ca="1" si="15"/>
        <v>990</v>
      </c>
      <c r="AH16" s="59" t="str">
        <f ca="1">VLOOKUP($AG16,OFFSET([1]characters!$A$1,0,0,COUNTA([1]characters!$A:$A),MATCH(AH$1,[1]characters!$1:$1,0)-MATCH($A$1,[1]characters!$1:$1,0)+1),MATCH(AH$1,[1]characters!$1:$1,0)-MATCH($A$1,[1]characters!$1:$1,0)+1,FALSE)</f>
        <v>エルヴィン</v>
      </c>
      <c r="AI16" s="11" t="str">
        <f>IF(AE16="NULL","NULL",VLOOKUP(G16,ビット!$A$2:$B$7,2))</f>
        <v>NULL</v>
      </c>
      <c r="AJ16" s="6">
        <v>2</v>
      </c>
      <c r="AK16" s="7" t="str">
        <f t="shared" si="9"/>
        <v>普通</v>
      </c>
      <c r="AL16" s="11" t="str">
        <f ca="1">INDEX(経験値!$A$1:$I$20,MATCH(H16,経験値!$A$1:$A$20,FALSE),MATCH(G16,経験値!$A$1:$I$1,FALSE))</f>
        <v>required_exp_200</v>
      </c>
      <c r="AM16" s="8">
        <f ca="1">VLOOKUP(G16,経験値!$A$27:$B$31,2)</f>
        <v>6400</v>
      </c>
      <c r="AN16" s="17">
        <f ca="1">VLOOKUP(G16,ビット!$G$2:$H$7,2)</f>
        <v>900</v>
      </c>
      <c r="AO16" s="42"/>
      <c r="AP16" s="64">
        <f t="shared" si="5"/>
        <v>991</v>
      </c>
      <c r="AQ16" s="54" t="str">
        <f ca="1">VLOOKUP($AP16,OFFSET(unit_skills!$A$1,0,0,COUNTA(unit_skills!$A:$A),MATCH(AQ$1,unit_skills!$1:$1,0)-MATCH($AP$1,unit_skills!$1:$1,0)+1),MATCH(AQ$1,unit_skills!$1:$1,0)-MATCH($AP$1,unit_skills!$1:$1,0)+1,FALSE)</f>
        <v>ブレイブ・アタック・オーダー</v>
      </c>
      <c r="AR16" s="54" t="str">
        <f ca="1">VLOOKUP($AP16,OFFSET(unit_skills!$A$1,0,0,COUNTA(unit_skills!$A:$A),MATCH(AR$1,unit_skills!$1:$1,0)-MATCH($AP$1,unit_skills!$1:$1,0)+1),MATCH(AR$1,unit_skills!$1:$1,0)-MATCH($AP$1,unit_skills!$1:$1,0)+1,FALSE)</f>
        <v>3ターンヒューマンの攻撃力と防御力と回復力を特大UP</v>
      </c>
      <c r="AS16" s="54">
        <f ca="1">VLOOKUP($AP16,OFFSET(unit_skills!$A$1,0,0,COUNTA(unit_skills!$A:$A),MATCH(AS$1,unit_skills!$1:$1,0)-MATCH($AP$1,unit_skills!$1:$1,0)+1),MATCH(AS$1,unit_skills!$1:$1,0)-MATCH($AP$1,unit_skills!$1:$1,0)+1,FALSE)</f>
        <v>0</v>
      </c>
      <c r="AT16" s="39">
        <f t="shared" si="6"/>
        <v>991</v>
      </c>
      <c r="AU16" s="54" t="str">
        <f ca="1">VLOOKUP($AT16,OFFSET(crash_skills!$A$1,0,0,COUNTA(crash_skills!$A:$A),MATCH(AU$1,crash_skills!$1:$1,0)-MATCH($AT$1,crash_skills!$1:$1,0)+1),MATCH(AU$1,crash_skills!$1:$1,0)-MATCH($AT$1,crash_skills!$1:$1,0)+1,FALSE)</f>
        <v>進軍の調査兵団</v>
      </c>
      <c r="AV16" s="54" t="str">
        <f ca="1">VLOOKUP($AT16,OFFSET(crash_skills!$A$1,0,0,COUNTA(crash_skills!$A:$A),MATCH(AV$1,crash_skills!$1:$1,0)-MATCH($AT$1,crash_skills!$1:$1,0)+1),MATCH(AV$1,crash_skills!$1:$1,0)-MATCH($AT$1,crash_skills!$1:$1,0)+1,FALSE)</f>
        <v>1体に特大ダメージ</v>
      </c>
      <c r="AW16" s="54">
        <f ca="1">VLOOKUP($AT16,OFFSET(crash_skills!$A$1,0,0,COUNTA(crash_skills!$A:$A),MATCH(AW$1,crash_skills!$1:$1,0)-MATCH($AT$1,crash_skills!$1:$1,0)+1),MATCH(AW$1,crash_skills!$1:$1,0)-MATCH($AT$1,crash_skills!$1:$1,0)+1,FALSE)</f>
        <v>0</v>
      </c>
      <c r="AX16" s="55">
        <f ca="1">VLOOKUP($A16,OFFSET([1]characters!$A$1,0,0,COUNTA([1]characters!$A:$A),MATCH(AX$1,[1]characters!$1:$1,0)-MATCH($A$1,[1]characters!$1:$1,0)+1),MATCH(AX$1,[1]characters!$1:$1,0)-MATCH($A$1,[1]characters!$1:$1,0)+1,FALSE)</f>
        <v>3</v>
      </c>
      <c r="AY16" s="65">
        <v>1.1000000000000001</v>
      </c>
      <c r="AZ16" s="65">
        <v>1.1000000000000001</v>
      </c>
      <c r="BA16" s="65">
        <v>0</v>
      </c>
      <c r="BB16" s="65">
        <v>1</v>
      </c>
      <c r="BC16" s="11">
        <f ca="1">INDEX('RC6SV'!$A$1:$G$20,MATCH(H16,'RC6SV'!$A$1:$A$20,FALSE),MATCH(G16,'RC6SV'!$A$1:$G$1,FALSE))</f>
        <v>9000</v>
      </c>
      <c r="BD16" s="45">
        <f t="shared" ca="1" si="10"/>
        <v>9000</v>
      </c>
      <c r="BE16" s="11">
        <f t="shared" ca="1" si="3"/>
        <v>7000</v>
      </c>
      <c r="BF16" s="11">
        <f t="shared" ca="1" si="4"/>
        <v>1</v>
      </c>
      <c r="BG16" s="16">
        <f ca="1">IF($BE16&lt;=0,ROUND(BK16*0.5,0), ROUND($BE16*S16*AA16*J16*AY16*0.8*[1]ステータス!$B$2,0))</f>
        <v>2895</v>
      </c>
      <c r="BH16" s="16">
        <f ca="1">IF($BE16&lt;=0,ROUND(BL16*0.5,0), ROUND($BE16*T16*AB16*K16*AZ16*0.8*[1]ステータス!$C$2,0))</f>
        <v>1866</v>
      </c>
      <c r="BI16" s="16">
        <f ca="1">IF($BE16&lt;=0,ROUND(BM16*0.5,0), ROUND($BE16*U16*AC16*L16*BA16*0.8*[1]ステータス!$D$2,0))</f>
        <v>0</v>
      </c>
      <c r="BJ16" s="16">
        <f ca="1">IF($BE16&lt;=0,ROUND(BN16*0.5,0), ROUND($BE16*V16*AD16*M16*BB16*0.8*[1]ステータス!$E$2,0))</f>
        <v>1468</v>
      </c>
      <c r="BK16" s="164">
        <f ca="1">ROUND(BD16*S16*AA16*J16*AY16*[1]ステータス!$B$2,0)</f>
        <v>4653</v>
      </c>
      <c r="BL16" s="164">
        <f ca="1">ROUND(BD16*T16*AB16*K16*AZ16*[1]ステータス!$C$2,0)</f>
        <v>2999</v>
      </c>
      <c r="BM16" s="164">
        <f ca="1">ROUND(BD16*U16*AC16*L16*BA16*[1]ステータス!$D$2,0)</f>
        <v>0</v>
      </c>
      <c r="BN16" s="164">
        <f ca="1">ROUND(BD16*V16*AD16*M16*BB16*[1]ステータス!$E$2,0)</f>
        <v>2359</v>
      </c>
      <c r="BO16" s="10">
        <v>0</v>
      </c>
      <c r="BP16" s="10">
        <v>1</v>
      </c>
      <c r="BQ16" s="10" t="s">
        <v>44</v>
      </c>
      <c r="BR16" s="214">
        <v>233</v>
      </c>
    </row>
    <row r="17" spans="1:70" ht="26" customHeight="1" x14ac:dyDescent="0.15">
      <c r="A17" s="12">
        <v>992</v>
      </c>
      <c r="B17" s="54" t="str">
        <f ca="1">VLOOKUP($A17,OFFSET([1]characters!$A$1,0,0,COUNTA([1]characters!$A:$A),MATCH(B$1,[1]characters!$1:$1,0)-MATCH($A$1,[1]characters!$1:$1,0)+1),MATCH(B$1,[1]characters!$1:$1,0)-MATCH($A$1,[1]characters!$1:$1,0)+1,FALSE)</f>
        <v>ハンジ</v>
      </c>
      <c r="C17" s="54" t="str">
        <f ca="1">VLOOKUP($A17,OFFSET([1]characters!$A$1,0,0,COUNTA([1]characters!$A:$A),MATCH(C$1,[1]characters!$1:$1,0)-MATCH($A$1,[1]characters!$1:$1,0)+1),MATCH(C$1,[1]characters!$1:$1,0)-MATCH($A$1,[1]characters!$1:$1,0)+1,FALSE)</f>
        <v>ハンジ・ゾエ</v>
      </c>
      <c r="D17" s="54" t="str">
        <f ca="1">VLOOKUP($A17,OFFSET([1]characters!$A$1,0,0,COUNTA([1]characters!$A:$A),MATCH(D$1,[1]characters!$1:$1,0)-MATCH($A$1,[1]characters!$1:$1,0)+1),MATCH(D$1,[1]characters!$1:$1,0)-MATCH($A$1,[1]characters!$1:$1,0)+1,FALSE)</f>
        <v>執行者</v>
      </c>
      <c r="E17" s="54" t="str">
        <f ca="1">VLOOKUP($A17,OFFSET([1]characters!$A$1,0,0,COUNTA([1]characters!$A:$A),MATCH(E$1,[1]characters!$1:$1,0)-MATCH($A$1,[1]characters!$1:$1,0)+1),MATCH(E$1,[1]characters!$1:$1,0)-MATCH($A$1,[1]characters!$1:$1,0)+1,FALSE)</f>
        <v>格好いい</v>
      </c>
      <c r="F17" s="54" t="str">
        <f ca="1">VLOOKUP($A17,OFFSET([1]characters!$A$1,0,0,COUNTA([1]characters!$A:$A),MATCH(F$1,[1]characters!$1:$1,0)-MATCH($A$1,[1]characters!$1:$1,0)+1),MATCH(F$1,[1]characters!$1:$1,0)-MATCH($A$1,[1]characters!$1:$1,0)+1,FALSE)</f>
        <v>男性</v>
      </c>
      <c r="G17" s="54">
        <f ca="1">VLOOKUP($A17,OFFSET([1]characters!$A$1,0,0,COUNTA([1]characters!$A:$A),MATCH(G$1,[1]characters!$1:$1,0)-MATCH($A$1,[1]characters!$1:$1,0)+1),MATCH(G$1,[1]characters!$1:$1,0)-MATCH($A$1,[1]characters!$1:$1,0)+1,FALSE)</f>
        <v>4</v>
      </c>
      <c r="H17" s="54" t="str">
        <f ca="1">VLOOKUP($A17,OFFSET([1]characters!$A$1,0,0,COUNTA([1]characters!$A:$A),MATCH(H$1,[1]characters!$1:$1,0)-MATCH($A$1,[1]characters!$1:$1,0)+1),MATCH(H$1,[1]characters!$1:$1,0)-MATCH($A$1,[1]characters!$1:$1,0)+1,FALSE)</f>
        <v>PremiumS</v>
      </c>
      <c r="I17" s="54" t="str">
        <f ca="1">VLOOKUP($A17,OFFSET([1]characters!$A$1,0,0,COUNTA([1]characters!$A:$A),MATCH(I$1,[1]characters!$1:$1,0)-MATCH($A$1,[1]characters!$1:$1,0)+1),MATCH(I$1,[1]characters!$1:$1,0)-MATCH($A$1,[1]characters!$1:$1,0)+1,FALSE)</f>
        <v>green</v>
      </c>
      <c r="J17" s="11">
        <f ca="1">VLOOKUP(I17,[1]属性!$A:$E,2,FALSE)</f>
        <v>1.02</v>
      </c>
      <c r="K17" s="11">
        <f ca="1">VLOOKUP(I17,[1]属性!$A:$E,3,FALSE)</f>
        <v>0.98</v>
      </c>
      <c r="L17" s="11">
        <f ca="1">VLOOKUP(I17,[1]属性!$A:$E,4,FALSE)</f>
        <v>1</v>
      </c>
      <c r="M17" s="11">
        <f ca="1">VLOOKUP(I17,[1]属性!$A:$E,5,FALSE)</f>
        <v>1</v>
      </c>
      <c r="N17" s="11">
        <f ca="1">INDEX(コスト!$A$1:$I$20,MATCH(H17,コスト!$A$1:$A$20,FALSE),MATCH(G17,コスト!$A$1:$I$1,FALSE))</f>
        <v>20</v>
      </c>
      <c r="O17" s="11">
        <f ca="1">INDEX(レベル!$A$1:$I$21,MATCH(H17,レベル!$A$1:$A$21,FALSE),MATCH(G17,レベル!$A$1:$I$1,FALSE))</f>
        <v>60</v>
      </c>
      <c r="P17" s="45">
        <f t="shared" ca="1" si="11"/>
        <v>60</v>
      </c>
      <c r="Q17" s="54" t="str">
        <f ca="1">VLOOKUP($A17,OFFSET([1]characters!$A$1,0,0,COUNTA([1]characters!$A:$A),MATCH(Q$1,[1]characters!$1:$1,0)-MATCH($A$1,[1]characters!$1:$1,0)+1),MATCH(Q$1,[1]characters!$1:$1,0)-MATCH($A$1,[1]characters!$1:$1,0)+1,FALSE)</f>
        <v>technical</v>
      </c>
      <c r="R17" s="5" t="str">
        <f ca="1">VLOOKUP(Q17,[1]character_type_i18n!$A:$H,3,FALSE)</f>
        <v>テクニカルタイプ</v>
      </c>
      <c r="S17" s="11">
        <f ca="1">VLOOKUP(Q17,[1]character_type_i18n!$A:$H,4,FALSE)</f>
        <v>0.9</v>
      </c>
      <c r="T17" s="11">
        <f ca="1">VLOOKUP(Q17,[1]character_type_i18n!$A:$H,5,FALSE)</f>
        <v>0.9</v>
      </c>
      <c r="U17" s="11">
        <f ca="1">VLOOKUP(Q17,[1]character_type_i18n!$A:$H,6,FALSE)</f>
        <v>1</v>
      </c>
      <c r="V17" s="11">
        <f ca="1">VLOOKUP(Q17,[1]character_type_i18n!$A:$H,7,FALSE)</f>
        <v>0.9</v>
      </c>
      <c r="W17" s="54" t="str">
        <f ca="1">VLOOKUP($A17,OFFSET([1]characters!$A$1,0,0,COUNTA([1]characters!$A:$A),MATCH(W$1,[1]characters!$1:$1,0)-MATCH($A$1,[1]characters!$1:$1,0)+1),MATCH(W$1,[1]characters!$1:$1,0)-MATCH($A$1,[1]characters!$1:$1,0)+1,FALSE)</f>
        <v>human</v>
      </c>
      <c r="X17" s="5" t="str">
        <f ca="1">VLOOKUP(W17,[1]character_tribe_i18n!$A:$H,3,FALSE)</f>
        <v>ヒューマン</v>
      </c>
      <c r="Y17" s="54" t="str">
        <f ca="1">VLOOKUP($A17,OFFSET([1]characters!$A$1,0,0,COUNTA([1]characters!$A:$A),MATCH(Y$1,[1]characters!$1:$1,0)-MATCH($A$1,[1]characters!$1:$1,0)+1),MATCH(Y$1,[1]characters!$1:$1,0)-MATCH($A$1,[1]characters!$1:$1,0)+1,FALSE)</f>
        <v>machine</v>
      </c>
      <c r="Z17" s="5" t="str">
        <f ca="1">VLOOKUP(Y17,[1]character_tribe_i18n!$A:$H,3,FALSE)</f>
        <v>マシン</v>
      </c>
      <c r="AA17" s="11">
        <f ca="1">VLOOKUP(W17,[1]character_tribe_i18n!$A:$H,4,FALSE)</f>
        <v>0.94</v>
      </c>
      <c r="AB17" s="11">
        <f ca="1">VLOOKUP(W17,[1]character_tribe_i18n!$A:$H,5,FALSE)</f>
        <v>0.99</v>
      </c>
      <c r="AC17" s="11">
        <f ca="1">VLOOKUP(W17,[1]character_tribe_i18n!$A:$H,6,FALSE)</f>
        <v>1</v>
      </c>
      <c r="AD17" s="11">
        <f ca="1">VLOOKUP(W17,[1]character_tribe_i18n!$A:$H,7,FALSE)</f>
        <v>1.07</v>
      </c>
      <c r="AE17" s="9">
        <f t="shared" ref="AE17" si="17">A18</f>
        <v>993</v>
      </c>
      <c r="AF17" s="59" t="str">
        <f ca="1">IF(AE17="NULL","",VLOOKUP($AE17,OFFSET([1]characters!$A$1,0,0,COUNTA([1]characters!$A:$A),MATCH(AF$1,[1]characters!$1:$1,0)-MATCH($A$1,[1]characters!$1:$1,0)+1),MATCH(AF$1,[1]characters!$1:$1,0)-MATCH($A$1,[1]characters!$1:$1,0)+1,FALSE))</f>
        <v>巨躯への執着 ハンジ</v>
      </c>
      <c r="AG17" s="5">
        <f t="shared" ca="1" si="15"/>
        <v>992</v>
      </c>
      <c r="AH17" s="59" t="str">
        <f ca="1">VLOOKUP($AG17,OFFSET([1]characters!$A$1,0,0,COUNTA([1]characters!$A:$A),MATCH(AH$1,[1]characters!$1:$1,0)-MATCH($A$1,[1]characters!$1:$1,0)+1),MATCH(AH$1,[1]characters!$1:$1,0)-MATCH($A$1,[1]characters!$1:$1,0)+1,FALSE)</f>
        <v>ハンジ</v>
      </c>
      <c r="AI17" s="11">
        <f ca="1">IF(AE17="NULL","NULL",VLOOKUP(G17,ビット!$A$2:$B$7,2))</f>
        <v>50000</v>
      </c>
      <c r="AJ17" s="6">
        <v>2</v>
      </c>
      <c r="AK17" s="7" t="str">
        <f t="shared" si="9"/>
        <v>普通</v>
      </c>
      <c r="AL17" s="11" t="str">
        <f ca="1">INDEX(経験値!$A$1:$I$20,MATCH(H17,経験値!$A$1:$A$20,FALSE),MATCH(G17,経験値!$A$1:$I$1,FALSE))</f>
        <v>required_exp_200</v>
      </c>
      <c r="AM17" s="8">
        <f ca="1">VLOOKUP(G17,経験値!$A$27:$B$31,2)</f>
        <v>3400</v>
      </c>
      <c r="AN17" s="17">
        <f ca="1">VLOOKUP(G17,ビット!$G$2:$H$7,2)</f>
        <v>600</v>
      </c>
      <c r="AO17" s="42"/>
      <c r="AP17" s="64">
        <f t="shared" si="5"/>
        <v>992</v>
      </c>
      <c r="AQ17" s="54" t="str">
        <f ca="1">VLOOKUP($AP17,OFFSET(unit_skills!$A$1,0,0,COUNTA(unit_skills!$A:$A),MATCH(AQ$1,unit_skills!$1:$1,0)-MATCH($AP$1,unit_skills!$1:$1,0)+1),MATCH(AQ$1,unit_skills!$1:$1,0)-MATCH($AP$1,unit_skills!$1:$1,0)+1,FALSE)</f>
        <v>ハートレス・エクスペリメント</v>
      </c>
      <c r="AR17" s="54" t="str">
        <f ca="1">VLOOKUP($AP17,OFFSET(unit_skills!$A$1,0,0,COUNTA(unit_skills!$A:$A),MATCH(AR$1,unit_skills!$1:$1,0)-MATCH($AP$1,unit_skills!$1:$1,0)+1),MATCH(AR$1,unit_skills!$1:$1,0)-MATCH($AP$1,unit_skills!$1:$1,0)+1,FALSE)</f>
        <v>3ターンの間種族マシンの攻撃力と防御力を特大UPし、種族Unknownの敵の防御力を0にする</v>
      </c>
      <c r="AS17" s="54">
        <f ca="1">VLOOKUP($AP17,OFFSET(unit_skills!$A$1,0,0,COUNTA(unit_skills!$A:$A),MATCH(AS$1,unit_skills!$1:$1,0)-MATCH($AP$1,unit_skills!$1:$1,0)+1),MATCH(AS$1,unit_skills!$1:$1,0)-MATCH($AP$1,unit_skills!$1:$1,0)+1,FALSE)</f>
        <v>0</v>
      </c>
      <c r="AT17" s="39">
        <f t="shared" si="6"/>
        <v>992</v>
      </c>
      <c r="AU17" s="54" t="str">
        <f ca="1">VLOOKUP($AT17,OFFSET(crash_skills!$A$1,0,0,COUNTA(crash_skills!$A:$A),MATCH(AU$1,crash_skills!$1:$1,0)-MATCH($AT$1,crash_skills!$1:$1,0)+1),MATCH(AU$1,crash_skills!$1:$1,0)-MATCH($AT$1,crash_skills!$1:$1,0)+1,FALSE)</f>
        <v>痛覚確認</v>
      </c>
      <c r="AV17" s="54" t="str">
        <f ca="1">VLOOKUP($AT17,OFFSET(crash_skills!$A$1,0,0,COUNTA(crash_skills!$A:$A),MATCH(AV$1,crash_skills!$1:$1,0)-MATCH($AT$1,crash_skills!$1:$1,0)+1),MATCH(AV$1,crash_skills!$1:$1,0)-MATCH($AT$1,crash_skills!$1:$1,0)+1,FALSE)</f>
        <v>1体に大ダメージ_x000D_Unknownに効果特大</v>
      </c>
      <c r="AW17" s="54">
        <f ca="1">VLOOKUP($AT17,OFFSET(crash_skills!$A$1,0,0,COUNTA(crash_skills!$A:$A),MATCH(AW$1,crash_skills!$1:$1,0)-MATCH($AT$1,crash_skills!$1:$1,0)+1),MATCH(AW$1,crash_skills!$1:$1,0)-MATCH($AT$1,crash_skills!$1:$1,0)+1,FALSE)</f>
        <v>0</v>
      </c>
      <c r="AX17" s="55">
        <f ca="1">VLOOKUP($A17,OFFSET([1]characters!$A$1,0,0,COUNTA([1]characters!$A:$A),MATCH(AX$1,[1]characters!$1:$1,0)-MATCH($A$1,[1]characters!$1:$1,0)+1),MATCH(AX$1,[1]characters!$1:$1,0)-MATCH($A$1,[1]characters!$1:$1,0)+1,FALSE)</f>
        <v>3</v>
      </c>
      <c r="AY17" s="65">
        <v>1.05</v>
      </c>
      <c r="AZ17" s="65">
        <v>1.2</v>
      </c>
      <c r="BA17" s="65">
        <v>0</v>
      </c>
      <c r="BB17" s="65">
        <v>1</v>
      </c>
      <c r="BC17" s="11">
        <f ca="1">INDEX('RC6SV'!$A$1:$G$20,MATCH(H17,'RC6SV'!$A$1:$A$20,FALSE),MATCH(G17,'RC6SV'!$A$1:$G$1,FALSE))</f>
        <v>7000</v>
      </c>
      <c r="BD17" s="45">
        <f t="shared" ca="1" si="10"/>
        <v>7000</v>
      </c>
      <c r="BE17" s="11">
        <f t="shared" ca="1" si="3"/>
        <v>0</v>
      </c>
      <c r="BF17" s="11">
        <f t="shared" ca="1" si="4"/>
        <v>1</v>
      </c>
      <c r="BG17" s="16">
        <f ca="1">IF($BE17&lt;=0,ROUND(BK17*0.5,0), ROUND($BE17*S17*AA17*J17*AY17*0.8*[1]ステータス!$B$2,0))</f>
        <v>1586</v>
      </c>
      <c r="BH17" s="16">
        <f ca="1">IF($BE17&lt;=0,ROUND(BL17*0.5,0), ROUND($BE17*T17*AB17*K17*AZ17*0.8*[1]ステータス!$C$2,0))</f>
        <v>1100</v>
      </c>
      <c r="BI17" s="16">
        <f ca="1">IF($BE17&lt;=0,ROUND(BM17*0.5,0), ROUND($BE17*U17*AC17*L17*BA17*0.8*[1]ステータス!$D$2,0))</f>
        <v>0</v>
      </c>
      <c r="BJ17" s="16">
        <f ca="1">IF($BE17&lt;=0,ROUND(BN17*0.5,0), ROUND($BE17*V17*AD17*M17*BB17*0.8*[1]ステータス!$E$2,0))</f>
        <v>843</v>
      </c>
      <c r="BK17" s="164">
        <f ca="1">ROUND(BD17*S17*AA17*J17*AY17*[1]ステータス!$B$2,0)</f>
        <v>3171</v>
      </c>
      <c r="BL17" s="164">
        <f ca="1">ROUND(BD17*T17*AB17*K17*AZ17*[1]ステータス!$C$2,0)</f>
        <v>2200</v>
      </c>
      <c r="BM17" s="164">
        <f ca="1">ROUND(BD17*U17*AC17*L17*BA17*[1]ステータス!$D$2,0)</f>
        <v>0</v>
      </c>
      <c r="BN17" s="164">
        <f ca="1">ROUND(BD17*V17*AD17*M17*BB17*[1]ステータス!$E$2,0)</f>
        <v>1685</v>
      </c>
      <c r="BO17" s="10">
        <v>0</v>
      </c>
      <c r="BP17" s="10">
        <v>1</v>
      </c>
      <c r="BQ17" s="10" t="s">
        <v>44</v>
      </c>
      <c r="BR17" s="214">
        <v>233</v>
      </c>
    </row>
    <row r="18" spans="1:70" ht="26" customHeight="1" x14ac:dyDescent="0.15">
      <c r="A18" s="12">
        <v>993</v>
      </c>
      <c r="B18" s="54" t="str">
        <f ca="1">VLOOKUP($A18,OFFSET([1]characters!$A$1,0,0,COUNTA([1]characters!$A:$A),MATCH(B$1,[1]characters!$1:$1,0)-MATCH($A$1,[1]characters!$1:$1,0)+1),MATCH(B$1,[1]characters!$1:$1,0)-MATCH($A$1,[1]characters!$1:$1,0)+1,FALSE)</f>
        <v>巨躯への執着 ハンジ</v>
      </c>
      <c r="C18" s="54" t="str">
        <f ca="1">VLOOKUP($A18,OFFSET([1]characters!$A$1,0,0,COUNTA([1]characters!$A:$A),MATCH(C$1,[1]characters!$1:$1,0)-MATCH($A$1,[1]characters!$1:$1,0)+1),MATCH(C$1,[1]characters!$1:$1,0)-MATCH($A$1,[1]characters!$1:$1,0)+1,FALSE)</f>
        <v>ハンジ・ゾエ</v>
      </c>
      <c r="D18" s="54" t="str">
        <f ca="1">VLOOKUP($A18,OFFSET([1]characters!$A$1,0,0,COUNTA([1]characters!$A:$A),MATCH(D$1,[1]characters!$1:$1,0)-MATCH($A$1,[1]characters!$1:$1,0)+1),MATCH(D$1,[1]characters!$1:$1,0)-MATCH($A$1,[1]characters!$1:$1,0)+1,FALSE)</f>
        <v>執行者</v>
      </c>
      <c r="E18" s="54" t="str">
        <f ca="1">VLOOKUP($A18,OFFSET([1]characters!$A$1,0,0,COUNTA([1]characters!$A:$A),MATCH(E$1,[1]characters!$1:$1,0)-MATCH($A$1,[1]characters!$1:$1,0)+1),MATCH(E$1,[1]characters!$1:$1,0)-MATCH($A$1,[1]characters!$1:$1,0)+1,FALSE)</f>
        <v>格好いい</v>
      </c>
      <c r="F18" s="54" t="str">
        <f ca="1">VLOOKUP($A18,OFFSET([1]characters!$A$1,0,0,COUNTA([1]characters!$A:$A),MATCH(F$1,[1]characters!$1:$1,0)-MATCH($A$1,[1]characters!$1:$1,0)+1),MATCH(F$1,[1]characters!$1:$1,0)-MATCH($A$1,[1]characters!$1:$1,0)+1,FALSE)</f>
        <v>男性</v>
      </c>
      <c r="G18" s="54">
        <f ca="1">VLOOKUP($A18,OFFSET([1]characters!$A$1,0,0,COUNTA([1]characters!$A:$A),MATCH(G$1,[1]characters!$1:$1,0)-MATCH($A$1,[1]characters!$1:$1,0)+1),MATCH(G$1,[1]characters!$1:$1,0)-MATCH($A$1,[1]characters!$1:$1,0)+1,FALSE)</f>
        <v>5</v>
      </c>
      <c r="H18" s="54" t="str">
        <f ca="1">VLOOKUP($A18,OFFSET([1]characters!$A$1,0,0,COUNTA([1]characters!$A:$A),MATCH(H$1,[1]characters!$1:$1,0)-MATCH($A$1,[1]characters!$1:$1,0)+1),MATCH(H$1,[1]characters!$1:$1,0)-MATCH($A$1,[1]characters!$1:$1,0)+1,FALSE)</f>
        <v>PremiumS</v>
      </c>
      <c r="I18" s="54" t="str">
        <f ca="1">VLOOKUP($A18,OFFSET([1]characters!$A$1,0,0,COUNTA([1]characters!$A:$A),MATCH(I$1,[1]characters!$1:$1,0)-MATCH($A$1,[1]characters!$1:$1,0)+1),MATCH(I$1,[1]characters!$1:$1,0)-MATCH($A$1,[1]characters!$1:$1,0)+1,FALSE)</f>
        <v>green</v>
      </c>
      <c r="J18" s="11">
        <f ca="1">VLOOKUP(I18,[1]属性!$A:$E,2,FALSE)</f>
        <v>1.02</v>
      </c>
      <c r="K18" s="11">
        <f ca="1">VLOOKUP(I18,[1]属性!$A:$E,3,FALSE)</f>
        <v>0.98</v>
      </c>
      <c r="L18" s="11">
        <f ca="1">VLOOKUP(I18,[1]属性!$A:$E,4,FALSE)</f>
        <v>1</v>
      </c>
      <c r="M18" s="11">
        <f ca="1">VLOOKUP(I18,[1]属性!$A:$E,5,FALSE)</f>
        <v>1</v>
      </c>
      <c r="N18" s="11">
        <f ca="1">INDEX(コスト!$A$1:$I$20,MATCH(H18,コスト!$A$1:$A$20,FALSE),MATCH(G18,コスト!$A$1:$I$1,FALSE))</f>
        <v>30</v>
      </c>
      <c r="O18" s="11">
        <f ca="1">INDEX(レベル!$A$1:$I$21,MATCH(H18,レベル!$A$1:$A$21,FALSE),MATCH(G18,レベル!$A$1:$I$1,FALSE))</f>
        <v>80</v>
      </c>
      <c r="P18" s="45">
        <f t="shared" ref="P18:P28" ca="1" si="18">IF(G18 &gt;= 6, 99,G18*15)</f>
        <v>75</v>
      </c>
      <c r="Q18" s="54" t="str">
        <f ca="1">VLOOKUP($A18,OFFSET([1]characters!$A$1,0,0,COUNTA([1]characters!$A:$A),MATCH(Q$1,[1]characters!$1:$1,0)-MATCH($A$1,[1]characters!$1:$1,0)+1),MATCH(Q$1,[1]characters!$1:$1,0)-MATCH($A$1,[1]characters!$1:$1,0)+1,FALSE)</f>
        <v>technical</v>
      </c>
      <c r="R18" s="5" t="str">
        <f ca="1">VLOOKUP(Q18,[1]character_type_i18n!$A:$H,3,FALSE)</f>
        <v>テクニカルタイプ</v>
      </c>
      <c r="S18" s="11">
        <f ca="1">VLOOKUP(Q18,[1]character_type_i18n!$A:$H,4,FALSE)</f>
        <v>0.9</v>
      </c>
      <c r="T18" s="11">
        <f ca="1">VLOOKUP(Q18,[1]character_type_i18n!$A:$H,5,FALSE)</f>
        <v>0.9</v>
      </c>
      <c r="U18" s="11">
        <f ca="1">VLOOKUP(Q18,[1]character_type_i18n!$A:$H,6,FALSE)</f>
        <v>1</v>
      </c>
      <c r="V18" s="11">
        <f ca="1">VLOOKUP(Q18,[1]character_type_i18n!$A:$H,7,FALSE)</f>
        <v>0.9</v>
      </c>
      <c r="W18" s="54" t="str">
        <f ca="1">VLOOKUP($A18,OFFSET([1]characters!$A$1,0,0,COUNTA([1]characters!$A:$A),MATCH(W$1,[1]characters!$1:$1,0)-MATCH($A$1,[1]characters!$1:$1,0)+1),MATCH(W$1,[1]characters!$1:$1,0)-MATCH($A$1,[1]characters!$1:$1,0)+1,FALSE)</f>
        <v>human</v>
      </c>
      <c r="X18" s="5" t="str">
        <f ca="1">VLOOKUP(W18,[1]character_tribe_i18n!$A:$H,3,FALSE)</f>
        <v>ヒューマン</v>
      </c>
      <c r="Y18" s="54" t="str">
        <f ca="1">VLOOKUP($A18,OFFSET([1]characters!$A$1,0,0,COUNTA([1]characters!$A:$A),MATCH(Y$1,[1]characters!$1:$1,0)-MATCH($A$1,[1]characters!$1:$1,0)+1),MATCH(Y$1,[1]characters!$1:$1,0)-MATCH($A$1,[1]characters!$1:$1,0)+1,FALSE)</f>
        <v>machine</v>
      </c>
      <c r="Z18" s="5" t="str">
        <f ca="1">VLOOKUP(Y18,[1]character_tribe_i18n!$A:$H,3,FALSE)</f>
        <v>マシン</v>
      </c>
      <c r="AA18" s="11">
        <f ca="1">VLOOKUP(W18,[1]character_tribe_i18n!$A:$H,4,FALSE)</f>
        <v>0.94</v>
      </c>
      <c r="AB18" s="11">
        <f ca="1">VLOOKUP(W18,[1]character_tribe_i18n!$A:$H,5,FALSE)</f>
        <v>0.99</v>
      </c>
      <c r="AC18" s="11">
        <f ca="1">VLOOKUP(W18,[1]character_tribe_i18n!$A:$H,6,FALSE)</f>
        <v>1</v>
      </c>
      <c r="AD18" s="11">
        <f ca="1">VLOOKUP(W18,[1]character_tribe_i18n!$A:$H,7,FALSE)</f>
        <v>1.07</v>
      </c>
      <c r="AE18" s="9" t="s">
        <v>178</v>
      </c>
      <c r="AF18" s="59" t="str">
        <f ca="1">IF(AE18="NULL","",VLOOKUP($AE18,OFFSET([1]characters!$A$1,0,0,COUNTA([1]characters!$A:$A),MATCH(AF$1,[1]characters!$1:$1,0)-MATCH($A$1,[1]characters!$1:$1,0)+1),MATCH(AF$1,[1]characters!$1:$1,0)-MATCH($A$1,[1]characters!$1:$1,0)+1,FALSE))</f>
        <v/>
      </c>
      <c r="AG18" s="5">
        <f t="shared" ca="1" si="15"/>
        <v>992</v>
      </c>
      <c r="AH18" s="59" t="str">
        <f ca="1">VLOOKUP($AG18,OFFSET([1]characters!$A$1,0,0,COUNTA([1]characters!$A:$A),MATCH(AH$1,[1]characters!$1:$1,0)-MATCH($A$1,[1]characters!$1:$1,0)+1),MATCH(AH$1,[1]characters!$1:$1,0)-MATCH($A$1,[1]characters!$1:$1,0)+1,FALSE)</f>
        <v>ハンジ</v>
      </c>
      <c r="AI18" s="11" t="str">
        <f>IF(AE18="NULL","NULL",VLOOKUP(G18,ビット!$A$2:$B$7,2))</f>
        <v>NULL</v>
      </c>
      <c r="AJ18" s="6">
        <v>2</v>
      </c>
      <c r="AK18" s="7" t="str">
        <f t="shared" ref="AK18:AK28" si="19">IF(AJ18=1,"早熟",IF(AJ18=2,"普通",IF(AJ18=3,"晩成","")))</f>
        <v>普通</v>
      </c>
      <c r="AL18" s="11" t="str">
        <f ca="1">INDEX(経験値!$A$1:$I$20,MATCH(H18,経験値!$A$1:$A$20,FALSE),MATCH(G18,経験値!$A$1:$I$1,FALSE))</f>
        <v>required_exp_200</v>
      </c>
      <c r="AM18" s="8">
        <f ca="1">VLOOKUP(G18,経験値!$A$27:$B$31,2)</f>
        <v>6400</v>
      </c>
      <c r="AN18" s="17">
        <f ca="1">VLOOKUP(G18,ビット!$G$2:$H$7,2)</f>
        <v>900</v>
      </c>
      <c r="AO18" s="42"/>
      <c r="AP18" s="64">
        <f t="shared" si="5"/>
        <v>993</v>
      </c>
      <c r="AQ18" s="54" t="str">
        <f ca="1">VLOOKUP($AP18,OFFSET(unit_skills!$A$1,0,0,COUNTA(unit_skills!$A:$A),MATCH(AQ$1,unit_skills!$1:$1,0)-MATCH($AP$1,unit_skills!$1:$1,0)+1),MATCH(AQ$1,unit_skills!$1:$1,0)-MATCH($AP$1,unit_skills!$1:$1,0)+1,FALSE)</f>
        <v>ハートレス・エクスペリメント</v>
      </c>
      <c r="AR18" s="54" t="str">
        <f ca="1">VLOOKUP($AP18,OFFSET(unit_skills!$A$1,0,0,COUNTA(unit_skills!$A:$A),MATCH(AR$1,unit_skills!$1:$1,0)-MATCH($AP$1,unit_skills!$1:$1,0)+1),MATCH(AR$1,unit_skills!$1:$1,0)-MATCH($AP$1,unit_skills!$1:$1,0)+1,FALSE)</f>
        <v>3ターンの間種族マシンの攻撃力と防御力を特大UPし、種族Unknownの敵の防御力を0にする</v>
      </c>
      <c r="AS18" s="54">
        <f ca="1">VLOOKUP($AP18,OFFSET(unit_skills!$A$1,0,0,COUNTA(unit_skills!$A:$A),MATCH(AS$1,unit_skills!$1:$1,0)-MATCH($AP$1,unit_skills!$1:$1,0)+1),MATCH(AS$1,unit_skills!$1:$1,0)-MATCH($AP$1,unit_skills!$1:$1,0)+1,FALSE)</f>
        <v>0</v>
      </c>
      <c r="AT18" s="39">
        <f t="shared" si="6"/>
        <v>993</v>
      </c>
      <c r="AU18" s="54" t="str">
        <f ca="1">VLOOKUP($AT18,OFFSET(crash_skills!$A$1,0,0,COUNTA(crash_skills!$A:$A),MATCH(AU$1,crash_skills!$1:$1,0)-MATCH($AT$1,crash_skills!$1:$1,0)+1),MATCH(AU$1,crash_skills!$1:$1,0)-MATCH($AT$1,crash_skills!$1:$1,0)+1,FALSE)</f>
        <v>痛覚確認</v>
      </c>
      <c r="AV18" s="54" t="str">
        <f ca="1">VLOOKUP($AT18,OFFSET(crash_skills!$A$1,0,0,COUNTA(crash_skills!$A:$A),MATCH(AV$1,crash_skills!$1:$1,0)-MATCH($AT$1,crash_skills!$1:$1,0)+1),MATCH(AV$1,crash_skills!$1:$1,0)-MATCH($AT$1,crash_skills!$1:$1,0)+1,FALSE)</f>
        <v>1体に大ダメージ_x000D_Unknownに効果特大</v>
      </c>
      <c r="AW18" s="54">
        <f ca="1">VLOOKUP($AT18,OFFSET(crash_skills!$A$1,0,0,COUNTA(crash_skills!$A:$A),MATCH(AW$1,crash_skills!$1:$1,0)-MATCH($AT$1,crash_skills!$1:$1,0)+1),MATCH(AW$1,crash_skills!$1:$1,0)-MATCH($AT$1,crash_skills!$1:$1,0)+1,FALSE)</f>
        <v>0</v>
      </c>
      <c r="AX18" s="55">
        <f ca="1">VLOOKUP($A18,OFFSET([1]characters!$A$1,0,0,COUNTA([1]characters!$A:$A),MATCH(AX$1,[1]characters!$1:$1,0)-MATCH($A$1,[1]characters!$1:$1,0)+1),MATCH(AX$1,[1]characters!$1:$1,0)-MATCH($A$1,[1]characters!$1:$1,0)+1,FALSE)</f>
        <v>3</v>
      </c>
      <c r="AY18" s="65">
        <v>1.1000000000000001</v>
      </c>
      <c r="AZ18" s="65">
        <v>1.4</v>
      </c>
      <c r="BA18" s="65">
        <v>0</v>
      </c>
      <c r="BB18" s="65">
        <v>1</v>
      </c>
      <c r="BC18" s="11">
        <f ca="1">INDEX('RC6SV'!$A$1:$G$20,MATCH(H18,'RC6SV'!$A$1:$A$20,FALSE),MATCH(G18,'RC6SV'!$A$1:$G$1,FALSE))</f>
        <v>9000</v>
      </c>
      <c r="BD18" s="45">
        <f t="shared" ref="BD18:BD28" ca="1" si="20">ROUND(BC18*IF(AJ18=1,0.95,IF(AJ18=2,1,IF(AJ18,1.05,0))),0)</f>
        <v>9000</v>
      </c>
      <c r="BE18" s="11">
        <f t="shared" ca="1" si="3"/>
        <v>7000</v>
      </c>
      <c r="BF18" s="11">
        <f t="shared" ca="1" si="4"/>
        <v>1</v>
      </c>
      <c r="BG18" s="16">
        <f ca="1">IF($BE18&lt;=0,ROUND(BK18*0.5,0), ROUND($BE18*S18*AA18*J18*AY18*0.8*[1]ステータス!$B$2,0))</f>
        <v>2658</v>
      </c>
      <c r="BH18" s="16">
        <f ca="1">IF($BE18&lt;=0,ROUND(BL18*0.5,0), ROUND($BE18*T18*AB18*K18*AZ18*0.8*[1]ステータス!$C$2,0))</f>
        <v>2054</v>
      </c>
      <c r="BI18" s="16">
        <f ca="1">IF($BE18&lt;=0,ROUND(BM18*0.5,0), ROUND($BE18*U18*AC18*L18*BA18*0.8*[1]ステータス!$D$2,0))</f>
        <v>0</v>
      </c>
      <c r="BJ18" s="16">
        <f ca="1">IF($BE18&lt;=0,ROUND(BN18*0.5,0), ROUND($BE18*V18*AD18*M18*BB18*0.8*[1]ステータス!$E$2,0))</f>
        <v>1348</v>
      </c>
      <c r="BK18" s="164">
        <f ca="1">ROUND(BD18*S18*AA18*J18*AY18*[1]ステータス!$B$2,0)</f>
        <v>4271</v>
      </c>
      <c r="BL18" s="164">
        <f ca="1">ROUND(BD18*T18*AB18*K18*AZ18*[1]ステータス!$C$2,0)</f>
        <v>3301</v>
      </c>
      <c r="BM18" s="164">
        <f ca="1">ROUND(BD18*U18*AC18*L18*BA18*[1]ステータス!$D$2,0)</f>
        <v>0</v>
      </c>
      <c r="BN18" s="164">
        <f ca="1">ROUND(BD18*V18*AD18*M18*BB18*[1]ステータス!$E$2,0)</f>
        <v>2167</v>
      </c>
      <c r="BO18" s="10">
        <v>0</v>
      </c>
      <c r="BP18" s="10">
        <v>1</v>
      </c>
      <c r="BQ18" s="10" t="s">
        <v>44</v>
      </c>
      <c r="BR18" s="214">
        <v>233</v>
      </c>
    </row>
    <row r="19" spans="1:70" ht="26" customHeight="1" x14ac:dyDescent="0.15">
      <c r="A19" s="12">
        <v>994</v>
      </c>
      <c r="B19" s="54" t="str">
        <f ca="1">VLOOKUP($A19,OFFSET([1]characters!$A$1,0,0,COUNTA([1]characters!$A:$A),MATCH(B$1,[1]characters!$1:$1,0)-MATCH($A$1,[1]characters!$1:$1,0)+1),MATCH(B$1,[1]characters!$1:$1,0)-MATCH($A$1,[1]characters!$1:$1,0)+1,FALSE)</f>
        <v>アルミン</v>
      </c>
      <c r="C19" s="54" t="str">
        <f ca="1">VLOOKUP($A19,OFFSET([1]characters!$A$1,0,0,COUNTA([1]characters!$A:$A),MATCH(C$1,[1]characters!$1:$1,0)-MATCH($A$1,[1]characters!$1:$1,0)+1),MATCH(C$1,[1]characters!$1:$1,0)-MATCH($A$1,[1]characters!$1:$1,0)+1,FALSE)</f>
        <v>アルミン・アルレルト</v>
      </c>
      <c r="D19" s="54" t="str">
        <f ca="1">VLOOKUP($A19,OFFSET([1]characters!$A$1,0,0,COUNTA([1]characters!$A:$A),MATCH(D$1,[1]characters!$1:$1,0)-MATCH($A$1,[1]characters!$1:$1,0)+1),MATCH(D$1,[1]characters!$1:$1,0)-MATCH($A$1,[1]characters!$1:$1,0)+1,FALSE)</f>
        <v>執行者</v>
      </c>
      <c r="E19" s="54" t="str">
        <f ca="1">VLOOKUP($A19,OFFSET([1]characters!$A$1,0,0,COUNTA([1]characters!$A:$A),MATCH(E$1,[1]characters!$1:$1,0)-MATCH($A$1,[1]characters!$1:$1,0)+1),MATCH(E$1,[1]characters!$1:$1,0)-MATCH($A$1,[1]characters!$1:$1,0)+1,FALSE)</f>
        <v>格好いい</v>
      </c>
      <c r="F19" s="54" t="str">
        <f ca="1">VLOOKUP($A19,OFFSET([1]characters!$A$1,0,0,COUNTA([1]characters!$A:$A),MATCH(F$1,[1]characters!$1:$1,0)-MATCH($A$1,[1]characters!$1:$1,0)+1),MATCH(F$1,[1]characters!$1:$1,0)-MATCH($A$1,[1]characters!$1:$1,0)+1,FALSE)</f>
        <v>男性</v>
      </c>
      <c r="G19" s="54">
        <f ca="1">VLOOKUP($A19,OFFSET([1]characters!$A$1,0,0,COUNTA([1]characters!$A:$A),MATCH(G$1,[1]characters!$1:$1,0)-MATCH($A$1,[1]characters!$1:$1,0)+1),MATCH(G$1,[1]characters!$1:$1,0)-MATCH($A$1,[1]characters!$1:$1,0)+1,FALSE)</f>
        <v>4</v>
      </c>
      <c r="H19" s="54" t="str">
        <f ca="1">VLOOKUP($A19,OFFSET([1]characters!$A$1,0,0,COUNTA([1]characters!$A:$A),MATCH(H$1,[1]characters!$1:$1,0)-MATCH($A$1,[1]characters!$1:$1,0)+1),MATCH(H$1,[1]characters!$1:$1,0)-MATCH($A$1,[1]characters!$1:$1,0)+1,FALSE)</f>
        <v>PremiumS</v>
      </c>
      <c r="I19" s="54" t="str">
        <f ca="1">VLOOKUP($A19,OFFSET([1]characters!$A$1,0,0,COUNTA([1]characters!$A:$A),MATCH(I$1,[1]characters!$1:$1,0)-MATCH($A$1,[1]characters!$1:$1,0)+1),MATCH(I$1,[1]characters!$1:$1,0)-MATCH($A$1,[1]characters!$1:$1,0)+1,FALSE)</f>
        <v>green</v>
      </c>
      <c r="J19" s="11">
        <f ca="1">VLOOKUP(I19,[1]属性!$A:$E,2,FALSE)</f>
        <v>1.02</v>
      </c>
      <c r="K19" s="11">
        <f ca="1">VLOOKUP(I19,[1]属性!$A:$E,3,FALSE)</f>
        <v>0.98</v>
      </c>
      <c r="L19" s="11">
        <f ca="1">VLOOKUP(I19,[1]属性!$A:$E,4,FALSE)</f>
        <v>1</v>
      </c>
      <c r="M19" s="11">
        <f ca="1">VLOOKUP(I19,[1]属性!$A:$E,5,FALSE)</f>
        <v>1</v>
      </c>
      <c r="N19" s="11">
        <f ca="1">INDEX(コスト!$A$1:$I$20,MATCH(H19,コスト!$A$1:$A$20,FALSE),MATCH(G19,コスト!$A$1:$I$1,FALSE))</f>
        <v>20</v>
      </c>
      <c r="O19" s="11">
        <f ca="1">INDEX(レベル!$A$1:$I$21,MATCH(H19,レベル!$A$1:$A$21,FALSE),MATCH(G19,レベル!$A$1:$I$1,FALSE))</f>
        <v>60</v>
      </c>
      <c r="P19" s="45">
        <f t="shared" ca="1" si="18"/>
        <v>60</v>
      </c>
      <c r="Q19" s="54" t="str">
        <f ca="1">VLOOKUP($A19,OFFSET([1]characters!$A$1,0,0,COUNTA([1]characters!$A:$A),MATCH(Q$1,[1]characters!$1:$1,0)-MATCH($A$1,[1]characters!$1:$1,0)+1),MATCH(Q$1,[1]characters!$1:$1,0)-MATCH($A$1,[1]characters!$1:$1,0)+1,FALSE)</f>
        <v>balance</v>
      </c>
      <c r="R19" s="5" t="str">
        <f ca="1">VLOOKUP(Q19,[1]character_type_i18n!$A:$H,3,FALSE)</f>
        <v>バランスタイプ</v>
      </c>
      <c r="S19" s="11">
        <f ca="1">VLOOKUP(Q19,[1]character_type_i18n!$A:$H,4,FALSE)</f>
        <v>1</v>
      </c>
      <c r="T19" s="11">
        <f ca="1">VLOOKUP(Q19,[1]character_type_i18n!$A:$H,5,FALSE)</f>
        <v>1</v>
      </c>
      <c r="U19" s="11">
        <f ca="1">VLOOKUP(Q19,[1]character_type_i18n!$A:$H,6,FALSE)</f>
        <v>1</v>
      </c>
      <c r="V19" s="11">
        <f ca="1">VLOOKUP(Q19,[1]character_type_i18n!$A:$H,7,FALSE)</f>
        <v>1</v>
      </c>
      <c r="W19" s="54" t="str">
        <f ca="1">VLOOKUP($A19,OFFSET([1]characters!$A$1,0,0,COUNTA([1]characters!$A:$A),MATCH(W$1,[1]characters!$1:$1,0)-MATCH($A$1,[1]characters!$1:$1,0)+1),MATCH(W$1,[1]characters!$1:$1,0)-MATCH($A$1,[1]characters!$1:$1,0)+1,FALSE)</f>
        <v>human</v>
      </c>
      <c r="X19" s="5" t="str">
        <f ca="1">VLOOKUP(W19,[1]character_tribe_i18n!$A:$H,3,FALSE)</f>
        <v>ヒューマン</v>
      </c>
      <c r="Y19" s="54" t="str">
        <f ca="1">VLOOKUP($A19,OFFSET([1]characters!$A$1,0,0,COUNTA([1]characters!$A:$A),MATCH(Y$1,[1]characters!$1:$1,0)-MATCH($A$1,[1]characters!$1:$1,0)+1),MATCH(Y$1,[1]characters!$1:$1,0)-MATCH($A$1,[1]characters!$1:$1,0)+1,FALSE)</f>
        <v>machine</v>
      </c>
      <c r="Z19" s="5" t="str">
        <f ca="1">VLOOKUP(Y19,[1]character_tribe_i18n!$A:$H,3,FALSE)</f>
        <v>マシン</v>
      </c>
      <c r="AA19" s="11">
        <f ca="1">VLOOKUP(W19,[1]character_tribe_i18n!$A:$H,4,FALSE)</f>
        <v>0.94</v>
      </c>
      <c r="AB19" s="11">
        <f ca="1">VLOOKUP(W19,[1]character_tribe_i18n!$A:$H,5,FALSE)</f>
        <v>0.99</v>
      </c>
      <c r="AC19" s="11">
        <f ca="1">VLOOKUP(W19,[1]character_tribe_i18n!$A:$H,6,FALSE)</f>
        <v>1</v>
      </c>
      <c r="AD19" s="11">
        <f ca="1">VLOOKUP(W19,[1]character_tribe_i18n!$A:$H,7,FALSE)</f>
        <v>1.07</v>
      </c>
      <c r="AE19" s="9">
        <f t="shared" ref="AE19" si="21">A20</f>
        <v>995</v>
      </c>
      <c r="AF19" s="59" t="str">
        <f ca="1">IF(AE19="NULL","",VLOOKUP($AE19,OFFSET([1]characters!$A$1,0,0,COUNTA([1]characters!$A:$A),MATCH(AF$1,[1]characters!$1:$1,0)-MATCH($A$1,[1]characters!$1:$1,0)+1),MATCH(AF$1,[1]characters!$1:$1,0)-MATCH($A$1,[1]characters!$1:$1,0)+1,FALSE))</f>
        <v>疾駆する閃略 アルミン</v>
      </c>
      <c r="AG19" s="5">
        <f t="shared" ca="1" si="15"/>
        <v>994</v>
      </c>
      <c r="AH19" s="59" t="str">
        <f ca="1">VLOOKUP($AG19,OFFSET([1]characters!$A$1,0,0,COUNTA([1]characters!$A:$A),MATCH(AH$1,[1]characters!$1:$1,0)-MATCH($A$1,[1]characters!$1:$1,0)+1),MATCH(AH$1,[1]characters!$1:$1,0)-MATCH($A$1,[1]characters!$1:$1,0)+1,FALSE)</f>
        <v>アルミン</v>
      </c>
      <c r="AI19" s="11">
        <f ca="1">IF(AE19="NULL","NULL",VLOOKUP(G19,ビット!$A$2:$B$7,2))</f>
        <v>50000</v>
      </c>
      <c r="AJ19" s="6">
        <v>2</v>
      </c>
      <c r="AK19" s="7" t="str">
        <f t="shared" si="19"/>
        <v>普通</v>
      </c>
      <c r="AL19" s="11" t="str">
        <f ca="1">INDEX(経験値!$A$1:$I$20,MATCH(H19,経験値!$A$1:$A$20,FALSE),MATCH(G19,経験値!$A$1:$I$1,FALSE))</f>
        <v>required_exp_200</v>
      </c>
      <c r="AM19" s="8">
        <f ca="1">VLOOKUP(G19,経験値!$A$27:$B$31,2)</f>
        <v>3400</v>
      </c>
      <c r="AN19" s="17">
        <f ca="1">VLOOKUP(G19,ビット!$G$2:$H$7,2)</f>
        <v>600</v>
      </c>
      <c r="AO19" s="42"/>
      <c r="AP19" s="64">
        <f t="shared" si="5"/>
        <v>994</v>
      </c>
      <c r="AQ19" s="54" t="str">
        <f ca="1">VLOOKUP($AP19,OFFSET(unit_skills!$A$1,0,0,COUNTA(unit_skills!$A:$A),MATCH(AQ$1,unit_skills!$1:$1,0)-MATCH($AP$1,unit_skills!$1:$1,0)+1),MATCH(AQ$1,unit_skills!$1:$1,0)-MATCH($AP$1,unit_skills!$1:$1,0)+1,FALSE)</f>
        <v>確信の最適解</v>
      </c>
      <c r="AR19" s="54" t="str">
        <f ca="1">VLOOKUP($AP19,OFFSET(unit_skills!$A$1,0,0,COUNTA(unit_skills!$A:$A),MATCH(AR$1,unit_skills!$1:$1,0)-MATCH($AP$1,unit_skills!$1:$1,0)+1),MATCH(AR$1,unit_skills!$1:$1,0)-MATCH($AP$1,unit_skills!$1:$1,0)+1,FALSE)</f>
        <v>黄パネルを緑パネルに変換+青パネルを吸収して3ターンヒューマンの防御力UPし、回復力特大UP</v>
      </c>
      <c r="AS19" s="54">
        <f ca="1">VLOOKUP($AP19,OFFSET(unit_skills!$A$1,0,0,COUNTA(unit_skills!$A:$A),MATCH(AS$1,unit_skills!$1:$1,0)-MATCH($AP$1,unit_skills!$1:$1,0)+1),MATCH(AS$1,unit_skills!$1:$1,0)-MATCH($AP$1,unit_skills!$1:$1,0)+1,FALSE)</f>
        <v>0</v>
      </c>
      <c r="AT19" s="39">
        <f t="shared" si="6"/>
        <v>994</v>
      </c>
      <c r="AU19" s="54" t="str">
        <f ca="1">VLOOKUP($AT19,OFFSET(crash_skills!$A$1,0,0,COUNTA(crash_skills!$A:$A),MATCH(AU$1,crash_skills!$1:$1,0)-MATCH($AT$1,crash_skills!$1:$1,0)+1),MATCH(AU$1,crash_skills!$1:$1,0)-MATCH($AT$1,crash_skills!$1:$1,0)+1,FALSE)</f>
        <v>高智な反撃</v>
      </c>
      <c r="AV19" s="54" t="str">
        <f ca="1">VLOOKUP($AT19,OFFSET(crash_skills!$A$1,0,0,COUNTA(crash_skills!$A:$A),MATCH(AV$1,crash_skills!$1:$1,0)-MATCH($AT$1,crash_skills!$1:$1,0)+1),MATCH(AV$1,crash_skills!$1:$1,0)-MATCH($AT$1,crash_skills!$1:$1,0)+1,FALSE)</f>
        <v>1体に特大ダメージ_x000D_+HP小回復</v>
      </c>
      <c r="AW19" s="54">
        <f ca="1">VLOOKUP($AT19,OFFSET(crash_skills!$A$1,0,0,COUNTA(crash_skills!$A:$A),MATCH(AW$1,crash_skills!$1:$1,0)-MATCH($AT$1,crash_skills!$1:$1,0)+1),MATCH(AW$1,crash_skills!$1:$1,0)-MATCH($AT$1,crash_skills!$1:$1,0)+1,FALSE)</f>
        <v>0</v>
      </c>
      <c r="AX19" s="55">
        <f ca="1">VLOOKUP($A19,OFFSET([1]characters!$A$1,0,0,COUNTA([1]characters!$A:$A),MATCH(AX$1,[1]characters!$1:$1,0)-MATCH($A$1,[1]characters!$1:$1,0)+1),MATCH(AX$1,[1]characters!$1:$1,0)-MATCH($A$1,[1]characters!$1:$1,0)+1,FALSE)</f>
        <v>3</v>
      </c>
      <c r="AY19" s="65">
        <v>1.05</v>
      </c>
      <c r="AZ19" s="65">
        <v>1.05</v>
      </c>
      <c r="BA19" s="65">
        <v>0</v>
      </c>
      <c r="BB19" s="65">
        <v>1.08</v>
      </c>
      <c r="BC19" s="11">
        <f ca="1">INDEX('RC6SV'!$A$1:$G$20,MATCH(H19,'RC6SV'!$A$1:$A$20,FALSE),MATCH(G19,'RC6SV'!$A$1:$G$1,FALSE))</f>
        <v>7000</v>
      </c>
      <c r="BD19" s="45">
        <f t="shared" ca="1" si="20"/>
        <v>7000</v>
      </c>
      <c r="BE19" s="11">
        <f t="shared" ca="1" si="3"/>
        <v>0</v>
      </c>
      <c r="BF19" s="11">
        <f t="shared" ca="1" si="4"/>
        <v>1</v>
      </c>
      <c r="BG19" s="16">
        <f ca="1">IF($BE19&lt;=0,ROUND(BK19*0.5,0), ROUND($BE19*S19*AA19*J19*AY19*0.8*[1]ステータス!$B$2,0))</f>
        <v>1762</v>
      </c>
      <c r="BH19" s="16">
        <f ca="1">IF($BE19&lt;=0,ROUND(BL19*0.5,0), ROUND($BE19*T19*AB19*K19*AZ19*0.8*[1]ステータス!$C$2,0))</f>
        <v>1070</v>
      </c>
      <c r="BI19" s="16">
        <f ca="1">IF($BE19&lt;=0,ROUND(BM19*0.5,0), ROUND($BE19*U19*AC19*L19*BA19*0.8*[1]ステータス!$D$2,0))</f>
        <v>0</v>
      </c>
      <c r="BJ19" s="16">
        <f ca="1">IF($BE19&lt;=0,ROUND(BN19*0.5,0), ROUND($BE19*V19*AD19*M19*BB19*0.8*[1]ステータス!$E$2,0))</f>
        <v>1011</v>
      </c>
      <c r="BK19" s="164">
        <f ca="1">ROUND(BD19*S19*AA19*J19*AY19*[1]ステータス!$B$2,0)</f>
        <v>3524</v>
      </c>
      <c r="BL19" s="164">
        <f ca="1">ROUND(BD19*T19*AB19*K19*AZ19*[1]ステータス!$C$2,0)</f>
        <v>2139</v>
      </c>
      <c r="BM19" s="164">
        <f ca="1">ROUND(BD19*U19*AC19*L19*BA19*[1]ステータス!$D$2,0)</f>
        <v>0</v>
      </c>
      <c r="BN19" s="164">
        <f ca="1">ROUND(BD19*V19*AD19*M19*BB19*[1]ステータス!$E$2,0)</f>
        <v>2022</v>
      </c>
      <c r="BO19" s="10">
        <v>0</v>
      </c>
      <c r="BP19" s="10">
        <v>1</v>
      </c>
      <c r="BQ19" s="10" t="s">
        <v>44</v>
      </c>
      <c r="BR19" s="214">
        <v>233</v>
      </c>
    </row>
    <row r="20" spans="1:70" ht="26" customHeight="1" x14ac:dyDescent="0.15">
      <c r="A20" s="12">
        <v>995</v>
      </c>
      <c r="B20" s="54" t="str">
        <f ca="1">VLOOKUP($A20,OFFSET([1]characters!$A$1,0,0,COUNTA([1]characters!$A:$A),MATCH(B$1,[1]characters!$1:$1,0)-MATCH($A$1,[1]characters!$1:$1,0)+1),MATCH(B$1,[1]characters!$1:$1,0)-MATCH($A$1,[1]characters!$1:$1,0)+1,FALSE)</f>
        <v>疾駆する閃略 アルミン</v>
      </c>
      <c r="C20" s="54" t="str">
        <f ca="1">VLOOKUP($A20,OFFSET([1]characters!$A$1,0,0,COUNTA([1]characters!$A:$A),MATCH(C$1,[1]characters!$1:$1,0)-MATCH($A$1,[1]characters!$1:$1,0)+1),MATCH(C$1,[1]characters!$1:$1,0)-MATCH($A$1,[1]characters!$1:$1,0)+1,FALSE)</f>
        <v>アルミン・アルレルト</v>
      </c>
      <c r="D20" s="54" t="str">
        <f ca="1">VLOOKUP($A20,OFFSET([1]characters!$A$1,0,0,COUNTA([1]characters!$A:$A),MATCH(D$1,[1]characters!$1:$1,0)-MATCH($A$1,[1]characters!$1:$1,0)+1),MATCH(D$1,[1]characters!$1:$1,0)-MATCH($A$1,[1]characters!$1:$1,0)+1,FALSE)</f>
        <v>執行者</v>
      </c>
      <c r="E20" s="54" t="str">
        <f ca="1">VLOOKUP($A20,OFFSET([1]characters!$A$1,0,0,COUNTA([1]characters!$A:$A),MATCH(E$1,[1]characters!$1:$1,0)-MATCH($A$1,[1]characters!$1:$1,0)+1),MATCH(E$1,[1]characters!$1:$1,0)-MATCH($A$1,[1]characters!$1:$1,0)+1,FALSE)</f>
        <v>格好いい</v>
      </c>
      <c r="F20" s="54" t="str">
        <f ca="1">VLOOKUP($A20,OFFSET([1]characters!$A$1,0,0,COUNTA([1]characters!$A:$A),MATCH(F$1,[1]characters!$1:$1,0)-MATCH($A$1,[1]characters!$1:$1,0)+1),MATCH(F$1,[1]characters!$1:$1,0)-MATCH($A$1,[1]characters!$1:$1,0)+1,FALSE)</f>
        <v>男性</v>
      </c>
      <c r="G20" s="54">
        <f ca="1">VLOOKUP($A20,OFFSET([1]characters!$A$1,0,0,COUNTA([1]characters!$A:$A),MATCH(G$1,[1]characters!$1:$1,0)-MATCH($A$1,[1]characters!$1:$1,0)+1),MATCH(G$1,[1]characters!$1:$1,0)-MATCH($A$1,[1]characters!$1:$1,0)+1,FALSE)</f>
        <v>5</v>
      </c>
      <c r="H20" s="54" t="str">
        <f ca="1">VLOOKUP($A20,OFFSET([1]characters!$A$1,0,0,COUNTA([1]characters!$A:$A),MATCH(H$1,[1]characters!$1:$1,0)-MATCH($A$1,[1]characters!$1:$1,0)+1),MATCH(H$1,[1]characters!$1:$1,0)-MATCH($A$1,[1]characters!$1:$1,0)+1,FALSE)</f>
        <v>PremiumS</v>
      </c>
      <c r="I20" s="54" t="str">
        <f ca="1">VLOOKUP($A20,OFFSET([1]characters!$A$1,0,0,COUNTA([1]characters!$A:$A),MATCH(I$1,[1]characters!$1:$1,0)-MATCH($A$1,[1]characters!$1:$1,0)+1),MATCH(I$1,[1]characters!$1:$1,0)-MATCH($A$1,[1]characters!$1:$1,0)+1,FALSE)</f>
        <v>green</v>
      </c>
      <c r="J20" s="11">
        <f ca="1">VLOOKUP(I20,[1]属性!$A:$E,2,FALSE)</f>
        <v>1.02</v>
      </c>
      <c r="K20" s="11">
        <f ca="1">VLOOKUP(I20,[1]属性!$A:$E,3,FALSE)</f>
        <v>0.98</v>
      </c>
      <c r="L20" s="11">
        <f ca="1">VLOOKUP(I20,[1]属性!$A:$E,4,FALSE)</f>
        <v>1</v>
      </c>
      <c r="M20" s="11">
        <f ca="1">VLOOKUP(I20,[1]属性!$A:$E,5,FALSE)</f>
        <v>1</v>
      </c>
      <c r="N20" s="11">
        <f ca="1">INDEX(コスト!$A$1:$I$20,MATCH(H20,コスト!$A$1:$A$20,FALSE),MATCH(G20,コスト!$A$1:$I$1,FALSE))</f>
        <v>30</v>
      </c>
      <c r="O20" s="11">
        <f ca="1">INDEX(レベル!$A$1:$I$21,MATCH(H20,レベル!$A$1:$A$21,FALSE),MATCH(G20,レベル!$A$1:$I$1,FALSE))</f>
        <v>80</v>
      </c>
      <c r="P20" s="45">
        <f t="shared" ca="1" si="18"/>
        <v>75</v>
      </c>
      <c r="Q20" s="54" t="str">
        <f ca="1">VLOOKUP($A20,OFFSET([1]characters!$A$1,0,0,COUNTA([1]characters!$A:$A),MATCH(Q$1,[1]characters!$1:$1,0)-MATCH($A$1,[1]characters!$1:$1,0)+1),MATCH(Q$1,[1]characters!$1:$1,0)-MATCH($A$1,[1]characters!$1:$1,0)+1,FALSE)</f>
        <v>balance</v>
      </c>
      <c r="R20" s="5" t="str">
        <f ca="1">VLOOKUP(Q20,[1]character_type_i18n!$A:$H,3,FALSE)</f>
        <v>バランスタイプ</v>
      </c>
      <c r="S20" s="11">
        <f ca="1">VLOOKUP(Q20,[1]character_type_i18n!$A:$H,4,FALSE)</f>
        <v>1</v>
      </c>
      <c r="T20" s="11">
        <f ca="1">VLOOKUP(Q20,[1]character_type_i18n!$A:$H,5,FALSE)</f>
        <v>1</v>
      </c>
      <c r="U20" s="11">
        <f ca="1">VLOOKUP(Q20,[1]character_type_i18n!$A:$H,6,FALSE)</f>
        <v>1</v>
      </c>
      <c r="V20" s="11">
        <f ca="1">VLOOKUP(Q20,[1]character_type_i18n!$A:$H,7,FALSE)</f>
        <v>1</v>
      </c>
      <c r="W20" s="54" t="str">
        <f ca="1">VLOOKUP($A20,OFFSET([1]characters!$A$1,0,0,COUNTA([1]characters!$A:$A),MATCH(W$1,[1]characters!$1:$1,0)-MATCH($A$1,[1]characters!$1:$1,0)+1),MATCH(W$1,[1]characters!$1:$1,0)-MATCH($A$1,[1]characters!$1:$1,0)+1,FALSE)</f>
        <v>human</v>
      </c>
      <c r="X20" s="5" t="str">
        <f ca="1">VLOOKUP(W20,[1]character_tribe_i18n!$A:$H,3,FALSE)</f>
        <v>ヒューマン</v>
      </c>
      <c r="Y20" s="54" t="str">
        <f ca="1">VLOOKUP($A20,OFFSET([1]characters!$A$1,0,0,COUNTA([1]characters!$A:$A),MATCH(Y$1,[1]characters!$1:$1,0)-MATCH($A$1,[1]characters!$1:$1,0)+1),MATCH(Y$1,[1]characters!$1:$1,0)-MATCH($A$1,[1]characters!$1:$1,0)+1,FALSE)</f>
        <v>machine</v>
      </c>
      <c r="Z20" s="5" t="str">
        <f ca="1">VLOOKUP(Y20,[1]character_tribe_i18n!$A:$H,3,FALSE)</f>
        <v>マシン</v>
      </c>
      <c r="AA20" s="11">
        <f ca="1">VLOOKUP(W20,[1]character_tribe_i18n!$A:$H,4,FALSE)</f>
        <v>0.94</v>
      </c>
      <c r="AB20" s="11">
        <f ca="1">VLOOKUP(W20,[1]character_tribe_i18n!$A:$H,5,FALSE)</f>
        <v>0.99</v>
      </c>
      <c r="AC20" s="11">
        <f ca="1">VLOOKUP(W20,[1]character_tribe_i18n!$A:$H,6,FALSE)</f>
        <v>1</v>
      </c>
      <c r="AD20" s="11">
        <f ca="1">VLOOKUP(W20,[1]character_tribe_i18n!$A:$H,7,FALSE)</f>
        <v>1.07</v>
      </c>
      <c r="AE20" s="9" t="s">
        <v>178</v>
      </c>
      <c r="AF20" s="59" t="str">
        <f ca="1">IF(AE20="NULL","",VLOOKUP($AE20,OFFSET([1]characters!$A$1,0,0,COUNTA([1]characters!$A:$A),MATCH(AF$1,[1]characters!$1:$1,0)-MATCH($A$1,[1]characters!$1:$1,0)+1),MATCH(AF$1,[1]characters!$1:$1,0)-MATCH($A$1,[1]characters!$1:$1,0)+1,FALSE))</f>
        <v/>
      </c>
      <c r="AG20" s="5">
        <f t="shared" ca="1" si="15"/>
        <v>994</v>
      </c>
      <c r="AH20" s="59" t="str">
        <f ca="1">VLOOKUP($AG20,OFFSET([1]characters!$A$1,0,0,COUNTA([1]characters!$A:$A),MATCH(AH$1,[1]characters!$1:$1,0)-MATCH($A$1,[1]characters!$1:$1,0)+1),MATCH(AH$1,[1]characters!$1:$1,0)-MATCH($A$1,[1]characters!$1:$1,0)+1,FALSE)</f>
        <v>アルミン</v>
      </c>
      <c r="AI20" s="11" t="str">
        <f>IF(AE20="NULL","NULL",VLOOKUP(G20,ビット!$A$2:$B$7,2))</f>
        <v>NULL</v>
      </c>
      <c r="AJ20" s="6">
        <v>2</v>
      </c>
      <c r="AK20" s="7" t="str">
        <f t="shared" si="19"/>
        <v>普通</v>
      </c>
      <c r="AL20" s="11" t="str">
        <f ca="1">INDEX(経験値!$A$1:$I$20,MATCH(H20,経験値!$A$1:$A$20,FALSE),MATCH(G20,経験値!$A$1:$I$1,FALSE))</f>
        <v>required_exp_200</v>
      </c>
      <c r="AM20" s="8">
        <f ca="1">VLOOKUP(G20,経験値!$A$27:$B$31,2)</f>
        <v>6400</v>
      </c>
      <c r="AN20" s="17">
        <f ca="1">VLOOKUP(G20,ビット!$G$2:$H$7,2)</f>
        <v>900</v>
      </c>
      <c r="AO20" s="42"/>
      <c r="AP20" s="64">
        <f t="shared" si="5"/>
        <v>995</v>
      </c>
      <c r="AQ20" s="54" t="str">
        <f ca="1">VLOOKUP($AP20,OFFSET(unit_skills!$A$1,0,0,COUNTA(unit_skills!$A:$A),MATCH(AQ$1,unit_skills!$1:$1,0)-MATCH($AP$1,unit_skills!$1:$1,0)+1),MATCH(AQ$1,unit_skills!$1:$1,0)-MATCH($AP$1,unit_skills!$1:$1,0)+1,FALSE)</f>
        <v>確信の最適解</v>
      </c>
      <c r="AR20" s="54" t="str">
        <f ca="1">VLOOKUP($AP20,OFFSET(unit_skills!$A$1,0,0,COUNTA(unit_skills!$A:$A),MATCH(AR$1,unit_skills!$1:$1,0)-MATCH($AP$1,unit_skills!$1:$1,0)+1),MATCH(AR$1,unit_skills!$1:$1,0)-MATCH($AP$1,unit_skills!$1:$1,0)+1,FALSE)</f>
        <v>黄パネルを緑パネルに変換+青パネルを吸収して3ターンヒューマンの防御力UPし、回復力特大UP</v>
      </c>
      <c r="AS20" s="54">
        <f ca="1">VLOOKUP($AP20,OFFSET(unit_skills!$A$1,0,0,COUNTA(unit_skills!$A:$A),MATCH(AS$1,unit_skills!$1:$1,0)-MATCH($AP$1,unit_skills!$1:$1,0)+1),MATCH(AS$1,unit_skills!$1:$1,0)-MATCH($AP$1,unit_skills!$1:$1,0)+1,FALSE)</f>
        <v>0</v>
      </c>
      <c r="AT20" s="39">
        <f t="shared" si="6"/>
        <v>995</v>
      </c>
      <c r="AU20" s="54" t="str">
        <f ca="1">VLOOKUP($AT20,OFFSET(crash_skills!$A$1,0,0,COUNTA(crash_skills!$A:$A),MATCH(AU$1,crash_skills!$1:$1,0)-MATCH($AT$1,crash_skills!$1:$1,0)+1),MATCH(AU$1,crash_skills!$1:$1,0)-MATCH($AT$1,crash_skills!$1:$1,0)+1,FALSE)</f>
        <v>高智な反撃</v>
      </c>
      <c r="AV20" s="54" t="str">
        <f ca="1">VLOOKUP($AT20,OFFSET(crash_skills!$A$1,0,0,COUNTA(crash_skills!$A:$A),MATCH(AV$1,crash_skills!$1:$1,0)-MATCH($AT$1,crash_skills!$1:$1,0)+1),MATCH(AV$1,crash_skills!$1:$1,0)-MATCH($AT$1,crash_skills!$1:$1,0)+1,FALSE)</f>
        <v>1体に特大ダメージ_x000D_+HP小回復</v>
      </c>
      <c r="AW20" s="54">
        <f ca="1">VLOOKUP($AT20,OFFSET(crash_skills!$A$1,0,0,COUNTA(crash_skills!$A:$A),MATCH(AW$1,crash_skills!$1:$1,0)-MATCH($AT$1,crash_skills!$1:$1,0)+1),MATCH(AW$1,crash_skills!$1:$1,0)-MATCH($AT$1,crash_skills!$1:$1,0)+1,FALSE)</f>
        <v>0</v>
      </c>
      <c r="AX20" s="55">
        <f ca="1">VLOOKUP($A20,OFFSET([1]characters!$A$1,0,0,COUNTA([1]characters!$A:$A),MATCH(AX$1,[1]characters!$1:$1,0)-MATCH($A$1,[1]characters!$1:$1,0)+1),MATCH(AX$1,[1]characters!$1:$1,0)-MATCH($A$1,[1]characters!$1:$1,0)+1,FALSE)</f>
        <v>3</v>
      </c>
      <c r="AY20" s="65">
        <v>1.05</v>
      </c>
      <c r="AZ20" s="65">
        <v>1.2</v>
      </c>
      <c r="BA20" s="65">
        <v>0</v>
      </c>
      <c r="BB20" s="65">
        <v>1.08</v>
      </c>
      <c r="BC20" s="11">
        <f ca="1">INDEX('RC6SV'!$A$1:$G$20,MATCH(H20,'RC6SV'!$A$1:$A$20,FALSE),MATCH(G20,'RC6SV'!$A$1:$G$1,FALSE))</f>
        <v>9000</v>
      </c>
      <c r="BD20" s="45">
        <f t="shared" ca="1" si="20"/>
        <v>9000</v>
      </c>
      <c r="BE20" s="11">
        <f t="shared" ca="1" si="3"/>
        <v>7000</v>
      </c>
      <c r="BF20" s="11">
        <f t="shared" ca="1" si="4"/>
        <v>1</v>
      </c>
      <c r="BG20" s="16">
        <f ca="1">IF($BE20&lt;=0,ROUND(BK20*0.5,0), ROUND($BE20*S20*AA20*J20*AY20*0.8*[1]ステータス!$B$2,0))</f>
        <v>2819</v>
      </c>
      <c r="BH20" s="16">
        <f ca="1">IF($BE20&lt;=0,ROUND(BL20*0.5,0), ROUND($BE20*T20*AB20*K20*AZ20*0.8*[1]ステータス!$C$2,0))</f>
        <v>1956</v>
      </c>
      <c r="BI20" s="16">
        <f ca="1">IF($BE20&lt;=0,ROUND(BM20*0.5,0), ROUND($BE20*U20*AC20*L20*BA20*0.8*[1]ステータス!$D$2,0))</f>
        <v>0</v>
      </c>
      <c r="BJ20" s="16">
        <f ca="1">IF($BE20&lt;=0,ROUND(BN20*0.5,0), ROUND($BE20*V20*AD20*M20*BB20*0.8*[1]ステータス!$E$2,0))</f>
        <v>1618</v>
      </c>
      <c r="BK20" s="164">
        <f ca="1">ROUND(BD20*S20*AA20*J20*AY20*[1]ステータス!$B$2,0)</f>
        <v>4530</v>
      </c>
      <c r="BL20" s="164">
        <f ca="1">ROUND(BD20*T20*AB20*K20*AZ20*[1]ステータス!$C$2,0)</f>
        <v>3143</v>
      </c>
      <c r="BM20" s="164">
        <f ca="1">ROUND(BD20*U20*AC20*L20*BA20*[1]ステータス!$D$2,0)</f>
        <v>0</v>
      </c>
      <c r="BN20" s="164">
        <f ca="1">ROUND(BD20*V20*AD20*M20*BB20*[1]ステータス!$E$2,0)</f>
        <v>2600</v>
      </c>
      <c r="BO20" s="10">
        <v>0</v>
      </c>
      <c r="BP20" s="10">
        <v>1</v>
      </c>
      <c r="BQ20" s="10" t="s">
        <v>44</v>
      </c>
      <c r="BR20" s="214">
        <v>233</v>
      </c>
    </row>
    <row r="21" spans="1:70" ht="26" customHeight="1" x14ac:dyDescent="0.15">
      <c r="A21" s="12">
        <v>996</v>
      </c>
      <c r="B21" s="54" t="str">
        <f ca="1">VLOOKUP($A21,OFFSET([1]characters!$A$1,0,0,COUNTA([1]characters!$A:$A),MATCH(B$1,[1]characters!$1:$1,0)-MATCH($A$1,[1]characters!$1:$1,0)+1),MATCH(B$1,[1]characters!$1:$1,0)-MATCH($A$1,[1]characters!$1:$1,0)+1,FALSE)</f>
        <v>リヴァイ</v>
      </c>
      <c r="C21" s="54" t="str">
        <f ca="1">VLOOKUP($A21,OFFSET([1]characters!$A$1,0,0,COUNTA([1]characters!$A:$A),MATCH(C$1,[1]characters!$1:$1,0)-MATCH($A$1,[1]characters!$1:$1,0)+1),MATCH(C$1,[1]characters!$1:$1,0)-MATCH($A$1,[1]characters!$1:$1,0)+1,FALSE)</f>
        <v>リヴァイ</v>
      </c>
      <c r="D21" s="54" t="str">
        <f ca="1">VLOOKUP($A21,OFFSET([1]characters!$A$1,0,0,COUNTA([1]characters!$A:$A),MATCH(D$1,[1]characters!$1:$1,0)-MATCH($A$1,[1]characters!$1:$1,0)+1),MATCH(D$1,[1]characters!$1:$1,0)-MATCH($A$1,[1]characters!$1:$1,0)+1,FALSE)</f>
        <v>執行者</v>
      </c>
      <c r="E21" s="54" t="str">
        <f ca="1">VLOOKUP($A21,OFFSET([1]characters!$A$1,0,0,COUNTA([1]characters!$A:$A),MATCH(E$1,[1]characters!$1:$1,0)-MATCH($A$1,[1]characters!$1:$1,0)+1),MATCH(E$1,[1]characters!$1:$1,0)-MATCH($A$1,[1]characters!$1:$1,0)+1,FALSE)</f>
        <v>格好いい</v>
      </c>
      <c r="F21" s="54" t="str">
        <f ca="1">VLOOKUP($A21,OFFSET([1]characters!$A$1,0,0,COUNTA([1]characters!$A:$A),MATCH(F$1,[1]characters!$1:$1,0)-MATCH($A$1,[1]characters!$1:$1,0)+1),MATCH(F$1,[1]characters!$1:$1,0)-MATCH($A$1,[1]characters!$1:$1,0)+1,FALSE)</f>
        <v>男性</v>
      </c>
      <c r="G21" s="54">
        <f ca="1">VLOOKUP($A21,OFFSET([1]characters!$A$1,0,0,COUNTA([1]characters!$A:$A),MATCH(G$1,[1]characters!$1:$1,0)-MATCH($A$1,[1]characters!$1:$1,0)+1),MATCH(G$1,[1]characters!$1:$1,0)-MATCH($A$1,[1]characters!$1:$1,0)+1,FALSE)</f>
        <v>5</v>
      </c>
      <c r="H21" s="54" t="str">
        <f ca="1">VLOOKUP($A21,OFFSET([1]characters!$A$1,0,0,COUNTA([1]characters!$A:$A),MATCH(H$1,[1]characters!$1:$1,0)-MATCH($A$1,[1]characters!$1:$1,0)+1),MATCH(H$1,[1]characters!$1:$1,0)-MATCH($A$1,[1]characters!$1:$1,0)+1,FALSE)</f>
        <v>PremiumSS</v>
      </c>
      <c r="I21" s="54" t="str">
        <f ca="1">VLOOKUP($A21,OFFSET([1]characters!$A$1,0,0,COUNTA([1]characters!$A:$A),MATCH(I$1,[1]characters!$1:$1,0)-MATCH($A$1,[1]characters!$1:$1,0)+1),MATCH(I$1,[1]characters!$1:$1,0)-MATCH($A$1,[1]characters!$1:$1,0)+1,FALSE)</f>
        <v>blue</v>
      </c>
      <c r="J21" s="11">
        <f ca="1">VLOOKUP(I21,[1]属性!$A:$E,2,FALSE)</f>
        <v>1</v>
      </c>
      <c r="K21" s="11">
        <f ca="1">VLOOKUP(I21,[1]属性!$A:$E,3,FALSE)</f>
        <v>0.98</v>
      </c>
      <c r="L21" s="11">
        <f ca="1">VLOOKUP(I21,[1]属性!$A:$E,4,FALSE)</f>
        <v>1</v>
      </c>
      <c r="M21" s="11">
        <f ca="1">VLOOKUP(I21,[1]属性!$A:$E,5,FALSE)</f>
        <v>1.02</v>
      </c>
      <c r="N21" s="11">
        <f ca="1">INDEX(コスト!$A$1:$I$20,MATCH(H21,コスト!$A$1:$A$20,FALSE),MATCH(G21,コスト!$A$1:$I$1,FALSE))</f>
        <v>35</v>
      </c>
      <c r="O21" s="11">
        <f ca="1">INDEX(レベル!$A$1:$I$21,MATCH(H21,レベル!$A$1:$A$21,FALSE),MATCH(G21,レベル!$A$1:$I$1,FALSE))</f>
        <v>80</v>
      </c>
      <c r="P21" s="45">
        <f t="shared" ca="1" si="18"/>
        <v>75</v>
      </c>
      <c r="Q21" s="54" t="str">
        <f ca="1">VLOOKUP($A21,OFFSET([1]characters!$A$1,0,0,COUNTA([1]characters!$A:$A),MATCH(Q$1,[1]characters!$1:$1,0)-MATCH($A$1,[1]characters!$1:$1,0)+1),MATCH(Q$1,[1]characters!$1:$1,0)-MATCH($A$1,[1]characters!$1:$1,0)+1,FALSE)</f>
        <v>attack</v>
      </c>
      <c r="R21" s="5" t="str">
        <f ca="1">VLOOKUP(Q21,[1]character_type_i18n!$A:$H,3,FALSE)</f>
        <v>攻撃タイプ</v>
      </c>
      <c r="S21" s="11">
        <f ca="1">VLOOKUP(Q21,[1]character_type_i18n!$A:$H,4,FALSE)</f>
        <v>1</v>
      </c>
      <c r="T21" s="11">
        <f ca="1">VLOOKUP(Q21,[1]character_type_i18n!$A:$H,5,FALSE)</f>
        <v>1.33</v>
      </c>
      <c r="U21" s="11">
        <f ca="1">VLOOKUP(Q21,[1]character_type_i18n!$A:$H,6,FALSE)</f>
        <v>1</v>
      </c>
      <c r="V21" s="11">
        <f ca="1">VLOOKUP(Q21,[1]character_type_i18n!$A:$H,7,FALSE)</f>
        <v>0.67</v>
      </c>
      <c r="W21" s="54" t="str">
        <f ca="1">VLOOKUP($A21,OFFSET([1]characters!$A$1,0,0,COUNTA([1]characters!$A:$A),MATCH(W$1,[1]characters!$1:$1,0)-MATCH($A$1,[1]characters!$1:$1,0)+1),MATCH(W$1,[1]characters!$1:$1,0)-MATCH($A$1,[1]characters!$1:$1,0)+1,FALSE)</f>
        <v>human</v>
      </c>
      <c r="X21" s="5" t="str">
        <f ca="1">VLOOKUP(W21,[1]character_tribe_i18n!$A:$H,3,FALSE)</f>
        <v>ヒューマン</v>
      </c>
      <c r="Y21" s="54" t="str">
        <f ca="1">VLOOKUP($A21,OFFSET([1]characters!$A$1,0,0,COUNTA([1]characters!$A:$A),MATCH(Y$1,[1]characters!$1:$1,0)-MATCH($A$1,[1]characters!$1:$1,0)+1),MATCH(Y$1,[1]characters!$1:$1,0)-MATCH($A$1,[1]characters!$1:$1,0)+1,FALSE)</f>
        <v>machine</v>
      </c>
      <c r="Z21" s="5" t="str">
        <f ca="1">VLOOKUP(Y21,[1]character_tribe_i18n!$A:$H,3,FALSE)</f>
        <v>マシン</v>
      </c>
      <c r="AA21" s="11">
        <f ca="1">VLOOKUP(W21,[1]character_tribe_i18n!$A:$H,4,FALSE)</f>
        <v>0.94</v>
      </c>
      <c r="AB21" s="11">
        <f ca="1">VLOOKUP(W21,[1]character_tribe_i18n!$A:$H,5,FALSE)</f>
        <v>0.99</v>
      </c>
      <c r="AC21" s="11">
        <f ca="1">VLOOKUP(W21,[1]character_tribe_i18n!$A:$H,6,FALSE)</f>
        <v>1</v>
      </c>
      <c r="AD21" s="11">
        <f ca="1">VLOOKUP(W21,[1]character_tribe_i18n!$A:$H,7,FALSE)</f>
        <v>1.07</v>
      </c>
      <c r="AE21" s="9">
        <f t="shared" ref="AE21" si="22">A22</f>
        <v>997</v>
      </c>
      <c r="AF21" s="59" t="str">
        <f ca="1">IF(AE21="NULL","",VLOOKUP($AE21,OFFSET([1]characters!$A$1,0,0,COUNTA([1]characters!$A:$A),MATCH(AF$1,[1]characters!$1:$1,0)-MATCH($A$1,[1]characters!$1:$1,0)+1),MATCH(AF$1,[1]characters!$1:$1,0)-MATCH($A$1,[1]characters!$1:$1,0)+1,FALSE))</f>
        <v>人類最強 リヴァイ</v>
      </c>
      <c r="AG21" s="5">
        <f t="shared" ca="1" si="15"/>
        <v>996</v>
      </c>
      <c r="AH21" s="59" t="str">
        <f ca="1">VLOOKUP($AG21,OFFSET([1]characters!$A$1,0,0,COUNTA([1]characters!$A:$A),MATCH(AH$1,[1]characters!$1:$1,0)-MATCH($A$1,[1]characters!$1:$1,0)+1),MATCH(AH$1,[1]characters!$1:$1,0)-MATCH($A$1,[1]characters!$1:$1,0)+1,FALSE)</f>
        <v>リヴァイ</v>
      </c>
      <c r="AI21" s="11">
        <f ca="1">IF(AE21="NULL","NULL",VLOOKUP(G21,ビット!$A$2:$B$7,2))</f>
        <v>200000</v>
      </c>
      <c r="AJ21" s="6">
        <v>2</v>
      </c>
      <c r="AK21" s="7" t="str">
        <f t="shared" si="19"/>
        <v>普通</v>
      </c>
      <c r="AL21" s="11" t="str">
        <f ca="1">INDEX(経験値!$A$1:$I$20,MATCH(H21,経験値!$A$1:$A$20,FALSE),MATCH(G21,経験値!$A$1:$I$1,FALSE))</f>
        <v>required_exp_200</v>
      </c>
      <c r="AM21" s="8">
        <f ca="1">VLOOKUP(G21,経験値!$A$27:$B$31,2)</f>
        <v>6400</v>
      </c>
      <c r="AN21" s="17">
        <f ca="1">VLOOKUP(G21,ビット!$G$2:$H$7,2)</f>
        <v>900</v>
      </c>
      <c r="AO21" s="42"/>
      <c r="AP21" s="64">
        <f t="shared" si="5"/>
        <v>996</v>
      </c>
      <c r="AQ21" s="54" t="str">
        <f ca="1">VLOOKUP($AP21,OFFSET(unit_skills!$A$1,0,0,COUNTA(unit_skills!$A:$A),MATCH(AQ$1,unit_skills!$1:$1,0)-MATCH($AP$1,unit_skills!$1:$1,0)+1),MATCH(AQ$1,unit_skills!$1:$1,0)-MATCH($AP$1,unit_skills!$1:$1,0)+1,FALSE)</f>
        <v>タイタン・スレイング</v>
      </c>
      <c r="AR21" s="54" t="str">
        <f ca="1">VLOOKUP($AP21,OFFSET(unit_skills!$A$1,0,0,COUNTA(unit_skills!$A:$A),MATCH(AR$1,unit_skills!$1:$1,0)-MATCH($AP$1,unit_skills!$1:$1,0)+1),MATCH(AR$1,unit_skills!$1:$1,0)-MATCH($AP$1,unit_skills!$1:$1,0)+1,FALSE)</f>
        <v>赤パネルを青パネルに、緑パネルを最大8個Cパネルに変換し、1ターン全ユニットのCパネル生成短縮(超大)</v>
      </c>
      <c r="AS21" s="54">
        <f ca="1">VLOOKUP($AP21,OFFSET(unit_skills!$A$1,0,0,COUNTA(unit_skills!$A:$A),MATCH(AS$1,unit_skills!$1:$1,0)-MATCH($AP$1,unit_skills!$1:$1,0)+1),MATCH(AS$1,unit_skills!$1:$1,0)-MATCH($AP$1,unit_skills!$1:$1,0)+1,FALSE)</f>
        <v>0</v>
      </c>
      <c r="AT21" s="39">
        <f t="shared" si="6"/>
        <v>996</v>
      </c>
      <c r="AU21" s="54" t="str">
        <f ca="1">VLOOKUP($AT21,OFFSET(crash_skills!$A$1,0,0,COUNTA(crash_skills!$A:$A),MATCH(AU$1,crash_skills!$1:$1,0)-MATCH($AT$1,crash_skills!$1:$1,0)+1),MATCH(AU$1,crash_skills!$1:$1,0)-MATCH($AT$1,crash_skills!$1:$1,0)+1,FALSE)</f>
        <v>自由の翼</v>
      </c>
      <c r="AV21" s="54" t="str">
        <f ca="1">VLOOKUP($AT21,OFFSET(crash_skills!$A$1,0,0,COUNTA(crash_skills!$A:$A),MATCH(AV$1,crash_skills!$1:$1,0)-MATCH($AT$1,crash_skills!$1:$1,0)+1),MATCH(AV$1,crash_skills!$1:$1,0)-MATCH($AT$1,crash_skills!$1:$1,0)+1,FALSE)</f>
        <v>単体に4回ダメージ</v>
      </c>
      <c r="AW21" s="54">
        <f ca="1">VLOOKUP($AT21,OFFSET(crash_skills!$A$1,0,0,COUNTA(crash_skills!$A:$A),MATCH(AW$1,crash_skills!$1:$1,0)-MATCH($AT$1,crash_skills!$1:$1,0)+1),MATCH(AW$1,crash_skills!$1:$1,0)-MATCH($AT$1,crash_skills!$1:$1,0)+1,FALSE)</f>
        <v>0</v>
      </c>
      <c r="AX21" s="55">
        <f ca="1">VLOOKUP($A21,OFFSET([1]characters!$A$1,0,0,COUNTA([1]characters!$A:$A),MATCH(AX$1,[1]characters!$1:$1,0)-MATCH($A$1,[1]characters!$1:$1,0)+1),MATCH(AX$1,[1]characters!$1:$1,0)-MATCH($A$1,[1]characters!$1:$1,0)+1,FALSE)</f>
        <v>3</v>
      </c>
      <c r="AY21" s="65">
        <v>1.05</v>
      </c>
      <c r="AZ21" s="65">
        <v>1.05</v>
      </c>
      <c r="BA21" s="65">
        <v>0</v>
      </c>
      <c r="BB21" s="65">
        <v>0.98</v>
      </c>
      <c r="BC21" s="11">
        <f ca="1">INDEX('RC6SV'!$A$1:$G$20,MATCH(H21,'RC6SV'!$A$1:$A$20,FALSE),MATCH(G21,'RC6SV'!$A$1:$G$1,FALSE))</f>
        <v>9500</v>
      </c>
      <c r="BD21" s="45">
        <f t="shared" ca="1" si="20"/>
        <v>9500</v>
      </c>
      <c r="BE21" s="11">
        <f t="shared" ca="1" si="3"/>
        <v>0</v>
      </c>
      <c r="BF21" s="11">
        <f t="shared" ca="1" si="4"/>
        <v>1</v>
      </c>
      <c r="BG21" s="16">
        <f ca="1">IF($BE21&lt;=0,ROUND(BK21*0.5,0), ROUND($BE21*S21*AA21*J21*AY21*0.8*[1]ステータス!$B$2,0))</f>
        <v>2344</v>
      </c>
      <c r="BH21" s="16">
        <f ca="1">IF($BE21&lt;=0,ROUND(BL21*0.5,0), ROUND($BE21*T21*AB21*K21*AZ21*0.8*[1]ステータス!$C$2,0))</f>
        <v>1931</v>
      </c>
      <c r="BI21" s="16">
        <f ca="1">IF($BE21&lt;=0,ROUND(BM21*0.5,0), ROUND($BE21*U21*AC21*L21*BA21*0.8*[1]ステータス!$D$2,0))</f>
        <v>0</v>
      </c>
      <c r="BJ21" s="16">
        <f ca="1">IF($BE21&lt;=0,ROUND(BN21*0.5,0), ROUND($BE21*V21*AD21*M21*BB21*0.8*[1]ステータス!$E$2,0))</f>
        <v>851</v>
      </c>
      <c r="BK21" s="164">
        <f ca="1">ROUND(BD21*S21*AA21*J21*AY21*[1]ステータス!$B$2,0)</f>
        <v>4688</v>
      </c>
      <c r="BL21" s="164">
        <f ca="1">ROUND(BD21*T21*AB21*K21*AZ21*[1]ステータス!$C$2,0)</f>
        <v>3861</v>
      </c>
      <c r="BM21" s="164">
        <f ca="1">ROUND(BD21*U21*AC21*L21*BA21*[1]ステータス!$D$2,0)</f>
        <v>0</v>
      </c>
      <c r="BN21" s="164">
        <f ca="1">ROUND(BD21*V21*AD21*M21*BB21*[1]ステータス!$E$2,0)</f>
        <v>1702</v>
      </c>
      <c r="BO21" s="10">
        <v>0</v>
      </c>
      <c r="BP21" s="10">
        <v>1</v>
      </c>
      <c r="BQ21" s="10" t="s">
        <v>44</v>
      </c>
      <c r="BR21" s="214">
        <v>1833</v>
      </c>
    </row>
    <row r="22" spans="1:70" ht="26" customHeight="1" x14ac:dyDescent="0.15">
      <c r="A22" s="12">
        <v>997</v>
      </c>
      <c r="B22" s="54" t="str">
        <f ca="1">VLOOKUP($A22,OFFSET([1]characters!$A$1,0,0,COUNTA([1]characters!$A:$A),MATCH(B$1,[1]characters!$1:$1,0)-MATCH($A$1,[1]characters!$1:$1,0)+1),MATCH(B$1,[1]characters!$1:$1,0)-MATCH($A$1,[1]characters!$1:$1,0)+1,FALSE)</f>
        <v>人類最強 リヴァイ</v>
      </c>
      <c r="C22" s="54" t="str">
        <f ca="1">VLOOKUP($A22,OFFSET([1]characters!$A$1,0,0,COUNTA([1]characters!$A:$A),MATCH(C$1,[1]characters!$1:$1,0)-MATCH($A$1,[1]characters!$1:$1,0)+1),MATCH(C$1,[1]characters!$1:$1,0)-MATCH($A$1,[1]characters!$1:$1,0)+1,FALSE)</f>
        <v>リヴァイ</v>
      </c>
      <c r="D22" s="54" t="str">
        <f ca="1">VLOOKUP($A22,OFFSET([1]characters!$A$1,0,0,COUNTA([1]characters!$A:$A),MATCH(D$1,[1]characters!$1:$1,0)-MATCH($A$1,[1]characters!$1:$1,0)+1),MATCH(D$1,[1]characters!$1:$1,0)-MATCH($A$1,[1]characters!$1:$1,0)+1,FALSE)</f>
        <v>執行者</v>
      </c>
      <c r="E22" s="54" t="str">
        <f ca="1">VLOOKUP($A22,OFFSET([1]characters!$A$1,0,0,COUNTA([1]characters!$A:$A),MATCH(E$1,[1]characters!$1:$1,0)-MATCH($A$1,[1]characters!$1:$1,0)+1),MATCH(E$1,[1]characters!$1:$1,0)-MATCH($A$1,[1]characters!$1:$1,0)+1,FALSE)</f>
        <v>格好いい</v>
      </c>
      <c r="F22" s="54" t="str">
        <f ca="1">VLOOKUP($A22,OFFSET([1]characters!$A$1,0,0,COUNTA([1]characters!$A:$A),MATCH(F$1,[1]characters!$1:$1,0)-MATCH($A$1,[1]characters!$1:$1,0)+1),MATCH(F$1,[1]characters!$1:$1,0)-MATCH($A$1,[1]characters!$1:$1,0)+1,FALSE)</f>
        <v>男性</v>
      </c>
      <c r="G22" s="54">
        <f ca="1">VLOOKUP($A22,OFFSET([1]characters!$A$1,0,0,COUNTA([1]characters!$A:$A),MATCH(G$1,[1]characters!$1:$1,0)-MATCH($A$1,[1]characters!$1:$1,0)+1),MATCH(G$1,[1]characters!$1:$1,0)-MATCH($A$1,[1]characters!$1:$1,0)+1,FALSE)</f>
        <v>6</v>
      </c>
      <c r="H22" s="54" t="str">
        <f ca="1">VLOOKUP($A22,OFFSET([1]characters!$A$1,0,0,COUNTA([1]characters!$A:$A),MATCH(H$1,[1]characters!$1:$1,0)-MATCH($A$1,[1]characters!$1:$1,0)+1),MATCH(H$1,[1]characters!$1:$1,0)-MATCH($A$1,[1]characters!$1:$1,0)+1,FALSE)</f>
        <v>PremiumSS</v>
      </c>
      <c r="I22" s="54" t="str">
        <f ca="1">VLOOKUP($A22,OFFSET([1]characters!$A$1,0,0,COUNTA([1]characters!$A:$A),MATCH(I$1,[1]characters!$1:$1,0)-MATCH($A$1,[1]characters!$1:$1,0)+1),MATCH(I$1,[1]characters!$1:$1,0)-MATCH($A$1,[1]characters!$1:$1,0)+1,FALSE)</f>
        <v>blue</v>
      </c>
      <c r="J22" s="11">
        <f ca="1">VLOOKUP(I22,[1]属性!$A:$E,2,FALSE)</f>
        <v>1</v>
      </c>
      <c r="K22" s="11">
        <f ca="1">VLOOKUP(I22,[1]属性!$A:$E,3,FALSE)</f>
        <v>0.98</v>
      </c>
      <c r="L22" s="11">
        <f ca="1">VLOOKUP(I22,[1]属性!$A:$E,4,FALSE)</f>
        <v>1</v>
      </c>
      <c r="M22" s="11">
        <f ca="1">VLOOKUP(I22,[1]属性!$A:$E,5,FALSE)</f>
        <v>1.02</v>
      </c>
      <c r="N22" s="11">
        <f ca="1">INDEX(コスト!$A$1:$I$20,MATCH(H22,コスト!$A$1:$A$20,FALSE),MATCH(G22,コスト!$A$1:$I$1,FALSE))</f>
        <v>50</v>
      </c>
      <c r="O22" s="11">
        <f ca="1">INDEX(レベル!$A$1:$I$21,MATCH(H22,レベル!$A$1:$A$21,FALSE),MATCH(G22,レベル!$A$1:$I$1,FALSE))</f>
        <v>99</v>
      </c>
      <c r="P22" s="45">
        <f t="shared" ca="1" si="18"/>
        <v>99</v>
      </c>
      <c r="Q22" s="54" t="str">
        <f ca="1">VLOOKUP($A22,OFFSET([1]characters!$A$1,0,0,COUNTA([1]characters!$A:$A),MATCH(Q$1,[1]characters!$1:$1,0)-MATCH($A$1,[1]characters!$1:$1,0)+1),MATCH(Q$1,[1]characters!$1:$1,0)-MATCH($A$1,[1]characters!$1:$1,0)+1,FALSE)</f>
        <v>attack</v>
      </c>
      <c r="R22" s="5" t="str">
        <f ca="1">VLOOKUP(Q22,[1]character_type_i18n!$A:$H,3,FALSE)</f>
        <v>攻撃タイプ</v>
      </c>
      <c r="S22" s="11">
        <f ca="1">VLOOKUP(Q22,[1]character_type_i18n!$A:$H,4,FALSE)</f>
        <v>1</v>
      </c>
      <c r="T22" s="11">
        <f ca="1">VLOOKUP(Q22,[1]character_type_i18n!$A:$H,5,FALSE)</f>
        <v>1.33</v>
      </c>
      <c r="U22" s="11">
        <f ca="1">VLOOKUP(Q22,[1]character_type_i18n!$A:$H,6,FALSE)</f>
        <v>1</v>
      </c>
      <c r="V22" s="11">
        <f ca="1">VLOOKUP(Q22,[1]character_type_i18n!$A:$H,7,FALSE)</f>
        <v>0.67</v>
      </c>
      <c r="W22" s="54" t="str">
        <f ca="1">VLOOKUP($A22,OFFSET([1]characters!$A$1,0,0,COUNTA([1]characters!$A:$A),MATCH(W$1,[1]characters!$1:$1,0)-MATCH($A$1,[1]characters!$1:$1,0)+1),MATCH(W$1,[1]characters!$1:$1,0)-MATCH($A$1,[1]characters!$1:$1,0)+1,FALSE)</f>
        <v>human</v>
      </c>
      <c r="X22" s="5" t="str">
        <f ca="1">VLOOKUP(W22,[1]character_tribe_i18n!$A:$H,3,FALSE)</f>
        <v>ヒューマン</v>
      </c>
      <c r="Y22" s="54" t="str">
        <f ca="1">VLOOKUP($A22,OFFSET([1]characters!$A$1,0,0,COUNTA([1]characters!$A:$A),MATCH(Y$1,[1]characters!$1:$1,0)-MATCH($A$1,[1]characters!$1:$1,0)+1),MATCH(Y$1,[1]characters!$1:$1,0)-MATCH($A$1,[1]characters!$1:$1,0)+1,FALSE)</f>
        <v>machine</v>
      </c>
      <c r="Z22" s="5" t="str">
        <f ca="1">VLOOKUP(Y22,[1]character_tribe_i18n!$A:$H,3,FALSE)</f>
        <v>マシン</v>
      </c>
      <c r="AA22" s="11">
        <f ca="1">VLOOKUP(W22,[1]character_tribe_i18n!$A:$H,4,FALSE)</f>
        <v>0.94</v>
      </c>
      <c r="AB22" s="11">
        <f ca="1">VLOOKUP(W22,[1]character_tribe_i18n!$A:$H,5,FALSE)</f>
        <v>0.99</v>
      </c>
      <c r="AC22" s="11">
        <f ca="1">VLOOKUP(W22,[1]character_tribe_i18n!$A:$H,6,FALSE)</f>
        <v>1</v>
      </c>
      <c r="AD22" s="11">
        <f ca="1">VLOOKUP(W22,[1]character_tribe_i18n!$A:$H,7,FALSE)</f>
        <v>1.07</v>
      </c>
      <c r="AE22" s="9" t="s">
        <v>178</v>
      </c>
      <c r="AF22" s="59" t="str">
        <f ca="1">IF(AE22="NULL","",VLOOKUP($AE22,OFFSET([1]characters!$A$1,0,0,COUNTA([1]characters!$A:$A),MATCH(AF$1,[1]characters!$1:$1,0)-MATCH($A$1,[1]characters!$1:$1,0)+1),MATCH(AF$1,[1]characters!$1:$1,0)-MATCH($A$1,[1]characters!$1:$1,0)+1,FALSE))</f>
        <v/>
      </c>
      <c r="AG22" s="5">
        <f t="shared" ca="1" si="15"/>
        <v>996</v>
      </c>
      <c r="AH22" s="59" t="str">
        <f ca="1">VLOOKUP($AG22,OFFSET([1]characters!$A$1,0,0,COUNTA([1]characters!$A:$A),MATCH(AH$1,[1]characters!$1:$1,0)-MATCH($A$1,[1]characters!$1:$1,0)+1),MATCH(AH$1,[1]characters!$1:$1,0)-MATCH($A$1,[1]characters!$1:$1,0)+1,FALSE)</f>
        <v>リヴァイ</v>
      </c>
      <c r="AI22" s="11" t="str">
        <f>IF(AE22="NULL","NULL",VLOOKUP(G22,ビット!$A$2:$B$7,2))</f>
        <v>NULL</v>
      </c>
      <c r="AJ22" s="6">
        <v>2</v>
      </c>
      <c r="AK22" s="7" t="str">
        <f t="shared" si="19"/>
        <v>普通</v>
      </c>
      <c r="AL22" s="11" t="str">
        <f ca="1">INDEX(経験値!$A$1:$I$20,MATCH(H22,経験値!$A$1:$A$20,FALSE),MATCH(G22,経験値!$A$1:$I$1,FALSE))</f>
        <v>required_exp_250</v>
      </c>
      <c r="AM22" s="8">
        <f ca="1">VLOOKUP(G22,経験値!$A$27:$B$31,2)</f>
        <v>6400</v>
      </c>
      <c r="AN22" s="17">
        <f ca="1">VLOOKUP(G22,ビット!$G$2:$H$7,2)</f>
        <v>900</v>
      </c>
      <c r="AO22" s="42"/>
      <c r="AP22" s="64">
        <f t="shared" si="5"/>
        <v>997</v>
      </c>
      <c r="AQ22" s="54" t="str">
        <f ca="1">VLOOKUP($AP22,OFFSET(unit_skills!$A$1,0,0,COUNTA(unit_skills!$A:$A),MATCH(AQ$1,unit_skills!$1:$1,0)-MATCH($AP$1,unit_skills!$1:$1,0)+1),MATCH(AQ$1,unit_skills!$1:$1,0)-MATCH($AP$1,unit_skills!$1:$1,0)+1,FALSE)</f>
        <v>タイタン・スレイング</v>
      </c>
      <c r="AR22" s="54" t="str">
        <f ca="1">VLOOKUP($AP22,OFFSET(unit_skills!$A$1,0,0,COUNTA(unit_skills!$A:$A),MATCH(AR$1,unit_skills!$1:$1,0)-MATCH($AP$1,unit_skills!$1:$1,0)+1),MATCH(AR$1,unit_skills!$1:$1,0)-MATCH($AP$1,unit_skills!$1:$1,0)+1,FALSE)</f>
        <v>赤パネルを青パネルに、緑パネルを最大8個Cパネルに変換し、1ターン全ユニットのCパネル生成短縮(超大)</v>
      </c>
      <c r="AS22" s="54">
        <f ca="1">VLOOKUP($AP22,OFFSET(unit_skills!$A$1,0,0,COUNTA(unit_skills!$A:$A),MATCH(AS$1,unit_skills!$1:$1,0)-MATCH($AP$1,unit_skills!$1:$1,0)+1),MATCH(AS$1,unit_skills!$1:$1,0)-MATCH($AP$1,unit_skills!$1:$1,0)+1,FALSE)</f>
        <v>0</v>
      </c>
      <c r="AT22" s="39">
        <f t="shared" si="6"/>
        <v>997</v>
      </c>
      <c r="AU22" s="54" t="str">
        <f ca="1">VLOOKUP($AT22,OFFSET(crash_skills!$A$1,0,0,COUNTA(crash_skills!$A:$A),MATCH(AU$1,crash_skills!$1:$1,0)-MATCH($AT$1,crash_skills!$1:$1,0)+1),MATCH(AU$1,crash_skills!$1:$1,0)-MATCH($AT$1,crash_skills!$1:$1,0)+1,FALSE)</f>
        <v>自由の翼</v>
      </c>
      <c r="AV22" s="54" t="str">
        <f ca="1">VLOOKUP($AT22,OFFSET(crash_skills!$A$1,0,0,COUNTA(crash_skills!$A:$A),MATCH(AV$1,crash_skills!$1:$1,0)-MATCH($AT$1,crash_skills!$1:$1,0)+1),MATCH(AV$1,crash_skills!$1:$1,0)-MATCH($AT$1,crash_skills!$1:$1,0)+1,FALSE)</f>
        <v>単体に4回ダメージ</v>
      </c>
      <c r="AW22" s="54">
        <f ca="1">VLOOKUP($AT22,OFFSET(crash_skills!$A$1,0,0,COUNTA(crash_skills!$A:$A),MATCH(AW$1,crash_skills!$1:$1,0)-MATCH($AT$1,crash_skills!$1:$1,0)+1),MATCH(AW$1,crash_skills!$1:$1,0)-MATCH($AT$1,crash_skills!$1:$1,0)+1,FALSE)</f>
        <v>0</v>
      </c>
      <c r="AX22" s="55">
        <f ca="1">VLOOKUP($A22,OFFSET([1]characters!$A$1,0,0,COUNTA([1]characters!$A:$A),MATCH(AX$1,[1]characters!$1:$1,0)-MATCH($A$1,[1]characters!$1:$1,0)+1),MATCH(AX$1,[1]characters!$1:$1,0)-MATCH($A$1,[1]characters!$1:$1,0)+1,FALSE)</f>
        <v>3</v>
      </c>
      <c r="AY22" s="65">
        <v>1</v>
      </c>
      <c r="AZ22" s="65">
        <v>1.08</v>
      </c>
      <c r="BA22" s="65">
        <v>0</v>
      </c>
      <c r="BB22" s="65">
        <v>0.98</v>
      </c>
      <c r="BC22" s="11">
        <f ca="1">INDEX('RC6SV'!$A$1:$G$20,MATCH(H22,'RC6SV'!$A$1:$A$20,FALSE),MATCH(G22,'RC6SV'!$A$1:$G$1,FALSE))</f>
        <v>13000</v>
      </c>
      <c r="BD22" s="45">
        <f t="shared" ca="1" si="20"/>
        <v>13000</v>
      </c>
      <c r="BE22" s="11">
        <f t="shared" ca="1" si="3"/>
        <v>9500</v>
      </c>
      <c r="BF22" s="11">
        <f t="shared" ca="1" si="4"/>
        <v>1</v>
      </c>
      <c r="BG22" s="16">
        <f ca="1">IF($BE22&lt;=0,ROUND(BK22*0.5,0), ROUND($BE22*S22*AA22*J22*AY22*0.8*[1]ステータス!$B$2,0))</f>
        <v>3572</v>
      </c>
      <c r="BH22" s="16">
        <f ca="1">IF($BE22&lt;=0,ROUND(BL22*0.5,0), ROUND($BE22*T22*AB22*K22*AZ22*0.8*[1]ステータス!$C$2,0))</f>
        <v>3177</v>
      </c>
      <c r="BI22" s="16">
        <f ca="1">IF($BE22&lt;=0,ROUND(BM22*0.5,0), ROUND($BE22*U22*AC22*L22*BA22*0.8*[1]ステータス!$D$2,0))</f>
        <v>0</v>
      </c>
      <c r="BJ22" s="16">
        <f ca="1">IF($BE22&lt;=0,ROUND(BN22*0.5,0), ROUND($BE22*V22*AD22*M22*BB22*0.8*[1]ステータス!$E$2,0))</f>
        <v>1362</v>
      </c>
      <c r="BK22" s="164">
        <f ca="1">ROUND(BD22*S22*AA22*J22*AY22*[1]ステータス!$B$2,0)</f>
        <v>6110</v>
      </c>
      <c r="BL22" s="164">
        <f ca="1">ROUND(BD22*T22*AB22*K22*AZ22*[1]ステータス!$C$2,0)</f>
        <v>5435</v>
      </c>
      <c r="BM22" s="164">
        <f ca="1">ROUND(BD22*U22*AC22*L22*BA22*[1]ステータス!$D$2,0)</f>
        <v>0</v>
      </c>
      <c r="BN22" s="164">
        <f ca="1">ROUND(BD22*V22*AD22*M22*BB22*[1]ステータス!$E$2,0)</f>
        <v>2329</v>
      </c>
      <c r="BO22" s="10">
        <v>0</v>
      </c>
      <c r="BP22" s="10">
        <v>1</v>
      </c>
      <c r="BQ22" s="10" t="s">
        <v>44</v>
      </c>
      <c r="BR22" s="214">
        <v>1833</v>
      </c>
    </row>
    <row r="23" spans="1:70" ht="26" customHeight="1" x14ac:dyDescent="0.15">
      <c r="A23" s="12">
        <v>998</v>
      </c>
      <c r="B23" s="54" t="str">
        <f ca="1">VLOOKUP($A23,OFFSET([1]characters!$A$1,0,0,COUNTA([1]characters!$A:$A),MATCH(B$1,[1]characters!$1:$1,0)-MATCH($A$1,[1]characters!$1:$1,0)+1),MATCH(B$1,[1]characters!$1:$1,0)-MATCH($A$1,[1]characters!$1:$1,0)+1,FALSE)</f>
        <v>サシャ</v>
      </c>
      <c r="C23" s="54" t="str">
        <f ca="1">VLOOKUP($A23,OFFSET([1]characters!$A$1,0,0,COUNTA([1]characters!$A:$A),MATCH(C$1,[1]characters!$1:$1,0)-MATCH($A$1,[1]characters!$1:$1,0)+1),MATCH(C$1,[1]characters!$1:$1,0)-MATCH($A$1,[1]characters!$1:$1,0)+1,FALSE)</f>
        <v>サシャ・ブラウス</v>
      </c>
      <c r="D23" s="54" t="str">
        <f ca="1">VLOOKUP($A23,OFFSET([1]characters!$A$1,0,0,COUNTA([1]characters!$A:$A),MATCH(D$1,[1]characters!$1:$1,0)-MATCH($A$1,[1]characters!$1:$1,0)+1),MATCH(D$1,[1]characters!$1:$1,0)-MATCH($A$1,[1]characters!$1:$1,0)+1,FALSE)</f>
        <v>執行者</v>
      </c>
      <c r="E23" s="54" t="str">
        <f ca="1">VLOOKUP($A23,OFFSET([1]characters!$A$1,0,0,COUNTA([1]characters!$A:$A),MATCH(E$1,[1]characters!$1:$1,0)-MATCH($A$1,[1]characters!$1:$1,0)+1),MATCH(E$1,[1]characters!$1:$1,0)-MATCH($A$1,[1]characters!$1:$1,0)+1,FALSE)</f>
        <v>格好いい</v>
      </c>
      <c r="F23" s="54" t="str">
        <f ca="1">VLOOKUP($A23,OFFSET([1]characters!$A$1,0,0,COUNTA([1]characters!$A:$A),MATCH(F$1,[1]characters!$1:$1,0)-MATCH($A$1,[1]characters!$1:$1,0)+1),MATCH(F$1,[1]characters!$1:$1,0)-MATCH($A$1,[1]characters!$1:$1,0)+1,FALSE)</f>
        <v>男性</v>
      </c>
      <c r="G23" s="54">
        <f ca="1">VLOOKUP($A23,OFFSET([1]characters!$A$1,0,0,COUNTA([1]characters!$A:$A),MATCH(G$1,[1]characters!$1:$1,0)-MATCH($A$1,[1]characters!$1:$1,0)+1),MATCH(G$1,[1]characters!$1:$1,0)-MATCH($A$1,[1]characters!$1:$1,0)+1,FALSE)</f>
        <v>4</v>
      </c>
      <c r="H23" s="54" t="str">
        <f ca="1">VLOOKUP($A23,OFFSET([1]characters!$A$1,0,0,COUNTA([1]characters!$A:$A),MATCH(H$1,[1]characters!$1:$1,0)-MATCH($A$1,[1]characters!$1:$1,0)+1),MATCH(H$1,[1]characters!$1:$1,0)-MATCH($A$1,[1]characters!$1:$1,0)+1,FALSE)</f>
        <v>PremiumS</v>
      </c>
      <c r="I23" s="54" t="str">
        <f ca="1">VLOOKUP($A23,OFFSET([1]characters!$A$1,0,0,COUNTA([1]characters!$A:$A),MATCH(I$1,[1]characters!$1:$1,0)-MATCH($A$1,[1]characters!$1:$1,0)+1),MATCH(I$1,[1]characters!$1:$1,0)-MATCH($A$1,[1]characters!$1:$1,0)+1,FALSE)</f>
        <v>blue</v>
      </c>
      <c r="J23" s="11">
        <f ca="1">VLOOKUP(I23,[1]属性!$A:$E,2,FALSE)</f>
        <v>1</v>
      </c>
      <c r="K23" s="11">
        <f ca="1">VLOOKUP(I23,[1]属性!$A:$E,3,FALSE)</f>
        <v>0.98</v>
      </c>
      <c r="L23" s="11">
        <f ca="1">VLOOKUP(I23,[1]属性!$A:$E,4,FALSE)</f>
        <v>1</v>
      </c>
      <c r="M23" s="11">
        <f ca="1">VLOOKUP(I23,[1]属性!$A:$E,5,FALSE)</f>
        <v>1.02</v>
      </c>
      <c r="N23" s="11">
        <f ca="1">INDEX(コスト!$A$1:$I$20,MATCH(H23,コスト!$A$1:$A$20,FALSE),MATCH(G23,コスト!$A$1:$I$1,FALSE))</f>
        <v>20</v>
      </c>
      <c r="O23" s="11">
        <f ca="1">INDEX(レベル!$A$1:$I$21,MATCH(H23,レベル!$A$1:$A$21,FALSE),MATCH(G23,レベル!$A$1:$I$1,FALSE))</f>
        <v>60</v>
      </c>
      <c r="P23" s="45">
        <f t="shared" ca="1" si="18"/>
        <v>60</v>
      </c>
      <c r="Q23" s="54" t="str">
        <f ca="1">VLOOKUP($A23,OFFSET([1]characters!$A$1,0,0,COUNTA([1]characters!$A:$A),MATCH(Q$1,[1]characters!$1:$1,0)-MATCH($A$1,[1]characters!$1:$1,0)+1),MATCH(Q$1,[1]characters!$1:$1,0)-MATCH($A$1,[1]characters!$1:$1,0)+1,FALSE)</f>
        <v>hp</v>
      </c>
      <c r="R23" s="5" t="str">
        <f ca="1">VLOOKUP(Q23,[1]character_type_i18n!$A:$H,3,FALSE)</f>
        <v>体力タイプ</v>
      </c>
      <c r="S23" s="11">
        <f ca="1">VLOOKUP(Q23,[1]character_type_i18n!$A:$H,4,FALSE)</f>
        <v>1.45</v>
      </c>
      <c r="T23" s="11">
        <f ca="1">VLOOKUP(Q23,[1]character_type_i18n!$A:$H,5,FALSE)</f>
        <v>0.85</v>
      </c>
      <c r="U23" s="11">
        <f ca="1">VLOOKUP(Q23,[1]character_type_i18n!$A:$H,6,FALSE)</f>
        <v>1</v>
      </c>
      <c r="V23" s="11">
        <f ca="1">VLOOKUP(Q23,[1]character_type_i18n!$A:$H,7,FALSE)</f>
        <v>0.7</v>
      </c>
      <c r="W23" s="54" t="str">
        <f ca="1">VLOOKUP($A23,OFFSET([1]characters!$A$1,0,0,COUNTA([1]characters!$A:$A),MATCH(W$1,[1]characters!$1:$1,0)-MATCH($A$1,[1]characters!$1:$1,0)+1),MATCH(W$1,[1]characters!$1:$1,0)-MATCH($A$1,[1]characters!$1:$1,0)+1,FALSE)</f>
        <v>human</v>
      </c>
      <c r="X23" s="5" t="str">
        <f ca="1">VLOOKUP(W23,[1]character_tribe_i18n!$A:$H,3,FALSE)</f>
        <v>ヒューマン</v>
      </c>
      <c r="Y23" s="54" t="str">
        <f ca="1">VLOOKUP($A23,OFFSET([1]characters!$A$1,0,0,COUNTA([1]characters!$A:$A),MATCH(Y$1,[1]characters!$1:$1,0)-MATCH($A$1,[1]characters!$1:$1,0)+1),MATCH(Y$1,[1]characters!$1:$1,0)-MATCH($A$1,[1]characters!$1:$1,0)+1,FALSE)</f>
        <v>machine</v>
      </c>
      <c r="Z23" s="5" t="str">
        <f ca="1">VLOOKUP(Y23,[1]character_tribe_i18n!$A:$H,3,FALSE)</f>
        <v>マシン</v>
      </c>
      <c r="AA23" s="11">
        <f ca="1">VLOOKUP(W23,[1]character_tribe_i18n!$A:$H,4,FALSE)</f>
        <v>0.94</v>
      </c>
      <c r="AB23" s="11">
        <f ca="1">VLOOKUP(W23,[1]character_tribe_i18n!$A:$H,5,FALSE)</f>
        <v>0.99</v>
      </c>
      <c r="AC23" s="11">
        <f ca="1">VLOOKUP(W23,[1]character_tribe_i18n!$A:$H,6,FALSE)</f>
        <v>1</v>
      </c>
      <c r="AD23" s="11">
        <f ca="1">VLOOKUP(W23,[1]character_tribe_i18n!$A:$H,7,FALSE)</f>
        <v>1.07</v>
      </c>
      <c r="AE23" s="9">
        <f t="shared" ref="AE23" si="23">A24</f>
        <v>999</v>
      </c>
      <c r="AF23" s="59" t="str">
        <f ca="1">IF(AE23="NULL","",VLOOKUP($AE23,OFFSET([1]characters!$A$1,0,0,COUNTA([1]characters!$A:$A),MATCH(AF$1,[1]characters!$1:$1,0)-MATCH($A$1,[1]characters!$1:$1,0)+1),MATCH(AF$1,[1]characters!$1:$1,0)-MATCH($A$1,[1]characters!$1:$1,0)+1,FALSE))</f>
        <v>無尽蔵の食猟 サシャ</v>
      </c>
      <c r="AG23" s="5">
        <f t="shared" ca="1" si="15"/>
        <v>998</v>
      </c>
      <c r="AH23" s="59" t="str">
        <f ca="1">VLOOKUP($AG23,OFFSET([1]characters!$A$1,0,0,COUNTA([1]characters!$A:$A),MATCH(AH$1,[1]characters!$1:$1,0)-MATCH($A$1,[1]characters!$1:$1,0)+1),MATCH(AH$1,[1]characters!$1:$1,0)-MATCH($A$1,[1]characters!$1:$1,0)+1,FALSE)</f>
        <v>サシャ</v>
      </c>
      <c r="AI23" s="11">
        <f ca="1">IF(AE23="NULL","NULL",VLOOKUP(G23,ビット!$A$2:$B$7,2))</f>
        <v>50000</v>
      </c>
      <c r="AJ23" s="6">
        <v>2</v>
      </c>
      <c r="AK23" s="7" t="str">
        <f t="shared" si="19"/>
        <v>普通</v>
      </c>
      <c r="AL23" s="11" t="str">
        <f ca="1">INDEX(経験値!$A$1:$I$20,MATCH(H23,経験値!$A$1:$A$20,FALSE),MATCH(G23,経験値!$A$1:$I$1,FALSE))</f>
        <v>required_exp_200</v>
      </c>
      <c r="AM23" s="8">
        <f ca="1">VLOOKUP(G23,経験値!$A$27:$B$31,2)</f>
        <v>3400</v>
      </c>
      <c r="AN23" s="17">
        <f ca="1">VLOOKUP(G23,ビット!$G$2:$H$7,2)</f>
        <v>600</v>
      </c>
      <c r="AO23" s="42"/>
      <c r="AP23" s="64">
        <f t="shared" si="5"/>
        <v>998</v>
      </c>
      <c r="AQ23" s="54" t="str">
        <f ca="1">VLOOKUP($AP23,OFFSET(unit_skills!$A$1,0,0,COUNTA(unit_skills!$A:$A),MATCH(AQ$1,unit_skills!$1:$1,0)-MATCH($AP$1,unit_skills!$1:$1,0)+1),MATCH(AQ$1,unit_skills!$1:$1,0)-MATCH($AP$1,unit_skills!$1:$1,0)+1,FALSE)</f>
        <v>覚醒の狩猟本能</v>
      </c>
      <c r="AR23" s="54" t="str">
        <f ca="1">VLOOKUP($AP23,OFFSET(unit_skills!$A$1,0,0,COUNTA(unit_skills!$A:$A),MATCH(AR$1,unit_skills!$1:$1,0)-MATCH($AP$1,unit_skills!$1:$1,0)+1),MATCH(AR$1,unit_skills!$1:$1,0)-MATCH($AP$1,unit_skills!$1:$1,0)+1,FALSE)</f>
        <v>4ターンの間HP大回復し、自身の攻撃力を超大UP</v>
      </c>
      <c r="AS23" s="54">
        <f ca="1">VLOOKUP($AP23,OFFSET(unit_skills!$A$1,0,0,COUNTA(unit_skills!$A:$A),MATCH(AS$1,unit_skills!$1:$1,0)-MATCH($AP$1,unit_skills!$1:$1,0)+1),MATCH(AS$1,unit_skills!$1:$1,0)-MATCH($AP$1,unit_skills!$1:$1,0)+1,FALSE)</f>
        <v>0</v>
      </c>
      <c r="AT23" s="39">
        <f t="shared" si="6"/>
        <v>998</v>
      </c>
      <c r="AU23" s="54" t="str">
        <f ca="1">VLOOKUP($AT23,OFFSET(crash_skills!$A$1,0,0,COUNTA(crash_skills!$A:$A),MATCH(AU$1,crash_skills!$1:$1,0)-MATCH($AT$1,crash_skills!$1:$1,0)+1),MATCH(AU$1,crash_skills!$1:$1,0)-MATCH($AT$1,crash_skills!$1:$1,0)+1,FALSE)</f>
        <v>不屈の食料調達</v>
      </c>
      <c r="AV23" s="54" t="str">
        <f ca="1">VLOOKUP($AT23,OFFSET(crash_skills!$A$1,0,0,COUNTA(crash_skills!$A:$A),MATCH(AV$1,crash_skills!$1:$1,0)-MATCH($AT$1,crash_skills!$1:$1,0)+1),MATCH(AV$1,crash_skills!$1:$1,0)-MATCH($AT$1,crash_skills!$1:$1,0)+1,FALSE)</f>
        <v>全体に特大ダメージ</v>
      </c>
      <c r="AW23" s="54">
        <f ca="1">VLOOKUP($AT23,OFFSET(crash_skills!$A$1,0,0,COUNTA(crash_skills!$A:$A),MATCH(AW$1,crash_skills!$1:$1,0)-MATCH($AT$1,crash_skills!$1:$1,0)+1),MATCH(AW$1,crash_skills!$1:$1,0)-MATCH($AT$1,crash_skills!$1:$1,0)+1,FALSE)</f>
        <v>0</v>
      </c>
      <c r="AX23" s="55">
        <f ca="1">VLOOKUP($A23,OFFSET([1]characters!$A$1,0,0,COUNTA([1]characters!$A:$A),MATCH(AX$1,[1]characters!$1:$1,0)-MATCH($A$1,[1]characters!$1:$1,0)+1),MATCH(AX$1,[1]characters!$1:$1,0)-MATCH($A$1,[1]characters!$1:$1,0)+1,FALSE)</f>
        <v>3</v>
      </c>
      <c r="AY23" s="65">
        <v>1.05</v>
      </c>
      <c r="AZ23" s="65">
        <v>1.05</v>
      </c>
      <c r="BA23" s="65">
        <v>0</v>
      </c>
      <c r="BB23" s="65">
        <v>1</v>
      </c>
      <c r="BC23" s="11">
        <f ca="1">INDEX('RC6SV'!$A$1:$G$20,MATCH(H23,'RC6SV'!$A$1:$A$20,FALSE),MATCH(G23,'RC6SV'!$A$1:$G$1,FALSE))</f>
        <v>7000</v>
      </c>
      <c r="BD23" s="45">
        <f t="shared" ca="1" si="20"/>
        <v>7000</v>
      </c>
      <c r="BE23" s="11">
        <f t="shared" ca="1" si="3"/>
        <v>0</v>
      </c>
      <c r="BF23" s="11">
        <f t="shared" ca="1" si="4"/>
        <v>1</v>
      </c>
      <c r="BG23" s="16">
        <f ca="1">IF($BE23&lt;=0,ROUND(BK23*0.5,0), ROUND($BE23*S23*AA23*J23*AY23*0.8*[1]ステータス!$B$2,0))</f>
        <v>2505</v>
      </c>
      <c r="BH23" s="16">
        <f ca="1">IF($BE23&lt;=0,ROUND(BL23*0.5,0), ROUND($BE23*T23*AB23*K23*AZ23*0.8*[1]ステータス!$C$2,0))</f>
        <v>909</v>
      </c>
      <c r="BI23" s="16">
        <f ca="1">IF($BE23&lt;=0,ROUND(BM23*0.5,0), ROUND($BE23*U23*AC23*L23*BA23*0.8*[1]ステータス!$D$2,0))</f>
        <v>0</v>
      </c>
      <c r="BJ23" s="16">
        <f ca="1">IF($BE23&lt;=0,ROUND(BN23*0.5,0), ROUND($BE23*V23*AD23*M23*BB23*0.8*[1]ステータス!$E$2,0))</f>
        <v>669</v>
      </c>
      <c r="BK23" s="164">
        <f ca="1">ROUND(BD23*S23*AA23*J23*AY23*[1]ステータス!$B$2,0)</f>
        <v>5009</v>
      </c>
      <c r="BL23" s="164">
        <f ca="1">ROUND(BD23*T23*AB23*K23*AZ23*[1]ステータス!$C$2,0)</f>
        <v>1818</v>
      </c>
      <c r="BM23" s="164">
        <f ca="1">ROUND(BD23*U23*AC23*L23*BA23*[1]ステータス!$D$2,0)</f>
        <v>0</v>
      </c>
      <c r="BN23" s="164">
        <f ca="1">ROUND(BD23*V23*AD23*M23*BB23*[1]ステータス!$E$2,0)</f>
        <v>1337</v>
      </c>
      <c r="BO23" s="10">
        <v>0</v>
      </c>
      <c r="BP23" s="10">
        <v>1</v>
      </c>
      <c r="BQ23" s="10" t="s">
        <v>44</v>
      </c>
      <c r="BR23" s="214">
        <v>233</v>
      </c>
    </row>
    <row r="24" spans="1:70" ht="26" customHeight="1" x14ac:dyDescent="0.15">
      <c r="A24" s="12">
        <v>999</v>
      </c>
      <c r="B24" s="54" t="str">
        <f ca="1">VLOOKUP($A24,OFFSET([1]characters!$A$1,0,0,COUNTA([1]characters!$A:$A),MATCH(B$1,[1]characters!$1:$1,0)-MATCH($A$1,[1]characters!$1:$1,0)+1),MATCH(B$1,[1]characters!$1:$1,0)-MATCH($A$1,[1]characters!$1:$1,0)+1,FALSE)</f>
        <v>無尽蔵の食猟 サシャ</v>
      </c>
      <c r="C24" s="54" t="str">
        <f ca="1">VLOOKUP($A24,OFFSET([1]characters!$A$1,0,0,COUNTA([1]characters!$A:$A),MATCH(C$1,[1]characters!$1:$1,0)-MATCH($A$1,[1]characters!$1:$1,0)+1),MATCH(C$1,[1]characters!$1:$1,0)-MATCH($A$1,[1]characters!$1:$1,0)+1,FALSE)</f>
        <v>サシャ・ブラウス</v>
      </c>
      <c r="D24" s="54" t="str">
        <f ca="1">VLOOKUP($A24,OFFSET([1]characters!$A$1,0,0,COUNTA([1]characters!$A:$A),MATCH(D$1,[1]characters!$1:$1,0)-MATCH($A$1,[1]characters!$1:$1,0)+1),MATCH(D$1,[1]characters!$1:$1,0)-MATCH($A$1,[1]characters!$1:$1,0)+1,FALSE)</f>
        <v>執行者</v>
      </c>
      <c r="E24" s="54" t="str">
        <f ca="1">VLOOKUP($A24,OFFSET([1]characters!$A$1,0,0,COUNTA([1]characters!$A:$A),MATCH(E$1,[1]characters!$1:$1,0)-MATCH($A$1,[1]characters!$1:$1,0)+1),MATCH(E$1,[1]characters!$1:$1,0)-MATCH($A$1,[1]characters!$1:$1,0)+1,FALSE)</f>
        <v>格好いい</v>
      </c>
      <c r="F24" s="54" t="str">
        <f ca="1">VLOOKUP($A24,OFFSET([1]characters!$A$1,0,0,COUNTA([1]characters!$A:$A),MATCH(F$1,[1]characters!$1:$1,0)-MATCH($A$1,[1]characters!$1:$1,0)+1),MATCH(F$1,[1]characters!$1:$1,0)-MATCH($A$1,[1]characters!$1:$1,0)+1,FALSE)</f>
        <v>男性</v>
      </c>
      <c r="G24" s="54">
        <f ca="1">VLOOKUP($A24,OFFSET([1]characters!$A$1,0,0,COUNTA([1]characters!$A:$A),MATCH(G$1,[1]characters!$1:$1,0)-MATCH($A$1,[1]characters!$1:$1,0)+1),MATCH(G$1,[1]characters!$1:$1,0)-MATCH($A$1,[1]characters!$1:$1,0)+1,FALSE)</f>
        <v>5</v>
      </c>
      <c r="H24" s="54" t="str">
        <f ca="1">VLOOKUP($A24,OFFSET([1]characters!$A$1,0,0,COUNTA([1]characters!$A:$A),MATCH(H$1,[1]characters!$1:$1,0)-MATCH($A$1,[1]characters!$1:$1,0)+1),MATCH(H$1,[1]characters!$1:$1,0)-MATCH($A$1,[1]characters!$1:$1,0)+1,FALSE)</f>
        <v>PremiumS</v>
      </c>
      <c r="I24" s="54" t="str">
        <f ca="1">VLOOKUP($A24,OFFSET([1]characters!$A$1,0,0,COUNTA([1]characters!$A:$A),MATCH(I$1,[1]characters!$1:$1,0)-MATCH($A$1,[1]characters!$1:$1,0)+1),MATCH(I$1,[1]characters!$1:$1,0)-MATCH($A$1,[1]characters!$1:$1,0)+1,FALSE)</f>
        <v>blue</v>
      </c>
      <c r="J24" s="11">
        <f ca="1">VLOOKUP(I24,[1]属性!$A:$E,2,FALSE)</f>
        <v>1</v>
      </c>
      <c r="K24" s="11">
        <f ca="1">VLOOKUP(I24,[1]属性!$A:$E,3,FALSE)</f>
        <v>0.98</v>
      </c>
      <c r="L24" s="11">
        <f ca="1">VLOOKUP(I24,[1]属性!$A:$E,4,FALSE)</f>
        <v>1</v>
      </c>
      <c r="M24" s="11">
        <f ca="1">VLOOKUP(I24,[1]属性!$A:$E,5,FALSE)</f>
        <v>1.02</v>
      </c>
      <c r="N24" s="11">
        <f ca="1">INDEX(コスト!$A$1:$I$20,MATCH(H24,コスト!$A$1:$A$20,FALSE),MATCH(G24,コスト!$A$1:$I$1,FALSE))</f>
        <v>30</v>
      </c>
      <c r="O24" s="11">
        <f ca="1">INDEX(レベル!$A$1:$I$21,MATCH(H24,レベル!$A$1:$A$21,FALSE),MATCH(G24,レベル!$A$1:$I$1,FALSE))</f>
        <v>80</v>
      </c>
      <c r="P24" s="45">
        <f t="shared" ca="1" si="18"/>
        <v>75</v>
      </c>
      <c r="Q24" s="54" t="str">
        <f ca="1">VLOOKUP($A24,OFFSET([1]characters!$A$1,0,0,COUNTA([1]characters!$A:$A),MATCH(Q$1,[1]characters!$1:$1,0)-MATCH($A$1,[1]characters!$1:$1,0)+1),MATCH(Q$1,[1]characters!$1:$1,0)-MATCH($A$1,[1]characters!$1:$1,0)+1,FALSE)</f>
        <v>hp</v>
      </c>
      <c r="R24" s="5" t="str">
        <f ca="1">VLOOKUP(Q24,[1]character_type_i18n!$A:$H,3,FALSE)</f>
        <v>体力タイプ</v>
      </c>
      <c r="S24" s="11">
        <f ca="1">VLOOKUP(Q24,[1]character_type_i18n!$A:$H,4,FALSE)</f>
        <v>1.45</v>
      </c>
      <c r="T24" s="11">
        <f ca="1">VLOOKUP(Q24,[1]character_type_i18n!$A:$H,5,FALSE)</f>
        <v>0.85</v>
      </c>
      <c r="U24" s="11">
        <f ca="1">VLOOKUP(Q24,[1]character_type_i18n!$A:$H,6,FALSE)</f>
        <v>1</v>
      </c>
      <c r="V24" s="11">
        <f ca="1">VLOOKUP(Q24,[1]character_type_i18n!$A:$H,7,FALSE)</f>
        <v>0.7</v>
      </c>
      <c r="W24" s="54" t="str">
        <f ca="1">VLOOKUP($A24,OFFSET([1]characters!$A$1,0,0,COUNTA([1]characters!$A:$A),MATCH(W$1,[1]characters!$1:$1,0)-MATCH($A$1,[1]characters!$1:$1,0)+1),MATCH(W$1,[1]characters!$1:$1,0)-MATCH($A$1,[1]characters!$1:$1,0)+1,FALSE)</f>
        <v>human</v>
      </c>
      <c r="X24" s="5" t="str">
        <f ca="1">VLOOKUP(W24,[1]character_tribe_i18n!$A:$H,3,FALSE)</f>
        <v>ヒューマン</v>
      </c>
      <c r="Y24" s="54" t="str">
        <f ca="1">VLOOKUP($A24,OFFSET([1]characters!$A$1,0,0,COUNTA([1]characters!$A:$A),MATCH(Y$1,[1]characters!$1:$1,0)-MATCH($A$1,[1]characters!$1:$1,0)+1),MATCH(Y$1,[1]characters!$1:$1,0)-MATCH($A$1,[1]characters!$1:$1,0)+1,FALSE)</f>
        <v>machine</v>
      </c>
      <c r="Z24" s="5" t="str">
        <f ca="1">VLOOKUP(Y24,[1]character_tribe_i18n!$A:$H,3,FALSE)</f>
        <v>マシン</v>
      </c>
      <c r="AA24" s="11">
        <f ca="1">VLOOKUP(W24,[1]character_tribe_i18n!$A:$H,4,FALSE)</f>
        <v>0.94</v>
      </c>
      <c r="AB24" s="11">
        <f ca="1">VLOOKUP(W24,[1]character_tribe_i18n!$A:$H,5,FALSE)</f>
        <v>0.99</v>
      </c>
      <c r="AC24" s="11">
        <f ca="1">VLOOKUP(W24,[1]character_tribe_i18n!$A:$H,6,FALSE)</f>
        <v>1</v>
      </c>
      <c r="AD24" s="11">
        <f ca="1">VLOOKUP(W24,[1]character_tribe_i18n!$A:$H,7,FALSE)</f>
        <v>1.07</v>
      </c>
      <c r="AE24" s="9" t="s">
        <v>178</v>
      </c>
      <c r="AF24" s="59" t="str">
        <f ca="1">IF(AE24="NULL","",VLOOKUP($AE24,OFFSET([1]characters!$A$1,0,0,COUNTA([1]characters!$A:$A),MATCH(AF$1,[1]characters!$1:$1,0)-MATCH($A$1,[1]characters!$1:$1,0)+1),MATCH(AF$1,[1]characters!$1:$1,0)-MATCH($A$1,[1]characters!$1:$1,0)+1,FALSE))</f>
        <v/>
      </c>
      <c r="AG24" s="5">
        <f t="shared" ca="1" si="15"/>
        <v>998</v>
      </c>
      <c r="AH24" s="59" t="str">
        <f ca="1">VLOOKUP($AG24,OFFSET([1]characters!$A$1,0,0,COUNTA([1]characters!$A:$A),MATCH(AH$1,[1]characters!$1:$1,0)-MATCH($A$1,[1]characters!$1:$1,0)+1),MATCH(AH$1,[1]characters!$1:$1,0)-MATCH($A$1,[1]characters!$1:$1,0)+1,FALSE)</f>
        <v>サシャ</v>
      </c>
      <c r="AI24" s="11" t="str">
        <f>IF(AE24="NULL","NULL",VLOOKUP(G24,ビット!$A$2:$B$7,2))</f>
        <v>NULL</v>
      </c>
      <c r="AJ24" s="6">
        <v>2</v>
      </c>
      <c r="AK24" s="7" t="str">
        <f t="shared" si="19"/>
        <v>普通</v>
      </c>
      <c r="AL24" s="11" t="str">
        <f ca="1">INDEX(経験値!$A$1:$I$20,MATCH(H24,経験値!$A$1:$A$20,FALSE),MATCH(G24,経験値!$A$1:$I$1,FALSE))</f>
        <v>required_exp_200</v>
      </c>
      <c r="AM24" s="8">
        <f ca="1">VLOOKUP(G24,経験値!$A$27:$B$31,2)</f>
        <v>6400</v>
      </c>
      <c r="AN24" s="17">
        <f ca="1">VLOOKUP(G24,ビット!$G$2:$H$7,2)</f>
        <v>900</v>
      </c>
      <c r="AO24" s="42"/>
      <c r="AP24" s="64">
        <f t="shared" si="5"/>
        <v>999</v>
      </c>
      <c r="AQ24" s="54" t="str">
        <f ca="1">VLOOKUP($AP24,OFFSET(unit_skills!$A$1,0,0,COUNTA(unit_skills!$A:$A),MATCH(AQ$1,unit_skills!$1:$1,0)-MATCH($AP$1,unit_skills!$1:$1,0)+1),MATCH(AQ$1,unit_skills!$1:$1,0)-MATCH($AP$1,unit_skills!$1:$1,0)+1,FALSE)</f>
        <v>覚醒の狩猟本能</v>
      </c>
      <c r="AR24" s="54" t="str">
        <f ca="1">VLOOKUP($AP24,OFFSET(unit_skills!$A$1,0,0,COUNTA(unit_skills!$A:$A),MATCH(AR$1,unit_skills!$1:$1,0)-MATCH($AP$1,unit_skills!$1:$1,0)+1),MATCH(AR$1,unit_skills!$1:$1,0)-MATCH($AP$1,unit_skills!$1:$1,0)+1,FALSE)</f>
        <v>4ターンの間HP大回復し、自身の攻撃力を超大UP</v>
      </c>
      <c r="AS24" s="54">
        <f ca="1">VLOOKUP($AP24,OFFSET(unit_skills!$A$1,0,0,COUNTA(unit_skills!$A:$A),MATCH(AS$1,unit_skills!$1:$1,0)-MATCH($AP$1,unit_skills!$1:$1,0)+1),MATCH(AS$1,unit_skills!$1:$1,0)-MATCH($AP$1,unit_skills!$1:$1,0)+1,FALSE)</f>
        <v>0</v>
      </c>
      <c r="AT24" s="39">
        <f t="shared" si="6"/>
        <v>999</v>
      </c>
      <c r="AU24" s="54" t="str">
        <f ca="1">VLOOKUP($AT24,OFFSET(crash_skills!$A$1,0,0,COUNTA(crash_skills!$A:$A),MATCH(AU$1,crash_skills!$1:$1,0)-MATCH($AT$1,crash_skills!$1:$1,0)+1),MATCH(AU$1,crash_skills!$1:$1,0)-MATCH($AT$1,crash_skills!$1:$1,0)+1,FALSE)</f>
        <v>不屈の食料調達</v>
      </c>
      <c r="AV24" s="54" t="str">
        <f ca="1">VLOOKUP($AT24,OFFSET(crash_skills!$A$1,0,0,COUNTA(crash_skills!$A:$A),MATCH(AV$1,crash_skills!$1:$1,0)-MATCH($AT$1,crash_skills!$1:$1,0)+1),MATCH(AV$1,crash_skills!$1:$1,0)-MATCH($AT$1,crash_skills!$1:$1,0)+1,FALSE)</f>
        <v>全体に特大ダメージ</v>
      </c>
      <c r="AW24" s="54">
        <f ca="1">VLOOKUP($AT24,OFFSET(crash_skills!$A$1,0,0,COUNTA(crash_skills!$A:$A),MATCH(AW$1,crash_skills!$1:$1,0)-MATCH($AT$1,crash_skills!$1:$1,0)+1),MATCH(AW$1,crash_skills!$1:$1,0)-MATCH($AT$1,crash_skills!$1:$1,0)+1,FALSE)</f>
        <v>0</v>
      </c>
      <c r="AX24" s="55">
        <f ca="1">VLOOKUP($A24,OFFSET([1]characters!$A$1,0,0,COUNTA([1]characters!$A:$A),MATCH(AX$1,[1]characters!$1:$1,0)-MATCH($A$1,[1]characters!$1:$1,0)+1),MATCH(AX$1,[1]characters!$1:$1,0)-MATCH($A$1,[1]characters!$1:$1,0)+1,FALSE)</f>
        <v>3</v>
      </c>
      <c r="AY24" s="65">
        <v>1.05</v>
      </c>
      <c r="AZ24" s="65">
        <v>1.2</v>
      </c>
      <c r="BA24" s="65">
        <v>0</v>
      </c>
      <c r="BB24" s="65">
        <v>1</v>
      </c>
      <c r="BC24" s="11">
        <f ca="1">INDEX('RC6SV'!$A$1:$G$20,MATCH(H24,'RC6SV'!$A$1:$A$20,FALSE),MATCH(G24,'RC6SV'!$A$1:$G$1,FALSE))</f>
        <v>9000</v>
      </c>
      <c r="BD24" s="45">
        <f t="shared" ca="1" si="20"/>
        <v>9000</v>
      </c>
      <c r="BE24" s="11">
        <f t="shared" ca="1" si="3"/>
        <v>7000</v>
      </c>
      <c r="BF24" s="11">
        <f t="shared" ca="1" si="4"/>
        <v>1</v>
      </c>
      <c r="BG24" s="16">
        <f ca="1">IF($BE24&lt;=0,ROUND(BK24*0.5,0), ROUND($BE24*S24*AA24*J24*AY24*0.8*[1]ステータス!$B$2,0))</f>
        <v>4007</v>
      </c>
      <c r="BH24" s="16">
        <f ca="1">IF($BE24&lt;=0,ROUND(BL24*0.5,0), ROUND($BE24*T24*AB24*K24*AZ24*0.8*[1]ステータス!$C$2,0))</f>
        <v>1663</v>
      </c>
      <c r="BI24" s="16">
        <f ca="1">IF($BE24&lt;=0,ROUND(BM24*0.5,0), ROUND($BE24*U24*AC24*L24*BA24*0.8*[1]ステータス!$D$2,0))</f>
        <v>0</v>
      </c>
      <c r="BJ24" s="16">
        <f ca="1">IF($BE24&lt;=0,ROUND(BN24*0.5,0), ROUND($BE24*V24*AD24*M24*BB24*0.8*[1]ステータス!$E$2,0))</f>
        <v>1070</v>
      </c>
      <c r="BK24" s="164">
        <f ca="1">ROUND(BD24*S24*AA24*J24*AY24*[1]ステータス!$B$2,0)</f>
        <v>6440</v>
      </c>
      <c r="BL24" s="164">
        <f ca="1">ROUND(BD24*T24*AB24*K24*AZ24*[1]ステータス!$C$2,0)</f>
        <v>2672</v>
      </c>
      <c r="BM24" s="164">
        <f ca="1">ROUND(BD24*U24*AC24*L24*BA24*[1]ステータス!$D$2,0)</f>
        <v>0</v>
      </c>
      <c r="BN24" s="164">
        <f ca="1">ROUND(BD24*V24*AD24*M24*BB24*[1]ステータス!$E$2,0)</f>
        <v>1719</v>
      </c>
      <c r="BO24" s="10">
        <v>0</v>
      </c>
      <c r="BP24" s="10">
        <v>1</v>
      </c>
      <c r="BQ24" s="10" t="s">
        <v>44</v>
      </c>
      <c r="BR24" s="214">
        <v>233</v>
      </c>
    </row>
    <row r="25" spans="1:70" ht="26" customHeight="1" x14ac:dyDescent="0.15">
      <c r="A25" s="12">
        <v>1000</v>
      </c>
      <c r="B25" s="54" t="str">
        <f ca="1">VLOOKUP($A25,OFFSET([1]characters!$A$1,0,0,COUNTA([1]characters!$A:$A),MATCH(B$1,[1]characters!$1:$1,0)-MATCH($A$1,[1]characters!$1:$1,0)+1),MATCH(B$1,[1]characters!$1:$1,0)-MATCH($A$1,[1]characters!$1:$1,0)+1,FALSE)</f>
        <v>クリスタ</v>
      </c>
      <c r="C25" s="54" t="str">
        <f ca="1">VLOOKUP($A25,OFFSET([1]characters!$A$1,0,0,COUNTA([1]characters!$A:$A),MATCH(C$1,[1]characters!$1:$1,0)-MATCH($A$1,[1]characters!$1:$1,0)+1),MATCH(C$1,[1]characters!$1:$1,0)-MATCH($A$1,[1]characters!$1:$1,0)+1,FALSE)</f>
        <v>クリスタ・レンズ</v>
      </c>
      <c r="D25" s="54" t="str">
        <f ca="1">VLOOKUP($A25,OFFSET([1]characters!$A$1,0,0,COUNTA([1]characters!$A:$A),MATCH(D$1,[1]characters!$1:$1,0)-MATCH($A$1,[1]characters!$1:$1,0)+1),MATCH(D$1,[1]characters!$1:$1,0)-MATCH($A$1,[1]characters!$1:$1,0)+1,FALSE)</f>
        <v>執行者</v>
      </c>
      <c r="E25" s="54" t="str">
        <f ca="1">VLOOKUP($A25,OFFSET([1]characters!$A$1,0,0,COUNTA([1]characters!$A:$A),MATCH(E$1,[1]characters!$1:$1,0)-MATCH($A$1,[1]characters!$1:$1,0)+1),MATCH(E$1,[1]characters!$1:$1,0)-MATCH($A$1,[1]characters!$1:$1,0)+1,FALSE)</f>
        <v>格好いい</v>
      </c>
      <c r="F25" s="54" t="str">
        <f ca="1">VLOOKUP($A25,OFFSET([1]characters!$A$1,0,0,COUNTA([1]characters!$A:$A),MATCH(F$1,[1]characters!$1:$1,0)-MATCH($A$1,[1]characters!$1:$1,0)+1),MATCH(F$1,[1]characters!$1:$1,0)-MATCH($A$1,[1]characters!$1:$1,0)+1,FALSE)</f>
        <v>男性</v>
      </c>
      <c r="G25" s="54">
        <f ca="1">VLOOKUP($A25,OFFSET([1]characters!$A$1,0,0,COUNTA([1]characters!$A:$A),MATCH(G$1,[1]characters!$1:$1,0)-MATCH($A$1,[1]characters!$1:$1,0)+1),MATCH(G$1,[1]characters!$1:$1,0)-MATCH($A$1,[1]characters!$1:$1,0)+1,FALSE)</f>
        <v>4</v>
      </c>
      <c r="H25" s="54" t="str">
        <f ca="1">VLOOKUP($A25,OFFSET([1]characters!$A$1,0,0,COUNTA([1]characters!$A:$A),MATCH(H$1,[1]characters!$1:$1,0)-MATCH($A$1,[1]characters!$1:$1,0)+1),MATCH(H$1,[1]characters!$1:$1,0)-MATCH($A$1,[1]characters!$1:$1,0)+1,FALSE)</f>
        <v>PremiumS</v>
      </c>
      <c r="I25" s="54" t="str">
        <f ca="1">VLOOKUP($A25,OFFSET([1]characters!$A$1,0,0,COUNTA([1]characters!$A:$A),MATCH(I$1,[1]characters!$1:$1,0)-MATCH($A$1,[1]characters!$1:$1,0)+1),MATCH(I$1,[1]characters!$1:$1,0)-MATCH($A$1,[1]characters!$1:$1,0)+1,FALSE)</f>
        <v>yellow</v>
      </c>
      <c r="J25" s="11">
        <f ca="1">VLOOKUP(I25,[1]属性!$A:$E,2,FALSE)</f>
        <v>0.98</v>
      </c>
      <c r="K25" s="11">
        <f ca="1">VLOOKUP(I25,[1]属性!$A:$E,3,FALSE)</f>
        <v>1.01</v>
      </c>
      <c r="L25" s="11">
        <f ca="1">VLOOKUP(I25,[1]属性!$A:$E,4,FALSE)</f>
        <v>1</v>
      </c>
      <c r="M25" s="11">
        <f ca="1">VLOOKUP(I25,[1]属性!$A:$E,5,FALSE)</f>
        <v>1.01</v>
      </c>
      <c r="N25" s="11">
        <f ca="1">INDEX(コスト!$A$1:$I$20,MATCH(H25,コスト!$A$1:$A$20,FALSE),MATCH(G25,コスト!$A$1:$I$1,FALSE))</f>
        <v>20</v>
      </c>
      <c r="O25" s="11">
        <f ca="1">INDEX(レベル!$A$1:$I$21,MATCH(H25,レベル!$A$1:$A$21,FALSE),MATCH(G25,レベル!$A$1:$I$1,FALSE))</f>
        <v>60</v>
      </c>
      <c r="P25" s="45">
        <f t="shared" ca="1" si="18"/>
        <v>60</v>
      </c>
      <c r="Q25" s="54" t="str">
        <f ca="1">VLOOKUP($A25,OFFSET([1]characters!$A$1,0,0,COUNTA([1]characters!$A:$A),MATCH(Q$1,[1]characters!$1:$1,0)-MATCH($A$1,[1]characters!$1:$1,0)+1),MATCH(Q$1,[1]characters!$1:$1,0)-MATCH($A$1,[1]characters!$1:$1,0)+1,FALSE)</f>
        <v>heal</v>
      </c>
      <c r="R25" s="5" t="str">
        <f ca="1">VLOOKUP(Q25,[1]character_type_i18n!$A:$H,3,FALSE)</f>
        <v>回復タイプ</v>
      </c>
      <c r="S25" s="11">
        <f ca="1">VLOOKUP(Q25,[1]character_type_i18n!$A:$H,4,FALSE)</f>
        <v>0.8</v>
      </c>
      <c r="T25" s="11">
        <f ca="1">VLOOKUP(Q25,[1]character_type_i18n!$A:$H,5,FALSE)</f>
        <v>0.78</v>
      </c>
      <c r="U25" s="11">
        <f ca="1">VLOOKUP(Q25,[1]character_type_i18n!$A:$H,6,FALSE)</f>
        <v>1</v>
      </c>
      <c r="V25" s="11">
        <f ca="1">VLOOKUP(Q25,[1]character_type_i18n!$A:$H,7,FALSE)</f>
        <v>1.42</v>
      </c>
      <c r="W25" s="54" t="str">
        <f ca="1">VLOOKUP($A25,OFFSET([1]characters!$A$1,0,0,COUNTA([1]characters!$A:$A),MATCH(W$1,[1]characters!$1:$1,0)-MATCH($A$1,[1]characters!$1:$1,0)+1),MATCH(W$1,[1]characters!$1:$1,0)-MATCH($A$1,[1]characters!$1:$1,0)+1,FALSE)</f>
        <v>human</v>
      </c>
      <c r="X25" s="5" t="str">
        <f ca="1">VLOOKUP(W25,[1]character_tribe_i18n!$A:$H,3,FALSE)</f>
        <v>ヒューマン</v>
      </c>
      <c r="Y25" s="54" t="str">
        <f ca="1">VLOOKUP($A25,OFFSET([1]characters!$A$1,0,0,COUNTA([1]characters!$A:$A),MATCH(Y$1,[1]characters!$1:$1,0)-MATCH($A$1,[1]characters!$1:$1,0)+1),MATCH(Y$1,[1]characters!$1:$1,0)-MATCH($A$1,[1]characters!$1:$1,0)+1,FALSE)</f>
        <v>machine</v>
      </c>
      <c r="Z25" s="5" t="str">
        <f ca="1">VLOOKUP(Y25,[1]character_tribe_i18n!$A:$H,3,FALSE)</f>
        <v>マシン</v>
      </c>
      <c r="AA25" s="11">
        <f ca="1">VLOOKUP(W25,[1]character_tribe_i18n!$A:$H,4,FALSE)</f>
        <v>0.94</v>
      </c>
      <c r="AB25" s="11">
        <f ca="1">VLOOKUP(W25,[1]character_tribe_i18n!$A:$H,5,FALSE)</f>
        <v>0.99</v>
      </c>
      <c r="AC25" s="11">
        <f ca="1">VLOOKUP(W25,[1]character_tribe_i18n!$A:$H,6,FALSE)</f>
        <v>1</v>
      </c>
      <c r="AD25" s="11">
        <f ca="1">VLOOKUP(W25,[1]character_tribe_i18n!$A:$H,7,FALSE)</f>
        <v>1.07</v>
      </c>
      <c r="AE25" s="9">
        <f t="shared" ref="AE25" si="24">A26</f>
        <v>1001</v>
      </c>
      <c r="AF25" s="59" t="str">
        <f ca="1">IF(AE25="NULL","",VLOOKUP($AE25,OFFSET([1]characters!$A$1,0,0,COUNTA([1]characters!$A:$A),MATCH(AF$1,[1]characters!$1:$1,0)-MATCH($A$1,[1]characters!$1:$1,0)+1),MATCH(AF$1,[1]characters!$1:$1,0)-MATCH($A$1,[1]characters!$1:$1,0)+1,FALSE))</f>
        <v>細愛の女神 クリスタ</v>
      </c>
      <c r="AG25" s="5">
        <f t="shared" ca="1" si="15"/>
        <v>1000</v>
      </c>
      <c r="AH25" s="59" t="str">
        <f ca="1">VLOOKUP($AG25,OFFSET([1]characters!$A$1,0,0,COUNTA([1]characters!$A:$A),MATCH(AH$1,[1]characters!$1:$1,0)-MATCH($A$1,[1]characters!$1:$1,0)+1),MATCH(AH$1,[1]characters!$1:$1,0)-MATCH($A$1,[1]characters!$1:$1,0)+1,FALSE)</f>
        <v>クリスタ</v>
      </c>
      <c r="AI25" s="11">
        <f ca="1">IF(AE25="NULL","NULL",VLOOKUP(G25,ビット!$A$2:$B$7,2))</f>
        <v>50000</v>
      </c>
      <c r="AJ25" s="6">
        <v>2</v>
      </c>
      <c r="AK25" s="7" t="str">
        <f t="shared" si="19"/>
        <v>普通</v>
      </c>
      <c r="AL25" s="11" t="str">
        <f ca="1">INDEX(経験値!$A$1:$I$20,MATCH(H25,経験値!$A$1:$A$20,FALSE),MATCH(G25,経験値!$A$1:$I$1,FALSE))</f>
        <v>required_exp_200</v>
      </c>
      <c r="AM25" s="8">
        <f ca="1">VLOOKUP(G25,経験値!$A$27:$B$31,2)</f>
        <v>3400</v>
      </c>
      <c r="AN25" s="17">
        <f ca="1">VLOOKUP(G25,ビット!$G$2:$H$7,2)</f>
        <v>600</v>
      </c>
      <c r="AO25" s="42"/>
      <c r="AP25" s="64">
        <f t="shared" si="5"/>
        <v>1000</v>
      </c>
      <c r="AQ25" s="54" t="str">
        <f ca="1">VLOOKUP($AP25,OFFSET(unit_skills!$A$1,0,0,COUNTA(unit_skills!$A:$A),MATCH(AQ$1,unit_skills!$1:$1,0)-MATCH($AP$1,unit_skills!$1:$1,0)+1),MATCH(AQ$1,unit_skills!$1:$1,0)-MATCH($AP$1,unit_skills!$1:$1,0)+1,FALSE)</f>
        <v>チャリティ・オブ・ゴッデス</v>
      </c>
      <c r="AR25" s="54" t="str">
        <f ca="1">VLOOKUP($AP25,OFFSET(unit_skills!$A$1,0,0,COUNTA(unit_skills!$A:$A),MATCH(AR$1,unit_skills!$1:$1,0)-MATCH($AP$1,unit_skills!$1:$1,0)+1),MATCH(AR$1,unit_skills!$1:$1,0)-MATCH($AP$1,unit_skills!$1:$1,0)+1,FALSE)</f>
        <v>HP大回復+3ターンヒューマンの防御力と回復力を特大UP</v>
      </c>
      <c r="AS25" s="54">
        <f ca="1">VLOOKUP($AP25,OFFSET(unit_skills!$A$1,0,0,COUNTA(unit_skills!$A:$A),MATCH(AS$1,unit_skills!$1:$1,0)-MATCH($AP$1,unit_skills!$1:$1,0)+1),MATCH(AS$1,unit_skills!$1:$1,0)-MATCH($AP$1,unit_skills!$1:$1,0)+1,FALSE)</f>
        <v>0</v>
      </c>
      <c r="AT25" s="39">
        <f t="shared" si="6"/>
        <v>1000</v>
      </c>
      <c r="AU25" s="54" t="str">
        <f ca="1">VLOOKUP($AT25,OFFSET(crash_skills!$A$1,0,0,COUNTA(crash_skills!$A:$A),MATCH(AU$1,crash_skills!$1:$1,0)-MATCH($AT$1,crash_skills!$1:$1,0)+1),MATCH(AU$1,crash_skills!$1:$1,0)-MATCH($AT$1,crash_skills!$1:$1,0)+1,FALSE)</f>
        <v>慈悲深い介抱</v>
      </c>
      <c r="AV25" s="54" t="str">
        <f ca="1">VLOOKUP($AT25,OFFSET(crash_skills!$A$1,0,0,COUNTA(crash_skills!$A:$A),MATCH(AV$1,crash_skills!$1:$1,0)-MATCH($AT$1,crash_skills!$1:$1,0)+1),MATCH(AV$1,crash_skills!$1:$1,0)-MATCH($AT$1,crash_skills!$1:$1,0)+1,FALSE)</f>
        <v>HP大回復</v>
      </c>
      <c r="AW25" s="54">
        <f ca="1">VLOOKUP($AT25,OFFSET(crash_skills!$A$1,0,0,COUNTA(crash_skills!$A:$A),MATCH(AW$1,crash_skills!$1:$1,0)-MATCH($AT$1,crash_skills!$1:$1,0)+1),MATCH(AW$1,crash_skills!$1:$1,0)-MATCH($AT$1,crash_skills!$1:$1,0)+1,FALSE)</f>
        <v>0</v>
      </c>
      <c r="AX25" s="55">
        <f ca="1">VLOOKUP($A25,OFFSET([1]characters!$A$1,0,0,COUNTA([1]characters!$A:$A),MATCH(AX$1,[1]characters!$1:$1,0)-MATCH($A$1,[1]characters!$1:$1,0)+1),MATCH(AX$1,[1]characters!$1:$1,0)-MATCH($A$1,[1]characters!$1:$1,0)+1,FALSE)</f>
        <v>3</v>
      </c>
      <c r="AY25" s="65">
        <v>1.05</v>
      </c>
      <c r="AZ25" s="65">
        <v>1.05</v>
      </c>
      <c r="BA25" s="65">
        <v>0</v>
      </c>
      <c r="BB25" s="65">
        <v>1</v>
      </c>
      <c r="BC25" s="11">
        <f ca="1">INDEX('RC6SV'!$A$1:$G$20,MATCH(H25,'RC6SV'!$A$1:$A$20,FALSE),MATCH(G25,'RC6SV'!$A$1:$G$1,FALSE))</f>
        <v>7000</v>
      </c>
      <c r="BD25" s="45">
        <f t="shared" ca="1" si="20"/>
        <v>7000</v>
      </c>
      <c r="BE25" s="11">
        <f t="shared" ca="1" si="3"/>
        <v>0</v>
      </c>
      <c r="BF25" s="11">
        <f t="shared" ca="1" si="4"/>
        <v>1</v>
      </c>
      <c r="BG25" s="16">
        <f ca="1">IF($BE25&lt;=0,ROUND(BK25*0.5,0), ROUND($BE25*S25*AA25*J25*AY25*0.8*[1]ステータス!$B$2,0))</f>
        <v>1354</v>
      </c>
      <c r="BH25" s="16">
        <f ca="1">IF($BE25&lt;=0,ROUND(BL25*0.5,0), ROUND($BE25*T25*AB25*K25*AZ25*0.8*[1]ステータス!$C$2,0))</f>
        <v>860</v>
      </c>
      <c r="BI25" s="16">
        <f ca="1">IF($BE25&lt;=0,ROUND(BM25*0.5,0), ROUND($BE25*U25*AC25*L25*BA25*0.8*[1]ステータス!$D$2,0))</f>
        <v>0</v>
      </c>
      <c r="BJ25" s="16">
        <f ca="1">IF($BE25&lt;=0,ROUND(BN25*0.5,0), ROUND($BE25*V25*AD25*M25*BB25*0.8*[1]ステータス!$E$2,0))</f>
        <v>1343</v>
      </c>
      <c r="BK25" s="164">
        <f ca="1">ROUND(BD25*S25*AA25*J25*AY25*[1]ステータス!$B$2,0)</f>
        <v>2708</v>
      </c>
      <c r="BL25" s="164">
        <f ca="1">ROUND(BD25*T25*AB25*K25*AZ25*[1]ステータス!$C$2,0)</f>
        <v>1720</v>
      </c>
      <c r="BM25" s="164">
        <f ca="1">ROUND(BD25*U25*AC25*L25*BA25*[1]ステータス!$D$2,0)</f>
        <v>0</v>
      </c>
      <c r="BN25" s="164">
        <f ca="1">ROUND(BD25*V25*AD25*M25*BB25*[1]ステータス!$E$2,0)</f>
        <v>2686</v>
      </c>
      <c r="BO25" s="10">
        <v>0</v>
      </c>
      <c r="BP25" s="10">
        <v>1</v>
      </c>
      <c r="BQ25" s="10" t="s">
        <v>44</v>
      </c>
      <c r="BR25" s="214">
        <v>233</v>
      </c>
    </row>
    <row r="26" spans="1:70" ht="26" customHeight="1" x14ac:dyDescent="0.15">
      <c r="A26" s="12">
        <v>1001</v>
      </c>
      <c r="B26" s="54" t="str">
        <f ca="1">VLOOKUP($A26,OFFSET([1]characters!$A$1,0,0,COUNTA([1]characters!$A:$A),MATCH(B$1,[1]characters!$1:$1,0)-MATCH($A$1,[1]characters!$1:$1,0)+1),MATCH(B$1,[1]characters!$1:$1,0)-MATCH($A$1,[1]characters!$1:$1,0)+1,FALSE)</f>
        <v>細愛の女神 クリスタ</v>
      </c>
      <c r="C26" s="54" t="str">
        <f ca="1">VLOOKUP($A26,OFFSET([1]characters!$A$1,0,0,COUNTA([1]characters!$A:$A),MATCH(C$1,[1]characters!$1:$1,0)-MATCH($A$1,[1]characters!$1:$1,0)+1),MATCH(C$1,[1]characters!$1:$1,0)-MATCH($A$1,[1]characters!$1:$1,0)+1,FALSE)</f>
        <v>クリスタ・レンズ</v>
      </c>
      <c r="D26" s="54" t="str">
        <f ca="1">VLOOKUP($A26,OFFSET([1]characters!$A$1,0,0,COUNTA([1]characters!$A:$A),MATCH(D$1,[1]characters!$1:$1,0)-MATCH($A$1,[1]characters!$1:$1,0)+1),MATCH(D$1,[1]characters!$1:$1,0)-MATCH($A$1,[1]characters!$1:$1,0)+1,FALSE)</f>
        <v>執行者</v>
      </c>
      <c r="E26" s="54" t="str">
        <f ca="1">VLOOKUP($A26,OFFSET([1]characters!$A$1,0,0,COUNTA([1]characters!$A:$A),MATCH(E$1,[1]characters!$1:$1,0)-MATCH($A$1,[1]characters!$1:$1,0)+1),MATCH(E$1,[1]characters!$1:$1,0)-MATCH($A$1,[1]characters!$1:$1,0)+1,FALSE)</f>
        <v>格好いい</v>
      </c>
      <c r="F26" s="54" t="str">
        <f ca="1">VLOOKUP($A26,OFFSET([1]characters!$A$1,0,0,COUNTA([1]characters!$A:$A),MATCH(F$1,[1]characters!$1:$1,0)-MATCH($A$1,[1]characters!$1:$1,0)+1),MATCH(F$1,[1]characters!$1:$1,0)-MATCH($A$1,[1]characters!$1:$1,0)+1,FALSE)</f>
        <v>男性</v>
      </c>
      <c r="G26" s="54">
        <f ca="1">VLOOKUP($A26,OFFSET([1]characters!$A$1,0,0,COUNTA([1]characters!$A:$A),MATCH(G$1,[1]characters!$1:$1,0)-MATCH($A$1,[1]characters!$1:$1,0)+1),MATCH(G$1,[1]characters!$1:$1,0)-MATCH($A$1,[1]characters!$1:$1,0)+1,FALSE)</f>
        <v>5</v>
      </c>
      <c r="H26" s="54" t="str">
        <f ca="1">VLOOKUP($A26,OFFSET([1]characters!$A$1,0,0,COUNTA([1]characters!$A:$A),MATCH(H$1,[1]characters!$1:$1,0)-MATCH($A$1,[1]characters!$1:$1,0)+1),MATCH(H$1,[1]characters!$1:$1,0)-MATCH($A$1,[1]characters!$1:$1,0)+1,FALSE)</f>
        <v>PremiumS</v>
      </c>
      <c r="I26" s="54" t="str">
        <f ca="1">VLOOKUP($A26,OFFSET([1]characters!$A$1,0,0,COUNTA([1]characters!$A:$A),MATCH(I$1,[1]characters!$1:$1,0)-MATCH($A$1,[1]characters!$1:$1,0)+1),MATCH(I$1,[1]characters!$1:$1,0)-MATCH($A$1,[1]characters!$1:$1,0)+1,FALSE)</f>
        <v>yellow</v>
      </c>
      <c r="J26" s="11">
        <f ca="1">VLOOKUP(I26,[1]属性!$A:$E,2,FALSE)</f>
        <v>0.98</v>
      </c>
      <c r="K26" s="11">
        <f ca="1">VLOOKUP(I26,[1]属性!$A:$E,3,FALSE)</f>
        <v>1.01</v>
      </c>
      <c r="L26" s="11">
        <f ca="1">VLOOKUP(I26,[1]属性!$A:$E,4,FALSE)</f>
        <v>1</v>
      </c>
      <c r="M26" s="11">
        <f ca="1">VLOOKUP(I26,[1]属性!$A:$E,5,FALSE)</f>
        <v>1.01</v>
      </c>
      <c r="N26" s="11">
        <f ca="1">INDEX(コスト!$A$1:$I$20,MATCH(H26,コスト!$A$1:$A$20,FALSE),MATCH(G26,コスト!$A$1:$I$1,FALSE))</f>
        <v>30</v>
      </c>
      <c r="O26" s="11">
        <f ca="1">INDEX(レベル!$A$1:$I$21,MATCH(H26,レベル!$A$1:$A$21,FALSE),MATCH(G26,レベル!$A$1:$I$1,FALSE))</f>
        <v>80</v>
      </c>
      <c r="P26" s="45">
        <f t="shared" ca="1" si="18"/>
        <v>75</v>
      </c>
      <c r="Q26" s="54" t="str">
        <f ca="1">VLOOKUP($A26,OFFSET([1]characters!$A$1,0,0,COUNTA([1]characters!$A:$A),MATCH(Q$1,[1]characters!$1:$1,0)-MATCH($A$1,[1]characters!$1:$1,0)+1),MATCH(Q$1,[1]characters!$1:$1,0)-MATCH($A$1,[1]characters!$1:$1,0)+1,FALSE)</f>
        <v>heal</v>
      </c>
      <c r="R26" s="5" t="str">
        <f ca="1">VLOOKUP(Q26,[1]character_type_i18n!$A:$H,3,FALSE)</f>
        <v>回復タイプ</v>
      </c>
      <c r="S26" s="11">
        <f ca="1">VLOOKUP(Q26,[1]character_type_i18n!$A:$H,4,FALSE)</f>
        <v>0.8</v>
      </c>
      <c r="T26" s="11">
        <f ca="1">VLOOKUP(Q26,[1]character_type_i18n!$A:$H,5,FALSE)</f>
        <v>0.78</v>
      </c>
      <c r="U26" s="11">
        <f ca="1">VLOOKUP(Q26,[1]character_type_i18n!$A:$H,6,FALSE)</f>
        <v>1</v>
      </c>
      <c r="V26" s="11">
        <f ca="1">VLOOKUP(Q26,[1]character_type_i18n!$A:$H,7,FALSE)</f>
        <v>1.42</v>
      </c>
      <c r="W26" s="54" t="str">
        <f ca="1">VLOOKUP($A26,OFFSET([1]characters!$A$1,0,0,COUNTA([1]characters!$A:$A),MATCH(W$1,[1]characters!$1:$1,0)-MATCH($A$1,[1]characters!$1:$1,0)+1),MATCH(W$1,[1]characters!$1:$1,0)-MATCH($A$1,[1]characters!$1:$1,0)+1,FALSE)</f>
        <v>human</v>
      </c>
      <c r="X26" s="5" t="str">
        <f ca="1">VLOOKUP(W26,[1]character_tribe_i18n!$A:$H,3,FALSE)</f>
        <v>ヒューマン</v>
      </c>
      <c r="Y26" s="54" t="str">
        <f ca="1">VLOOKUP($A26,OFFSET([1]characters!$A$1,0,0,COUNTA([1]characters!$A:$A),MATCH(Y$1,[1]characters!$1:$1,0)-MATCH($A$1,[1]characters!$1:$1,0)+1),MATCH(Y$1,[1]characters!$1:$1,0)-MATCH($A$1,[1]characters!$1:$1,0)+1,FALSE)</f>
        <v>machine</v>
      </c>
      <c r="Z26" s="5" t="str">
        <f ca="1">VLOOKUP(Y26,[1]character_tribe_i18n!$A:$H,3,FALSE)</f>
        <v>マシン</v>
      </c>
      <c r="AA26" s="11">
        <f ca="1">VLOOKUP(W26,[1]character_tribe_i18n!$A:$H,4,FALSE)</f>
        <v>0.94</v>
      </c>
      <c r="AB26" s="11">
        <f ca="1">VLOOKUP(W26,[1]character_tribe_i18n!$A:$H,5,FALSE)</f>
        <v>0.99</v>
      </c>
      <c r="AC26" s="11">
        <f ca="1">VLOOKUP(W26,[1]character_tribe_i18n!$A:$H,6,FALSE)</f>
        <v>1</v>
      </c>
      <c r="AD26" s="11">
        <f ca="1">VLOOKUP(W26,[1]character_tribe_i18n!$A:$H,7,FALSE)</f>
        <v>1.07</v>
      </c>
      <c r="AE26" s="9" t="s">
        <v>178</v>
      </c>
      <c r="AF26" s="59" t="str">
        <f ca="1">IF(AE26="NULL","",VLOOKUP($AE26,OFFSET([1]characters!$A$1,0,0,COUNTA([1]characters!$A:$A),MATCH(AF$1,[1]characters!$1:$1,0)-MATCH($A$1,[1]characters!$1:$1,0)+1),MATCH(AF$1,[1]characters!$1:$1,0)-MATCH($A$1,[1]characters!$1:$1,0)+1,FALSE))</f>
        <v/>
      </c>
      <c r="AG26" s="5">
        <f t="shared" ca="1" si="15"/>
        <v>1000</v>
      </c>
      <c r="AH26" s="59" t="str">
        <f ca="1">VLOOKUP($AG26,OFFSET([1]characters!$A$1,0,0,COUNTA([1]characters!$A:$A),MATCH(AH$1,[1]characters!$1:$1,0)-MATCH($A$1,[1]characters!$1:$1,0)+1),MATCH(AH$1,[1]characters!$1:$1,0)-MATCH($A$1,[1]characters!$1:$1,0)+1,FALSE)</f>
        <v>クリスタ</v>
      </c>
      <c r="AI26" s="11" t="str">
        <f>IF(AE26="NULL","NULL",VLOOKUP(G26,ビット!$A$2:$B$7,2))</f>
        <v>NULL</v>
      </c>
      <c r="AJ26" s="6">
        <v>2</v>
      </c>
      <c r="AK26" s="7" t="str">
        <f t="shared" si="19"/>
        <v>普通</v>
      </c>
      <c r="AL26" s="11" t="str">
        <f ca="1">INDEX(経験値!$A$1:$I$20,MATCH(H26,経験値!$A$1:$A$20,FALSE),MATCH(G26,経験値!$A$1:$I$1,FALSE))</f>
        <v>required_exp_200</v>
      </c>
      <c r="AM26" s="8">
        <f ca="1">VLOOKUP(G26,経験値!$A$27:$B$31,2)</f>
        <v>6400</v>
      </c>
      <c r="AN26" s="17">
        <f ca="1">VLOOKUP(G26,ビット!$G$2:$H$7,2)</f>
        <v>900</v>
      </c>
      <c r="AO26" s="42"/>
      <c r="AP26" s="64">
        <f t="shared" si="5"/>
        <v>1001</v>
      </c>
      <c r="AQ26" s="54" t="str">
        <f ca="1">VLOOKUP($AP26,OFFSET(unit_skills!$A$1,0,0,COUNTA(unit_skills!$A:$A),MATCH(AQ$1,unit_skills!$1:$1,0)-MATCH($AP$1,unit_skills!$1:$1,0)+1),MATCH(AQ$1,unit_skills!$1:$1,0)-MATCH($AP$1,unit_skills!$1:$1,0)+1,FALSE)</f>
        <v>チャリティ・オブ・ゴッデス</v>
      </c>
      <c r="AR26" s="54" t="str">
        <f ca="1">VLOOKUP($AP26,OFFSET(unit_skills!$A$1,0,0,COUNTA(unit_skills!$A:$A),MATCH(AR$1,unit_skills!$1:$1,0)-MATCH($AP$1,unit_skills!$1:$1,0)+1),MATCH(AR$1,unit_skills!$1:$1,0)-MATCH($AP$1,unit_skills!$1:$1,0)+1,FALSE)</f>
        <v>HP大回復+3ターンヒューマンの防御力と回復力を特大UP</v>
      </c>
      <c r="AS26" s="54">
        <f ca="1">VLOOKUP($AP26,OFFSET(unit_skills!$A$1,0,0,COUNTA(unit_skills!$A:$A),MATCH(AS$1,unit_skills!$1:$1,0)-MATCH($AP$1,unit_skills!$1:$1,0)+1),MATCH(AS$1,unit_skills!$1:$1,0)-MATCH($AP$1,unit_skills!$1:$1,0)+1,FALSE)</f>
        <v>0</v>
      </c>
      <c r="AT26" s="39">
        <f t="shared" si="6"/>
        <v>1001</v>
      </c>
      <c r="AU26" s="54" t="str">
        <f ca="1">VLOOKUP($AT26,OFFSET(crash_skills!$A$1,0,0,COUNTA(crash_skills!$A:$A),MATCH(AU$1,crash_skills!$1:$1,0)-MATCH($AT$1,crash_skills!$1:$1,0)+1),MATCH(AU$1,crash_skills!$1:$1,0)-MATCH($AT$1,crash_skills!$1:$1,0)+1,FALSE)</f>
        <v>慈悲深い介抱</v>
      </c>
      <c r="AV26" s="54" t="str">
        <f ca="1">VLOOKUP($AT26,OFFSET(crash_skills!$A$1,0,0,COUNTA(crash_skills!$A:$A),MATCH(AV$1,crash_skills!$1:$1,0)-MATCH($AT$1,crash_skills!$1:$1,0)+1),MATCH(AV$1,crash_skills!$1:$1,0)-MATCH($AT$1,crash_skills!$1:$1,0)+1,FALSE)</f>
        <v>HP大回復</v>
      </c>
      <c r="AW26" s="54">
        <f ca="1">VLOOKUP($AT26,OFFSET(crash_skills!$A$1,0,0,COUNTA(crash_skills!$A:$A),MATCH(AW$1,crash_skills!$1:$1,0)-MATCH($AT$1,crash_skills!$1:$1,0)+1),MATCH(AW$1,crash_skills!$1:$1,0)-MATCH($AT$1,crash_skills!$1:$1,0)+1,FALSE)</f>
        <v>0</v>
      </c>
      <c r="AX26" s="55">
        <f ca="1">VLOOKUP($A26,OFFSET([1]characters!$A$1,0,0,COUNTA([1]characters!$A:$A),MATCH(AX$1,[1]characters!$1:$1,0)-MATCH($A$1,[1]characters!$1:$1,0)+1),MATCH(AX$1,[1]characters!$1:$1,0)-MATCH($A$1,[1]characters!$1:$1,0)+1,FALSE)</f>
        <v>3</v>
      </c>
      <c r="AY26" s="65">
        <v>1.05</v>
      </c>
      <c r="AZ26" s="65">
        <v>1.2</v>
      </c>
      <c r="BA26" s="65">
        <v>0</v>
      </c>
      <c r="BB26" s="65">
        <v>1</v>
      </c>
      <c r="BC26" s="11">
        <f ca="1">INDEX('RC6SV'!$A$1:$G$20,MATCH(H26,'RC6SV'!$A$1:$A$20,FALSE),MATCH(G26,'RC6SV'!$A$1:$G$1,FALSE))</f>
        <v>9000</v>
      </c>
      <c r="BD26" s="45">
        <f t="shared" ca="1" si="20"/>
        <v>9000</v>
      </c>
      <c r="BE26" s="11">
        <f t="shared" ca="1" si="3"/>
        <v>7000</v>
      </c>
      <c r="BF26" s="11">
        <f t="shared" ca="1" si="4"/>
        <v>1</v>
      </c>
      <c r="BG26" s="16">
        <f ca="1">IF($BE26&lt;=0,ROUND(BK26*0.5,0), ROUND($BE26*S26*AA26*J26*AY26*0.8*[1]ステータス!$B$2,0))</f>
        <v>2167</v>
      </c>
      <c r="BH26" s="16">
        <f ca="1">IF($BE26&lt;=0,ROUND(BL26*0.5,0), ROUND($BE26*T26*AB26*K26*AZ26*0.8*[1]ステータス!$C$2,0))</f>
        <v>1572</v>
      </c>
      <c r="BI26" s="16">
        <f ca="1">IF($BE26&lt;=0,ROUND(BM26*0.5,0), ROUND($BE26*U26*AC26*L26*BA26*0.8*[1]ステータス!$D$2,0))</f>
        <v>0</v>
      </c>
      <c r="BJ26" s="16">
        <f ca="1">IF($BE26&lt;=0,ROUND(BN26*0.5,0), ROUND($BE26*V26*AD26*M26*BB26*0.8*[1]ステータス!$E$2,0))</f>
        <v>2148</v>
      </c>
      <c r="BK26" s="164">
        <f ca="1">ROUND(BD26*S26*AA26*J26*AY26*[1]ステータス!$B$2,0)</f>
        <v>3482</v>
      </c>
      <c r="BL26" s="164">
        <f ca="1">ROUND(BD26*T26*AB26*K26*AZ26*[1]ステータス!$C$2,0)</f>
        <v>2527</v>
      </c>
      <c r="BM26" s="164">
        <f ca="1">ROUND(BD26*U26*AC26*L26*BA26*[1]ステータス!$D$2,0)</f>
        <v>0</v>
      </c>
      <c r="BN26" s="164">
        <f ca="1">ROUND(BD26*V26*AD26*M26*BB26*[1]ステータス!$E$2,0)</f>
        <v>3453</v>
      </c>
      <c r="BO26" s="10">
        <v>0</v>
      </c>
      <c r="BP26" s="10">
        <v>1</v>
      </c>
      <c r="BQ26" s="10" t="s">
        <v>44</v>
      </c>
      <c r="BR26" s="214">
        <v>233</v>
      </c>
    </row>
    <row r="27" spans="1:70" ht="26" customHeight="1" x14ac:dyDescent="0.15">
      <c r="A27" s="12">
        <v>1002</v>
      </c>
      <c r="B27" s="54" t="str">
        <f ca="1">VLOOKUP($A27,OFFSET([1]characters!$A$1,0,0,COUNTA([1]characters!$A:$A),MATCH(B$1,[1]characters!$1:$1,0)-MATCH($A$1,[1]characters!$1:$1,0)+1),MATCH(B$1,[1]characters!$1:$1,0)-MATCH($A$1,[1]characters!$1:$1,0)+1,FALSE)</f>
        <v>ジャン</v>
      </c>
      <c r="C27" s="54" t="str">
        <f ca="1">VLOOKUP($A27,OFFSET([1]characters!$A$1,0,0,COUNTA([1]characters!$A:$A),MATCH(C$1,[1]characters!$1:$1,0)-MATCH($A$1,[1]characters!$1:$1,0)+1),MATCH(C$1,[1]characters!$1:$1,0)-MATCH($A$1,[1]characters!$1:$1,0)+1,FALSE)</f>
        <v>ジャン・キルシュタイン</v>
      </c>
      <c r="D27" s="54" t="str">
        <f ca="1">VLOOKUP($A27,OFFSET([1]characters!$A$1,0,0,COUNTA([1]characters!$A:$A),MATCH(D$1,[1]characters!$1:$1,0)-MATCH($A$1,[1]characters!$1:$1,0)+1),MATCH(D$1,[1]characters!$1:$1,0)-MATCH($A$1,[1]characters!$1:$1,0)+1,FALSE)</f>
        <v>執行者</v>
      </c>
      <c r="E27" s="54" t="str">
        <f ca="1">VLOOKUP($A27,OFFSET([1]characters!$A$1,0,0,COUNTA([1]characters!$A:$A),MATCH(E$1,[1]characters!$1:$1,0)-MATCH($A$1,[1]characters!$1:$1,0)+1),MATCH(E$1,[1]characters!$1:$1,0)-MATCH($A$1,[1]characters!$1:$1,0)+1,FALSE)</f>
        <v>格好いい</v>
      </c>
      <c r="F27" s="54" t="str">
        <f ca="1">VLOOKUP($A27,OFFSET([1]characters!$A$1,0,0,COUNTA([1]characters!$A:$A),MATCH(F$1,[1]characters!$1:$1,0)-MATCH($A$1,[1]characters!$1:$1,0)+1),MATCH(F$1,[1]characters!$1:$1,0)-MATCH($A$1,[1]characters!$1:$1,0)+1,FALSE)</f>
        <v>男性</v>
      </c>
      <c r="G27" s="54">
        <f ca="1">VLOOKUP($A27,OFFSET([1]characters!$A$1,0,0,COUNTA([1]characters!$A:$A),MATCH(G$1,[1]characters!$1:$1,0)-MATCH($A$1,[1]characters!$1:$1,0)+1),MATCH(G$1,[1]characters!$1:$1,0)-MATCH($A$1,[1]characters!$1:$1,0)+1,FALSE)</f>
        <v>4</v>
      </c>
      <c r="H27" s="54" t="str">
        <f ca="1">VLOOKUP($A27,OFFSET([1]characters!$A$1,0,0,COUNTA([1]characters!$A:$A),MATCH(H$1,[1]characters!$1:$1,0)-MATCH($A$1,[1]characters!$1:$1,0)+1),MATCH(H$1,[1]characters!$1:$1,0)-MATCH($A$1,[1]characters!$1:$1,0)+1,FALSE)</f>
        <v>PremiumS</v>
      </c>
      <c r="I27" s="54" t="str">
        <f ca="1">VLOOKUP($A27,OFFSET([1]characters!$A$1,0,0,COUNTA([1]characters!$A:$A),MATCH(I$1,[1]characters!$1:$1,0)-MATCH($A$1,[1]characters!$1:$1,0)+1),MATCH(I$1,[1]characters!$1:$1,0)-MATCH($A$1,[1]characters!$1:$1,0)+1,FALSE)</f>
        <v>yellow</v>
      </c>
      <c r="J27" s="11">
        <f ca="1">VLOOKUP(I27,[1]属性!$A:$E,2,FALSE)</f>
        <v>0.98</v>
      </c>
      <c r="K27" s="11">
        <f ca="1">VLOOKUP(I27,[1]属性!$A:$E,3,FALSE)</f>
        <v>1.01</v>
      </c>
      <c r="L27" s="11">
        <f ca="1">VLOOKUP(I27,[1]属性!$A:$E,4,FALSE)</f>
        <v>1</v>
      </c>
      <c r="M27" s="11">
        <f ca="1">VLOOKUP(I27,[1]属性!$A:$E,5,FALSE)</f>
        <v>1.01</v>
      </c>
      <c r="N27" s="11">
        <f ca="1">INDEX(コスト!$A$1:$I$20,MATCH(H27,コスト!$A$1:$A$20,FALSE),MATCH(G27,コスト!$A$1:$I$1,FALSE))</f>
        <v>20</v>
      </c>
      <c r="O27" s="11">
        <f ca="1">INDEX(レベル!$A$1:$I$21,MATCH(H27,レベル!$A$1:$A$21,FALSE),MATCH(G27,レベル!$A$1:$I$1,FALSE))</f>
        <v>60</v>
      </c>
      <c r="P27" s="45">
        <f t="shared" ca="1" si="18"/>
        <v>60</v>
      </c>
      <c r="Q27" s="54" t="str">
        <f ca="1">VLOOKUP($A27,OFFSET([1]characters!$A$1,0,0,COUNTA([1]characters!$A:$A),MATCH(Q$1,[1]characters!$1:$1,0)-MATCH($A$1,[1]characters!$1:$1,0)+1),MATCH(Q$1,[1]characters!$1:$1,0)-MATCH($A$1,[1]characters!$1:$1,0)+1,FALSE)</f>
        <v>balance</v>
      </c>
      <c r="R27" s="5" t="str">
        <f ca="1">VLOOKUP(Q27,[1]character_type_i18n!$A:$H,3,FALSE)</f>
        <v>バランスタイプ</v>
      </c>
      <c r="S27" s="11">
        <f ca="1">VLOOKUP(Q27,[1]character_type_i18n!$A:$H,4,FALSE)</f>
        <v>1</v>
      </c>
      <c r="T27" s="11">
        <f ca="1">VLOOKUP(Q27,[1]character_type_i18n!$A:$H,5,FALSE)</f>
        <v>1</v>
      </c>
      <c r="U27" s="11">
        <f ca="1">VLOOKUP(Q27,[1]character_type_i18n!$A:$H,6,FALSE)</f>
        <v>1</v>
      </c>
      <c r="V27" s="11">
        <f ca="1">VLOOKUP(Q27,[1]character_type_i18n!$A:$H,7,FALSE)</f>
        <v>1</v>
      </c>
      <c r="W27" s="54" t="str">
        <f ca="1">VLOOKUP($A27,OFFSET([1]characters!$A$1,0,0,COUNTA([1]characters!$A:$A),MATCH(W$1,[1]characters!$1:$1,0)-MATCH($A$1,[1]characters!$1:$1,0)+1),MATCH(W$1,[1]characters!$1:$1,0)-MATCH($A$1,[1]characters!$1:$1,0)+1,FALSE)</f>
        <v>human</v>
      </c>
      <c r="X27" s="5" t="str">
        <f ca="1">VLOOKUP(W27,[1]character_tribe_i18n!$A:$H,3,FALSE)</f>
        <v>ヒューマン</v>
      </c>
      <c r="Y27" s="54" t="str">
        <f ca="1">VLOOKUP($A27,OFFSET([1]characters!$A$1,0,0,COUNTA([1]characters!$A:$A),MATCH(Y$1,[1]characters!$1:$1,0)-MATCH($A$1,[1]characters!$1:$1,0)+1),MATCH(Y$1,[1]characters!$1:$1,0)-MATCH($A$1,[1]characters!$1:$1,0)+1,FALSE)</f>
        <v>machine</v>
      </c>
      <c r="Z27" s="5" t="str">
        <f ca="1">VLOOKUP(Y27,[1]character_tribe_i18n!$A:$H,3,FALSE)</f>
        <v>マシン</v>
      </c>
      <c r="AA27" s="11">
        <f ca="1">VLOOKUP(W27,[1]character_tribe_i18n!$A:$H,4,FALSE)</f>
        <v>0.94</v>
      </c>
      <c r="AB27" s="11">
        <f ca="1">VLOOKUP(W27,[1]character_tribe_i18n!$A:$H,5,FALSE)</f>
        <v>0.99</v>
      </c>
      <c r="AC27" s="11">
        <f ca="1">VLOOKUP(W27,[1]character_tribe_i18n!$A:$H,6,FALSE)</f>
        <v>1</v>
      </c>
      <c r="AD27" s="11">
        <f ca="1">VLOOKUP(W27,[1]character_tribe_i18n!$A:$H,7,FALSE)</f>
        <v>1.07</v>
      </c>
      <c r="AE27" s="9">
        <f t="shared" ref="AE27" si="25">A28</f>
        <v>1003</v>
      </c>
      <c r="AF27" s="59" t="str">
        <f ca="1">IF(AE27="NULL","",VLOOKUP($AE27,OFFSET([1]characters!$A$1,0,0,COUNTA([1]characters!$A:$A),MATCH(AF$1,[1]characters!$1:$1,0)-MATCH($A$1,[1]characters!$1:$1,0)+1),MATCH(AF$1,[1]characters!$1:$1,0)-MATCH($A$1,[1]characters!$1:$1,0)+1,FALSE))</f>
        <v>真義の勇抱 ジャン</v>
      </c>
      <c r="AG27" s="5">
        <f t="shared" ca="1" si="15"/>
        <v>1002</v>
      </c>
      <c r="AH27" s="59" t="str">
        <f ca="1">VLOOKUP($AG27,OFFSET([1]characters!$A$1,0,0,COUNTA([1]characters!$A:$A),MATCH(AH$1,[1]characters!$1:$1,0)-MATCH($A$1,[1]characters!$1:$1,0)+1),MATCH(AH$1,[1]characters!$1:$1,0)-MATCH($A$1,[1]characters!$1:$1,0)+1,FALSE)</f>
        <v>ジャン</v>
      </c>
      <c r="AI27" s="11">
        <f ca="1">IF(AE27="NULL","NULL",VLOOKUP(G27,ビット!$A$2:$B$7,2))</f>
        <v>50000</v>
      </c>
      <c r="AJ27" s="6">
        <v>2</v>
      </c>
      <c r="AK27" s="7" t="str">
        <f t="shared" si="19"/>
        <v>普通</v>
      </c>
      <c r="AL27" s="11" t="str">
        <f ca="1">INDEX(経験値!$A$1:$I$20,MATCH(H27,経験値!$A$1:$A$20,FALSE),MATCH(G27,経験値!$A$1:$I$1,FALSE))</f>
        <v>required_exp_200</v>
      </c>
      <c r="AM27" s="8">
        <f ca="1">VLOOKUP(G27,経験値!$A$27:$B$31,2)</f>
        <v>3400</v>
      </c>
      <c r="AN27" s="17">
        <f ca="1">VLOOKUP(G27,ビット!$G$2:$H$7,2)</f>
        <v>600</v>
      </c>
      <c r="AO27" s="42"/>
      <c r="AP27" s="64">
        <f t="shared" si="5"/>
        <v>1002</v>
      </c>
      <c r="AQ27" s="54" t="str">
        <f ca="1">VLOOKUP($AP27,OFFSET(unit_skills!$A$1,0,0,COUNTA(unit_skills!$A:$A),MATCH(AQ$1,unit_skills!$1:$1,0)-MATCH($AP$1,unit_skills!$1:$1,0)+1),MATCH(AQ$1,unit_skills!$1:$1,0)-MATCH($AP$1,unit_skills!$1:$1,0)+1,FALSE)</f>
        <v>リアリスティック・ゲイザー</v>
      </c>
      <c r="AR27" s="54" t="str">
        <f ca="1">VLOOKUP($AP27,OFFSET(unit_skills!$A$1,0,0,COUNTA(unit_skills!$A:$A),MATCH(AR$1,unit_skills!$1:$1,0)-MATCH($AP$1,unit_skills!$1:$1,0)+1),MATCH(AR$1,unit_skills!$1:$1,0)-MATCH($AP$1,unit_skills!$1:$1,0)+1,FALSE)</f>
        <v>ランダムでSCパネルを１つ生成+3ターンの間全ユニットの攻撃力を特大UP</v>
      </c>
      <c r="AS27" s="54">
        <f ca="1">VLOOKUP($AP27,OFFSET(unit_skills!$A$1,0,0,COUNTA(unit_skills!$A:$A),MATCH(AS$1,unit_skills!$1:$1,0)-MATCH($AP$1,unit_skills!$1:$1,0)+1),MATCH(AS$1,unit_skills!$1:$1,0)-MATCH($AP$1,unit_skills!$1:$1,0)+1,FALSE)</f>
        <v>0</v>
      </c>
      <c r="AT27" s="39">
        <f t="shared" si="6"/>
        <v>1002</v>
      </c>
      <c r="AU27" s="54" t="str">
        <f ca="1">VLOOKUP($AT27,OFFSET(crash_skills!$A$1,0,0,COUNTA(crash_skills!$A:$A),MATCH(AU$1,crash_skills!$1:$1,0)-MATCH($AT$1,crash_skills!$1:$1,0)+1),MATCH(AU$1,crash_skills!$1:$1,0)-MATCH($AT$1,crash_skills!$1:$1,0)+1,FALSE)</f>
        <v>賭命の英断</v>
      </c>
      <c r="AV27" s="54" t="str">
        <f ca="1">VLOOKUP($AT27,OFFSET(crash_skills!$A$1,0,0,COUNTA(crash_skills!$A:$A),MATCH(AV$1,crash_skills!$1:$1,0)-MATCH($AT$1,crash_skills!$1:$1,0)+1),MATCH(AV$1,crash_skills!$1:$1,0)-MATCH($AT$1,crash_skills!$1:$1,0)+1,FALSE)</f>
        <v>全体に大ダメージ+_x000D_単体に大ダメージ</v>
      </c>
      <c r="AW27" s="54">
        <f ca="1">VLOOKUP($AT27,OFFSET(crash_skills!$A$1,0,0,COUNTA(crash_skills!$A:$A),MATCH(AW$1,crash_skills!$1:$1,0)-MATCH($AT$1,crash_skills!$1:$1,0)+1),MATCH(AW$1,crash_skills!$1:$1,0)-MATCH($AT$1,crash_skills!$1:$1,0)+1,FALSE)</f>
        <v>0</v>
      </c>
      <c r="AX27" s="55">
        <f ca="1">VLOOKUP($A27,OFFSET([1]characters!$A$1,0,0,COUNTA([1]characters!$A:$A),MATCH(AX$1,[1]characters!$1:$1,0)-MATCH($A$1,[1]characters!$1:$1,0)+1),MATCH(AX$1,[1]characters!$1:$1,0)-MATCH($A$1,[1]characters!$1:$1,0)+1,FALSE)</f>
        <v>3</v>
      </c>
      <c r="AY27" s="65">
        <v>1.05</v>
      </c>
      <c r="AZ27" s="65">
        <v>1.05</v>
      </c>
      <c r="BA27" s="65">
        <v>0</v>
      </c>
      <c r="BB27" s="65">
        <v>1</v>
      </c>
      <c r="BC27" s="11">
        <f ca="1">INDEX('RC6SV'!$A$1:$G$20,MATCH(H27,'RC6SV'!$A$1:$A$20,FALSE),MATCH(G27,'RC6SV'!$A$1:$G$1,FALSE))</f>
        <v>7000</v>
      </c>
      <c r="BD27" s="45">
        <f t="shared" ca="1" si="20"/>
        <v>7000</v>
      </c>
      <c r="BE27" s="11">
        <f t="shared" ca="1" si="3"/>
        <v>0</v>
      </c>
      <c r="BF27" s="11">
        <f t="shared" ca="1" si="4"/>
        <v>1</v>
      </c>
      <c r="BG27" s="16">
        <f ca="1">IF($BE27&lt;=0,ROUND(BK27*0.5,0), ROUND($BE27*S27*AA27*J27*AY27*0.8*[1]ステータス!$B$2,0))</f>
        <v>1693</v>
      </c>
      <c r="BH27" s="16">
        <f ca="1">IF($BE27&lt;=0,ROUND(BL27*0.5,0), ROUND($BE27*T27*AB27*K27*AZ27*0.8*[1]ステータス!$C$2,0))</f>
        <v>1103</v>
      </c>
      <c r="BI27" s="16">
        <f ca="1">IF($BE27&lt;=0,ROUND(BM27*0.5,0), ROUND($BE27*U27*AC27*L27*BA27*0.8*[1]ステータス!$D$2,0))</f>
        <v>0</v>
      </c>
      <c r="BJ27" s="16">
        <f ca="1">IF($BE27&lt;=0,ROUND(BN27*0.5,0), ROUND($BE27*V27*AD27*M27*BB27*0.8*[1]ステータス!$E$2,0))</f>
        <v>946</v>
      </c>
      <c r="BK27" s="164">
        <f ca="1">ROUND(BD27*S27*AA27*J27*AY27*[1]ステータス!$B$2,0)</f>
        <v>3385</v>
      </c>
      <c r="BL27" s="164">
        <f ca="1">ROUND(BD27*T27*AB27*K27*AZ27*[1]ステータス!$C$2,0)</f>
        <v>2205</v>
      </c>
      <c r="BM27" s="164">
        <f ca="1">ROUND(BD27*U27*AC27*L27*BA27*[1]ステータス!$D$2,0)</f>
        <v>0</v>
      </c>
      <c r="BN27" s="164">
        <f ca="1">ROUND(BD27*V27*AD27*M27*BB27*[1]ステータス!$E$2,0)</f>
        <v>1891</v>
      </c>
      <c r="BO27" s="10">
        <v>0</v>
      </c>
      <c r="BP27" s="10">
        <v>1</v>
      </c>
      <c r="BQ27" s="10" t="s">
        <v>44</v>
      </c>
      <c r="BR27" s="214">
        <v>233</v>
      </c>
    </row>
    <row r="28" spans="1:70" ht="26" customHeight="1" x14ac:dyDescent="0.15">
      <c r="A28" s="12">
        <v>1003</v>
      </c>
      <c r="B28" s="54" t="str">
        <f ca="1">VLOOKUP($A28,OFFSET([1]characters!$A$1,0,0,COUNTA([1]characters!$A:$A),MATCH(B$1,[1]characters!$1:$1,0)-MATCH($A$1,[1]characters!$1:$1,0)+1),MATCH(B$1,[1]characters!$1:$1,0)-MATCH($A$1,[1]characters!$1:$1,0)+1,FALSE)</f>
        <v>真義の勇抱 ジャン</v>
      </c>
      <c r="C28" s="54" t="str">
        <f ca="1">VLOOKUP($A28,OFFSET([1]characters!$A$1,0,0,COUNTA([1]characters!$A:$A),MATCH(C$1,[1]characters!$1:$1,0)-MATCH($A$1,[1]characters!$1:$1,0)+1),MATCH(C$1,[1]characters!$1:$1,0)-MATCH($A$1,[1]characters!$1:$1,0)+1,FALSE)</f>
        <v>ジャン・キルシュタイン</v>
      </c>
      <c r="D28" s="54" t="str">
        <f ca="1">VLOOKUP($A28,OFFSET([1]characters!$A$1,0,0,COUNTA([1]characters!$A:$A),MATCH(D$1,[1]characters!$1:$1,0)-MATCH($A$1,[1]characters!$1:$1,0)+1),MATCH(D$1,[1]characters!$1:$1,0)-MATCH($A$1,[1]characters!$1:$1,0)+1,FALSE)</f>
        <v>執行者</v>
      </c>
      <c r="E28" s="54" t="str">
        <f ca="1">VLOOKUP($A28,OFFSET([1]characters!$A$1,0,0,COUNTA([1]characters!$A:$A),MATCH(E$1,[1]characters!$1:$1,0)-MATCH($A$1,[1]characters!$1:$1,0)+1),MATCH(E$1,[1]characters!$1:$1,0)-MATCH($A$1,[1]characters!$1:$1,0)+1,FALSE)</f>
        <v>格好いい</v>
      </c>
      <c r="F28" s="54" t="str">
        <f ca="1">VLOOKUP($A28,OFFSET([1]characters!$A$1,0,0,COUNTA([1]characters!$A:$A),MATCH(F$1,[1]characters!$1:$1,0)-MATCH($A$1,[1]characters!$1:$1,0)+1),MATCH(F$1,[1]characters!$1:$1,0)-MATCH($A$1,[1]characters!$1:$1,0)+1,FALSE)</f>
        <v>男性</v>
      </c>
      <c r="G28" s="54">
        <f ca="1">VLOOKUP($A28,OFFSET([1]characters!$A$1,0,0,COUNTA([1]characters!$A:$A),MATCH(G$1,[1]characters!$1:$1,0)-MATCH($A$1,[1]characters!$1:$1,0)+1),MATCH(G$1,[1]characters!$1:$1,0)-MATCH($A$1,[1]characters!$1:$1,0)+1,FALSE)</f>
        <v>5</v>
      </c>
      <c r="H28" s="54" t="str">
        <f ca="1">VLOOKUP($A28,OFFSET([1]characters!$A$1,0,0,COUNTA([1]characters!$A:$A),MATCH(H$1,[1]characters!$1:$1,0)-MATCH($A$1,[1]characters!$1:$1,0)+1),MATCH(H$1,[1]characters!$1:$1,0)-MATCH($A$1,[1]characters!$1:$1,0)+1,FALSE)</f>
        <v>PremiumS</v>
      </c>
      <c r="I28" s="54" t="str">
        <f ca="1">VLOOKUP($A28,OFFSET([1]characters!$A$1,0,0,COUNTA([1]characters!$A:$A),MATCH(I$1,[1]characters!$1:$1,0)-MATCH($A$1,[1]characters!$1:$1,0)+1),MATCH(I$1,[1]characters!$1:$1,0)-MATCH($A$1,[1]characters!$1:$1,0)+1,FALSE)</f>
        <v>yellow</v>
      </c>
      <c r="J28" s="11">
        <f ca="1">VLOOKUP(I28,[1]属性!$A:$E,2,FALSE)</f>
        <v>0.98</v>
      </c>
      <c r="K28" s="11">
        <f ca="1">VLOOKUP(I28,[1]属性!$A:$E,3,FALSE)</f>
        <v>1.01</v>
      </c>
      <c r="L28" s="11">
        <f ca="1">VLOOKUP(I28,[1]属性!$A:$E,4,FALSE)</f>
        <v>1</v>
      </c>
      <c r="M28" s="11">
        <f ca="1">VLOOKUP(I28,[1]属性!$A:$E,5,FALSE)</f>
        <v>1.01</v>
      </c>
      <c r="N28" s="11">
        <f ca="1">INDEX(コスト!$A$1:$I$20,MATCH(H28,コスト!$A$1:$A$20,FALSE),MATCH(G28,コスト!$A$1:$I$1,FALSE))</f>
        <v>30</v>
      </c>
      <c r="O28" s="11">
        <f ca="1">INDEX(レベル!$A$1:$I$21,MATCH(H28,レベル!$A$1:$A$21,FALSE),MATCH(G28,レベル!$A$1:$I$1,FALSE))</f>
        <v>80</v>
      </c>
      <c r="P28" s="45">
        <f t="shared" ca="1" si="18"/>
        <v>75</v>
      </c>
      <c r="Q28" s="54" t="str">
        <f ca="1">VLOOKUP($A28,OFFSET([1]characters!$A$1,0,0,COUNTA([1]characters!$A:$A),MATCH(Q$1,[1]characters!$1:$1,0)-MATCH($A$1,[1]characters!$1:$1,0)+1),MATCH(Q$1,[1]characters!$1:$1,0)-MATCH($A$1,[1]characters!$1:$1,0)+1,FALSE)</f>
        <v>balance</v>
      </c>
      <c r="R28" s="5" t="str">
        <f ca="1">VLOOKUP(Q28,[1]character_type_i18n!$A:$H,3,FALSE)</f>
        <v>バランスタイプ</v>
      </c>
      <c r="S28" s="11">
        <f ca="1">VLOOKUP(Q28,[1]character_type_i18n!$A:$H,4,FALSE)</f>
        <v>1</v>
      </c>
      <c r="T28" s="11">
        <f ca="1">VLOOKUP(Q28,[1]character_type_i18n!$A:$H,5,FALSE)</f>
        <v>1</v>
      </c>
      <c r="U28" s="11">
        <f ca="1">VLOOKUP(Q28,[1]character_type_i18n!$A:$H,6,FALSE)</f>
        <v>1</v>
      </c>
      <c r="V28" s="11">
        <f ca="1">VLOOKUP(Q28,[1]character_type_i18n!$A:$H,7,FALSE)</f>
        <v>1</v>
      </c>
      <c r="W28" s="54" t="str">
        <f ca="1">VLOOKUP($A28,OFFSET([1]characters!$A$1,0,0,COUNTA([1]characters!$A:$A),MATCH(W$1,[1]characters!$1:$1,0)-MATCH($A$1,[1]characters!$1:$1,0)+1),MATCH(W$1,[1]characters!$1:$1,0)-MATCH($A$1,[1]characters!$1:$1,0)+1,FALSE)</f>
        <v>human</v>
      </c>
      <c r="X28" s="5" t="str">
        <f ca="1">VLOOKUP(W28,[1]character_tribe_i18n!$A:$H,3,FALSE)</f>
        <v>ヒューマン</v>
      </c>
      <c r="Y28" s="54" t="str">
        <f ca="1">VLOOKUP($A28,OFFSET([1]characters!$A$1,0,0,COUNTA([1]characters!$A:$A),MATCH(Y$1,[1]characters!$1:$1,0)-MATCH($A$1,[1]characters!$1:$1,0)+1),MATCH(Y$1,[1]characters!$1:$1,0)-MATCH($A$1,[1]characters!$1:$1,0)+1,FALSE)</f>
        <v>machine</v>
      </c>
      <c r="Z28" s="5" t="str">
        <f ca="1">VLOOKUP(Y28,[1]character_tribe_i18n!$A:$H,3,FALSE)</f>
        <v>マシン</v>
      </c>
      <c r="AA28" s="11">
        <f ca="1">VLOOKUP(W28,[1]character_tribe_i18n!$A:$H,4,FALSE)</f>
        <v>0.94</v>
      </c>
      <c r="AB28" s="11">
        <f ca="1">VLOOKUP(W28,[1]character_tribe_i18n!$A:$H,5,FALSE)</f>
        <v>0.99</v>
      </c>
      <c r="AC28" s="11">
        <f ca="1">VLOOKUP(W28,[1]character_tribe_i18n!$A:$H,6,FALSE)</f>
        <v>1</v>
      </c>
      <c r="AD28" s="11">
        <f ca="1">VLOOKUP(W28,[1]character_tribe_i18n!$A:$H,7,FALSE)</f>
        <v>1.07</v>
      </c>
      <c r="AE28" s="9" t="s">
        <v>178</v>
      </c>
      <c r="AF28" s="59" t="str">
        <f ca="1">IF(AE28="NULL","",VLOOKUP($AE28,OFFSET([1]characters!$A$1,0,0,COUNTA([1]characters!$A:$A),MATCH(AF$1,[1]characters!$1:$1,0)-MATCH($A$1,[1]characters!$1:$1,0)+1),MATCH(AF$1,[1]characters!$1:$1,0)-MATCH($A$1,[1]characters!$1:$1,0)+1,FALSE))</f>
        <v/>
      </c>
      <c r="AG28" s="5">
        <f t="shared" ca="1" si="15"/>
        <v>1002</v>
      </c>
      <c r="AH28" s="59" t="str">
        <f ca="1">VLOOKUP($AG28,OFFSET([1]characters!$A$1,0,0,COUNTA([1]characters!$A:$A),MATCH(AH$1,[1]characters!$1:$1,0)-MATCH($A$1,[1]characters!$1:$1,0)+1),MATCH(AH$1,[1]characters!$1:$1,0)-MATCH($A$1,[1]characters!$1:$1,0)+1,FALSE)</f>
        <v>ジャン</v>
      </c>
      <c r="AI28" s="11" t="str">
        <f>IF(AE28="NULL","NULL",VLOOKUP(G28,ビット!$A$2:$B$7,2))</f>
        <v>NULL</v>
      </c>
      <c r="AJ28" s="6">
        <v>2</v>
      </c>
      <c r="AK28" s="7" t="str">
        <f t="shared" si="19"/>
        <v>普通</v>
      </c>
      <c r="AL28" s="11" t="str">
        <f ca="1">INDEX(経験値!$A$1:$I$20,MATCH(H28,経験値!$A$1:$A$20,FALSE),MATCH(G28,経験値!$A$1:$I$1,FALSE))</f>
        <v>required_exp_200</v>
      </c>
      <c r="AM28" s="8">
        <f ca="1">VLOOKUP(G28,経験値!$A$27:$B$31,2)</f>
        <v>6400</v>
      </c>
      <c r="AN28" s="17">
        <f ca="1">VLOOKUP(G28,ビット!$G$2:$H$7,2)</f>
        <v>900</v>
      </c>
      <c r="AO28" s="42"/>
      <c r="AP28" s="64">
        <f t="shared" si="5"/>
        <v>1003</v>
      </c>
      <c r="AQ28" s="54" t="str">
        <f ca="1">VLOOKUP($AP28,OFFSET(unit_skills!$A$1,0,0,COUNTA(unit_skills!$A:$A),MATCH(AQ$1,unit_skills!$1:$1,0)-MATCH($AP$1,unit_skills!$1:$1,0)+1),MATCH(AQ$1,unit_skills!$1:$1,0)-MATCH($AP$1,unit_skills!$1:$1,0)+1,FALSE)</f>
        <v>リアリスティック・ゲイザー</v>
      </c>
      <c r="AR28" s="54" t="str">
        <f ca="1">VLOOKUP($AP28,OFFSET(unit_skills!$A$1,0,0,COUNTA(unit_skills!$A:$A),MATCH(AR$1,unit_skills!$1:$1,0)-MATCH($AP$1,unit_skills!$1:$1,0)+1),MATCH(AR$1,unit_skills!$1:$1,0)-MATCH($AP$1,unit_skills!$1:$1,0)+1,FALSE)</f>
        <v>ランダムでSCパネルを１つ生成+3ターンの間全ユニットの攻撃力を特大UP</v>
      </c>
      <c r="AS28" s="54">
        <f ca="1">VLOOKUP($AP28,OFFSET(unit_skills!$A$1,0,0,COUNTA(unit_skills!$A:$A),MATCH(AS$1,unit_skills!$1:$1,0)-MATCH($AP$1,unit_skills!$1:$1,0)+1),MATCH(AS$1,unit_skills!$1:$1,0)-MATCH($AP$1,unit_skills!$1:$1,0)+1,FALSE)</f>
        <v>0</v>
      </c>
      <c r="AT28" s="39">
        <f t="shared" si="6"/>
        <v>1003</v>
      </c>
      <c r="AU28" s="54" t="str">
        <f ca="1">VLOOKUP($AT28,OFFSET(crash_skills!$A$1,0,0,COUNTA(crash_skills!$A:$A),MATCH(AU$1,crash_skills!$1:$1,0)-MATCH($AT$1,crash_skills!$1:$1,0)+1),MATCH(AU$1,crash_skills!$1:$1,0)-MATCH($AT$1,crash_skills!$1:$1,0)+1,FALSE)</f>
        <v>賭命の英断</v>
      </c>
      <c r="AV28" s="54" t="str">
        <f ca="1">VLOOKUP($AT28,OFFSET(crash_skills!$A$1,0,0,COUNTA(crash_skills!$A:$A),MATCH(AV$1,crash_skills!$1:$1,0)-MATCH($AT$1,crash_skills!$1:$1,0)+1),MATCH(AV$1,crash_skills!$1:$1,0)-MATCH($AT$1,crash_skills!$1:$1,0)+1,FALSE)</f>
        <v>全体に大ダメージ+_x000D_単体に大ダメージ</v>
      </c>
      <c r="AW28" s="54">
        <f ca="1">VLOOKUP($AT28,OFFSET(crash_skills!$A$1,0,0,COUNTA(crash_skills!$A:$A),MATCH(AW$1,crash_skills!$1:$1,0)-MATCH($AT$1,crash_skills!$1:$1,0)+1),MATCH(AW$1,crash_skills!$1:$1,0)-MATCH($AT$1,crash_skills!$1:$1,0)+1,FALSE)</f>
        <v>0</v>
      </c>
      <c r="AX28" s="55">
        <f ca="1">VLOOKUP($A28,OFFSET([1]characters!$A$1,0,0,COUNTA([1]characters!$A:$A),MATCH(AX$1,[1]characters!$1:$1,0)-MATCH($A$1,[1]characters!$1:$1,0)+1),MATCH(AX$1,[1]characters!$1:$1,0)-MATCH($A$1,[1]characters!$1:$1,0)+1,FALSE)</f>
        <v>3</v>
      </c>
      <c r="AY28" s="65">
        <v>1.05</v>
      </c>
      <c r="AZ28" s="65">
        <v>1.2</v>
      </c>
      <c r="BA28" s="65">
        <v>0</v>
      </c>
      <c r="BB28" s="65">
        <v>1</v>
      </c>
      <c r="BC28" s="11">
        <f ca="1">INDEX('RC6SV'!$A$1:$G$20,MATCH(H28,'RC6SV'!$A$1:$A$20,FALSE),MATCH(G28,'RC6SV'!$A$1:$G$1,FALSE))</f>
        <v>9000</v>
      </c>
      <c r="BD28" s="45">
        <f t="shared" ca="1" si="20"/>
        <v>9000</v>
      </c>
      <c r="BE28" s="11">
        <f t="shared" ca="1" si="3"/>
        <v>7000</v>
      </c>
      <c r="BF28" s="11">
        <f t="shared" ca="1" si="4"/>
        <v>1</v>
      </c>
      <c r="BG28" s="16">
        <f ca="1">IF($BE28&lt;=0,ROUND(BK28*0.5,0), ROUND($BE28*S28*AA28*J28*AY28*0.8*[1]ステータス!$B$2,0))</f>
        <v>2708</v>
      </c>
      <c r="BH28" s="16">
        <f ca="1">IF($BE28&lt;=0,ROUND(BL28*0.5,0), ROUND($BE28*T28*AB28*K28*AZ28*0.8*[1]ステータス!$C$2,0))</f>
        <v>2016</v>
      </c>
      <c r="BI28" s="16">
        <f ca="1">IF($BE28&lt;=0,ROUND(BM28*0.5,0), ROUND($BE28*U28*AC28*L28*BA28*0.8*[1]ステータス!$D$2,0))</f>
        <v>0</v>
      </c>
      <c r="BJ28" s="16">
        <f ca="1">IF($BE28&lt;=0,ROUND(BN28*0.5,0), ROUND($BE28*V28*AD28*M28*BB28*0.8*[1]ステータス!$E$2,0))</f>
        <v>1513</v>
      </c>
      <c r="BK28" s="164">
        <f ca="1">ROUND(BD28*S28*AA28*J28*AY28*[1]ステータス!$B$2,0)</f>
        <v>4353</v>
      </c>
      <c r="BL28" s="164">
        <f ca="1">ROUND(BD28*T28*AB28*K28*AZ28*[1]ステータス!$C$2,0)</f>
        <v>3240</v>
      </c>
      <c r="BM28" s="164">
        <f ca="1">ROUND(BD28*U28*AC28*L28*BA28*[1]ステータス!$D$2,0)</f>
        <v>0</v>
      </c>
      <c r="BN28" s="164">
        <f ca="1">ROUND(BD28*V28*AD28*M28*BB28*[1]ステータス!$E$2,0)</f>
        <v>2432</v>
      </c>
      <c r="BO28" s="10">
        <v>0</v>
      </c>
      <c r="BP28" s="10">
        <v>1</v>
      </c>
      <c r="BQ28" s="10" t="s">
        <v>44</v>
      </c>
      <c r="BR28" s="214">
        <v>233</v>
      </c>
    </row>
  </sheetData>
  <autoFilter ref="A1:BQ1"/>
  <phoneticPr fontId="10"/>
  <conditionalFormatting sqref="BO1">
    <cfRule type="cellIs" dxfId="34" priority="120" stopIfTrue="1" operator="equal">
      <formula>1</formula>
    </cfRule>
  </conditionalFormatting>
  <conditionalFormatting sqref="BQ1">
    <cfRule type="cellIs" dxfId="33"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T28"/>
  <sheetViews>
    <sheetView showGridLines="0" workbookViewId="0">
      <pane xSplit="4" ySplit="1" topLeftCell="H2" activePane="bottomRight" state="frozen"/>
      <selection pane="topRight" activeCell="D1" sqref="D1"/>
      <selection pane="bottomLeft" activeCell="A2" sqref="A2"/>
      <selection pane="bottomRight" activeCell="B12" sqref="B12"/>
    </sheetView>
  </sheetViews>
  <sheetFormatPr baseColWidth="12" defaultColWidth="13" defaultRowHeight="21" customHeight="1" outlineLevelCol="1" x14ac:dyDescent="0.15"/>
  <cols>
    <col min="1" max="1" width="16.1640625" style="127" bestFit="1" customWidth="1"/>
    <col min="2" max="2" width="13" style="127" bestFit="1" customWidth="1"/>
    <col min="3" max="3" width="21.83203125" style="127" customWidth="1"/>
    <col min="4" max="4" width="76.6640625" style="127" bestFit="1" customWidth="1"/>
    <col min="5" max="5" width="9" style="127" customWidth="1"/>
    <col min="6" max="6" width="7.83203125" style="127" bestFit="1" customWidth="1"/>
    <col min="7" max="7" width="8.1640625" style="127" bestFit="1" customWidth="1"/>
    <col min="8" max="8" width="13.6640625" style="127" bestFit="1" customWidth="1"/>
    <col min="9" max="9" width="51.6640625" style="127" customWidth="1"/>
    <col min="10" max="10" width="9.5" style="127" customWidth="1"/>
    <col min="11" max="11" width="51.6640625" style="127" customWidth="1"/>
    <col min="12" max="12" width="10.83203125" style="127" customWidth="1" outlineLevel="1"/>
    <col min="13" max="18" width="9.5" style="126" customWidth="1" outlineLevel="1"/>
    <col min="19" max="19" width="20.33203125" style="127" customWidth="1" outlineLevel="1"/>
    <col min="20" max="20" width="10.33203125" style="127" bestFit="1" customWidth="1"/>
    <col min="21" max="16384" width="13" style="127"/>
  </cols>
  <sheetData>
    <row r="1" spans="1:20" s="126" customFormat="1" ht="21" customHeight="1" x14ac:dyDescent="0.15">
      <c r="A1" s="115" t="s">
        <v>20</v>
      </c>
      <c r="B1" s="116" t="s">
        <v>129</v>
      </c>
      <c r="C1" s="117" t="s">
        <v>40</v>
      </c>
      <c r="D1" s="118" t="s">
        <v>158</v>
      </c>
      <c r="E1" s="118" t="s">
        <v>159</v>
      </c>
      <c r="F1" s="115" t="s">
        <v>141</v>
      </c>
      <c r="G1" s="119" t="s">
        <v>2</v>
      </c>
      <c r="H1" s="119" t="s">
        <v>160</v>
      </c>
      <c r="I1" s="119" t="s">
        <v>161</v>
      </c>
      <c r="J1" s="167"/>
      <c r="K1" s="165" t="s">
        <v>179</v>
      </c>
      <c r="L1" s="119" t="s">
        <v>4</v>
      </c>
      <c r="M1" s="121" t="s">
        <v>162</v>
      </c>
      <c r="N1" s="122" t="s">
        <v>163</v>
      </c>
      <c r="O1" s="122" t="s">
        <v>164</v>
      </c>
      <c r="P1" s="122" t="s">
        <v>165</v>
      </c>
      <c r="Q1" s="122" t="s">
        <v>166</v>
      </c>
      <c r="R1" s="123" t="s">
        <v>167</v>
      </c>
      <c r="S1" s="124" t="s">
        <v>168</v>
      </c>
      <c r="T1" s="125" t="s">
        <v>169</v>
      </c>
    </row>
    <row r="2" spans="1:20" ht="21" customHeight="1" x14ac:dyDescent="0.15">
      <c r="A2" s="12">
        <v>977</v>
      </c>
      <c r="B2" s="130" t="s">
        <v>180</v>
      </c>
      <c r="C2" s="131" t="s">
        <v>332</v>
      </c>
      <c r="D2" s="131" t="s">
        <v>253</v>
      </c>
      <c r="E2" s="132">
        <f t="shared" ref="E2" si="0">LEN(D2)</f>
        <v>24</v>
      </c>
      <c r="F2" s="114">
        <v>12</v>
      </c>
      <c r="G2" s="114">
        <v>5</v>
      </c>
      <c r="H2" s="133">
        <f>2001</f>
        <v>2001</v>
      </c>
      <c r="I2" s="133" t="s">
        <v>489</v>
      </c>
      <c r="J2" s="171" t="str">
        <f ca="1">VLOOKUP(A2,units!A:I,9)</f>
        <v>blue</v>
      </c>
      <c r="K2" s="166" t="str">
        <f ca="1">VLOOKUP(unit_skills!A2,units!A:C,3)</f>
        <v>リヴァイ お掃除ver.</v>
      </c>
      <c r="L2" s="134">
        <v>3</v>
      </c>
      <c r="M2" s="135"/>
      <c r="N2" s="136"/>
      <c r="O2" s="136"/>
      <c r="P2" s="136"/>
      <c r="Q2" s="136"/>
      <c r="R2" s="136"/>
      <c r="S2" s="131"/>
      <c r="T2" s="137"/>
    </row>
    <row r="3" spans="1:20" ht="21" customHeight="1" x14ac:dyDescent="0.15">
      <c r="A3" s="12">
        <v>978</v>
      </c>
      <c r="B3" s="130" t="s">
        <v>180</v>
      </c>
      <c r="C3" s="131" t="s">
        <v>332</v>
      </c>
      <c r="D3" s="131" t="s">
        <v>253</v>
      </c>
      <c r="E3" s="132">
        <f t="shared" ref="E3:E4" si="1">LEN(D3)</f>
        <v>24</v>
      </c>
      <c r="F3" s="114">
        <v>12</v>
      </c>
      <c r="G3" s="114">
        <v>5</v>
      </c>
      <c r="H3" s="133">
        <f>2001</f>
        <v>2001</v>
      </c>
      <c r="I3" s="133" t="s">
        <v>489</v>
      </c>
      <c r="J3" s="171" t="str">
        <f ca="1">VLOOKUP(A3,units!A:I,9)</f>
        <v>blue</v>
      </c>
      <c r="K3" s="166" t="str">
        <f ca="1">VLOOKUP(unit_skills!A3,units!A:C,3)</f>
        <v>リヴァイ お掃除ver.</v>
      </c>
      <c r="L3" s="134">
        <v>3</v>
      </c>
      <c r="M3" s="135"/>
      <c r="N3" s="136"/>
      <c r="O3" s="136"/>
      <c r="P3" s="136"/>
      <c r="Q3" s="136"/>
      <c r="R3" s="136"/>
      <c r="S3" s="131"/>
      <c r="T3" s="137"/>
    </row>
    <row r="4" spans="1:20" ht="21" customHeight="1" x14ac:dyDescent="0.15">
      <c r="A4" s="12">
        <v>979</v>
      </c>
      <c r="B4" s="130" t="s">
        <v>180</v>
      </c>
      <c r="C4" s="131" t="s">
        <v>334</v>
      </c>
      <c r="D4" s="131" t="s">
        <v>473</v>
      </c>
      <c r="E4" s="132">
        <f t="shared" si="1"/>
        <v>35</v>
      </c>
      <c r="F4" s="114">
        <v>15</v>
      </c>
      <c r="G4" s="114">
        <v>7</v>
      </c>
      <c r="H4" s="133">
        <f>2001</f>
        <v>2001</v>
      </c>
      <c r="I4" s="133" t="s">
        <v>475</v>
      </c>
      <c r="J4" s="171" t="str">
        <f ca="1">VLOOKUP(A4,units!A:I,9)</f>
        <v>red</v>
      </c>
      <c r="K4" s="166" t="str">
        <f ca="1">VLOOKUP(unit_skills!A4,units!A:C,3)</f>
        <v>超大型巨人</v>
      </c>
      <c r="L4" s="134">
        <v>3</v>
      </c>
      <c r="M4" s="135"/>
      <c r="N4" s="136"/>
      <c r="O4" s="136"/>
      <c r="P4" s="136"/>
      <c r="Q4" s="136"/>
      <c r="R4" s="136"/>
      <c r="S4" s="131"/>
      <c r="T4" s="137"/>
    </row>
    <row r="5" spans="1:20" ht="21" customHeight="1" x14ac:dyDescent="0.15">
      <c r="A5" s="12">
        <v>980</v>
      </c>
      <c r="B5" s="130" t="s">
        <v>180</v>
      </c>
      <c r="C5" s="131" t="s">
        <v>334</v>
      </c>
      <c r="D5" s="131" t="s">
        <v>474</v>
      </c>
      <c r="E5" s="132">
        <f t="shared" ref="E5:E28" si="2">LEN(D5)</f>
        <v>35</v>
      </c>
      <c r="F5" s="114">
        <v>15</v>
      </c>
      <c r="G5" s="114">
        <v>7</v>
      </c>
      <c r="H5" s="133">
        <f>2001</f>
        <v>2001</v>
      </c>
      <c r="I5" s="133" t="s">
        <v>476</v>
      </c>
      <c r="J5" s="171" t="str">
        <f ca="1">VLOOKUP(A5,units!A:I,9)</f>
        <v>red</v>
      </c>
      <c r="K5" s="166" t="str">
        <f ca="1">VLOOKUP(unit_skills!A5,units!A:C,3)</f>
        <v>超大型巨人</v>
      </c>
      <c r="L5" s="134">
        <v>3</v>
      </c>
      <c r="M5" s="135"/>
      <c r="N5" s="136"/>
      <c r="O5" s="136"/>
      <c r="P5" s="136"/>
      <c r="Q5" s="136"/>
      <c r="R5" s="136"/>
      <c r="S5" s="131"/>
      <c r="T5" s="137"/>
    </row>
    <row r="6" spans="1:20" ht="21" customHeight="1" x14ac:dyDescent="0.15">
      <c r="A6" s="12">
        <v>981</v>
      </c>
      <c r="B6" s="130" t="s">
        <v>180</v>
      </c>
      <c r="C6" s="131" t="s">
        <v>335</v>
      </c>
      <c r="D6" s="131" t="s">
        <v>482</v>
      </c>
      <c r="E6" s="132">
        <f t="shared" si="2"/>
        <v>27</v>
      </c>
      <c r="F6" s="114">
        <v>12</v>
      </c>
      <c r="G6" s="114">
        <v>5</v>
      </c>
      <c r="H6" s="133">
        <f>2001</f>
        <v>2001</v>
      </c>
      <c r="I6" s="133" t="s">
        <v>486</v>
      </c>
      <c r="J6" s="171" t="str">
        <f ca="1">VLOOKUP(A6,units!A:I,9)</f>
        <v>green</v>
      </c>
      <c r="K6" s="166" t="str">
        <f ca="1">VLOOKUP(unit_skills!A6,units!A:C,3)</f>
        <v>女型の巨人</v>
      </c>
      <c r="L6" s="134">
        <v>3</v>
      </c>
      <c r="M6" s="135"/>
      <c r="N6" s="136"/>
      <c r="O6" s="136"/>
      <c r="P6" s="136"/>
      <c r="Q6" s="136"/>
      <c r="R6" s="136"/>
      <c r="S6" s="131"/>
      <c r="T6" s="137"/>
    </row>
    <row r="7" spans="1:20" ht="21" customHeight="1" x14ac:dyDescent="0.15">
      <c r="A7" s="12">
        <v>982</v>
      </c>
      <c r="B7" s="130" t="s">
        <v>180</v>
      </c>
      <c r="C7" s="131" t="s">
        <v>335</v>
      </c>
      <c r="D7" s="131" t="s">
        <v>285</v>
      </c>
      <c r="E7" s="132">
        <f t="shared" si="2"/>
        <v>27</v>
      </c>
      <c r="F7" s="114">
        <v>12</v>
      </c>
      <c r="G7" s="114">
        <v>5</v>
      </c>
      <c r="H7" s="133">
        <f>2001</f>
        <v>2001</v>
      </c>
      <c r="I7" s="133" t="s">
        <v>487</v>
      </c>
      <c r="J7" s="171" t="str">
        <f ca="1">VLOOKUP(A7,units!A:I,9)</f>
        <v>green</v>
      </c>
      <c r="K7" s="166" t="str">
        <f ca="1">VLOOKUP(unit_skills!A7,units!A:C,3)</f>
        <v>女型の巨人</v>
      </c>
      <c r="L7" s="134">
        <v>3</v>
      </c>
      <c r="M7" s="135"/>
      <c r="N7" s="136"/>
      <c r="O7" s="136"/>
      <c r="P7" s="136"/>
      <c r="Q7" s="136"/>
      <c r="R7" s="136"/>
      <c r="S7" s="131"/>
      <c r="T7" s="137"/>
    </row>
    <row r="8" spans="1:20" ht="21" customHeight="1" x14ac:dyDescent="0.15">
      <c r="A8" s="12">
        <v>983</v>
      </c>
      <c r="B8" s="130" t="s">
        <v>180</v>
      </c>
      <c r="C8" s="131" t="s">
        <v>336</v>
      </c>
      <c r="D8" s="131" t="s">
        <v>488</v>
      </c>
      <c r="E8" s="132">
        <f t="shared" si="2"/>
        <v>41</v>
      </c>
      <c r="F8" s="114">
        <v>16</v>
      </c>
      <c r="G8" s="114">
        <v>5</v>
      </c>
      <c r="H8" s="133">
        <f>2001</f>
        <v>2001</v>
      </c>
      <c r="I8" s="170" t="s">
        <v>283</v>
      </c>
      <c r="J8" s="171" t="str">
        <f ca="1">VLOOKUP(A8,units!A:I,9)</f>
        <v>yellow</v>
      </c>
      <c r="K8" s="166" t="str">
        <f ca="1">VLOOKUP(unit_skills!A8,units!A:C,3)</f>
        <v>鎧の巨人</v>
      </c>
      <c r="L8" s="134">
        <v>3</v>
      </c>
      <c r="M8" s="135"/>
      <c r="N8" s="136"/>
      <c r="O8" s="136"/>
      <c r="P8" s="136"/>
      <c r="Q8" s="136"/>
      <c r="R8" s="136"/>
      <c r="S8" s="131"/>
      <c r="T8" s="137"/>
    </row>
    <row r="9" spans="1:20" ht="21" customHeight="1" x14ac:dyDescent="0.15">
      <c r="A9" s="12">
        <v>984</v>
      </c>
      <c r="B9" s="130" t="s">
        <v>180</v>
      </c>
      <c r="C9" s="131" t="s">
        <v>336</v>
      </c>
      <c r="D9" s="131" t="s">
        <v>488</v>
      </c>
      <c r="E9" s="132">
        <f t="shared" si="2"/>
        <v>41</v>
      </c>
      <c r="F9" s="114">
        <v>16</v>
      </c>
      <c r="G9" s="114">
        <v>5</v>
      </c>
      <c r="H9" s="133">
        <f>2001</f>
        <v>2001</v>
      </c>
      <c r="I9" s="170" t="s">
        <v>284</v>
      </c>
      <c r="J9" s="171" t="str">
        <f ca="1">VLOOKUP(A9,units!A:I,9)</f>
        <v>yellow</v>
      </c>
      <c r="K9" s="166" t="str">
        <f ca="1">VLOOKUP(unit_skills!A9,units!A:C,3)</f>
        <v>鎧の巨人</v>
      </c>
      <c r="L9" s="134">
        <v>3</v>
      </c>
      <c r="M9" s="135"/>
      <c r="N9" s="136"/>
      <c r="O9" s="136"/>
      <c r="P9" s="136"/>
      <c r="Q9" s="136"/>
      <c r="R9" s="136"/>
      <c r="S9" s="131"/>
      <c r="T9" s="137"/>
    </row>
    <row r="10" spans="1:20" ht="21" customHeight="1" x14ac:dyDescent="0.15">
      <c r="A10" s="12">
        <v>985</v>
      </c>
      <c r="B10" s="130" t="s">
        <v>180</v>
      </c>
      <c r="C10" s="131" t="s">
        <v>337</v>
      </c>
      <c r="D10" s="131" t="s">
        <v>258</v>
      </c>
      <c r="E10" s="132">
        <f>LEN(D10)</f>
        <v>18</v>
      </c>
      <c r="F10" s="114">
        <v>9</v>
      </c>
      <c r="G10" s="114">
        <v>5</v>
      </c>
      <c r="H10" s="133">
        <f>2001</f>
        <v>2001</v>
      </c>
      <c r="I10" s="133" t="s">
        <v>291</v>
      </c>
      <c r="J10" s="171" t="str">
        <f ca="1">VLOOKUP(A10,units!A:I,9)</f>
        <v>red</v>
      </c>
      <c r="K10" s="166" t="str">
        <f ca="1">VLOOKUP(unit_skills!A10,units!A:C,3)</f>
        <v>エレン・イェーガー</v>
      </c>
      <c r="L10" s="134">
        <v>3</v>
      </c>
      <c r="M10" s="135"/>
      <c r="N10" s="136"/>
      <c r="O10" s="136"/>
      <c r="P10" s="136"/>
      <c r="Q10" s="136"/>
      <c r="R10" s="136"/>
      <c r="S10" s="131"/>
      <c r="T10" s="137"/>
    </row>
    <row r="11" spans="1:20" ht="21" customHeight="1" x14ac:dyDescent="0.15">
      <c r="A11" s="12">
        <v>986</v>
      </c>
      <c r="B11" s="130" t="s">
        <v>180</v>
      </c>
      <c r="C11" s="131" t="s">
        <v>338</v>
      </c>
      <c r="D11" s="131" t="s">
        <v>286</v>
      </c>
      <c r="E11" s="132">
        <f>LEN(D11)</f>
        <v>18</v>
      </c>
      <c r="F11" s="114">
        <v>10</v>
      </c>
      <c r="G11" s="114">
        <v>5</v>
      </c>
      <c r="H11" s="133">
        <f>2001</f>
        <v>2001</v>
      </c>
      <c r="I11" s="133" t="s">
        <v>287</v>
      </c>
      <c r="J11" s="171" t="str">
        <f ca="1">VLOOKUP(A11,units!A:I,9)</f>
        <v>red</v>
      </c>
      <c r="K11" s="166" t="str">
        <f ca="1">VLOOKUP(unit_skills!A11,units!A:C,3)</f>
        <v>エレン・イェーガー（人間）</v>
      </c>
      <c r="L11" s="134">
        <v>3</v>
      </c>
      <c r="M11" s="135"/>
      <c r="N11" s="136"/>
      <c r="O11" s="136"/>
      <c r="P11" s="136"/>
      <c r="Q11" s="136"/>
      <c r="R11" s="136"/>
      <c r="S11" s="131"/>
      <c r="T11" s="137"/>
    </row>
    <row r="12" spans="1:20" ht="21" customHeight="1" x14ac:dyDescent="0.15">
      <c r="A12" s="12">
        <v>987</v>
      </c>
      <c r="B12" s="130" t="s">
        <v>180</v>
      </c>
      <c r="C12" s="131" t="s">
        <v>339</v>
      </c>
      <c r="D12" s="131" t="s">
        <v>250</v>
      </c>
      <c r="E12" s="132">
        <f>LEN(D12)</f>
        <v>32</v>
      </c>
      <c r="F12" s="114">
        <v>11</v>
      </c>
      <c r="G12" s="114">
        <v>5</v>
      </c>
      <c r="H12" s="133">
        <f>2001</f>
        <v>2001</v>
      </c>
      <c r="I12" s="133" t="s">
        <v>483</v>
      </c>
      <c r="J12" s="171" t="str">
        <f ca="1">VLOOKUP(A12,units!A:I,9)</f>
        <v>blue</v>
      </c>
      <c r="K12" s="166" t="str">
        <f ca="1">VLOOKUP(unit_skills!A12,units!A:C,3)</f>
        <v>エレン・イェーガー（巨人）</v>
      </c>
      <c r="L12" s="134">
        <v>3</v>
      </c>
      <c r="M12" s="135"/>
      <c r="N12" s="136"/>
      <c r="O12" s="136"/>
      <c r="P12" s="136"/>
      <c r="Q12" s="136"/>
      <c r="R12" s="136"/>
      <c r="S12" s="131"/>
      <c r="T12" s="137"/>
    </row>
    <row r="13" spans="1:20" ht="21" customHeight="1" x14ac:dyDescent="0.15">
      <c r="A13" s="12">
        <v>988</v>
      </c>
      <c r="B13" s="130" t="s">
        <v>180</v>
      </c>
      <c r="C13" s="131" t="s">
        <v>340</v>
      </c>
      <c r="D13" s="131" t="s">
        <v>490</v>
      </c>
      <c r="E13" s="132">
        <f t="shared" si="2"/>
        <v>47</v>
      </c>
      <c r="F13" s="114">
        <v>11</v>
      </c>
      <c r="G13" s="114">
        <v>5</v>
      </c>
      <c r="H13" s="133">
        <f>2001</f>
        <v>2001</v>
      </c>
      <c r="I13" s="133" t="s">
        <v>495</v>
      </c>
      <c r="J13" s="171" t="str">
        <f ca="1">VLOOKUP(A13,units!A:I,9)</f>
        <v>red</v>
      </c>
      <c r="K13" s="166" t="str">
        <f ca="1">VLOOKUP(unit_skills!A13,units!A:C,3)</f>
        <v>ミカサ・アッカーマン</v>
      </c>
      <c r="L13" s="134">
        <v>3</v>
      </c>
      <c r="M13" s="135"/>
      <c r="N13" s="136"/>
      <c r="O13" s="136"/>
      <c r="P13" s="136"/>
      <c r="Q13" s="136"/>
      <c r="R13" s="136"/>
      <c r="S13" s="131"/>
      <c r="T13" s="137"/>
    </row>
    <row r="14" spans="1:20" ht="21" customHeight="1" x14ac:dyDescent="0.15">
      <c r="A14" s="12">
        <v>989</v>
      </c>
      <c r="B14" s="130" t="s">
        <v>180</v>
      </c>
      <c r="C14" s="131" t="s">
        <v>340</v>
      </c>
      <c r="D14" s="131" t="s">
        <v>490</v>
      </c>
      <c r="E14" s="132">
        <f>LEN(D14)</f>
        <v>47</v>
      </c>
      <c r="F14" s="114">
        <v>11</v>
      </c>
      <c r="G14" s="114">
        <v>5</v>
      </c>
      <c r="H14" s="133">
        <f>2001</f>
        <v>2001</v>
      </c>
      <c r="I14" s="133" t="s">
        <v>494</v>
      </c>
      <c r="J14" s="171" t="str">
        <f ca="1">VLOOKUP(A14,units!A:I,9)</f>
        <v>red</v>
      </c>
      <c r="K14" s="166" t="str">
        <f ca="1">VLOOKUP(unit_skills!A14,units!A:C,3)</f>
        <v>ミカサ・アッカーマン</v>
      </c>
      <c r="L14" s="134">
        <v>3</v>
      </c>
      <c r="M14" s="135"/>
      <c r="N14" s="136"/>
      <c r="O14" s="136"/>
      <c r="P14" s="136"/>
      <c r="Q14" s="136"/>
      <c r="R14" s="136"/>
      <c r="S14" s="131"/>
      <c r="T14" s="137"/>
    </row>
    <row r="15" spans="1:20" ht="21" customHeight="1" x14ac:dyDescent="0.15">
      <c r="A15" s="12">
        <v>990</v>
      </c>
      <c r="B15" s="130" t="s">
        <v>180</v>
      </c>
      <c r="C15" s="131" t="s">
        <v>341</v>
      </c>
      <c r="D15" s="131" t="s">
        <v>257</v>
      </c>
      <c r="E15" s="132">
        <f t="shared" si="2"/>
        <v>26</v>
      </c>
      <c r="F15" s="114">
        <v>13</v>
      </c>
      <c r="G15" s="114">
        <v>5</v>
      </c>
      <c r="H15" s="133">
        <f>2001</f>
        <v>2001</v>
      </c>
      <c r="I15" s="170" t="s">
        <v>289</v>
      </c>
      <c r="J15" s="171" t="str">
        <f ca="1">VLOOKUP(A15,units!A:I,9)</f>
        <v>red</v>
      </c>
      <c r="K15" s="166" t="str">
        <f ca="1">VLOOKUP(unit_skills!A15,units!A:C,3)</f>
        <v>エルヴィン・スミス</v>
      </c>
      <c r="L15" s="134">
        <v>3</v>
      </c>
      <c r="M15" s="135"/>
      <c r="N15" s="136"/>
      <c r="O15" s="136"/>
      <c r="P15" s="136"/>
      <c r="Q15" s="136"/>
      <c r="R15" s="136"/>
      <c r="S15" s="131"/>
      <c r="T15" s="137"/>
    </row>
    <row r="16" spans="1:20" ht="21" customHeight="1" x14ac:dyDescent="0.15">
      <c r="A16" s="12">
        <v>991</v>
      </c>
      <c r="B16" s="130" t="s">
        <v>180</v>
      </c>
      <c r="C16" s="131" t="s">
        <v>341</v>
      </c>
      <c r="D16" s="131" t="s">
        <v>257</v>
      </c>
      <c r="E16" s="132">
        <f t="shared" si="2"/>
        <v>26</v>
      </c>
      <c r="F16" s="114">
        <v>13</v>
      </c>
      <c r="G16" s="114">
        <v>5</v>
      </c>
      <c r="H16" s="133">
        <f>2001</f>
        <v>2001</v>
      </c>
      <c r="I16" s="170" t="s">
        <v>288</v>
      </c>
      <c r="J16" s="171" t="str">
        <f ca="1">VLOOKUP(A16,units!A:I,9)</f>
        <v>red</v>
      </c>
      <c r="K16" s="166" t="str">
        <f ca="1">VLOOKUP(unit_skills!A16,units!A:C,3)</f>
        <v>エルヴィン・スミス</v>
      </c>
      <c r="L16" s="134">
        <v>3</v>
      </c>
      <c r="M16" s="135"/>
      <c r="N16" s="136"/>
      <c r="O16" s="136"/>
      <c r="P16" s="136"/>
      <c r="Q16" s="136"/>
      <c r="R16" s="136"/>
      <c r="S16" s="131"/>
      <c r="T16" s="137"/>
    </row>
    <row r="17" spans="1:20" ht="21" customHeight="1" x14ac:dyDescent="0.15">
      <c r="A17" s="12">
        <v>992</v>
      </c>
      <c r="B17" s="130" t="s">
        <v>180</v>
      </c>
      <c r="C17" s="131" t="s">
        <v>342</v>
      </c>
      <c r="D17" s="131" t="s">
        <v>455</v>
      </c>
      <c r="E17" s="132">
        <f>LEN(D17)</f>
        <v>46</v>
      </c>
      <c r="F17" s="114">
        <v>11</v>
      </c>
      <c r="G17" s="114">
        <v>5</v>
      </c>
      <c r="H17" s="133">
        <f>2001</f>
        <v>2001</v>
      </c>
      <c r="I17" s="133" t="s">
        <v>453</v>
      </c>
      <c r="J17" s="171" t="str">
        <f ca="1">VLOOKUP(A17,units!A:I,9)</f>
        <v>green</v>
      </c>
      <c r="K17" s="166" t="str">
        <f ca="1">VLOOKUP(unit_skills!A17,units!A:C,3)</f>
        <v>ハンジ・ゾエ</v>
      </c>
      <c r="L17" s="134">
        <v>3</v>
      </c>
      <c r="M17" s="135"/>
      <c r="N17" s="136"/>
      <c r="O17" s="136"/>
      <c r="P17" s="136"/>
      <c r="Q17" s="136"/>
      <c r="R17" s="136"/>
      <c r="S17" s="131"/>
      <c r="T17" s="137"/>
    </row>
    <row r="18" spans="1:20" ht="21" customHeight="1" x14ac:dyDescent="0.15">
      <c r="A18" s="12">
        <v>993</v>
      </c>
      <c r="B18" s="130" t="s">
        <v>180</v>
      </c>
      <c r="C18" s="131" t="s">
        <v>342</v>
      </c>
      <c r="D18" s="131" t="s">
        <v>456</v>
      </c>
      <c r="E18" s="132">
        <f>LEN(D18)</f>
        <v>46</v>
      </c>
      <c r="F18" s="114">
        <v>11</v>
      </c>
      <c r="G18" s="114">
        <v>5</v>
      </c>
      <c r="H18" s="133">
        <f>2001</f>
        <v>2001</v>
      </c>
      <c r="I18" s="133" t="s">
        <v>453</v>
      </c>
      <c r="J18" s="171" t="str">
        <f ca="1">VLOOKUP(A18,units!A:I,9)</f>
        <v>green</v>
      </c>
      <c r="K18" s="166" t="str">
        <f ca="1">VLOOKUP(unit_skills!A18,units!A:C,3)</f>
        <v>ハンジ・ゾエ</v>
      </c>
      <c r="L18" s="134">
        <v>3</v>
      </c>
      <c r="M18" s="135"/>
      <c r="N18" s="136"/>
      <c r="O18" s="136"/>
      <c r="P18" s="136"/>
      <c r="Q18" s="136"/>
      <c r="R18" s="136"/>
      <c r="S18" s="131"/>
      <c r="T18" s="137"/>
    </row>
    <row r="19" spans="1:20" ht="21" customHeight="1" x14ac:dyDescent="0.15">
      <c r="A19" s="12">
        <v>994</v>
      </c>
      <c r="B19" s="130" t="s">
        <v>180</v>
      </c>
      <c r="C19" s="131" t="s">
        <v>343</v>
      </c>
      <c r="D19" s="131" t="s">
        <v>491</v>
      </c>
      <c r="E19" s="132">
        <f t="shared" si="2"/>
        <v>46</v>
      </c>
      <c r="F19" s="114">
        <v>12</v>
      </c>
      <c r="G19" s="114">
        <v>5</v>
      </c>
      <c r="H19" s="133">
        <f>2001</f>
        <v>2001</v>
      </c>
      <c r="I19" s="133" t="s">
        <v>493</v>
      </c>
      <c r="J19" s="171" t="str">
        <f ca="1">VLOOKUP(A19,units!A:I,9)</f>
        <v>green</v>
      </c>
      <c r="K19" s="166" t="str">
        <f ca="1">VLOOKUP(unit_skills!A19,units!A:C,3)</f>
        <v>アルミン・アルレルト</v>
      </c>
      <c r="L19" s="134">
        <v>3</v>
      </c>
      <c r="M19" s="135"/>
      <c r="N19" s="136"/>
      <c r="O19" s="136"/>
      <c r="P19" s="136"/>
      <c r="Q19" s="136"/>
      <c r="R19" s="136"/>
      <c r="S19" s="131"/>
      <c r="T19" s="137"/>
    </row>
    <row r="20" spans="1:20" ht="21" customHeight="1" x14ac:dyDescent="0.15">
      <c r="A20" s="12">
        <v>995</v>
      </c>
      <c r="B20" s="130" t="s">
        <v>180</v>
      </c>
      <c r="C20" s="131" t="s">
        <v>343</v>
      </c>
      <c r="D20" s="131" t="s">
        <v>492</v>
      </c>
      <c r="E20" s="132">
        <f t="shared" si="2"/>
        <v>46</v>
      </c>
      <c r="F20" s="114">
        <v>12</v>
      </c>
      <c r="G20" s="114">
        <v>5</v>
      </c>
      <c r="H20" s="133">
        <f>2001</f>
        <v>2001</v>
      </c>
      <c r="I20" s="133" t="s">
        <v>493</v>
      </c>
      <c r="J20" s="171" t="str">
        <f ca="1">VLOOKUP(A20,units!A:I,9)</f>
        <v>green</v>
      </c>
      <c r="K20" s="166" t="str">
        <f ca="1">VLOOKUP(unit_skills!A20,units!A:C,3)</f>
        <v>アルミン・アルレルト</v>
      </c>
      <c r="L20" s="134">
        <v>3</v>
      </c>
      <c r="M20" s="135"/>
      <c r="N20" s="136"/>
      <c r="O20" s="136"/>
      <c r="P20" s="136"/>
      <c r="Q20" s="136"/>
      <c r="R20" s="136"/>
      <c r="S20" s="131"/>
      <c r="T20" s="137"/>
    </row>
    <row r="21" spans="1:20" ht="21" customHeight="1" x14ac:dyDescent="0.15">
      <c r="A21" s="12">
        <v>996</v>
      </c>
      <c r="B21" s="130" t="s">
        <v>180</v>
      </c>
      <c r="C21" s="131" t="s">
        <v>333</v>
      </c>
      <c r="D21" s="131" t="s">
        <v>454</v>
      </c>
      <c r="E21" s="132">
        <f t="shared" si="2"/>
        <v>51</v>
      </c>
      <c r="F21" s="114">
        <v>11</v>
      </c>
      <c r="G21" s="114">
        <v>5</v>
      </c>
      <c r="H21" s="133">
        <f>2001</f>
        <v>2001</v>
      </c>
      <c r="I21" s="133" t="s">
        <v>496</v>
      </c>
      <c r="J21" s="171" t="str">
        <f ca="1">VLOOKUP(A21,units!A:I,9)</f>
        <v>blue</v>
      </c>
      <c r="K21" s="166" t="str">
        <f ca="1">VLOOKUP(unit_skills!A21,units!A:C,3)</f>
        <v>リヴァイ</v>
      </c>
      <c r="L21" s="134">
        <v>3</v>
      </c>
      <c r="M21" s="135"/>
      <c r="N21" s="136"/>
      <c r="O21" s="136"/>
      <c r="P21" s="136"/>
      <c r="Q21" s="136"/>
      <c r="R21" s="136"/>
      <c r="S21" s="131"/>
      <c r="T21" s="137"/>
    </row>
    <row r="22" spans="1:20" ht="21" customHeight="1" x14ac:dyDescent="0.15">
      <c r="A22" s="12">
        <v>997</v>
      </c>
      <c r="B22" s="130" t="s">
        <v>180</v>
      </c>
      <c r="C22" s="131" t="s">
        <v>333</v>
      </c>
      <c r="D22" s="131" t="s">
        <v>454</v>
      </c>
      <c r="E22" s="132">
        <f t="shared" si="2"/>
        <v>51</v>
      </c>
      <c r="F22" s="114">
        <v>11</v>
      </c>
      <c r="G22" s="114">
        <v>5</v>
      </c>
      <c r="H22" s="133">
        <f>2001</f>
        <v>2001</v>
      </c>
      <c r="I22" s="133" t="s">
        <v>496</v>
      </c>
      <c r="J22" s="171" t="str">
        <f ca="1">VLOOKUP(A22,units!A:I,9)</f>
        <v>blue</v>
      </c>
      <c r="K22" s="166" t="str">
        <f ca="1">VLOOKUP(unit_skills!A22,units!A:C,3)</f>
        <v>リヴァイ</v>
      </c>
      <c r="L22" s="134">
        <v>3</v>
      </c>
      <c r="M22" s="135"/>
      <c r="N22" s="136"/>
      <c r="O22" s="136"/>
      <c r="P22" s="136"/>
      <c r="Q22" s="136"/>
      <c r="R22" s="136"/>
      <c r="S22" s="131"/>
      <c r="T22" s="137"/>
    </row>
    <row r="23" spans="1:20" ht="21" customHeight="1" x14ac:dyDescent="0.15">
      <c r="A23" s="12">
        <v>998</v>
      </c>
      <c r="B23" s="130" t="s">
        <v>180</v>
      </c>
      <c r="C23" s="131" t="s">
        <v>344</v>
      </c>
      <c r="D23" s="131" t="s">
        <v>290</v>
      </c>
      <c r="E23" s="132">
        <f t="shared" si="2"/>
        <v>24</v>
      </c>
      <c r="F23" s="114">
        <v>12</v>
      </c>
      <c r="G23" s="114">
        <v>5</v>
      </c>
      <c r="H23" s="133">
        <f>2001</f>
        <v>2001</v>
      </c>
      <c r="I23" s="133" t="s">
        <v>478</v>
      </c>
      <c r="J23" s="171" t="str">
        <f ca="1">VLOOKUP(A23,units!A:I,9)</f>
        <v>blue</v>
      </c>
      <c r="K23" s="166" t="str">
        <f ca="1">VLOOKUP(unit_skills!A23,units!A:C,3)</f>
        <v>サシャ・ブラウス</v>
      </c>
      <c r="L23" s="134">
        <v>3</v>
      </c>
      <c r="M23" s="135"/>
      <c r="N23" s="136"/>
      <c r="O23" s="136"/>
      <c r="P23" s="136"/>
      <c r="Q23" s="136"/>
      <c r="R23" s="136"/>
      <c r="S23" s="131"/>
      <c r="T23" s="137"/>
    </row>
    <row r="24" spans="1:20" ht="21" customHeight="1" x14ac:dyDescent="0.15">
      <c r="A24" s="12">
        <v>999</v>
      </c>
      <c r="B24" s="130" t="s">
        <v>180</v>
      </c>
      <c r="C24" s="131" t="s">
        <v>344</v>
      </c>
      <c r="D24" s="131" t="s">
        <v>290</v>
      </c>
      <c r="E24" s="132">
        <f t="shared" si="2"/>
        <v>24</v>
      </c>
      <c r="F24" s="114">
        <v>12</v>
      </c>
      <c r="G24" s="114">
        <v>5</v>
      </c>
      <c r="H24" s="133">
        <f>2001</f>
        <v>2001</v>
      </c>
      <c r="I24" s="133" t="s">
        <v>478</v>
      </c>
      <c r="J24" s="171" t="str">
        <f ca="1">VLOOKUP(A24,units!A:I,9)</f>
        <v>blue</v>
      </c>
      <c r="K24" s="166" t="str">
        <f ca="1">VLOOKUP(unit_skills!A24,units!A:C,3)</f>
        <v>サシャ・ブラウス</v>
      </c>
      <c r="L24" s="134">
        <v>3</v>
      </c>
      <c r="M24" s="135"/>
      <c r="N24" s="136"/>
      <c r="O24" s="136"/>
      <c r="P24" s="136"/>
      <c r="Q24" s="136"/>
      <c r="R24" s="136"/>
      <c r="S24" s="131"/>
      <c r="T24" s="137"/>
    </row>
    <row r="25" spans="1:20" ht="21" customHeight="1" x14ac:dyDescent="0.15">
      <c r="A25" s="12">
        <v>1000</v>
      </c>
      <c r="B25" s="130" t="s">
        <v>180</v>
      </c>
      <c r="C25" s="131" t="s">
        <v>345</v>
      </c>
      <c r="D25" s="131" t="s">
        <v>254</v>
      </c>
      <c r="E25" s="132">
        <f t="shared" si="2"/>
        <v>28</v>
      </c>
      <c r="F25" s="114">
        <v>14</v>
      </c>
      <c r="G25" s="114">
        <v>5</v>
      </c>
      <c r="H25" s="133">
        <f>2001</f>
        <v>2001</v>
      </c>
      <c r="I25" s="133" t="s">
        <v>479</v>
      </c>
      <c r="J25" s="171" t="str">
        <f ca="1">VLOOKUP(A25,units!A:I,9)</f>
        <v>yellow</v>
      </c>
      <c r="K25" s="166" t="str">
        <f ca="1">VLOOKUP(unit_skills!A25,units!A:C,3)</f>
        <v>クリスタ・レンズ</v>
      </c>
      <c r="L25" s="134">
        <v>3</v>
      </c>
      <c r="M25" s="135"/>
      <c r="N25" s="136"/>
      <c r="O25" s="136"/>
      <c r="P25" s="136"/>
      <c r="Q25" s="136"/>
      <c r="R25" s="136"/>
      <c r="S25" s="131"/>
      <c r="T25" s="137"/>
    </row>
    <row r="26" spans="1:20" ht="21" customHeight="1" x14ac:dyDescent="0.15">
      <c r="A26" s="12">
        <v>1001</v>
      </c>
      <c r="B26" s="130" t="s">
        <v>180</v>
      </c>
      <c r="C26" s="131" t="s">
        <v>345</v>
      </c>
      <c r="D26" s="131" t="s">
        <v>254</v>
      </c>
      <c r="E26" s="132">
        <f t="shared" si="2"/>
        <v>28</v>
      </c>
      <c r="F26" s="114">
        <v>14</v>
      </c>
      <c r="G26" s="114">
        <v>5</v>
      </c>
      <c r="H26" s="133">
        <f>2001</f>
        <v>2001</v>
      </c>
      <c r="I26" s="133" t="s">
        <v>480</v>
      </c>
      <c r="J26" s="171" t="str">
        <f ca="1">VLOOKUP(A26,units!A:I,9)</f>
        <v>yellow</v>
      </c>
      <c r="K26" s="166" t="str">
        <f ca="1">VLOOKUP(unit_skills!A26,units!A:C,3)</f>
        <v>クリスタ・レンズ</v>
      </c>
      <c r="L26" s="134">
        <v>3</v>
      </c>
      <c r="M26" s="135"/>
      <c r="N26" s="136"/>
      <c r="O26" s="136"/>
      <c r="P26" s="136"/>
      <c r="Q26" s="136"/>
      <c r="R26" s="136"/>
      <c r="S26" s="131"/>
      <c r="T26" s="137"/>
    </row>
    <row r="27" spans="1:20" ht="21" customHeight="1" x14ac:dyDescent="0.15">
      <c r="A27" s="12">
        <v>1002</v>
      </c>
      <c r="B27" s="130" t="s">
        <v>180</v>
      </c>
      <c r="C27" s="131" t="s">
        <v>346</v>
      </c>
      <c r="D27" s="131" t="s">
        <v>256</v>
      </c>
      <c r="E27" s="132">
        <f t="shared" si="2"/>
        <v>36</v>
      </c>
      <c r="F27" s="114">
        <v>10</v>
      </c>
      <c r="G27" s="114">
        <v>5</v>
      </c>
      <c r="H27" s="133">
        <f>2001</f>
        <v>2001</v>
      </c>
      <c r="I27" s="133" t="s">
        <v>485</v>
      </c>
      <c r="J27" s="171" t="str">
        <f ca="1">VLOOKUP(A27,units!A:I,9)</f>
        <v>yellow</v>
      </c>
      <c r="K27" s="166" t="str">
        <f ca="1">VLOOKUP(unit_skills!A27,units!A:C,3)</f>
        <v>ジャン・キルシュタイン</v>
      </c>
      <c r="L27" s="134">
        <v>3</v>
      </c>
      <c r="M27" s="135"/>
      <c r="N27" s="136"/>
      <c r="O27" s="136"/>
      <c r="P27" s="136"/>
      <c r="Q27" s="136"/>
      <c r="R27" s="136"/>
      <c r="S27" s="131"/>
      <c r="T27" s="137"/>
    </row>
    <row r="28" spans="1:20" ht="21" customHeight="1" x14ac:dyDescent="0.15">
      <c r="A28" s="12">
        <v>1003</v>
      </c>
      <c r="B28" s="130" t="s">
        <v>180</v>
      </c>
      <c r="C28" s="131" t="s">
        <v>346</v>
      </c>
      <c r="D28" s="131" t="s">
        <v>255</v>
      </c>
      <c r="E28" s="132">
        <f t="shared" si="2"/>
        <v>36</v>
      </c>
      <c r="F28" s="114">
        <v>10</v>
      </c>
      <c r="G28" s="114">
        <v>5</v>
      </c>
      <c r="H28" s="133">
        <f>2001</f>
        <v>2001</v>
      </c>
      <c r="I28" s="133" t="s">
        <v>485</v>
      </c>
      <c r="J28" s="171" t="str">
        <f ca="1">VLOOKUP(A28,units!A:I,9)</f>
        <v>yellow</v>
      </c>
      <c r="K28" s="166" t="str">
        <f ca="1">VLOOKUP(unit_skills!A28,units!A:C,3)</f>
        <v>ジャン・キルシュタイン</v>
      </c>
      <c r="L28" s="134">
        <v>3</v>
      </c>
      <c r="M28" s="135"/>
      <c r="N28" s="136"/>
      <c r="O28" s="136"/>
      <c r="P28" s="136"/>
      <c r="Q28" s="136"/>
      <c r="R28" s="136"/>
      <c r="S28" s="131"/>
      <c r="T28" s="137"/>
    </row>
  </sheetData>
  <sheetProtection selectLockedCells="1" selectUnlockedCells="1"/>
  <autoFilter ref="A1:T1">
    <sortState ref="A2:T432">
      <sortCondition ref="A1:A432"/>
    </sortState>
  </autoFilter>
  <phoneticPr fontId="22"/>
  <conditionalFormatting sqref="E1 E29:E1048576">
    <cfRule type="cellIs" dxfId="32" priority="8" operator="greaterThan">
      <formula>41</formula>
    </cfRule>
  </conditionalFormatting>
  <conditionalFormatting sqref="E2 E4 E6 E8 E10 E12 E14 E16 E18 E20 E22 E24 E26 E28">
    <cfRule type="cellIs" dxfId="31" priority="2" operator="greaterThan">
      <formula>41</formula>
    </cfRule>
  </conditionalFormatting>
  <conditionalFormatting sqref="E3 E5 E7 E9 E11 E13 E15 E17 E19 E21 E23 E25 E27">
    <cfRule type="cellIs" dxfId="30"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K28"/>
  <sheetViews>
    <sheetView showGridLines="0" workbookViewId="0">
      <pane xSplit="4" ySplit="1" topLeftCell="E2" activePane="bottomRight" state="frozen"/>
      <selection pane="topRight" activeCell="D1" sqref="D1"/>
      <selection pane="bottomLeft" activeCell="A3" sqref="A3"/>
      <selection pane="bottomRight" activeCell="C16" sqref="C16"/>
    </sheetView>
  </sheetViews>
  <sheetFormatPr baseColWidth="12" defaultColWidth="13" defaultRowHeight="21" customHeight="1" x14ac:dyDescent="0.15"/>
  <cols>
    <col min="1" max="2" width="12.1640625" style="127" customWidth="1"/>
    <col min="3" max="3" width="48.83203125" style="128" customWidth="1"/>
    <col min="4" max="4" width="32.83203125" style="128" customWidth="1"/>
    <col min="5" max="5" width="10.5" style="128" customWidth="1"/>
    <col min="6" max="6" width="59.1640625" style="128" customWidth="1"/>
    <col min="7" max="7" width="11.33203125" style="128" customWidth="1"/>
    <col min="8" max="8" width="59.1640625" style="128" customWidth="1"/>
    <col min="9" max="9" width="6.83203125" style="127" bestFit="1" customWidth="1"/>
    <col min="10" max="10" width="20.33203125" style="127" customWidth="1"/>
    <col min="11" max="11" width="5" style="127" bestFit="1" customWidth="1"/>
    <col min="12" max="16384" width="13" style="127"/>
  </cols>
  <sheetData>
    <row r="1" spans="1:11" ht="21" customHeight="1" x14ac:dyDescent="0.15">
      <c r="A1" s="115" t="s">
        <v>177</v>
      </c>
      <c r="B1" s="116" t="s">
        <v>176</v>
      </c>
      <c r="C1" s="117" t="s">
        <v>175</v>
      </c>
      <c r="D1" s="118" t="s">
        <v>174</v>
      </c>
      <c r="E1" s="118" t="s">
        <v>173</v>
      </c>
      <c r="F1" s="119" t="s">
        <v>172</v>
      </c>
      <c r="G1" s="167" t="s">
        <v>268</v>
      </c>
      <c r="H1" s="165" t="s">
        <v>179</v>
      </c>
      <c r="I1" s="119" t="s">
        <v>171</v>
      </c>
      <c r="J1" s="120" t="s">
        <v>170</v>
      </c>
      <c r="K1" s="124" t="s">
        <v>169</v>
      </c>
    </row>
    <row r="2" spans="1:11" ht="21" customHeight="1" x14ac:dyDescent="0.15">
      <c r="A2" s="114">
        <v>977</v>
      </c>
      <c r="B2" s="114" t="s">
        <v>248</v>
      </c>
      <c r="C2" s="204" t="s">
        <v>347</v>
      </c>
      <c r="D2" s="131" t="s">
        <v>259</v>
      </c>
      <c r="E2" s="132">
        <f t="shared" ref="E2" si="0">LEN(D2)</f>
        <v>8</v>
      </c>
      <c r="F2" s="114" t="s">
        <v>269</v>
      </c>
      <c r="G2" s="166" t="str">
        <f ca="1">VLOOKUP(A2,units!A:I,9)</f>
        <v>blue</v>
      </c>
      <c r="H2" s="166" t="str">
        <f ca="1">VLOOKUP(A2,units!A2:C28,3)</f>
        <v>リヴァイ お掃除ver.</v>
      </c>
      <c r="I2" s="114">
        <v>3</v>
      </c>
      <c r="J2" s="114"/>
      <c r="K2" s="114"/>
    </row>
    <row r="3" spans="1:11" ht="21" customHeight="1" x14ac:dyDescent="0.15">
      <c r="A3" s="114">
        <v>978</v>
      </c>
      <c r="B3" s="114" t="s">
        <v>248</v>
      </c>
      <c r="C3" s="205" t="s">
        <v>348</v>
      </c>
      <c r="D3" s="131" t="s">
        <v>260</v>
      </c>
      <c r="E3" s="132">
        <f t="shared" ref="E3:E28" si="1">LEN(D3)</f>
        <v>9</v>
      </c>
      <c r="F3" s="114" t="s">
        <v>270</v>
      </c>
      <c r="G3" s="166" t="str">
        <f ca="1">VLOOKUP(A3,units!A:I,9)</f>
        <v>blue</v>
      </c>
      <c r="H3" s="166" t="str">
        <f ca="1">VLOOKUP(A3,units!A3:C29,3)</f>
        <v>リヴァイ お掃除ver.</v>
      </c>
      <c r="I3" s="114">
        <v>3</v>
      </c>
      <c r="J3" s="114"/>
      <c r="K3" s="114"/>
    </row>
    <row r="4" spans="1:11" ht="21" customHeight="1" x14ac:dyDescent="0.15">
      <c r="A4" s="114">
        <v>979</v>
      </c>
      <c r="B4" s="114" t="s">
        <v>248</v>
      </c>
      <c r="C4" s="206" t="s">
        <v>349</v>
      </c>
      <c r="D4" s="131" t="s">
        <v>261</v>
      </c>
      <c r="E4" s="132">
        <f t="shared" si="1"/>
        <v>9</v>
      </c>
      <c r="F4" s="114" t="s">
        <v>271</v>
      </c>
      <c r="G4" s="166" t="str">
        <f ca="1">VLOOKUP(A4,units!A:I,9)</f>
        <v>red</v>
      </c>
      <c r="H4" s="166" t="str">
        <f ca="1">VLOOKUP(A4,units!A4:C30,3)</f>
        <v>超大型巨人</v>
      </c>
      <c r="I4" s="114">
        <v>3</v>
      </c>
      <c r="J4" s="114"/>
      <c r="K4" s="114"/>
    </row>
    <row r="5" spans="1:11" ht="21" customHeight="1" x14ac:dyDescent="0.15">
      <c r="A5" s="114">
        <v>980</v>
      </c>
      <c r="B5" s="114" t="s">
        <v>248</v>
      </c>
      <c r="C5" s="203" t="s">
        <v>350</v>
      </c>
      <c r="D5" s="131" t="s">
        <v>262</v>
      </c>
      <c r="E5" s="132">
        <f t="shared" si="1"/>
        <v>9</v>
      </c>
      <c r="F5" s="215" t="s">
        <v>519</v>
      </c>
      <c r="G5" s="166" t="str">
        <f ca="1">VLOOKUP(A5,units!A:I,9)</f>
        <v>red</v>
      </c>
      <c r="H5" s="166" t="str">
        <f ca="1">VLOOKUP(A5,units!A5:C31,3)</f>
        <v>超大型巨人</v>
      </c>
      <c r="I5" s="114">
        <v>3</v>
      </c>
      <c r="J5" s="114"/>
      <c r="K5" s="114"/>
    </row>
    <row r="6" spans="1:11" ht="21" customHeight="1" x14ac:dyDescent="0.15">
      <c r="A6" s="114">
        <v>981</v>
      </c>
      <c r="B6" s="114" t="s">
        <v>248</v>
      </c>
      <c r="C6" s="163" t="s">
        <v>351</v>
      </c>
      <c r="D6" s="131" t="s">
        <v>263</v>
      </c>
      <c r="E6" s="132">
        <f t="shared" si="1"/>
        <v>10</v>
      </c>
      <c r="F6" s="114" t="s">
        <v>484</v>
      </c>
      <c r="G6" s="166" t="str">
        <f ca="1">VLOOKUP(A6,units!A:I,9)</f>
        <v>green</v>
      </c>
      <c r="H6" s="166" t="str">
        <f ca="1">VLOOKUP(A6,units!A6:C32,3)</f>
        <v>女型の巨人</v>
      </c>
      <c r="I6" s="114">
        <v>3</v>
      </c>
      <c r="J6" s="114"/>
      <c r="K6" s="114"/>
    </row>
    <row r="7" spans="1:11" ht="21" customHeight="1" x14ac:dyDescent="0.15">
      <c r="A7" s="114">
        <v>982</v>
      </c>
      <c r="B7" s="114" t="s">
        <v>248</v>
      </c>
      <c r="C7" s="163" t="s">
        <v>351</v>
      </c>
      <c r="D7" s="131" t="s">
        <v>263</v>
      </c>
      <c r="E7" s="132">
        <f t="shared" si="1"/>
        <v>10</v>
      </c>
      <c r="F7" s="114" t="s">
        <v>484</v>
      </c>
      <c r="G7" s="166" t="str">
        <f ca="1">VLOOKUP(A7,units!A:I,9)</f>
        <v>green</v>
      </c>
      <c r="H7" s="166" t="str">
        <f ca="1">VLOOKUP(A7,units!A7:C33,3)</f>
        <v>女型の巨人</v>
      </c>
      <c r="I7" s="114">
        <v>3</v>
      </c>
      <c r="J7" s="114"/>
      <c r="K7" s="114"/>
    </row>
    <row r="8" spans="1:11" ht="21" customHeight="1" x14ac:dyDescent="0.15">
      <c r="A8" s="114">
        <v>983</v>
      </c>
      <c r="B8" s="114" t="s">
        <v>248</v>
      </c>
      <c r="C8" s="163" t="s">
        <v>352</v>
      </c>
      <c r="D8" s="168" t="s">
        <v>272</v>
      </c>
      <c r="E8" s="132">
        <f t="shared" si="1"/>
        <v>26</v>
      </c>
      <c r="F8" s="169" t="s">
        <v>275</v>
      </c>
      <c r="G8" s="166" t="str">
        <f ca="1">VLOOKUP(A8,units!A:I,9)</f>
        <v>yellow</v>
      </c>
      <c r="H8" s="166" t="str">
        <f ca="1">VLOOKUP(A8,units!A8:C34,3)</f>
        <v>鎧の巨人</v>
      </c>
      <c r="I8" s="114">
        <v>3</v>
      </c>
      <c r="J8" s="114"/>
      <c r="K8" s="114"/>
    </row>
    <row r="9" spans="1:11" ht="21" customHeight="1" x14ac:dyDescent="0.15">
      <c r="A9" s="114">
        <v>984</v>
      </c>
      <c r="B9" s="114" t="s">
        <v>248</v>
      </c>
      <c r="C9" s="163" t="s">
        <v>352</v>
      </c>
      <c r="D9" s="168" t="s">
        <v>272</v>
      </c>
      <c r="E9" s="132">
        <f t="shared" si="1"/>
        <v>26</v>
      </c>
      <c r="F9" s="169" t="s">
        <v>276</v>
      </c>
      <c r="G9" s="166" t="str">
        <f ca="1">VLOOKUP(A9,units!A:I,9)</f>
        <v>yellow</v>
      </c>
      <c r="H9" s="166" t="str">
        <f ca="1">VLOOKUP(A9,units!A9:C35,3)</f>
        <v>鎧の巨人</v>
      </c>
      <c r="I9" s="114">
        <v>3</v>
      </c>
      <c r="J9" s="114"/>
      <c r="K9" s="114"/>
    </row>
    <row r="10" spans="1:11" ht="21" customHeight="1" x14ac:dyDescent="0.15">
      <c r="A10" s="114">
        <v>985</v>
      </c>
      <c r="B10" s="114" t="s">
        <v>248</v>
      </c>
      <c r="C10" s="163" t="s">
        <v>353</v>
      </c>
      <c r="D10" s="131" t="s">
        <v>457</v>
      </c>
      <c r="E10" s="132">
        <f t="shared" si="1"/>
        <v>8</v>
      </c>
      <c r="F10" s="169" t="s">
        <v>277</v>
      </c>
      <c r="G10" s="166" t="str">
        <f ca="1">VLOOKUP(A10,units!A:I,9)</f>
        <v>red</v>
      </c>
      <c r="H10" s="166" t="str">
        <f ca="1">VLOOKUP(A10,units!A10:C36,3)</f>
        <v>エレン・イェーガー</v>
      </c>
      <c r="I10" s="114">
        <v>3</v>
      </c>
      <c r="J10" s="114"/>
      <c r="K10" s="114"/>
    </row>
    <row r="11" spans="1:11" ht="21" customHeight="1" x14ac:dyDescent="0.15">
      <c r="A11" s="114">
        <v>986</v>
      </c>
      <c r="B11" s="114" t="s">
        <v>248</v>
      </c>
      <c r="C11" s="163" t="s">
        <v>354</v>
      </c>
      <c r="D11" s="131" t="s">
        <v>265</v>
      </c>
      <c r="E11" s="132">
        <f t="shared" si="1"/>
        <v>10</v>
      </c>
      <c r="F11" s="114" t="s">
        <v>273</v>
      </c>
      <c r="G11" s="166" t="str">
        <f ca="1">VLOOKUP(A11,units!A:I,9)</f>
        <v>red</v>
      </c>
      <c r="H11" s="166" t="str">
        <f ca="1">VLOOKUP(A11,units!A11:C37,3)</f>
        <v>エレン・イェーガー（人間）</v>
      </c>
      <c r="I11" s="114">
        <v>3</v>
      </c>
      <c r="J11" s="114"/>
      <c r="K11" s="114"/>
    </row>
    <row r="12" spans="1:11" ht="21" customHeight="1" x14ac:dyDescent="0.15">
      <c r="A12" s="114">
        <v>987</v>
      </c>
      <c r="B12" s="114" t="s">
        <v>248</v>
      </c>
      <c r="C12" s="163" t="s">
        <v>355</v>
      </c>
      <c r="D12" s="131" t="s">
        <v>471</v>
      </c>
      <c r="E12" s="132">
        <f t="shared" si="1"/>
        <v>22</v>
      </c>
      <c r="F12" s="169" t="s">
        <v>459</v>
      </c>
      <c r="G12" s="166" t="str">
        <f ca="1">VLOOKUP(A12,units!A:I,9)</f>
        <v>blue</v>
      </c>
      <c r="H12" s="166" t="str">
        <f ca="1">VLOOKUP(A12,units!A12:C38,3)</f>
        <v>エレン・イェーガー（巨人）</v>
      </c>
      <c r="I12" s="114">
        <v>3</v>
      </c>
      <c r="J12" s="114"/>
      <c r="K12" s="114"/>
    </row>
    <row r="13" spans="1:11" ht="21" customHeight="1" x14ac:dyDescent="0.15">
      <c r="A13" s="114">
        <v>988</v>
      </c>
      <c r="B13" s="114" t="s">
        <v>248</v>
      </c>
      <c r="C13" s="163" t="s">
        <v>356</v>
      </c>
      <c r="D13" s="131" t="s">
        <v>265</v>
      </c>
      <c r="E13" s="132">
        <f t="shared" si="1"/>
        <v>10</v>
      </c>
      <c r="F13" s="114" t="s">
        <v>481</v>
      </c>
      <c r="G13" s="166" t="str">
        <f ca="1">VLOOKUP(A13,units!A:I,9)</f>
        <v>red</v>
      </c>
      <c r="H13" s="166" t="str">
        <f ca="1">VLOOKUP(A13,units!A13:C39,3)</f>
        <v>ミカサ・アッカーマン</v>
      </c>
      <c r="I13" s="114">
        <v>3</v>
      </c>
      <c r="J13" s="114"/>
      <c r="K13" s="114"/>
    </row>
    <row r="14" spans="1:11" ht="21" customHeight="1" x14ac:dyDescent="0.15">
      <c r="A14" s="114">
        <v>989</v>
      </c>
      <c r="B14" s="114" t="s">
        <v>248</v>
      </c>
      <c r="C14" s="163" t="s">
        <v>356</v>
      </c>
      <c r="D14" s="131" t="s">
        <v>265</v>
      </c>
      <c r="E14" s="132">
        <f t="shared" si="1"/>
        <v>10</v>
      </c>
      <c r="F14" s="114" t="s">
        <v>481</v>
      </c>
      <c r="G14" s="166" t="str">
        <f ca="1">VLOOKUP(A14,units!A:I,9)</f>
        <v>red</v>
      </c>
      <c r="H14" s="166" t="str">
        <f ca="1">VLOOKUP(A14,units!A14:C40,3)</f>
        <v>ミカサ・アッカーマン</v>
      </c>
      <c r="I14" s="114">
        <v>3</v>
      </c>
      <c r="J14" s="114"/>
      <c r="K14" s="114"/>
    </row>
    <row r="15" spans="1:11" ht="21" customHeight="1" x14ac:dyDescent="0.15">
      <c r="A15" s="114">
        <v>990</v>
      </c>
      <c r="B15" s="114" t="s">
        <v>248</v>
      </c>
      <c r="C15" s="163" t="s">
        <v>357</v>
      </c>
      <c r="D15" s="131" t="s">
        <v>260</v>
      </c>
      <c r="E15" s="132">
        <f t="shared" si="1"/>
        <v>9</v>
      </c>
      <c r="F15" s="114" t="s">
        <v>274</v>
      </c>
      <c r="G15" s="166" t="str">
        <f ca="1">VLOOKUP(A15,units!A:I,9)</f>
        <v>red</v>
      </c>
      <c r="H15" s="166" t="str">
        <f ca="1">VLOOKUP(A15,units!A15:C41,3)</f>
        <v>エルヴィン・スミス</v>
      </c>
      <c r="I15" s="114">
        <v>3</v>
      </c>
      <c r="J15" s="114"/>
      <c r="K15" s="114"/>
    </row>
    <row r="16" spans="1:11" ht="21" customHeight="1" x14ac:dyDescent="0.15">
      <c r="A16" s="114">
        <v>991</v>
      </c>
      <c r="B16" s="114" t="s">
        <v>248</v>
      </c>
      <c r="C16" s="163" t="s">
        <v>357</v>
      </c>
      <c r="D16" s="131" t="s">
        <v>260</v>
      </c>
      <c r="E16" s="132">
        <f t="shared" si="1"/>
        <v>9</v>
      </c>
      <c r="F16" s="114" t="s">
        <v>274</v>
      </c>
      <c r="G16" s="166" t="str">
        <f ca="1">VLOOKUP(A16,units!A:I,9)</f>
        <v>red</v>
      </c>
      <c r="H16" s="166" t="str">
        <f ca="1">VLOOKUP(A16,units!A16:C42,3)</f>
        <v>エルヴィン・スミス</v>
      </c>
      <c r="I16" s="114">
        <v>3</v>
      </c>
      <c r="J16" s="114"/>
      <c r="K16" s="114"/>
    </row>
    <row r="17" spans="1:11" ht="21" customHeight="1" x14ac:dyDescent="0.15">
      <c r="A17" s="114">
        <v>992</v>
      </c>
      <c r="B17" s="114" t="s">
        <v>248</v>
      </c>
      <c r="C17" s="163" t="s">
        <v>358</v>
      </c>
      <c r="D17" s="131" t="s">
        <v>458</v>
      </c>
      <c r="E17" s="132">
        <f t="shared" si="1"/>
        <v>21</v>
      </c>
      <c r="F17" s="169" t="s">
        <v>460</v>
      </c>
      <c r="G17" s="166" t="str">
        <f ca="1">VLOOKUP(A17,units!A:I,9)</f>
        <v>green</v>
      </c>
      <c r="H17" s="166" t="str">
        <f ca="1">VLOOKUP(A17,units!A17:C43,3)</f>
        <v>ハンジ・ゾエ</v>
      </c>
      <c r="I17" s="114">
        <v>3</v>
      </c>
      <c r="J17" s="114"/>
      <c r="K17" s="114"/>
    </row>
    <row r="18" spans="1:11" ht="21" customHeight="1" x14ac:dyDescent="0.15">
      <c r="A18" s="114">
        <v>993</v>
      </c>
      <c r="B18" s="114" t="s">
        <v>248</v>
      </c>
      <c r="C18" s="163" t="s">
        <v>358</v>
      </c>
      <c r="D18" s="131" t="s">
        <v>458</v>
      </c>
      <c r="E18" s="132">
        <f t="shared" si="1"/>
        <v>21</v>
      </c>
      <c r="F18" s="169" t="s">
        <v>461</v>
      </c>
      <c r="G18" s="166" t="str">
        <f ca="1">VLOOKUP(A18,units!A:I,9)</f>
        <v>green</v>
      </c>
      <c r="H18" s="166" t="str">
        <f ca="1">VLOOKUP(A18,units!A18:C44,3)</f>
        <v>ハンジ・ゾエ</v>
      </c>
      <c r="I18" s="114">
        <v>3</v>
      </c>
      <c r="J18" s="114"/>
      <c r="K18" s="114"/>
    </row>
    <row r="19" spans="1:11" ht="21" customHeight="1" x14ac:dyDescent="0.15">
      <c r="A19" s="114">
        <v>994</v>
      </c>
      <c r="B19" s="114" t="s">
        <v>248</v>
      </c>
      <c r="C19" s="163" t="s">
        <v>359</v>
      </c>
      <c r="D19" s="131" t="s">
        <v>266</v>
      </c>
      <c r="E19" s="132">
        <f t="shared" si="1"/>
        <v>16</v>
      </c>
      <c r="F19" s="169" t="s">
        <v>278</v>
      </c>
      <c r="G19" s="166" t="str">
        <f ca="1">VLOOKUP(A19,units!A:I,9)</f>
        <v>green</v>
      </c>
      <c r="H19" s="166" t="str">
        <f ca="1">VLOOKUP(A19,units!A19:C45,3)</f>
        <v>アルミン・アルレルト</v>
      </c>
      <c r="I19" s="114">
        <v>3</v>
      </c>
      <c r="J19" s="114"/>
      <c r="K19" s="114"/>
    </row>
    <row r="20" spans="1:11" ht="21" customHeight="1" x14ac:dyDescent="0.15">
      <c r="A20" s="114">
        <v>995</v>
      </c>
      <c r="B20" s="114" t="s">
        <v>248</v>
      </c>
      <c r="C20" s="163" t="s">
        <v>359</v>
      </c>
      <c r="D20" s="131" t="s">
        <v>266</v>
      </c>
      <c r="E20" s="132">
        <f t="shared" si="1"/>
        <v>16</v>
      </c>
      <c r="F20" s="169" t="s">
        <v>278</v>
      </c>
      <c r="G20" s="166" t="str">
        <f ca="1">VLOOKUP(A20,units!A:I,9)</f>
        <v>green</v>
      </c>
      <c r="H20" s="166" t="str">
        <f ca="1">VLOOKUP(A20,units!A20:C46,3)</f>
        <v>アルミン・アルレルト</v>
      </c>
      <c r="I20" s="114">
        <v>3</v>
      </c>
      <c r="J20" s="114"/>
      <c r="K20" s="114"/>
    </row>
    <row r="21" spans="1:11" ht="21" customHeight="1" x14ac:dyDescent="0.15">
      <c r="A21" s="114">
        <v>996</v>
      </c>
      <c r="B21" s="114" t="s">
        <v>248</v>
      </c>
      <c r="C21" s="163" t="s">
        <v>360</v>
      </c>
      <c r="D21" s="131" t="s">
        <v>264</v>
      </c>
      <c r="E21" s="132">
        <f t="shared" si="1"/>
        <v>9</v>
      </c>
      <c r="F21" s="114" t="s">
        <v>251</v>
      </c>
      <c r="G21" s="166" t="str">
        <f ca="1">VLOOKUP(A21,units!A:I,9)</f>
        <v>blue</v>
      </c>
      <c r="H21" s="166" t="str">
        <f ca="1">VLOOKUP(A21,units!A21:C47,3)</f>
        <v>リヴァイ</v>
      </c>
      <c r="I21" s="114">
        <v>3</v>
      </c>
      <c r="J21" s="114"/>
      <c r="K21" s="114"/>
    </row>
    <row r="22" spans="1:11" ht="21" customHeight="1" x14ac:dyDescent="0.15">
      <c r="A22" s="114">
        <v>997</v>
      </c>
      <c r="B22" s="114" t="s">
        <v>248</v>
      </c>
      <c r="C22" s="163" t="s">
        <v>360</v>
      </c>
      <c r="D22" s="131" t="s">
        <v>264</v>
      </c>
      <c r="E22" s="132">
        <f t="shared" si="1"/>
        <v>9</v>
      </c>
      <c r="F22" s="114" t="s">
        <v>252</v>
      </c>
      <c r="G22" s="166" t="str">
        <f ca="1">VLOOKUP(A22,units!A:I,9)</f>
        <v>blue</v>
      </c>
      <c r="H22" s="166" t="str">
        <f ca="1">VLOOKUP(A22,units!A22:C48,3)</f>
        <v>リヴァイ</v>
      </c>
      <c r="I22" s="114">
        <v>3</v>
      </c>
      <c r="J22" s="114"/>
      <c r="K22" s="114"/>
    </row>
    <row r="23" spans="1:11" ht="21" customHeight="1" x14ac:dyDescent="0.15">
      <c r="A23" s="114">
        <v>998</v>
      </c>
      <c r="B23" s="114" t="s">
        <v>248</v>
      </c>
      <c r="C23" s="163" t="s">
        <v>361</v>
      </c>
      <c r="D23" s="131" t="s">
        <v>261</v>
      </c>
      <c r="E23" s="132">
        <f t="shared" si="1"/>
        <v>9</v>
      </c>
      <c r="F23" s="114" t="s">
        <v>279</v>
      </c>
      <c r="G23" s="166" t="str">
        <f ca="1">VLOOKUP(A23,units!A:I,9)</f>
        <v>blue</v>
      </c>
      <c r="H23" s="166" t="str">
        <f ca="1">VLOOKUP(A23,units!A23:C49,3)</f>
        <v>サシャ・ブラウス</v>
      </c>
      <c r="I23" s="114">
        <v>3</v>
      </c>
      <c r="J23" s="114"/>
      <c r="K23" s="114"/>
    </row>
    <row r="24" spans="1:11" ht="21" customHeight="1" x14ac:dyDescent="0.15">
      <c r="A24" s="114">
        <v>999</v>
      </c>
      <c r="B24" s="114" t="s">
        <v>248</v>
      </c>
      <c r="C24" s="163" t="s">
        <v>361</v>
      </c>
      <c r="D24" s="131" t="s">
        <v>261</v>
      </c>
      <c r="E24" s="132">
        <f t="shared" si="1"/>
        <v>9</v>
      </c>
      <c r="F24" s="114" t="s">
        <v>279</v>
      </c>
      <c r="G24" s="166" t="str">
        <f ca="1">VLOOKUP(A24,units!A:I,9)</f>
        <v>blue</v>
      </c>
      <c r="H24" s="166" t="str">
        <f ca="1">VLOOKUP(A24,units!A24:C50,3)</f>
        <v>サシャ・ブラウス</v>
      </c>
      <c r="I24" s="114">
        <v>3</v>
      </c>
      <c r="J24" s="114"/>
      <c r="K24" s="114"/>
    </row>
    <row r="25" spans="1:11" ht="21" customHeight="1" x14ac:dyDescent="0.15">
      <c r="A25" s="114">
        <v>1000</v>
      </c>
      <c r="B25" s="114" t="s">
        <v>248</v>
      </c>
      <c r="C25" s="163" t="s">
        <v>362</v>
      </c>
      <c r="D25" s="131" t="s">
        <v>267</v>
      </c>
      <c r="E25" s="132">
        <f t="shared" si="1"/>
        <v>5</v>
      </c>
      <c r="F25" s="169" t="s">
        <v>280</v>
      </c>
      <c r="G25" s="166" t="str">
        <f ca="1">VLOOKUP(A25,units!A:I,9)</f>
        <v>yellow</v>
      </c>
      <c r="H25" s="166" t="str">
        <f ca="1">VLOOKUP(A25,units!A25:C51,3)</f>
        <v>クリスタ・レンズ</v>
      </c>
      <c r="I25" s="114">
        <v>3</v>
      </c>
      <c r="J25" s="114"/>
      <c r="K25" s="114"/>
    </row>
    <row r="26" spans="1:11" ht="21" customHeight="1" x14ac:dyDescent="0.15">
      <c r="A26" s="114">
        <v>1001</v>
      </c>
      <c r="B26" s="114" t="s">
        <v>248</v>
      </c>
      <c r="C26" s="163" t="s">
        <v>362</v>
      </c>
      <c r="D26" s="131" t="s">
        <v>267</v>
      </c>
      <c r="E26" s="132">
        <f t="shared" si="1"/>
        <v>5</v>
      </c>
      <c r="F26" s="169" t="s">
        <v>280</v>
      </c>
      <c r="G26" s="166" t="str">
        <f ca="1">VLOOKUP(A26,units!A:I,9)</f>
        <v>yellow</v>
      </c>
      <c r="H26" s="166" t="str">
        <f ca="1">VLOOKUP(A26,units!A26:C52,3)</f>
        <v>クリスタ・レンズ</v>
      </c>
      <c r="I26" s="114">
        <v>3</v>
      </c>
      <c r="J26" s="114"/>
      <c r="K26" s="114"/>
    </row>
    <row r="27" spans="1:11" ht="21" customHeight="1" x14ac:dyDescent="0.15">
      <c r="A27" s="114">
        <v>1002</v>
      </c>
      <c r="B27" s="114" t="s">
        <v>248</v>
      </c>
      <c r="C27" s="163" t="s">
        <v>363</v>
      </c>
      <c r="D27" s="168" t="s">
        <v>281</v>
      </c>
      <c r="E27" s="132">
        <f t="shared" si="1"/>
        <v>18</v>
      </c>
      <c r="F27" s="114" t="s">
        <v>282</v>
      </c>
      <c r="G27" s="166" t="str">
        <f ca="1">VLOOKUP(A27,units!A:I,9)</f>
        <v>yellow</v>
      </c>
      <c r="H27" s="166" t="str">
        <f ca="1">VLOOKUP(A27,units!A27:C53,3)</f>
        <v>ジャン・キルシュタイン</v>
      </c>
      <c r="I27" s="114">
        <v>3</v>
      </c>
      <c r="J27" s="114"/>
      <c r="K27" s="114"/>
    </row>
    <row r="28" spans="1:11" ht="21" customHeight="1" x14ac:dyDescent="0.15">
      <c r="A28" s="114">
        <v>1003</v>
      </c>
      <c r="B28" s="114" t="s">
        <v>248</v>
      </c>
      <c r="C28" s="163" t="s">
        <v>363</v>
      </c>
      <c r="D28" s="168" t="s">
        <v>281</v>
      </c>
      <c r="E28" s="132">
        <f t="shared" si="1"/>
        <v>18</v>
      </c>
      <c r="F28" s="114" t="s">
        <v>282</v>
      </c>
      <c r="G28" s="166" t="str">
        <f ca="1">VLOOKUP(A28,units!A:I,9)</f>
        <v>yellow</v>
      </c>
      <c r="H28" s="166" t="str">
        <f ca="1">VLOOKUP(A28,units!A28:C54,3)</f>
        <v>ジャン・キルシュタイン</v>
      </c>
      <c r="I28" s="114">
        <v>3</v>
      </c>
      <c r="J28" s="114"/>
      <c r="K28" s="114"/>
    </row>
  </sheetData>
  <sheetProtection selectLockedCells="1" selectUnlockedCells="1"/>
  <autoFilter ref="A1:K1"/>
  <phoneticPr fontId="22"/>
  <conditionalFormatting sqref="E2:E28">
    <cfRule type="cellIs" dxfId="29"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97"/>
  <sheetViews>
    <sheetView topLeftCell="A46" zoomScale="106" workbookViewId="0">
      <selection activeCell="E48" sqref="E48"/>
    </sheetView>
  </sheetViews>
  <sheetFormatPr baseColWidth="12" defaultRowHeight="15" outlineLevelCol="1" x14ac:dyDescent="0.15"/>
  <cols>
    <col min="2" max="2" width="12.83203125" style="139"/>
    <col min="4" max="4" width="12.83203125" style="139" customWidth="1" outlineLevel="1"/>
    <col min="5" max="5" width="12.83203125" style="139"/>
    <col min="8" max="8" width="21.33203125" customWidth="1"/>
  </cols>
  <sheetData>
    <row r="1" spans="1:8" x14ac:dyDescent="0.15">
      <c r="A1" s="111" t="s">
        <v>181</v>
      </c>
      <c r="B1" s="138" t="s">
        <v>182</v>
      </c>
      <c r="C1" s="111" t="s">
        <v>183</v>
      </c>
      <c r="D1" s="138" t="s">
        <v>185</v>
      </c>
      <c r="E1" s="138" t="s">
        <v>186</v>
      </c>
      <c r="F1" s="110" t="s">
        <v>187</v>
      </c>
      <c r="G1" s="111" t="s">
        <v>184</v>
      </c>
      <c r="H1" s="110" t="s">
        <v>188</v>
      </c>
    </row>
    <row r="2" spans="1:8" x14ac:dyDescent="0.15">
      <c r="A2" s="12">
        <v>977</v>
      </c>
      <c r="B2" s="138" t="str">
        <f>VLOOKUP(A2,[1]characters!$A:$C,3,FALSE)</f>
        <v>リヴァイ お掃除ver</v>
      </c>
      <c r="C2" s="106" t="s">
        <v>189</v>
      </c>
      <c r="D2" s="138"/>
      <c r="E2" s="138" t="str">
        <f>A2&amp;+(COUNTIF(A$2:A2,A2)-1)</f>
        <v>9770</v>
      </c>
      <c r="F2" s="106" t="s">
        <v>365</v>
      </c>
      <c r="G2" s="207" t="s">
        <v>377</v>
      </c>
      <c r="H2" s="208" t="s">
        <v>372</v>
      </c>
    </row>
    <row r="3" spans="1:8" x14ac:dyDescent="0.15">
      <c r="A3" s="12">
        <v>977</v>
      </c>
      <c r="B3" s="138" t="str">
        <f>VLOOKUP(A3,[1]characters!$A:$C,3,FALSE)</f>
        <v>リヴァイ お掃除ver</v>
      </c>
      <c r="C3" s="106" t="s">
        <v>366</v>
      </c>
      <c r="D3" s="138"/>
      <c r="E3" s="138" t="str">
        <f>A3&amp;+(COUNTIF(A$2:A3,A3)-1)</f>
        <v>9771</v>
      </c>
      <c r="F3" s="106" t="s">
        <v>364</v>
      </c>
      <c r="G3" s="207" t="s">
        <v>377</v>
      </c>
      <c r="H3" s="209" t="s">
        <v>374</v>
      </c>
    </row>
    <row r="4" spans="1:8" x14ac:dyDescent="0.15">
      <c r="A4" s="12">
        <v>977</v>
      </c>
      <c r="B4" s="138" t="str">
        <f>VLOOKUP(A4,[1]characters!$A:$C,3,FALSE)</f>
        <v>リヴァイ お掃除ver</v>
      </c>
      <c r="C4" s="106" t="s">
        <v>366</v>
      </c>
      <c r="D4" s="138"/>
      <c r="E4" s="138" t="str">
        <f>A4&amp;+(COUNTIF(A$2:A4,A4)-1)</f>
        <v>9772</v>
      </c>
      <c r="F4" s="106" t="s">
        <v>364</v>
      </c>
      <c r="G4" s="207" t="s">
        <v>377</v>
      </c>
      <c r="H4" s="209" t="s">
        <v>375</v>
      </c>
    </row>
    <row r="5" spans="1:8" x14ac:dyDescent="0.15">
      <c r="A5" s="12">
        <v>978</v>
      </c>
      <c r="B5" s="138" t="str">
        <f>VLOOKUP(A5,[1]characters!$A:$C,3,FALSE)</f>
        <v>潔癖の掃討 リヴァイ お掃除ver</v>
      </c>
      <c r="C5" s="106" t="s">
        <v>189</v>
      </c>
      <c r="D5" s="138"/>
      <c r="E5" s="138" t="str">
        <f>A5&amp;+(COUNTIF(A$2:A5,A5)-1)</f>
        <v>9780</v>
      </c>
      <c r="F5" s="106" t="s">
        <v>368</v>
      </c>
      <c r="G5" s="207" t="s">
        <v>377</v>
      </c>
      <c r="H5" s="208" t="s">
        <v>373</v>
      </c>
    </row>
    <row r="6" spans="1:8" x14ac:dyDescent="0.15">
      <c r="A6" s="12">
        <v>978</v>
      </c>
      <c r="B6" s="138" t="str">
        <f>VLOOKUP(A6,[1]characters!$A:$C,3,FALSE)</f>
        <v>潔癖の掃討 リヴァイ お掃除ver</v>
      </c>
      <c r="C6" s="106" t="s">
        <v>369</v>
      </c>
      <c r="D6" s="138"/>
      <c r="E6" s="138" t="str">
        <f>A6&amp;+(COUNTIF(A$2:A6,A6)-1)</f>
        <v>9781</v>
      </c>
      <c r="F6" s="106" t="s">
        <v>370</v>
      </c>
      <c r="G6" s="207" t="s">
        <v>377</v>
      </c>
      <c r="H6" s="209" t="s">
        <v>374</v>
      </c>
    </row>
    <row r="7" spans="1:8" x14ac:dyDescent="0.15">
      <c r="A7" s="12">
        <v>978</v>
      </c>
      <c r="B7" s="138" t="str">
        <f>VLOOKUP(A7,[1]characters!$A:$C,3,FALSE)</f>
        <v>潔癖の掃討 リヴァイ お掃除ver</v>
      </c>
      <c r="C7" s="106" t="s">
        <v>371</v>
      </c>
      <c r="D7" s="138"/>
      <c r="E7" s="138" t="str">
        <f>A7&amp;+(COUNTIF(A$2:A7,A7)-1)</f>
        <v>9782</v>
      </c>
      <c r="F7" s="106" t="s">
        <v>364</v>
      </c>
      <c r="G7" s="207" t="s">
        <v>377</v>
      </c>
      <c r="H7" s="209" t="s">
        <v>375</v>
      </c>
    </row>
    <row r="8" spans="1:8" x14ac:dyDescent="0.15">
      <c r="A8" s="12">
        <v>978</v>
      </c>
      <c r="B8" s="138" t="str">
        <f>VLOOKUP(A8,[1]characters!$A:$C,3,FALSE)</f>
        <v>潔癖の掃討 リヴァイ お掃除ver</v>
      </c>
      <c r="C8" s="106" t="s">
        <v>191</v>
      </c>
      <c r="D8" s="138"/>
      <c r="E8" s="138" t="str">
        <f>A8&amp;+(COUNTIF(A$2:A8,A8)-1)</f>
        <v>9783</v>
      </c>
      <c r="F8" s="106" t="s">
        <v>370</v>
      </c>
      <c r="G8" s="207" t="s">
        <v>377</v>
      </c>
      <c r="H8" s="209" t="s">
        <v>376</v>
      </c>
    </row>
    <row r="9" spans="1:8" x14ac:dyDescent="0.15">
      <c r="A9" s="12">
        <v>979</v>
      </c>
      <c r="B9" s="138" t="str">
        <f>VLOOKUP(A9,[1]characters!$A:$C,3,FALSE)</f>
        <v>超大型巨人</v>
      </c>
      <c r="C9" s="106" t="s">
        <v>189</v>
      </c>
      <c r="D9" s="138"/>
      <c r="E9" s="138" t="str">
        <f>A9&amp;+(COUNTIF(A$2:A9,A9)-1)</f>
        <v>9790</v>
      </c>
      <c r="F9" s="106" t="s">
        <v>365</v>
      </c>
      <c r="G9" s="207" t="s">
        <v>382</v>
      </c>
      <c r="H9" s="208" t="s">
        <v>378</v>
      </c>
    </row>
    <row r="10" spans="1:8" x14ac:dyDescent="0.15">
      <c r="A10" s="12">
        <v>979</v>
      </c>
      <c r="B10" s="138" t="str">
        <f>VLOOKUP(A10,[1]characters!$A:$C,3,FALSE)</f>
        <v>超大型巨人</v>
      </c>
      <c r="C10" s="106" t="s">
        <v>366</v>
      </c>
      <c r="D10" s="138"/>
      <c r="E10" s="138" t="str">
        <f>A10&amp;+(COUNTIF(A$2:A10,A10)-1)</f>
        <v>9791</v>
      </c>
      <c r="F10" s="106" t="s">
        <v>364</v>
      </c>
      <c r="G10" s="207" t="s">
        <v>377</v>
      </c>
      <c r="H10" s="209" t="s">
        <v>379</v>
      </c>
    </row>
    <row r="11" spans="1:8" x14ac:dyDescent="0.15">
      <c r="A11" s="12">
        <v>979</v>
      </c>
      <c r="B11" s="138" t="str">
        <f>VLOOKUP(A11,[1]characters!$A:$C,3,FALSE)</f>
        <v>超大型巨人</v>
      </c>
      <c r="C11" s="106" t="s">
        <v>366</v>
      </c>
      <c r="D11" s="138"/>
      <c r="E11" s="138" t="str">
        <f>A11&amp;+(COUNTIF(A$2:A11,A11)-1)</f>
        <v>9792</v>
      </c>
      <c r="F11" s="106" t="s">
        <v>364</v>
      </c>
      <c r="G11" s="207" t="s">
        <v>367</v>
      </c>
      <c r="H11" s="209" t="s">
        <v>380</v>
      </c>
    </row>
    <row r="12" spans="1:8" x14ac:dyDescent="0.15">
      <c r="A12" s="12">
        <v>979</v>
      </c>
      <c r="B12" s="138" t="str">
        <f>VLOOKUP(A12,[1]characters!$A:$C,3,FALSE)</f>
        <v>超大型巨人</v>
      </c>
      <c r="C12" s="106" t="s">
        <v>366</v>
      </c>
      <c r="D12" s="138"/>
      <c r="E12" s="138" t="str">
        <f>A12&amp;+(COUNTIF(A$2:A12,A12)-1)</f>
        <v>9793</v>
      </c>
      <c r="F12" s="106" t="s">
        <v>364</v>
      </c>
      <c r="G12" s="207" t="s">
        <v>377</v>
      </c>
      <c r="H12" s="209" t="s">
        <v>381</v>
      </c>
    </row>
    <row r="13" spans="1:8" x14ac:dyDescent="0.15">
      <c r="A13" s="12">
        <v>980</v>
      </c>
      <c r="B13" s="138" t="str">
        <f>VLOOKUP(A13,[1]characters!$A:$C,3,FALSE)</f>
        <v>猛熱の災厄 超大型巨人</v>
      </c>
      <c r="C13" s="106" t="s">
        <v>189</v>
      </c>
      <c r="D13" s="138"/>
      <c r="E13" s="138" t="str">
        <f>A13&amp;+(COUNTIF(A$2:A13,A13)-1)</f>
        <v>9800</v>
      </c>
      <c r="F13" s="106" t="s">
        <v>368</v>
      </c>
      <c r="G13" s="207" t="s">
        <v>377</v>
      </c>
      <c r="H13" s="208" t="s">
        <v>383</v>
      </c>
    </row>
    <row r="14" spans="1:8" x14ac:dyDescent="0.15">
      <c r="A14" s="12">
        <v>980</v>
      </c>
      <c r="B14" s="138" t="str">
        <f>VLOOKUP(A14,[1]characters!$A:$C,3,FALSE)</f>
        <v>猛熱の災厄 超大型巨人</v>
      </c>
      <c r="C14" s="106" t="s">
        <v>369</v>
      </c>
      <c r="D14" s="138"/>
      <c r="E14" s="138" t="str">
        <f>A14&amp;+(COUNTIF(A$2:A14,A14)-1)</f>
        <v>9801</v>
      </c>
      <c r="F14" s="106" t="s">
        <v>370</v>
      </c>
      <c r="G14" s="207" t="s">
        <v>377</v>
      </c>
      <c r="H14" s="209" t="s">
        <v>384</v>
      </c>
    </row>
    <row r="15" spans="1:8" x14ac:dyDescent="0.15">
      <c r="A15" s="12">
        <v>980</v>
      </c>
      <c r="B15" s="138" t="str">
        <f>VLOOKUP(A15,[1]characters!$A:$C,3,FALSE)</f>
        <v>猛熱の災厄 超大型巨人</v>
      </c>
      <c r="C15" s="106" t="s">
        <v>371</v>
      </c>
      <c r="D15" s="138"/>
      <c r="E15" s="138" t="str">
        <f>A15&amp;+(COUNTIF(A$2:A15,A15)-1)</f>
        <v>9802</v>
      </c>
      <c r="F15" s="106" t="s">
        <v>364</v>
      </c>
      <c r="G15" s="207" t="s">
        <v>377</v>
      </c>
      <c r="H15" s="209" t="s">
        <v>379</v>
      </c>
    </row>
    <row r="16" spans="1:8" x14ac:dyDescent="0.15">
      <c r="A16" s="12">
        <v>980</v>
      </c>
      <c r="B16" s="138" t="str">
        <f>VLOOKUP(A16,[1]characters!$A:$C,3,FALSE)</f>
        <v>猛熱の災厄 超大型巨人</v>
      </c>
      <c r="C16" s="106" t="s">
        <v>191</v>
      </c>
      <c r="D16" s="138"/>
      <c r="E16" s="138" t="str">
        <f>A16&amp;+(COUNTIF(A$2:A16,A16)-1)</f>
        <v>9803</v>
      </c>
      <c r="F16" s="106" t="s">
        <v>370</v>
      </c>
      <c r="G16" s="207" t="s">
        <v>367</v>
      </c>
      <c r="H16" s="209" t="s">
        <v>380</v>
      </c>
    </row>
    <row r="17" spans="1:8" x14ac:dyDescent="0.15">
      <c r="A17" s="12">
        <v>980</v>
      </c>
      <c r="B17" s="138" t="str">
        <f>VLOOKUP(A17,[1]characters!$A:$C,3,FALSE)</f>
        <v>猛熱の災厄 超大型巨人</v>
      </c>
      <c r="C17" s="106" t="s">
        <v>191</v>
      </c>
      <c r="D17" s="138"/>
      <c r="E17" s="138" t="str">
        <f>A17&amp;+(COUNTIF(A$2:A17,A17)-1)</f>
        <v>9804</v>
      </c>
      <c r="F17" s="106" t="s">
        <v>370</v>
      </c>
      <c r="G17" s="207" t="s">
        <v>367</v>
      </c>
      <c r="H17" s="209" t="s">
        <v>381</v>
      </c>
    </row>
    <row r="18" spans="1:8" x14ac:dyDescent="0.15">
      <c r="A18" s="12">
        <v>981</v>
      </c>
      <c r="B18" s="138" t="str">
        <f>VLOOKUP(A18,[1]characters!$A:$C,3,FALSE)</f>
        <v>女型の巨人</v>
      </c>
      <c r="C18" s="106" t="s">
        <v>189</v>
      </c>
      <c r="D18" s="138"/>
      <c r="E18" s="138" t="str">
        <f>A18&amp;+(COUNTIF(A$2:A18,A18)-1)</f>
        <v>9810</v>
      </c>
      <c r="F18" s="106" t="s">
        <v>365</v>
      </c>
      <c r="G18" s="207" t="s">
        <v>367</v>
      </c>
      <c r="H18" s="208" t="s">
        <v>385</v>
      </c>
    </row>
    <row r="19" spans="1:8" x14ac:dyDescent="0.15">
      <c r="A19" s="12">
        <v>981</v>
      </c>
      <c r="B19" s="138" t="str">
        <f>VLOOKUP(A19,[1]characters!$A:$C,3,FALSE)</f>
        <v>女型の巨人</v>
      </c>
      <c r="C19" s="106" t="s">
        <v>366</v>
      </c>
      <c r="D19" s="138"/>
      <c r="E19" s="138" t="str">
        <f>A19&amp;+(COUNTIF(A$2:A19,A19)-1)</f>
        <v>9811</v>
      </c>
      <c r="F19" s="106" t="s">
        <v>364</v>
      </c>
      <c r="G19" s="207" t="s">
        <v>367</v>
      </c>
      <c r="H19" s="209" t="s">
        <v>386</v>
      </c>
    </row>
    <row r="20" spans="1:8" x14ac:dyDescent="0.15">
      <c r="A20" s="12">
        <v>981</v>
      </c>
      <c r="B20" s="138" t="str">
        <f>VLOOKUP(A20,[1]characters!$A:$C,3,FALSE)</f>
        <v>女型の巨人</v>
      </c>
      <c r="C20" s="106" t="s">
        <v>366</v>
      </c>
      <c r="D20" s="138"/>
      <c r="E20" s="138" t="str">
        <f>A20&amp;+(COUNTIF(A$2:A20,A20)-1)</f>
        <v>9812</v>
      </c>
      <c r="F20" s="106" t="s">
        <v>364</v>
      </c>
      <c r="G20" s="207" t="s">
        <v>367</v>
      </c>
      <c r="H20" s="209" t="s">
        <v>387</v>
      </c>
    </row>
    <row r="21" spans="1:8" x14ac:dyDescent="0.15">
      <c r="A21" s="12">
        <v>982</v>
      </c>
      <c r="B21" s="138" t="str">
        <f>VLOOKUP(A21,[1]characters!$A:$C,3,FALSE)</f>
        <v>柔靭なる剛脚 女型の巨人</v>
      </c>
      <c r="C21" s="106" t="s">
        <v>189</v>
      </c>
      <c r="D21" s="138"/>
      <c r="E21" s="138" t="str">
        <f>A21&amp;+(COUNTIF(A$2:A21,A21)-1)</f>
        <v>9820</v>
      </c>
      <c r="F21" s="106" t="s">
        <v>368</v>
      </c>
      <c r="G21" s="207" t="s">
        <v>367</v>
      </c>
      <c r="H21" s="208" t="s">
        <v>388</v>
      </c>
    </row>
    <row r="22" spans="1:8" x14ac:dyDescent="0.15">
      <c r="A22" s="12">
        <v>982</v>
      </c>
      <c r="B22" s="138" t="str">
        <f>VLOOKUP(A22,[1]characters!$A:$C,3,FALSE)</f>
        <v>柔靭なる剛脚 女型の巨人</v>
      </c>
      <c r="C22" s="106" t="s">
        <v>369</v>
      </c>
      <c r="D22" s="138"/>
      <c r="E22" s="138" t="str">
        <f>A22&amp;+(COUNTIF(A$2:A22,A22)-1)</f>
        <v>9821</v>
      </c>
      <c r="F22" s="106" t="s">
        <v>370</v>
      </c>
      <c r="G22" s="207" t="s">
        <v>367</v>
      </c>
      <c r="H22" s="209" t="s">
        <v>389</v>
      </c>
    </row>
    <row r="23" spans="1:8" x14ac:dyDescent="0.15">
      <c r="A23" s="12">
        <v>982</v>
      </c>
      <c r="B23" s="138" t="str">
        <f>VLOOKUP(A23,[1]characters!$A:$C,3,FALSE)</f>
        <v>柔靭なる剛脚 女型の巨人</v>
      </c>
      <c r="C23" s="106" t="s">
        <v>371</v>
      </c>
      <c r="D23" s="138"/>
      <c r="E23" s="138" t="str">
        <f>A23&amp;+(COUNTIF(A$2:A23,A23)-1)</f>
        <v>9822</v>
      </c>
      <c r="F23" s="106" t="s">
        <v>364</v>
      </c>
      <c r="G23" s="207" t="s">
        <v>367</v>
      </c>
      <c r="H23" s="209" t="s">
        <v>386</v>
      </c>
    </row>
    <row r="24" spans="1:8" x14ac:dyDescent="0.15">
      <c r="A24" s="12">
        <v>982</v>
      </c>
      <c r="B24" s="138" t="str">
        <f>VLOOKUP(A24,[1]characters!$A:$C,3,FALSE)</f>
        <v>柔靭なる剛脚 女型の巨人</v>
      </c>
      <c r="C24" s="106" t="s">
        <v>191</v>
      </c>
      <c r="D24" s="138"/>
      <c r="E24" s="138" t="str">
        <f>A24&amp;+(COUNTIF(A$2:A24,A24)-1)</f>
        <v>9823</v>
      </c>
      <c r="F24" s="106" t="s">
        <v>370</v>
      </c>
      <c r="G24" s="207" t="s">
        <v>367</v>
      </c>
      <c r="H24" s="209" t="s">
        <v>387</v>
      </c>
    </row>
    <row r="25" spans="1:8" x14ac:dyDescent="0.15">
      <c r="A25" s="12">
        <v>983</v>
      </c>
      <c r="B25" s="138" t="str">
        <f>VLOOKUP(A25,[1]characters!$A:$C,3,FALSE)</f>
        <v>鎧の巨人</v>
      </c>
      <c r="C25" s="106" t="s">
        <v>189</v>
      </c>
      <c r="D25" s="138"/>
      <c r="E25" s="138" t="str">
        <f>A25&amp;+(COUNTIF(A$2:A25,A25)-1)</f>
        <v>9830</v>
      </c>
      <c r="F25" s="106" t="s">
        <v>365</v>
      </c>
      <c r="G25" s="207" t="s">
        <v>367</v>
      </c>
      <c r="H25" s="208" t="s">
        <v>390</v>
      </c>
    </row>
    <row r="26" spans="1:8" x14ac:dyDescent="0.15">
      <c r="A26" s="12">
        <v>983</v>
      </c>
      <c r="B26" s="138" t="str">
        <f>VLOOKUP(A26,[1]characters!$A:$C,3,FALSE)</f>
        <v>鎧の巨人</v>
      </c>
      <c r="C26" s="106" t="s">
        <v>366</v>
      </c>
      <c r="D26" s="138"/>
      <c r="E26" s="138" t="str">
        <f>A26&amp;+(COUNTIF(A$2:A26,A26)-1)</f>
        <v>9831</v>
      </c>
      <c r="F26" s="106" t="s">
        <v>364</v>
      </c>
      <c r="G26" s="207" t="s">
        <v>367</v>
      </c>
      <c r="H26" s="209" t="s">
        <v>391</v>
      </c>
    </row>
    <row r="27" spans="1:8" x14ac:dyDescent="0.15">
      <c r="A27" s="12">
        <v>983</v>
      </c>
      <c r="B27" s="138" t="str">
        <f>VLOOKUP(A27,[1]characters!$A:$C,3,FALSE)</f>
        <v>鎧の巨人</v>
      </c>
      <c r="C27" s="106" t="s">
        <v>366</v>
      </c>
      <c r="D27" s="138"/>
      <c r="E27" s="138" t="str">
        <f>A27&amp;+(COUNTIF(A$2:A27,A27)-1)</f>
        <v>9832</v>
      </c>
      <c r="F27" s="106" t="s">
        <v>364</v>
      </c>
      <c r="G27" s="207" t="s">
        <v>367</v>
      </c>
      <c r="H27" s="209" t="s">
        <v>387</v>
      </c>
    </row>
    <row r="28" spans="1:8" x14ac:dyDescent="0.15">
      <c r="A28" s="12">
        <v>984</v>
      </c>
      <c r="B28" s="138" t="str">
        <f>VLOOKUP(A28,[1]characters!$A:$C,3,FALSE)</f>
        <v>破壁の剛弾 鎧の巨人</v>
      </c>
      <c r="C28" s="106" t="s">
        <v>189</v>
      </c>
      <c r="D28" s="138"/>
      <c r="E28" s="138" t="str">
        <f>A28&amp;+(COUNTIF(A$2:A28,A28)-1)</f>
        <v>9840</v>
      </c>
      <c r="F28" s="106" t="s">
        <v>368</v>
      </c>
      <c r="G28" s="207" t="s">
        <v>367</v>
      </c>
      <c r="H28" s="208" t="s">
        <v>432</v>
      </c>
    </row>
    <row r="29" spans="1:8" x14ac:dyDescent="0.15">
      <c r="A29" s="12">
        <v>984</v>
      </c>
      <c r="B29" s="138" t="str">
        <f>VLOOKUP(A29,[1]characters!$A:$C,3,FALSE)</f>
        <v>破壁の剛弾 鎧の巨人</v>
      </c>
      <c r="C29" s="106" t="s">
        <v>369</v>
      </c>
      <c r="D29" s="138"/>
      <c r="E29" s="138" t="str">
        <f>A29&amp;+(COUNTIF(A$2:A29,A29)-1)</f>
        <v>9841</v>
      </c>
      <c r="F29" s="106" t="s">
        <v>370</v>
      </c>
      <c r="G29" s="207" t="s">
        <v>367</v>
      </c>
      <c r="H29" s="209" t="s">
        <v>433</v>
      </c>
    </row>
    <row r="30" spans="1:8" x14ac:dyDescent="0.15">
      <c r="A30" s="12">
        <v>984</v>
      </c>
      <c r="B30" s="138" t="str">
        <f>VLOOKUP(A30,[1]characters!$A:$C,3,FALSE)</f>
        <v>破壁の剛弾 鎧の巨人</v>
      </c>
      <c r="C30" s="106" t="s">
        <v>371</v>
      </c>
      <c r="D30" s="138"/>
      <c r="E30" s="138" t="str">
        <f>A30&amp;+(COUNTIF(A$2:A30,A30)-1)</f>
        <v>9842</v>
      </c>
      <c r="F30" s="106" t="s">
        <v>364</v>
      </c>
      <c r="G30" s="207" t="s">
        <v>367</v>
      </c>
      <c r="H30" s="209" t="s">
        <v>391</v>
      </c>
    </row>
    <row r="31" spans="1:8" x14ac:dyDescent="0.15">
      <c r="A31" s="12">
        <v>984</v>
      </c>
      <c r="B31" s="138" t="str">
        <f>VLOOKUP(A31,[1]characters!$A:$C,3,FALSE)</f>
        <v>破壁の剛弾 鎧の巨人</v>
      </c>
      <c r="C31" s="106" t="s">
        <v>191</v>
      </c>
      <c r="D31" s="138"/>
      <c r="E31" s="138" t="str">
        <f>A31&amp;+(COUNTIF(A$2:A31,A31)-1)</f>
        <v>9843</v>
      </c>
      <c r="F31" s="106" t="s">
        <v>370</v>
      </c>
      <c r="G31" s="207" t="s">
        <v>367</v>
      </c>
      <c r="H31" s="209" t="s">
        <v>387</v>
      </c>
    </row>
    <row r="32" spans="1:8" x14ac:dyDescent="0.15">
      <c r="A32" s="12">
        <v>985</v>
      </c>
      <c r="B32" s="138" t="str">
        <f>VLOOKUP(A32,[1]characters!$A:$C,3,FALSE)</f>
        <v>エレン</v>
      </c>
      <c r="C32" s="106" t="s">
        <v>189</v>
      </c>
      <c r="D32" s="138"/>
      <c r="E32" s="138" t="str">
        <f>A32&amp;+(COUNTIF(A$2:A32,A32)-1)</f>
        <v>9850</v>
      </c>
      <c r="F32" s="106" t="s">
        <v>365</v>
      </c>
      <c r="G32" s="207" t="s">
        <v>367</v>
      </c>
      <c r="H32" s="208" t="s">
        <v>392</v>
      </c>
    </row>
    <row r="33" spans="1:8" x14ac:dyDescent="0.15">
      <c r="A33" s="12">
        <v>985</v>
      </c>
      <c r="B33" s="138" t="str">
        <f>VLOOKUP(A33,[1]characters!$A:$C,3,FALSE)</f>
        <v>エレン</v>
      </c>
      <c r="C33" s="106" t="s">
        <v>366</v>
      </c>
      <c r="D33" s="138"/>
      <c r="E33" s="138" t="str">
        <f>A33&amp;+(COUNTIF(A$2:A33,A33)-1)</f>
        <v>9851</v>
      </c>
      <c r="F33" s="106" t="s">
        <v>364</v>
      </c>
      <c r="G33" s="207" t="s">
        <v>367</v>
      </c>
      <c r="H33" s="209" t="s">
        <v>393</v>
      </c>
    </row>
    <row r="34" spans="1:8" x14ac:dyDescent="0.15">
      <c r="A34" s="12">
        <v>985</v>
      </c>
      <c r="B34" s="138" t="str">
        <f>VLOOKUP(A34,[1]characters!$A:$C,3,FALSE)</f>
        <v>エレン</v>
      </c>
      <c r="C34" s="106" t="s">
        <v>366</v>
      </c>
      <c r="D34" s="138"/>
      <c r="E34" s="138" t="str">
        <f>A34&amp;+(COUNTIF(A$2:A34,A34)-1)</f>
        <v>9852</v>
      </c>
      <c r="F34" s="106" t="s">
        <v>364</v>
      </c>
      <c r="G34" s="207" t="s">
        <v>367</v>
      </c>
      <c r="H34" s="209" t="s">
        <v>394</v>
      </c>
    </row>
    <row r="35" spans="1:8" x14ac:dyDescent="0.15">
      <c r="A35" s="12">
        <v>985</v>
      </c>
      <c r="B35" s="138" t="str">
        <f>VLOOKUP(A35,[1]characters!$A:$C,3,FALSE)</f>
        <v>エレン</v>
      </c>
      <c r="C35" s="106" t="s">
        <v>366</v>
      </c>
      <c r="D35" s="138"/>
      <c r="E35" s="138" t="str">
        <f>A35&amp;+(COUNTIF(A$2:A35,A35)-1)</f>
        <v>9853</v>
      </c>
      <c r="F35" s="106" t="s">
        <v>364</v>
      </c>
      <c r="G35" s="207" t="s">
        <v>377</v>
      </c>
      <c r="H35" s="209" t="s">
        <v>395</v>
      </c>
    </row>
    <row r="36" spans="1:8" x14ac:dyDescent="0.15">
      <c r="A36" s="12">
        <v>986</v>
      </c>
      <c r="B36" s="138" t="str">
        <f>VLOOKUP(A36,[1]characters!$A:$C,3,FALSE)</f>
        <v>復讐の誓約 エレン</v>
      </c>
      <c r="C36" s="106" t="s">
        <v>189</v>
      </c>
      <c r="D36" s="138"/>
      <c r="E36" s="138" t="str">
        <f>A36&amp;+(COUNTIF(A$2:A36,A36)-1)</f>
        <v>9860</v>
      </c>
      <c r="F36" s="106" t="s">
        <v>368</v>
      </c>
      <c r="G36" s="207" t="s">
        <v>367</v>
      </c>
      <c r="H36" s="208" t="s">
        <v>397</v>
      </c>
    </row>
    <row r="37" spans="1:8" x14ac:dyDescent="0.15">
      <c r="A37" s="12">
        <v>986</v>
      </c>
      <c r="B37" s="138" t="str">
        <f>VLOOKUP(A37,[1]characters!$A:$C,3,FALSE)</f>
        <v>復讐の誓約 エレン</v>
      </c>
      <c r="C37" s="106" t="s">
        <v>369</v>
      </c>
      <c r="D37" s="138"/>
      <c r="E37" s="138" t="str">
        <f>A37&amp;+(COUNTIF(A$2:A37,A37)-1)</f>
        <v>9861</v>
      </c>
      <c r="F37" s="106" t="s">
        <v>370</v>
      </c>
      <c r="G37" s="207" t="s">
        <v>367</v>
      </c>
      <c r="H37" s="209" t="s">
        <v>396</v>
      </c>
    </row>
    <row r="38" spans="1:8" x14ac:dyDescent="0.15">
      <c r="A38" s="12">
        <v>986</v>
      </c>
      <c r="B38" s="138" t="str">
        <f>VLOOKUP(A38,[1]characters!$A:$C,3,FALSE)</f>
        <v>復讐の誓約 エレン</v>
      </c>
      <c r="C38" s="106" t="s">
        <v>371</v>
      </c>
      <c r="D38" s="138"/>
      <c r="E38" s="138" t="str">
        <f>A38&amp;+(COUNTIF(A$2:A38,A38)-1)</f>
        <v>9862</v>
      </c>
      <c r="F38" s="106" t="s">
        <v>364</v>
      </c>
      <c r="G38" s="207" t="s">
        <v>367</v>
      </c>
      <c r="H38" s="209" t="s">
        <v>393</v>
      </c>
    </row>
    <row r="39" spans="1:8" x14ac:dyDescent="0.15">
      <c r="A39" s="12">
        <v>986</v>
      </c>
      <c r="B39" s="138" t="str">
        <f>VLOOKUP(A39,[1]characters!$A:$C,3,FALSE)</f>
        <v>復讐の誓約 エレン</v>
      </c>
      <c r="C39" s="106" t="s">
        <v>191</v>
      </c>
      <c r="D39" s="138"/>
      <c r="E39" s="138" t="str">
        <f>A39&amp;+(COUNTIF(A$2:A39,A39)-1)</f>
        <v>9863</v>
      </c>
      <c r="F39" s="106" t="s">
        <v>370</v>
      </c>
      <c r="G39" s="207" t="s">
        <v>367</v>
      </c>
      <c r="H39" s="209" t="s">
        <v>394</v>
      </c>
    </row>
    <row r="40" spans="1:8" x14ac:dyDescent="0.15">
      <c r="A40" s="12">
        <v>986</v>
      </c>
      <c r="B40" s="138" t="str">
        <f>VLOOKUP(A40,[1]characters!$A:$C,3,FALSE)</f>
        <v>復讐の誓約 エレン</v>
      </c>
      <c r="C40" s="106" t="s">
        <v>191</v>
      </c>
      <c r="D40" s="138"/>
      <c r="E40" s="138" t="str">
        <f>A40&amp;+(COUNTIF(A$2:A40,A40)-1)</f>
        <v>9864</v>
      </c>
      <c r="F40" s="106" t="s">
        <v>370</v>
      </c>
      <c r="G40" s="207" t="s">
        <v>377</v>
      </c>
      <c r="H40" s="209" t="s">
        <v>395</v>
      </c>
    </row>
    <row r="41" spans="1:8" x14ac:dyDescent="0.15">
      <c r="A41" s="12">
        <v>987</v>
      </c>
      <c r="B41" s="138" t="str">
        <f>VLOOKUP(A41,[1]characters!$A:$C,3,FALSE)</f>
        <v>撃壊の眼煌 エレン巨人</v>
      </c>
      <c r="C41" s="106" t="s">
        <v>189</v>
      </c>
      <c r="D41" s="138"/>
      <c r="E41" s="138" t="str">
        <f>A41&amp;+(COUNTIF(A$2:A41,A41)-1)</f>
        <v>9870</v>
      </c>
      <c r="F41" s="106" t="s">
        <v>368</v>
      </c>
      <c r="G41" s="207" t="s">
        <v>367</v>
      </c>
      <c r="H41" s="208" t="s">
        <v>398</v>
      </c>
    </row>
    <row r="42" spans="1:8" x14ac:dyDescent="0.15">
      <c r="A42" s="12">
        <v>987</v>
      </c>
      <c r="B42" s="138" t="str">
        <f>VLOOKUP(A42,[1]characters!$A:$C,3,FALSE)</f>
        <v>撃壊の眼煌 エレン巨人</v>
      </c>
      <c r="C42" s="106" t="s">
        <v>369</v>
      </c>
      <c r="D42" s="138"/>
      <c r="E42" s="138" t="str">
        <f>A42&amp;+(COUNTIF(A$2:A42,A42)-1)</f>
        <v>9871</v>
      </c>
      <c r="F42" s="106" t="s">
        <v>370</v>
      </c>
      <c r="G42" s="207" t="s">
        <v>367</v>
      </c>
      <c r="H42" s="209" t="s">
        <v>399</v>
      </c>
    </row>
    <row r="43" spans="1:8" x14ac:dyDescent="0.15">
      <c r="A43" s="12">
        <v>987</v>
      </c>
      <c r="B43" s="138" t="str">
        <f>VLOOKUP(A43,[1]characters!$A:$C,3,FALSE)</f>
        <v>撃壊の眼煌 エレン巨人</v>
      </c>
      <c r="C43" s="106" t="s">
        <v>371</v>
      </c>
      <c r="D43" s="138"/>
      <c r="E43" s="138" t="str">
        <f>A43&amp;+(COUNTIF(A$2:A43,A43)-1)</f>
        <v>9872</v>
      </c>
      <c r="F43" s="106" t="s">
        <v>364</v>
      </c>
      <c r="G43" s="207" t="s">
        <v>367</v>
      </c>
      <c r="H43" s="209" t="s">
        <v>400</v>
      </c>
    </row>
    <row r="44" spans="1:8" x14ac:dyDescent="0.15">
      <c r="A44" s="12">
        <v>987</v>
      </c>
      <c r="B44" s="138" t="str">
        <f>VLOOKUP(A44,[1]characters!$A:$C,3,FALSE)</f>
        <v>撃壊の眼煌 エレン巨人</v>
      </c>
      <c r="C44" s="106" t="s">
        <v>191</v>
      </c>
      <c r="D44" s="138"/>
      <c r="E44" s="138" t="str">
        <f>A44&amp;+(COUNTIF(A$2:A44,A44)-1)</f>
        <v>9873</v>
      </c>
      <c r="F44" s="106" t="s">
        <v>370</v>
      </c>
      <c r="G44" s="207" t="s">
        <v>367</v>
      </c>
      <c r="H44" s="209" t="s">
        <v>401</v>
      </c>
    </row>
    <row r="45" spans="1:8" x14ac:dyDescent="0.15">
      <c r="A45" s="12">
        <v>987</v>
      </c>
      <c r="B45" s="138" t="str">
        <f>VLOOKUP(A45,[1]characters!$A:$C,3,FALSE)</f>
        <v>撃壊の眼煌 エレン巨人</v>
      </c>
      <c r="C45" s="106" t="s">
        <v>191</v>
      </c>
      <c r="D45" s="138"/>
      <c r="E45" s="138" t="str">
        <f>A45&amp;+(COUNTIF(A$2:A45,A45)-1)</f>
        <v>9874</v>
      </c>
      <c r="F45" s="106" t="s">
        <v>370</v>
      </c>
      <c r="G45" s="207" t="s">
        <v>382</v>
      </c>
      <c r="H45" s="209" t="s">
        <v>406</v>
      </c>
    </row>
    <row r="46" spans="1:8" x14ac:dyDescent="0.15">
      <c r="A46" s="12">
        <v>988</v>
      </c>
      <c r="B46" s="138" t="str">
        <f>VLOOKUP(A46,[1]characters!$A:$C,3,FALSE)</f>
        <v>ミカサ</v>
      </c>
      <c r="C46" s="106" t="s">
        <v>189</v>
      </c>
      <c r="D46" s="138"/>
      <c r="E46" s="138" t="str">
        <f>A46&amp;+(COUNTIF(A$2:A46,A46)-1)</f>
        <v>9880</v>
      </c>
      <c r="F46" s="106" t="s">
        <v>190</v>
      </c>
      <c r="G46" s="207" t="s">
        <v>439</v>
      </c>
      <c r="H46" s="208" t="s">
        <v>434</v>
      </c>
    </row>
    <row r="47" spans="1:8" x14ac:dyDescent="0.15">
      <c r="A47" s="12">
        <v>988</v>
      </c>
      <c r="B47" s="138" t="str">
        <f>VLOOKUP(A47,[1]characters!$A:$C,3,FALSE)</f>
        <v>ミカサ</v>
      </c>
      <c r="C47" s="106" t="s">
        <v>366</v>
      </c>
      <c r="D47" s="138"/>
      <c r="E47" s="138" t="str">
        <f>A47&amp;+(COUNTIF(A$2:A47,A47)-1)</f>
        <v>9881</v>
      </c>
      <c r="F47" s="106" t="s">
        <v>190</v>
      </c>
      <c r="G47" s="207" t="s">
        <v>439</v>
      </c>
      <c r="H47" s="209" t="s">
        <v>437</v>
      </c>
    </row>
    <row r="48" spans="1:8" x14ac:dyDescent="0.15">
      <c r="A48" s="12">
        <v>988</v>
      </c>
      <c r="B48" s="138" t="str">
        <f>VLOOKUP(A48,[1]characters!$A:$C,3,FALSE)</f>
        <v>ミカサ</v>
      </c>
      <c r="C48" s="106" t="s">
        <v>366</v>
      </c>
      <c r="D48" s="138"/>
      <c r="E48" s="138" t="str">
        <f>A48&amp;+(COUNTIF(A$2:A48,A48)-1)</f>
        <v>9882</v>
      </c>
      <c r="F48" s="106" t="s">
        <v>190</v>
      </c>
      <c r="G48" s="207" t="s">
        <v>439</v>
      </c>
      <c r="H48" s="209" t="s">
        <v>436</v>
      </c>
    </row>
    <row r="49" spans="1:8" x14ac:dyDescent="0.15">
      <c r="A49" s="12">
        <v>988</v>
      </c>
      <c r="B49" s="138" t="str">
        <f>VLOOKUP(A49,[1]characters!$A:$C,3,FALSE)</f>
        <v>ミカサ</v>
      </c>
      <c r="C49" s="106" t="s">
        <v>366</v>
      </c>
      <c r="D49" s="138"/>
      <c r="E49" s="138" t="str">
        <f>A49&amp;+(COUNTIF(A$2:A49,A49)-1)</f>
        <v>9883</v>
      </c>
      <c r="F49" s="106" t="s">
        <v>190</v>
      </c>
      <c r="G49" s="207" t="s">
        <v>367</v>
      </c>
      <c r="H49" s="209" t="s">
        <v>438</v>
      </c>
    </row>
    <row r="50" spans="1:8" x14ac:dyDescent="0.15">
      <c r="A50" s="12">
        <v>989</v>
      </c>
      <c r="B50" s="138" t="str">
        <f>VLOOKUP(A50,[1]characters!$A:$C,3,FALSE)</f>
        <v>稀代の逸材 ミカサ</v>
      </c>
      <c r="C50" s="106" t="s">
        <v>189</v>
      </c>
      <c r="D50" s="138"/>
      <c r="E50" s="138" t="str">
        <f>A50&amp;+(COUNTIF(A$2:A50,A50)-1)</f>
        <v>9890</v>
      </c>
      <c r="F50" s="106" t="s">
        <v>190</v>
      </c>
      <c r="G50" s="207" t="s">
        <v>367</v>
      </c>
      <c r="H50" s="208" t="s">
        <v>435</v>
      </c>
    </row>
    <row r="51" spans="1:8" x14ac:dyDescent="0.15">
      <c r="A51" s="12">
        <v>989</v>
      </c>
      <c r="B51" s="138" t="str">
        <f>VLOOKUP(A51,[1]characters!$A:$C,3,FALSE)</f>
        <v>稀代の逸材 ミカサ</v>
      </c>
      <c r="C51" s="106" t="s">
        <v>366</v>
      </c>
      <c r="D51" s="138"/>
      <c r="E51" s="138" t="str">
        <f>A51&amp;+(COUNTIF(A$2:A51,A51)-1)</f>
        <v>9891</v>
      </c>
      <c r="F51" s="106" t="s">
        <v>190</v>
      </c>
      <c r="G51" s="207" t="s">
        <v>367</v>
      </c>
      <c r="H51" s="209" t="s">
        <v>440</v>
      </c>
    </row>
    <row r="52" spans="1:8" x14ac:dyDescent="0.15">
      <c r="A52" s="12">
        <v>989</v>
      </c>
      <c r="B52" s="138" t="str">
        <f>VLOOKUP(A52,[1]characters!$A:$C,3,FALSE)</f>
        <v>稀代の逸材 ミカサ</v>
      </c>
      <c r="C52" s="106" t="s">
        <v>366</v>
      </c>
      <c r="D52" s="138"/>
      <c r="E52" s="138" t="str">
        <f>A52&amp;+(COUNTIF(A$2:A52,A52)-1)</f>
        <v>9892</v>
      </c>
      <c r="F52" s="106" t="s">
        <v>190</v>
      </c>
      <c r="G52" s="207" t="s">
        <v>439</v>
      </c>
      <c r="H52" s="209" t="s">
        <v>437</v>
      </c>
    </row>
    <row r="53" spans="1:8" x14ac:dyDescent="0.15">
      <c r="A53" s="12">
        <v>989</v>
      </c>
      <c r="B53" s="138" t="str">
        <f>VLOOKUP(A53,[1]characters!$A:$C,3,FALSE)</f>
        <v>稀代の逸材 ミカサ</v>
      </c>
      <c r="C53" s="106" t="s">
        <v>191</v>
      </c>
      <c r="D53" s="138"/>
      <c r="E53" s="138" t="str">
        <f>A53&amp;+(COUNTIF(A$2:A53,A53)-1)</f>
        <v>9893</v>
      </c>
      <c r="F53" s="106" t="s">
        <v>190</v>
      </c>
      <c r="G53" s="207" t="s">
        <v>439</v>
      </c>
      <c r="H53" s="209" t="s">
        <v>436</v>
      </c>
    </row>
    <row r="54" spans="1:8" x14ac:dyDescent="0.15">
      <c r="A54" s="12">
        <v>989</v>
      </c>
      <c r="B54" s="138" t="str">
        <f>VLOOKUP(A54,[1]characters!$A:$C,3,FALSE)</f>
        <v>稀代の逸材 ミカサ</v>
      </c>
      <c r="C54" s="106" t="s">
        <v>191</v>
      </c>
      <c r="D54" s="138"/>
      <c r="E54" s="138" t="str">
        <f>A54&amp;+(COUNTIF(A$2:A54,A54)-1)</f>
        <v>9894</v>
      </c>
      <c r="F54" s="106" t="s">
        <v>190</v>
      </c>
      <c r="G54" s="207" t="s">
        <v>367</v>
      </c>
      <c r="H54" s="209" t="s">
        <v>438</v>
      </c>
    </row>
    <row r="55" spans="1:8" x14ac:dyDescent="0.15">
      <c r="A55" s="12">
        <v>990</v>
      </c>
      <c r="B55" s="138" t="str">
        <f>VLOOKUP(A55,[1]characters!$A:$C,3,FALSE)</f>
        <v>エルヴィン</v>
      </c>
      <c r="C55" s="106" t="s">
        <v>189</v>
      </c>
      <c r="D55" s="138"/>
      <c r="E55" s="138" t="str">
        <f>A55&amp;+(COUNTIF(A$2:A55,A55)-1)</f>
        <v>9900</v>
      </c>
      <c r="F55" s="106" t="s">
        <v>365</v>
      </c>
      <c r="G55" s="207" t="s">
        <v>367</v>
      </c>
      <c r="H55" s="208" t="s">
        <v>402</v>
      </c>
    </row>
    <row r="56" spans="1:8" x14ac:dyDescent="0.15">
      <c r="A56" s="12">
        <v>990</v>
      </c>
      <c r="B56" s="138" t="str">
        <f>VLOOKUP(A56,[1]characters!$A:$C,3,FALSE)</f>
        <v>エルヴィン</v>
      </c>
      <c r="C56" s="106" t="s">
        <v>366</v>
      </c>
      <c r="D56" s="138"/>
      <c r="E56" s="138" t="str">
        <f>A56&amp;+(COUNTIF(A$2:A56,A56)-1)</f>
        <v>9901</v>
      </c>
      <c r="F56" s="106" t="s">
        <v>364</v>
      </c>
      <c r="G56" s="207" t="s">
        <v>367</v>
      </c>
      <c r="H56" s="209" t="s">
        <v>404</v>
      </c>
    </row>
    <row r="57" spans="1:8" x14ac:dyDescent="0.15">
      <c r="A57" s="12">
        <v>991</v>
      </c>
      <c r="B57" s="138" t="str">
        <f>VLOOKUP(A57,[1]characters!$A:$C,3,FALSE)</f>
        <v>反撃の核心 エルヴィン</v>
      </c>
      <c r="C57" s="106" t="s">
        <v>189</v>
      </c>
      <c r="D57" s="138"/>
      <c r="E57" s="138" t="str">
        <f>A57&amp;+(COUNTIF(A$2:A57,A57)-1)</f>
        <v>9910</v>
      </c>
      <c r="F57" s="106" t="s">
        <v>368</v>
      </c>
      <c r="G57" s="207" t="s">
        <v>367</v>
      </c>
      <c r="H57" s="208" t="s">
        <v>403</v>
      </c>
    </row>
    <row r="58" spans="1:8" x14ac:dyDescent="0.15">
      <c r="A58" s="12">
        <v>991</v>
      </c>
      <c r="B58" s="138" t="str">
        <f>VLOOKUP(A58,[1]characters!$A:$C,3,FALSE)</f>
        <v>反撃の核心 エルヴィン</v>
      </c>
      <c r="C58" s="106" t="s">
        <v>369</v>
      </c>
      <c r="D58" s="138"/>
      <c r="E58" s="138" t="str">
        <f>A58&amp;+(COUNTIF(A$2:A58,A58)-1)</f>
        <v>9911</v>
      </c>
      <c r="F58" s="106" t="s">
        <v>370</v>
      </c>
      <c r="G58" s="207" t="s">
        <v>367</v>
      </c>
      <c r="H58" s="209" t="s">
        <v>405</v>
      </c>
    </row>
    <row r="59" spans="1:8" x14ac:dyDescent="0.15">
      <c r="A59" s="12">
        <v>991</v>
      </c>
      <c r="B59" s="138" t="str">
        <f>VLOOKUP(A59,[1]characters!$A:$C,3,FALSE)</f>
        <v>反撃の核心 エルヴィン</v>
      </c>
      <c r="C59" s="106" t="s">
        <v>371</v>
      </c>
      <c r="D59" s="138"/>
      <c r="E59" s="138" t="str">
        <f>A59&amp;+(COUNTIF(A$2:A59,A59)-1)</f>
        <v>9912</v>
      </c>
      <c r="F59" s="106" t="s">
        <v>364</v>
      </c>
      <c r="G59" s="207" t="s">
        <v>367</v>
      </c>
      <c r="H59" s="209" t="s">
        <v>404</v>
      </c>
    </row>
    <row r="60" spans="1:8" x14ac:dyDescent="0.15">
      <c r="A60" s="12">
        <v>992</v>
      </c>
      <c r="B60" s="138" t="str">
        <f>VLOOKUP(A60,[1]characters!$A:$C,3,FALSE)</f>
        <v>ハンジ</v>
      </c>
      <c r="C60" s="106" t="s">
        <v>189</v>
      </c>
      <c r="D60" s="138"/>
      <c r="E60" s="138" t="str">
        <f>A60&amp;+(COUNTIF(A$2:A60,A60)-1)</f>
        <v>9920</v>
      </c>
      <c r="F60" s="106" t="s">
        <v>365</v>
      </c>
      <c r="G60" s="207" t="s">
        <v>367</v>
      </c>
      <c r="H60" s="208" t="s">
        <v>407</v>
      </c>
    </row>
    <row r="61" spans="1:8" x14ac:dyDescent="0.15">
      <c r="A61" s="12">
        <v>992</v>
      </c>
      <c r="B61" s="138" t="str">
        <f>VLOOKUP(A61,[1]characters!$A:$C,3,FALSE)</f>
        <v>ハンジ</v>
      </c>
      <c r="C61" s="106" t="s">
        <v>366</v>
      </c>
      <c r="D61" s="138"/>
      <c r="E61" s="138" t="str">
        <f>A61&amp;+(COUNTIF(A$2:A61,A61)-1)</f>
        <v>9921</v>
      </c>
      <c r="F61" s="106" t="s">
        <v>364</v>
      </c>
      <c r="G61" s="207" t="s">
        <v>367</v>
      </c>
      <c r="H61" s="209" t="s">
        <v>408</v>
      </c>
    </row>
    <row r="62" spans="1:8" x14ac:dyDescent="0.15">
      <c r="A62" s="12">
        <v>992</v>
      </c>
      <c r="B62" s="138" t="str">
        <f>VLOOKUP(A62,[1]characters!$A:$C,3,FALSE)</f>
        <v>ハンジ</v>
      </c>
      <c r="C62" s="106" t="s">
        <v>366</v>
      </c>
      <c r="D62" s="138"/>
      <c r="E62" s="138" t="str">
        <f>A62&amp;+(COUNTIF(A$2:A62,A62)-1)</f>
        <v>9922</v>
      </c>
      <c r="F62" s="106" t="s">
        <v>364</v>
      </c>
      <c r="G62" s="207" t="s">
        <v>377</v>
      </c>
      <c r="H62" s="209" t="s">
        <v>409</v>
      </c>
    </row>
    <row r="63" spans="1:8" x14ac:dyDescent="0.15">
      <c r="A63" s="12">
        <v>993</v>
      </c>
      <c r="B63" s="138" t="str">
        <f>VLOOKUP(A63,[1]characters!$A:$C,3,FALSE)</f>
        <v>巨躯への執着 ハンジ</v>
      </c>
      <c r="C63" s="106" t="s">
        <v>189</v>
      </c>
      <c r="D63" s="138"/>
      <c r="E63" s="138" t="str">
        <f>A63&amp;+(COUNTIF(A$2:A63,A63)-1)</f>
        <v>9930</v>
      </c>
      <c r="F63" s="106" t="s">
        <v>368</v>
      </c>
      <c r="G63" s="207" t="s">
        <v>377</v>
      </c>
      <c r="H63" s="208" t="s">
        <v>410</v>
      </c>
    </row>
    <row r="64" spans="1:8" x14ac:dyDescent="0.15">
      <c r="A64" s="12">
        <v>993</v>
      </c>
      <c r="B64" s="138" t="str">
        <f>VLOOKUP(A64,[1]characters!$A:$C,3,FALSE)</f>
        <v>巨躯への執着 ハンジ</v>
      </c>
      <c r="C64" s="106" t="s">
        <v>369</v>
      </c>
      <c r="D64" s="138"/>
      <c r="E64" s="138" t="str">
        <f>A64&amp;+(COUNTIF(A$2:A64,A64)-1)</f>
        <v>9931</v>
      </c>
      <c r="F64" s="106" t="s">
        <v>370</v>
      </c>
      <c r="G64" s="207" t="s">
        <v>377</v>
      </c>
      <c r="H64" s="209" t="s">
        <v>411</v>
      </c>
    </row>
    <row r="65" spans="1:8" x14ac:dyDescent="0.15">
      <c r="A65" s="12">
        <v>993</v>
      </c>
      <c r="B65" s="138" t="str">
        <f>VLOOKUP(A65,[1]characters!$A:$C,3,FALSE)</f>
        <v>巨躯への執着 ハンジ</v>
      </c>
      <c r="C65" s="106" t="s">
        <v>371</v>
      </c>
      <c r="D65" s="138"/>
      <c r="E65" s="138" t="str">
        <f>A65&amp;+(COUNTIF(A$2:A65,A65)-1)</f>
        <v>9932</v>
      </c>
      <c r="F65" s="106" t="s">
        <v>364</v>
      </c>
      <c r="G65" s="207" t="s">
        <v>377</v>
      </c>
      <c r="H65" s="209" t="s">
        <v>409</v>
      </c>
    </row>
    <row r="66" spans="1:8" x14ac:dyDescent="0.15">
      <c r="A66" s="12">
        <v>993</v>
      </c>
      <c r="B66" s="138" t="str">
        <f>VLOOKUP(A66,[1]characters!$A:$C,3,FALSE)</f>
        <v>巨躯への執着 ハンジ</v>
      </c>
      <c r="C66" s="106" t="s">
        <v>191</v>
      </c>
      <c r="D66" s="138"/>
      <c r="E66" s="138" t="str">
        <f>A66&amp;+(COUNTIF(A$2:A66,A66)-1)</f>
        <v>9933</v>
      </c>
      <c r="F66" s="106" t="s">
        <v>370</v>
      </c>
      <c r="G66" s="207" t="s">
        <v>367</v>
      </c>
      <c r="H66" s="209" t="s">
        <v>408</v>
      </c>
    </row>
    <row r="67" spans="1:8" x14ac:dyDescent="0.15">
      <c r="A67" s="12">
        <v>994</v>
      </c>
      <c r="B67" s="138" t="str">
        <f>VLOOKUP(A67,[1]characters!$A:$C,3,FALSE)</f>
        <v>アルミン</v>
      </c>
      <c r="C67" s="106" t="s">
        <v>189</v>
      </c>
      <c r="D67" s="138"/>
      <c r="E67" s="138" t="str">
        <f>A67&amp;+(COUNTIF(A$2:A67,A67)-1)</f>
        <v>9940</v>
      </c>
      <c r="F67" s="106" t="s">
        <v>365</v>
      </c>
      <c r="G67" s="207" t="s">
        <v>367</v>
      </c>
      <c r="H67" s="208" t="s">
        <v>412</v>
      </c>
    </row>
    <row r="68" spans="1:8" x14ac:dyDescent="0.15">
      <c r="A68" s="12">
        <v>994</v>
      </c>
      <c r="B68" s="138" t="str">
        <f>VLOOKUP(A68,[1]characters!$A:$C,3,FALSE)</f>
        <v>アルミン</v>
      </c>
      <c r="C68" s="106" t="s">
        <v>366</v>
      </c>
      <c r="D68" s="138"/>
      <c r="E68" s="138" t="str">
        <f>A68&amp;+(COUNTIF(A$2:A68,A68)-1)</f>
        <v>9941</v>
      </c>
      <c r="F68" s="106" t="s">
        <v>364</v>
      </c>
      <c r="G68" s="207" t="s">
        <v>377</v>
      </c>
      <c r="H68" s="209" t="s">
        <v>414</v>
      </c>
    </row>
    <row r="69" spans="1:8" x14ac:dyDescent="0.15">
      <c r="A69" s="12">
        <v>994</v>
      </c>
      <c r="B69" s="138" t="str">
        <f>VLOOKUP(A69,[1]characters!$A:$C,3,FALSE)</f>
        <v>アルミン</v>
      </c>
      <c r="C69" s="106" t="s">
        <v>366</v>
      </c>
      <c r="D69" s="138"/>
      <c r="E69" s="138" t="str">
        <f>A69&amp;+(COUNTIF(A$2:A69,A69)-1)</f>
        <v>9942</v>
      </c>
      <c r="F69" s="106" t="s">
        <v>364</v>
      </c>
      <c r="G69" s="207" t="s">
        <v>377</v>
      </c>
      <c r="H69" s="209" t="s">
        <v>413</v>
      </c>
    </row>
    <row r="70" spans="1:8" x14ac:dyDescent="0.15">
      <c r="A70" s="12">
        <v>995</v>
      </c>
      <c r="B70" s="138" t="str">
        <f>VLOOKUP(A70,[1]characters!$A:$C,3,FALSE)</f>
        <v>疾駆する閃略 アルミン</v>
      </c>
      <c r="C70" s="106" t="s">
        <v>189</v>
      </c>
      <c r="D70" s="138"/>
      <c r="E70" s="138" t="str">
        <f>A70&amp;+(COUNTIF(A$2:A70,A70)-1)</f>
        <v>9950</v>
      </c>
      <c r="F70" s="106" t="s">
        <v>368</v>
      </c>
      <c r="G70" s="207" t="s">
        <v>367</v>
      </c>
      <c r="H70" s="208" t="s">
        <v>416</v>
      </c>
    </row>
    <row r="71" spans="1:8" x14ac:dyDescent="0.15">
      <c r="A71" s="12">
        <v>995</v>
      </c>
      <c r="B71" s="138" t="str">
        <f>VLOOKUP(A71,[1]characters!$A:$C,3,FALSE)</f>
        <v>疾駆する閃略 アルミン</v>
      </c>
      <c r="C71" s="106" t="s">
        <v>369</v>
      </c>
      <c r="D71" s="138"/>
      <c r="E71" s="138" t="str">
        <f>A71&amp;+(COUNTIF(A$2:A71,A71)-1)</f>
        <v>9951</v>
      </c>
      <c r="F71" s="106" t="s">
        <v>370</v>
      </c>
      <c r="G71" s="207" t="s">
        <v>367</v>
      </c>
      <c r="H71" s="209" t="s">
        <v>415</v>
      </c>
    </row>
    <row r="72" spans="1:8" x14ac:dyDescent="0.15">
      <c r="A72" s="12">
        <v>995</v>
      </c>
      <c r="B72" s="138" t="str">
        <f>VLOOKUP(A72,[1]characters!$A:$C,3,FALSE)</f>
        <v>疾駆する閃略 アルミン</v>
      </c>
      <c r="C72" s="106" t="s">
        <v>371</v>
      </c>
      <c r="D72" s="138"/>
      <c r="E72" s="138" t="str">
        <f>A72&amp;+(COUNTIF(A$2:A72,A72)-1)</f>
        <v>9952</v>
      </c>
      <c r="F72" s="106" t="s">
        <v>364</v>
      </c>
      <c r="G72" s="207" t="s">
        <v>377</v>
      </c>
      <c r="H72" s="209" t="s">
        <v>414</v>
      </c>
    </row>
    <row r="73" spans="1:8" x14ac:dyDescent="0.15">
      <c r="A73" s="12">
        <v>995</v>
      </c>
      <c r="B73" s="138" t="str">
        <f>VLOOKUP(A73,[1]characters!$A:$C,3,FALSE)</f>
        <v>疾駆する閃略 アルミン</v>
      </c>
      <c r="C73" s="106" t="s">
        <v>191</v>
      </c>
      <c r="D73" s="138"/>
      <c r="E73" s="138" t="str">
        <f>A73&amp;+(COUNTIF(A$2:A73,A73)-1)</f>
        <v>9953</v>
      </c>
      <c r="F73" s="106" t="s">
        <v>370</v>
      </c>
      <c r="G73" s="207" t="s">
        <v>377</v>
      </c>
      <c r="H73" s="209" t="s">
        <v>413</v>
      </c>
    </row>
    <row r="74" spans="1:8" x14ac:dyDescent="0.15">
      <c r="A74" s="12">
        <v>996</v>
      </c>
      <c r="B74" s="138" t="str">
        <f>VLOOKUP(A74,[1]characters!$A:$C,3,FALSE)</f>
        <v>リヴァイ</v>
      </c>
      <c r="C74" s="106" t="s">
        <v>189</v>
      </c>
      <c r="D74" s="138"/>
      <c r="E74" s="138" t="str">
        <f>A74&amp;+(COUNTIF(A$2:A74,A74)-1)</f>
        <v>9960</v>
      </c>
      <c r="F74" s="106" t="s">
        <v>365</v>
      </c>
      <c r="G74" s="207" t="s">
        <v>377</v>
      </c>
      <c r="H74" s="208" t="s">
        <v>417</v>
      </c>
    </row>
    <row r="75" spans="1:8" x14ac:dyDescent="0.15">
      <c r="A75" s="12">
        <v>996</v>
      </c>
      <c r="B75" s="138" t="str">
        <f>VLOOKUP(A75,[1]characters!$A:$C,3,FALSE)</f>
        <v>リヴァイ</v>
      </c>
      <c r="C75" s="106" t="s">
        <v>366</v>
      </c>
      <c r="D75" s="138"/>
      <c r="E75" s="138" t="str">
        <f>A75&amp;+(COUNTIF(A$2:A75,A75)-1)</f>
        <v>9961</v>
      </c>
      <c r="F75" s="106" t="s">
        <v>364</v>
      </c>
      <c r="G75" s="207" t="s">
        <v>377</v>
      </c>
      <c r="H75" s="209" t="s">
        <v>418</v>
      </c>
    </row>
    <row r="76" spans="1:8" x14ac:dyDescent="0.15">
      <c r="A76" s="12">
        <v>996</v>
      </c>
      <c r="B76" s="138" t="str">
        <f>VLOOKUP(A76,[1]characters!$A:$C,3,FALSE)</f>
        <v>リヴァイ</v>
      </c>
      <c r="C76" s="106" t="s">
        <v>366</v>
      </c>
      <c r="D76" s="138"/>
      <c r="E76" s="138" t="str">
        <f>A76&amp;+(COUNTIF(A$2:A76,A76)-1)</f>
        <v>9962</v>
      </c>
      <c r="F76" s="106" t="s">
        <v>364</v>
      </c>
      <c r="G76" s="207" t="s">
        <v>367</v>
      </c>
      <c r="H76" s="209" t="s">
        <v>419</v>
      </c>
    </row>
    <row r="77" spans="1:8" x14ac:dyDescent="0.15">
      <c r="A77" s="12">
        <v>996</v>
      </c>
      <c r="B77" s="138" t="str">
        <f>VLOOKUP(A77,[1]characters!$A:$C,3,FALSE)</f>
        <v>リヴァイ</v>
      </c>
      <c r="C77" s="106" t="s">
        <v>366</v>
      </c>
      <c r="D77" s="138"/>
      <c r="E77" s="138" t="str">
        <f>A77&amp;+(COUNTIF(A$2:A77,A77)-1)</f>
        <v>9963</v>
      </c>
      <c r="F77" s="106" t="s">
        <v>364</v>
      </c>
      <c r="G77" s="207" t="s">
        <v>377</v>
      </c>
      <c r="H77" s="209" t="s">
        <v>420</v>
      </c>
    </row>
    <row r="78" spans="1:8" ht="28" x14ac:dyDescent="0.15">
      <c r="A78" s="12">
        <v>997</v>
      </c>
      <c r="B78" s="138" t="str">
        <f>VLOOKUP(A78,[1]characters!$A:$C,3,FALSE)</f>
        <v>人類最強 リヴァイ</v>
      </c>
      <c r="C78" s="106" t="s">
        <v>189</v>
      </c>
      <c r="D78" s="138"/>
      <c r="E78" s="138" t="str">
        <f>A78&amp;+(COUNTIF(A$2:A78,A78)-1)</f>
        <v>9970</v>
      </c>
      <c r="F78" s="106" t="s">
        <v>368</v>
      </c>
      <c r="G78" s="207" t="s">
        <v>367</v>
      </c>
      <c r="H78" s="208" t="s">
        <v>422</v>
      </c>
    </row>
    <row r="79" spans="1:8" x14ac:dyDescent="0.15">
      <c r="A79" s="12">
        <v>997</v>
      </c>
      <c r="B79" s="138" t="str">
        <f>VLOOKUP(A79,[1]characters!$A:$C,3,FALSE)</f>
        <v>人類最強 リヴァイ</v>
      </c>
      <c r="C79" s="106" t="s">
        <v>369</v>
      </c>
      <c r="D79" s="138"/>
      <c r="E79" s="138" t="str">
        <f>A79&amp;+(COUNTIF(A$2:A79,A79)-1)</f>
        <v>9971</v>
      </c>
      <c r="F79" s="106" t="s">
        <v>370</v>
      </c>
      <c r="G79" s="207" t="s">
        <v>377</v>
      </c>
      <c r="H79" s="209" t="s">
        <v>418</v>
      </c>
    </row>
    <row r="80" spans="1:8" x14ac:dyDescent="0.15">
      <c r="A80" s="12">
        <v>997</v>
      </c>
      <c r="B80" s="138" t="str">
        <f>VLOOKUP(A80,[1]characters!$A:$C,3,FALSE)</f>
        <v>人類最強 リヴァイ</v>
      </c>
      <c r="C80" s="106" t="s">
        <v>371</v>
      </c>
      <c r="D80" s="138"/>
      <c r="E80" s="138" t="str">
        <f>A80&amp;+(COUNTIF(A$2:A80,A80)-1)</f>
        <v>9972</v>
      </c>
      <c r="F80" s="106" t="s">
        <v>364</v>
      </c>
      <c r="G80" s="207" t="s">
        <v>367</v>
      </c>
      <c r="H80" s="209" t="s">
        <v>419</v>
      </c>
    </row>
    <row r="81" spans="1:8" x14ac:dyDescent="0.15">
      <c r="A81" s="12">
        <v>997</v>
      </c>
      <c r="B81" s="138" t="str">
        <f>VLOOKUP(A81,[1]characters!$A:$C,3,FALSE)</f>
        <v>人類最強 リヴァイ</v>
      </c>
      <c r="C81" s="106" t="s">
        <v>191</v>
      </c>
      <c r="D81" s="138"/>
      <c r="E81" s="138" t="str">
        <f>A81&amp;+(COUNTIF(A$2:A81,A81)-1)</f>
        <v>9973</v>
      </c>
      <c r="F81" s="106" t="s">
        <v>370</v>
      </c>
      <c r="G81" s="207" t="s">
        <v>377</v>
      </c>
      <c r="H81" s="209" t="s">
        <v>420</v>
      </c>
    </row>
    <row r="82" spans="1:8" x14ac:dyDescent="0.15">
      <c r="A82" s="12">
        <v>997</v>
      </c>
      <c r="B82" s="138" t="str">
        <f>VLOOKUP(A82,[1]characters!$A:$C,3,FALSE)</f>
        <v>人類最強 リヴァイ</v>
      </c>
      <c r="C82" s="106" t="s">
        <v>191</v>
      </c>
      <c r="D82" s="138"/>
      <c r="E82" s="138" t="str">
        <f>A82&amp;+(COUNTIF(A$2:A82,A82)-1)</f>
        <v>9974</v>
      </c>
      <c r="F82" s="106" t="s">
        <v>370</v>
      </c>
      <c r="G82" s="207" t="s">
        <v>377</v>
      </c>
      <c r="H82" s="209" t="s">
        <v>421</v>
      </c>
    </row>
    <row r="83" spans="1:8" x14ac:dyDescent="0.15">
      <c r="A83" s="12">
        <v>998</v>
      </c>
      <c r="B83" s="138" t="str">
        <f>VLOOKUP(A83,[1]characters!$A:$C,3,FALSE)</f>
        <v>サシャ</v>
      </c>
      <c r="C83" s="106" t="s">
        <v>189</v>
      </c>
      <c r="D83" s="138"/>
      <c r="E83" s="138" t="str">
        <f>A83&amp;+(COUNTIF(A$2:A83,A83)-1)</f>
        <v>9980</v>
      </c>
      <c r="F83" s="106" t="s">
        <v>365</v>
      </c>
      <c r="G83" s="207" t="s">
        <v>377</v>
      </c>
      <c r="H83" s="208" t="s">
        <v>423</v>
      </c>
    </row>
    <row r="84" spans="1:8" x14ac:dyDescent="0.15">
      <c r="A84" s="12">
        <v>998</v>
      </c>
      <c r="B84" s="138" t="str">
        <f>VLOOKUP(A84,[1]characters!$A:$C,3,FALSE)</f>
        <v>サシャ</v>
      </c>
      <c r="C84" s="106" t="s">
        <v>366</v>
      </c>
      <c r="D84" s="138"/>
      <c r="E84" s="138" t="str">
        <f>A84&amp;+(COUNTIF(A$2:A84,A84)-1)</f>
        <v>9981</v>
      </c>
      <c r="F84" s="106" t="s">
        <v>364</v>
      </c>
      <c r="G84" s="207" t="s">
        <v>382</v>
      </c>
      <c r="H84" s="209" t="s">
        <v>424</v>
      </c>
    </row>
    <row r="85" spans="1:8" x14ac:dyDescent="0.15">
      <c r="A85" s="12">
        <v>999</v>
      </c>
      <c r="B85" s="138" t="str">
        <f>VLOOKUP(A85,[1]characters!$A:$C,3,FALSE)</f>
        <v>無尽蔵の食猟 サシャ</v>
      </c>
      <c r="C85" s="106" t="s">
        <v>189</v>
      </c>
      <c r="D85" s="138"/>
      <c r="E85" s="138" t="str">
        <f>A85&amp;+(COUNTIF(A$2:A85,A85)-1)</f>
        <v>9990</v>
      </c>
      <c r="F85" s="106" t="s">
        <v>368</v>
      </c>
      <c r="G85" s="207" t="s">
        <v>367</v>
      </c>
      <c r="H85" s="208" t="s">
        <v>431</v>
      </c>
    </row>
    <row r="86" spans="1:8" x14ac:dyDescent="0.15">
      <c r="A86" s="12">
        <v>999</v>
      </c>
      <c r="B86" s="138" t="str">
        <f>VLOOKUP(A86,[1]characters!$A:$C,3,FALSE)</f>
        <v>無尽蔵の食猟 サシャ</v>
      </c>
      <c r="C86" s="106" t="s">
        <v>369</v>
      </c>
      <c r="D86" s="138"/>
      <c r="E86" s="138" t="str">
        <f>A86&amp;+(COUNTIF(A$2:A86,A86)-1)</f>
        <v>9991</v>
      </c>
      <c r="F86" s="106" t="s">
        <v>370</v>
      </c>
      <c r="G86" s="207" t="s">
        <v>367</v>
      </c>
      <c r="H86" s="209" t="s">
        <v>425</v>
      </c>
    </row>
    <row r="87" spans="1:8" x14ac:dyDescent="0.15">
      <c r="A87" s="12">
        <v>999</v>
      </c>
      <c r="B87" s="138" t="str">
        <f>VLOOKUP(A87,[1]characters!$A:$C,3,FALSE)</f>
        <v>無尽蔵の食猟 サシャ</v>
      </c>
      <c r="C87" s="106" t="s">
        <v>371</v>
      </c>
      <c r="D87" s="138"/>
      <c r="E87" s="138" t="str">
        <f>A87&amp;+(COUNTIF(A$2:A87,A87)-1)</f>
        <v>9992</v>
      </c>
      <c r="F87" s="106" t="s">
        <v>364</v>
      </c>
      <c r="G87" s="207" t="s">
        <v>382</v>
      </c>
      <c r="H87" s="209" t="s">
        <v>424</v>
      </c>
    </row>
    <row r="88" spans="1:8" x14ac:dyDescent="0.15">
      <c r="A88" s="12">
        <v>1000</v>
      </c>
      <c r="B88" s="138" t="str">
        <f>VLOOKUP(A88,[1]characters!$A:$C,3,FALSE)</f>
        <v>クリスタ</v>
      </c>
      <c r="C88" s="106" t="s">
        <v>189</v>
      </c>
      <c r="D88" s="138"/>
      <c r="E88" s="138" t="str">
        <f>A88&amp;+(COUNTIF(A$2:A88,A88)-1)</f>
        <v>10000</v>
      </c>
      <c r="F88" s="106" t="s">
        <v>365</v>
      </c>
      <c r="G88" s="207" t="s">
        <v>377</v>
      </c>
      <c r="H88" s="208" t="s">
        <v>426</v>
      </c>
    </row>
    <row r="89" spans="1:8" x14ac:dyDescent="0.15">
      <c r="A89" s="12">
        <v>1000</v>
      </c>
      <c r="B89" s="138" t="str">
        <f>VLOOKUP(A89,[1]characters!$A:$C,3,FALSE)</f>
        <v>クリスタ</v>
      </c>
      <c r="C89" s="106" t="s">
        <v>366</v>
      </c>
      <c r="D89" s="138"/>
      <c r="E89" s="138" t="str">
        <f>A89&amp;+(COUNTIF(A$2:A89,A89)-1)</f>
        <v>10001</v>
      </c>
      <c r="F89" s="106" t="s">
        <v>364</v>
      </c>
      <c r="G89" s="207" t="s">
        <v>382</v>
      </c>
      <c r="H89" s="209" t="s">
        <v>428</v>
      </c>
    </row>
    <row r="90" spans="1:8" ht="28" x14ac:dyDescent="0.15">
      <c r="A90" s="12">
        <v>1001</v>
      </c>
      <c r="B90" s="138" t="str">
        <f>VLOOKUP(A90,[1]characters!$A:$C,3,FALSE)</f>
        <v>細愛の女神 クリスタ</v>
      </c>
      <c r="C90" s="106" t="s">
        <v>189</v>
      </c>
      <c r="D90" s="138"/>
      <c r="E90" s="138" t="str">
        <f>A90&amp;+(COUNTIF(A$2:A90,A90)-1)</f>
        <v>10010</v>
      </c>
      <c r="F90" s="106" t="s">
        <v>368</v>
      </c>
      <c r="G90" s="207" t="s">
        <v>367</v>
      </c>
      <c r="H90" s="208" t="s">
        <v>427</v>
      </c>
    </row>
    <row r="91" spans="1:8" x14ac:dyDescent="0.15">
      <c r="A91" s="12">
        <v>1001</v>
      </c>
      <c r="B91" s="138" t="str">
        <f>VLOOKUP(A91,[1]characters!$A:$C,3,FALSE)</f>
        <v>細愛の女神 クリスタ</v>
      </c>
      <c r="C91" s="106" t="s">
        <v>369</v>
      </c>
      <c r="D91" s="138"/>
      <c r="E91" s="138" t="str">
        <f>A91&amp;+(COUNTIF(A$2:A91,A91)-1)</f>
        <v>10011</v>
      </c>
      <c r="F91" s="106" t="s">
        <v>370</v>
      </c>
      <c r="G91" s="207" t="s">
        <v>382</v>
      </c>
      <c r="H91" s="209" t="s">
        <v>430</v>
      </c>
    </row>
    <row r="92" spans="1:8" x14ac:dyDescent="0.15">
      <c r="A92" s="12">
        <v>1001</v>
      </c>
      <c r="B92" s="138" t="str">
        <f>VLOOKUP(A92,[1]characters!$A:$C,3,FALSE)</f>
        <v>細愛の女神 クリスタ</v>
      </c>
      <c r="C92" s="106" t="s">
        <v>371</v>
      </c>
      <c r="D92" s="138"/>
      <c r="E92" s="138" t="str">
        <f>A92&amp;+(COUNTIF(A$2:A92,A92)-1)</f>
        <v>10012</v>
      </c>
      <c r="F92" s="106" t="s">
        <v>364</v>
      </c>
      <c r="G92" s="207" t="s">
        <v>382</v>
      </c>
      <c r="H92" s="209" t="s">
        <v>429</v>
      </c>
    </row>
    <row r="93" spans="1:8" x14ac:dyDescent="0.15">
      <c r="A93" s="12">
        <v>1002</v>
      </c>
      <c r="B93" s="138" t="str">
        <f>VLOOKUP(A93,[1]characters!$A:$C,3,FALSE)</f>
        <v>ジャン</v>
      </c>
      <c r="C93" s="106" t="s">
        <v>189</v>
      </c>
      <c r="D93" s="138"/>
      <c r="E93" s="138" t="str">
        <f>A93&amp;+(COUNTIF(A$2:A93,A93)-1)</f>
        <v>10020</v>
      </c>
      <c r="F93" s="106" t="s">
        <v>190</v>
      </c>
      <c r="G93" s="207" t="s">
        <v>367</v>
      </c>
      <c r="H93" s="208" t="s">
        <v>441</v>
      </c>
    </row>
    <row r="94" spans="1:8" x14ac:dyDescent="0.15">
      <c r="A94" s="12">
        <v>1002</v>
      </c>
      <c r="B94" s="138" t="str">
        <f>VLOOKUP(A94,[1]characters!$A:$C,3,FALSE)</f>
        <v>ジャン</v>
      </c>
      <c r="C94" s="106" t="s">
        <v>366</v>
      </c>
      <c r="D94" s="138"/>
      <c r="E94" s="138" t="str">
        <f>A94&amp;+(COUNTIF(A$2:A94,A94)-1)</f>
        <v>10021</v>
      </c>
      <c r="F94" s="106" t="s">
        <v>190</v>
      </c>
      <c r="G94" s="207" t="s">
        <v>367</v>
      </c>
      <c r="H94" s="209" t="s">
        <v>443</v>
      </c>
    </row>
    <row r="95" spans="1:8" x14ac:dyDescent="0.15">
      <c r="A95" s="12">
        <v>1003</v>
      </c>
      <c r="B95" s="138" t="str">
        <f>VLOOKUP(A95,[1]characters!$A:$C,3,FALSE)</f>
        <v>真義の勇抱 ジャン</v>
      </c>
      <c r="C95" s="106" t="s">
        <v>189</v>
      </c>
      <c r="D95" s="138"/>
      <c r="E95" s="138" t="str">
        <f>A95&amp;+(COUNTIF(A$2:A95,A95)-1)</f>
        <v>10030</v>
      </c>
      <c r="F95" s="106" t="s">
        <v>190</v>
      </c>
      <c r="G95" s="207" t="s">
        <v>377</v>
      </c>
      <c r="H95" s="208" t="s">
        <v>442</v>
      </c>
    </row>
    <row r="96" spans="1:8" x14ac:dyDescent="0.15">
      <c r="A96" s="12">
        <v>1003</v>
      </c>
      <c r="B96" s="138" t="str">
        <f>VLOOKUP(A96,[1]characters!$A:$C,3,FALSE)</f>
        <v>真義の勇抱 ジャン</v>
      </c>
      <c r="C96" s="106" t="s">
        <v>366</v>
      </c>
      <c r="D96" s="138"/>
      <c r="E96" s="138" t="str">
        <f>A96&amp;+(COUNTIF(A$2:A96,A96)-1)</f>
        <v>10031</v>
      </c>
      <c r="F96" s="106" t="s">
        <v>190</v>
      </c>
      <c r="G96" s="207" t="s">
        <v>445</v>
      </c>
      <c r="H96" s="209" t="s">
        <v>444</v>
      </c>
    </row>
    <row r="97" spans="1:8" x14ac:dyDescent="0.15">
      <c r="A97" s="12">
        <v>1003</v>
      </c>
      <c r="B97" s="138" t="str">
        <f>VLOOKUP(A97,[1]characters!$A:$C,3,FALSE)</f>
        <v>真義の勇抱 ジャン</v>
      </c>
      <c r="C97" s="106" t="s">
        <v>366</v>
      </c>
      <c r="D97" s="138"/>
      <c r="E97" s="138" t="str">
        <f>A97&amp;+(COUNTIF(A$2:A97,A97)-1)</f>
        <v>10032</v>
      </c>
      <c r="F97" s="106" t="s">
        <v>190</v>
      </c>
      <c r="G97" s="207" t="s">
        <v>367</v>
      </c>
      <c r="H97" s="209" t="s">
        <v>443</v>
      </c>
    </row>
  </sheetData>
  <phoneticPr fontId="22"/>
  <dataValidations count="2">
    <dataValidation type="list" allowBlank="1" showInputMessage="1" showErrorMessage="1" sqref="G2:G97">
      <formula1>"maru,giza,kumo"</formula1>
    </dataValidation>
    <dataValidation type="list" allowBlank="1" showInputMessage="1" showErrorMessage="1" sqref="C2:C97">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V17"/>
  <sheetViews>
    <sheetView showGridLines="0" workbookViewId="0">
      <pane xSplit="9" ySplit="1" topLeftCell="P2" activePane="bottomRight" state="frozen"/>
      <selection activeCell="M13" sqref="M13"/>
      <selection pane="topRight" activeCell="M13" sqref="M13"/>
      <selection pane="bottomLeft" activeCell="M13" sqref="M13"/>
      <selection pane="bottomRight" activeCell="S9" sqref="S9"/>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2" ht="21" customHeight="1" x14ac:dyDescent="0.15">
      <c r="A1" s="184" t="s">
        <v>312</v>
      </c>
      <c r="B1" s="185" t="s">
        <v>40</v>
      </c>
      <c r="C1" s="186" t="s">
        <v>313</v>
      </c>
      <c r="D1" s="186" t="s">
        <v>314</v>
      </c>
      <c r="E1" s="186" t="s">
        <v>315</v>
      </c>
      <c r="F1" s="186" t="s">
        <v>316</v>
      </c>
      <c r="G1" s="186" t="s">
        <v>1</v>
      </c>
      <c r="H1" s="187" t="s">
        <v>19</v>
      </c>
      <c r="I1" s="186" t="s">
        <v>0</v>
      </c>
      <c r="J1" s="188" t="s">
        <v>317</v>
      </c>
      <c r="K1" s="186" t="s">
        <v>40</v>
      </c>
      <c r="L1" s="189" t="s">
        <v>46</v>
      </c>
      <c r="M1" s="189" t="s">
        <v>45</v>
      </c>
      <c r="N1" s="189" t="s">
        <v>318</v>
      </c>
      <c r="O1" s="189" t="s">
        <v>319</v>
      </c>
      <c r="P1" s="190" t="s">
        <v>320</v>
      </c>
      <c r="Q1" s="191" t="s">
        <v>321</v>
      </c>
      <c r="R1" s="192" t="s">
        <v>40</v>
      </c>
      <c r="S1" s="190" t="s">
        <v>38</v>
      </c>
      <c r="T1" s="192" t="s">
        <v>40</v>
      </c>
      <c r="U1" s="190" t="s">
        <v>322</v>
      </c>
    </row>
    <row r="2" spans="1:22" ht="21" customHeight="1" x14ac:dyDescent="0.15">
      <c r="A2" s="109">
        <v>977</v>
      </c>
      <c r="B2" s="5" t="str">
        <f ca="1">VLOOKUP($A2,OFFSET([1]characters!$A$1,0,0,COUNTA([1]characters!$A:$A),MATCH(B$1,[1]characters!$1:$1,0)-MATCH($A$1,[1]characters!$1:$1,0)+1),MATCH(B$1,[1]characters!$1:$1,0)-MATCH($A$1,[1]characters!$1:$1,0)+1,FALSE)</f>
        <v>リヴァイ お掃除ver</v>
      </c>
      <c r="C2" s="5" t="str">
        <f ca="1">VLOOKUP($A2,OFFSET([1]characters!$A$1,0,0,COUNTA([1]characters!$A:$A),MATCH(C$1,[1]characters!$1:$1,0)-MATCH($A$1,[1]characters!$1:$1,0)+1),MATCH(C$1,[1]characters!$1:$1,0)-MATCH($A$1,[1]characters!$1:$1,0)+1,FALSE)</f>
        <v>リヴァイ お掃除ver.</v>
      </c>
      <c r="D2" s="5" t="str">
        <f ca="1">VLOOKUP($A2,OFFSET([1]characters!$A$1,0,0,COUNTA([1]characters!$A:$A),MATCH(D$1,[1]characters!$1:$1,0)-MATCH($A$1,[1]characters!$1:$1,0)+1),MATCH(D$1,[1]characters!$1:$1,0)-MATCH($A$1,[1]characters!$1:$1,0)+1,FALSE)</f>
        <v>執行者</v>
      </c>
      <c r="E2" s="5" t="str">
        <f ca="1">VLOOKUP($A2,OFFSET([1]characters!$A$1,0,0,COUNTA([1]characters!$A:$A),MATCH(E$1,[1]characters!$1:$1,0)-MATCH($A$1,[1]characters!$1:$1,0)+1),MATCH(E$1,[1]characters!$1:$1,0)-MATCH($A$1,[1]characters!$1:$1,0)+1,FALSE)</f>
        <v>格好いい</v>
      </c>
      <c r="F2" s="5" t="str">
        <f ca="1">VLOOKUP($A2,OFFSET([1]characters!$A$1,0,0,COUNTA([1]characters!$A:$A),MATCH(F$1,[1]characters!$1:$1,0)-MATCH($A$1,[1]characters!$1:$1,0)+1),MATCH(F$1,[1]characters!$1:$1,0)-MATCH($A$1,[1]characters!$1:$1,0)+1,FALSE)</f>
        <v>男性</v>
      </c>
      <c r="G2" s="5">
        <f ca="1">VLOOKUP($A2,OFFSET([1]characters!$A$1,0,0,COUNTA([1]characters!$A:$A),MATCH(G$1,[1]characters!$1:$1,0)-MATCH($A$1,[1]characters!$1:$1,0)+1),MATCH(G$1,[1]characters!$1:$1,0)-MATCH($A$1,[1]characters!$1:$1,0)+1,FALSE)</f>
        <v>4</v>
      </c>
      <c r="H2" s="5" t="str">
        <f ca="1">VLOOKUP($A2,OFFSET([1]characters!$A$1,0,0,COUNTA([1]characters!$A:$A),MATCH(H$1,[1]characters!$1:$1,0)-MATCH($A$1,[1]characters!$1:$1,0)+1),MATCH(H$1,[1]characters!$1:$1,0)-MATCH($A$1,[1]characters!$1:$1,0)+1,FALSE)</f>
        <v>Drop2N</v>
      </c>
      <c r="I2" s="5" t="str">
        <f ca="1">VLOOKUP($A2,OFFSET([1]characters!$A$1,0,0,COUNTA([1]characters!$A:$A),MATCH(I$1,[1]characters!$1:$1,0)-MATCH($A$1,[1]characters!$1:$1,0)+1),MATCH(I$1,[1]characters!$1:$1,0)-MATCH($A$1,[1]characters!$1:$1,0)+1,FALSE)</f>
        <v>blue</v>
      </c>
      <c r="J2" s="5"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93" t="str">
        <f>VLOOKUP(A2,[1]characters!$A:$W,20)</f>
        <v>normal</v>
      </c>
      <c r="Q2" s="106">
        <v>978</v>
      </c>
      <c r="R2" s="5" t="str">
        <f ca="1">IF(Q2="NULL","",VLOOKUP($Q2,OFFSET([1]characters!$A$1,0,0,COUNTA([1]characters!$A:$A),MATCH(R$1,[1]characters!$1:$1,0)-MATCH($A$1,[1]characters!$1:$1,0)+1),MATCH(R$1,[1]characters!$1:$1,0)-MATCH($A$1,[1]characters!$1:$1,0)+1,FALSE))</f>
        <v>潔癖の掃討 リヴァイ お掃除ver</v>
      </c>
      <c r="S2" s="5">
        <f t="shared" ref="S2:S17" ca="1" si="0">IF(ISNA(MATCH(A2,Q:Q,0)),A2,INDIRECT(ADDRESS(MATCH(A2,Q:Q,0),COLUMN())))</f>
        <v>977</v>
      </c>
      <c r="T2" s="5" t="str">
        <f ca="1">VLOOKUP($S2,OFFSET([1]characters!$A$1,0,0,COUNTA([1]characters!$A:$A),MATCH(T$1,[1]characters!$1:$1,0)-MATCH($A$1,[1]characters!$1:$1,0)+1),MATCH(T$1,[1]characters!$1:$1,0)-MATCH($A$1,[1]characters!$1:$1,0)+1,FALSE)</f>
        <v>リヴァイ お掃除ver</v>
      </c>
      <c r="U2" s="11">
        <f ca="1">IF(Q2="NULL","NULL",VLOOKUP(G2,ビット!$A$2:$B$7,2))</f>
        <v>50000</v>
      </c>
      <c r="V2"/>
    </row>
    <row r="3" spans="1:22" ht="21" customHeight="1" x14ac:dyDescent="0.15">
      <c r="A3" s="109">
        <v>979</v>
      </c>
      <c r="B3" s="5" t="str">
        <f ca="1">VLOOKUP($A3,OFFSET([1]characters!$A$1,0,0,COUNTA([1]characters!$A:$A),MATCH(B$1,[1]characters!$1:$1,0)-MATCH($A$1,[1]characters!$1:$1,0)+1),MATCH(B$1,[1]characters!$1:$1,0)-MATCH($A$1,[1]characters!$1:$1,0)+1,FALSE)</f>
        <v>超大型巨人</v>
      </c>
      <c r="C3" s="5" t="str">
        <f ca="1">VLOOKUP($A3,OFFSET([1]characters!$A$1,0,0,COUNTA([1]characters!$A:$A),MATCH(C$1,[1]characters!$1:$1,0)-MATCH($A$1,[1]characters!$1:$1,0)+1),MATCH(C$1,[1]characters!$1:$1,0)-MATCH($A$1,[1]characters!$1:$1,0)+1,FALSE)</f>
        <v>超大型巨人</v>
      </c>
      <c r="D3" s="5" t="str">
        <f ca="1">VLOOKUP($A3,OFFSET([1]characters!$A$1,0,0,COUNTA([1]characters!$A:$A),MATCH(D$1,[1]characters!$1:$1,0)-MATCH($A$1,[1]characters!$1:$1,0)+1),MATCH(D$1,[1]characters!$1:$1,0)-MATCH($A$1,[1]characters!$1:$1,0)+1,FALSE)</f>
        <v>執行者</v>
      </c>
      <c r="E3" s="5" t="str">
        <f ca="1">VLOOKUP($A3,OFFSET([1]characters!$A$1,0,0,COUNTA([1]characters!$A:$A),MATCH(E$1,[1]characters!$1:$1,0)-MATCH($A$1,[1]characters!$1:$1,0)+1),MATCH(E$1,[1]characters!$1:$1,0)-MATCH($A$1,[1]characters!$1:$1,0)+1,FALSE)</f>
        <v>格好いい</v>
      </c>
      <c r="F3" s="5" t="str">
        <f ca="1">VLOOKUP($A3,OFFSET([1]characters!$A$1,0,0,COUNTA([1]characters!$A:$A),MATCH(F$1,[1]characters!$1:$1,0)-MATCH($A$1,[1]characters!$1:$1,0)+1),MATCH(F$1,[1]characters!$1:$1,0)-MATCH($A$1,[1]characters!$1:$1,0)+1,FALSE)</f>
        <v>男性</v>
      </c>
      <c r="G3" s="5">
        <f ca="1">VLOOKUP($A3,OFFSET([1]characters!$A$1,0,0,COUNTA([1]characters!$A:$A),MATCH(G$1,[1]characters!$1:$1,0)-MATCH($A$1,[1]characters!$1:$1,0)+1),MATCH(G$1,[1]characters!$1:$1,0)-MATCH($A$1,[1]characters!$1:$1,0)+1,FALSE)</f>
        <v>5</v>
      </c>
      <c r="H3" s="5" t="str">
        <f ca="1">VLOOKUP($A3,OFFSET([1]characters!$A$1,0,0,COUNTA([1]characters!$A:$A),MATCH(H$1,[1]characters!$1:$1,0)-MATCH($A$1,[1]characters!$1:$1,0)+1),MATCH(H$1,[1]characters!$1:$1,0)-MATCH($A$1,[1]characters!$1:$1,0)+1,FALSE)</f>
        <v>DropWizS</v>
      </c>
      <c r="I3" s="5" t="str">
        <f ca="1">VLOOKUP($A3,OFFSET([1]characters!$A$1,0,0,COUNTA([1]characters!$A:$A),MATCH(I$1,[1]characters!$1:$1,0)-MATCH($A$1,[1]characters!$1:$1,0)+1),MATCH(I$1,[1]characters!$1:$1,0)-MATCH($A$1,[1]characters!$1:$1,0)+1,FALSE)</f>
        <v>red</v>
      </c>
      <c r="J3" s="5"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193" t="str">
        <f>VLOOKUP(A3,[1]characters!$A:$W,20)</f>
        <v>normal</v>
      </c>
      <c r="Q3" s="106">
        <v>980</v>
      </c>
      <c r="R3" s="5" t="str">
        <f ca="1">IF(Q3="NULL","",VLOOKUP($Q3,OFFSET([1]characters!$A$1,0,0,COUNTA([1]characters!$A:$A),MATCH(R$1,[1]characters!$1:$1,0)-MATCH($A$1,[1]characters!$1:$1,0)+1),MATCH(R$1,[1]characters!$1:$1,0)-MATCH($A$1,[1]characters!$1:$1,0)+1,FALSE))</f>
        <v>猛熱の災厄 超大型巨人</v>
      </c>
      <c r="S3" s="5">
        <f t="shared" ca="1" si="0"/>
        <v>979</v>
      </c>
      <c r="T3" s="5" t="str">
        <f ca="1">VLOOKUP($S3,OFFSET([1]characters!$A$1,0,0,COUNTA([1]characters!$A:$A),MATCH(T$1,[1]characters!$1:$1,0)-MATCH($A$1,[1]characters!$1:$1,0)+1),MATCH(T$1,[1]characters!$1:$1,0)-MATCH($A$1,[1]characters!$1:$1,0)+1,FALSE)</f>
        <v>超大型巨人</v>
      </c>
      <c r="U3" s="11">
        <f ca="1">IF(Q3="NULL","NULL",VLOOKUP(G3,ビット!$A$2:$B$7,2))</f>
        <v>200000</v>
      </c>
      <c r="V3"/>
    </row>
    <row r="4" spans="1:22" ht="21" customHeight="1" x14ac:dyDescent="0.15">
      <c r="A4" s="109">
        <v>981</v>
      </c>
      <c r="B4" s="5" t="str">
        <f ca="1">VLOOKUP($A4,OFFSET([1]characters!$A$1,0,0,COUNTA([1]characters!$A:$A),MATCH(B$1,[1]characters!$1:$1,0)-MATCH($A$1,[1]characters!$1:$1,0)+1),MATCH(B$1,[1]characters!$1:$1,0)-MATCH($A$1,[1]characters!$1:$1,0)+1,FALSE)</f>
        <v>女型の巨人</v>
      </c>
      <c r="C4" s="5" t="str">
        <f ca="1">VLOOKUP($A4,OFFSET([1]characters!$A$1,0,0,COUNTA([1]characters!$A:$A),MATCH(C$1,[1]characters!$1:$1,0)-MATCH($A$1,[1]characters!$1:$1,0)+1),MATCH(C$1,[1]characters!$1:$1,0)-MATCH($A$1,[1]characters!$1:$1,0)+1,FALSE)</f>
        <v>女型の巨人</v>
      </c>
      <c r="D4" s="5" t="str">
        <f ca="1">VLOOKUP($A4,OFFSET([1]characters!$A$1,0,0,COUNTA([1]characters!$A:$A),MATCH(D$1,[1]characters!$1:$1,0)-MATCH($A$1,[1]characters!$1:$1,0)+1),MATCH(D$1,[1]characters!$1:$1,0)-MATCH($A$1,[1]characters!$1:$1,0)+1,FALSE)</f>
        <v>執行者</v>
      </c>
      <c r="E4" s="5" t="str">
        <f ca="1">VLOOKUP($A4,OFFSET([1]characters!$A$1,0,0,COUNTA([1]characters!$A:$A),MATCH(E$1,[1]characters!$1:$1,0)-MATCH($A$1,[1]characters!$1:$1,0)+1),MATCH(E$1,[1]characters!$1:$1,0)-MATCH($A$1,[1]characters!$1:$1,0)+1,FALSE)</f>
        <v>格好いい</v>
      </c>
      <c r="F4" s="5" t="str">
        <f ca="1">VLOOKUP($A4,OFFSET([1]characters!$A$1,0,0,COUNTA([1]characters!$A:$A),MATCH(F$1,[1]characters!$1:$1,0)-MATCH($A$1,[1]characters!$1:$1,0)+1),MATCH(F$1,[1]characters!$1:$1,0)-MATCH($A$1,[1]characters!$1:$1,0)+1,FALSE)</f>
        <v>男性</v>
      </c>
      <c r="G4" s="5">
        <f ca="1">VLOOKUP($A4,OFFSET([1]characters!$A$1,0,0,COUNTA([1]characters!$A:$A),MATCH(G$1,[1]characters!$1:$1,0)-MATCH($A$1,[1]characters!$1:$1,0)+1),MATCH(G$1,[1]characters!$1:$1,0)-MATCH($A$1,[1]characters!$1:$1,0)+1,FALSE)</f>
        <v>4</v>
      </c>
      <c r="H4" s="5" t="str">
        <f ca="1">VLOOKUP($A4,OFFSET([1]characters!$A$1,0,0,COUNTA([1]characters!$A:$A),MATCH(H$1,[1]characters!$1:$1,0)-MATCH($A$1,[1]characters!$1:$1,0)+1),MATCH(H$1,[1]characters!$1:$1,0)-MATCH($A$1,[1]characters!$1:$1,0)+1,FALSE)</f>
        <v>Drop2N</v>
      </c>
      <c r="I4" s="5" t="str">
        <f ca="1">VLOOKUP($A4,OFFSET([1]characters!$A$1,0,0,COUNTA([1]characters!$A:$A),MATCH(I$1,[1]characters!$1:$1,0)-MATCH($A$1,[1]characters!$1:$1,0)+1),MATCH(I$1,[1]characters!$1:$1,0)-MATCH($A$1,[1]characters!$1:$1,0)+1,FALSE)</f>
        <v>green</v>
      </c>
      <c r="J4" s="5" t="str">
        <f ca="1">VLOOKUP($A4,OFFSET([1]characters!$A$1,0,0,COUNTA([1]characters!$A:$A),MATCH(J$1,[1]characters!$1:$1,0)-MATCH($A$1,[1]characters!$1:$1,0)+1),MATCH(J$1,[1]characters!$1:$1,0)-MATCH($A$1,[1]characters!$1:$1,0)+1,FALSE)</f>
        <v>none</v>
      </c>
      <c r="K4" s="5" t="str">
        <f ca="1">VLOOKUP(J4,[1]character_tribe_i18n!$A:$H,3,FALSE)</f>
        <v>種族なし</v>
      </c>
      <c r="L4" s="11" t="e">
        <f>VLOOKUP(#REF!,[1]character_tribe_i18n!$A:$H,4,FALSE)</f>
        <v>#REF!</v>
      </c>
      <c r="M4" s="11" t="e">
        <f>VLOOKUP(#REF!,[1]character_tribe_i18n!$A:$H,5,FALSE)</f>
        <v>#REF!</v>
      </c>
      <c r="N4" s="11" t="e">
        <f>VLOOKUP(#REF!,[1]character_tribe_i18n!$A:$H,6,FALSE)</f>
        <v>#REF!</v>
      </c>
      <c r="O4" s="11" t="e">
        <f>VLOOKUP(#REF!,[1]character_tribe_i18n!$A:$H,7,FALSE)</f>
        <v>#REF!</v>
      </c>
      <c r="P4" s="193" t="str">
        <f>VLOOKUP(A4,[1]characters!$A:$W,20)</f>
        <v>normal</v>
      </c>
      <c r="Q4" s="106">
        <v>982</v>
      </c>
      <c r="R4" s="5" t="str">
        <f ca="1">IF(Q4="NULL","",VLOOKUP($Q4,OFFSET([1]characters!$A$1,0,0,COUNTA([1]characters!$A:$A),MATCH(R$1,[1]characters!$1:$1,0)-MATCH($A$1,[1]characters!$1:$1,0)+1),MATCH(R$1,[1]characters!$1:$1,0)-MATCH($A$1,[1]characters!$1:$1,0)+1,FALSE))</f>
        <v>柔靭なる剛脚 女型の巨人</v>
      </c>
      <c r="S4" s="5">
        <f t="shared" ca="1" si="0"/>
        <v>981</v>
      </c>
      <c r="T4" s="5" t="str">
        <f ca="1">VLOOKUP($S4,OFFSET([1]characters!$A$1,0,0,COUNTA([1]characters!$A:$A),MATCH(T$1,[1]characters!$1:$1,0)-MATCH($A$1,[1]characters!$1:$1,0)+1),MATCH(T$1,[1]characters!$1:$1,0)-MATCH($A$1,[1]characters!$1:$1,0)+1,FALSE)</f>
        <v>女型の巨人</v>
      </c>
      <c r="U4" s="11">
        <f ca="1">IF(Q4="NULL","NULL",VLOOKUP(G4,ビット!$A$2:$B$7,2))</f>
        <v>50000</v>
      </c>
      <c r="V4"/>
    </row>
    <row r="5" spans="1:22" ht="21" customHeight="1" x14ac:dyDescent="0.15">
      <c r="A5" s="109">
        <v>983</v>
      </c>
      <c r="B5" s="5" t="str">
        <f ca="1">VLOOKUP($A5,OFFSET([1]characters!$A$1,0,0,COUNTA([1]characters!$A:$A),MATCH(B$1,[1]characters!$1:$1,0)-MATCH($A$1,[1]characters!$1:$1,0)+1),MATCH(B$1,[1]characters!$1:$1,0)-MATCH($A$1,[1]characters!$1:$1,0)+1,FALSE)</f>
        <v>鎧の巨人</v>
      </c>
      <c r="C5" s="5" t="str">
        <f ca="1">VLOOKUP($A5,OFFSET([1]characters!$A$1,0,0,COUNTA([1]characters!$A:$A),MATCH(C$1,[1]characters!$1:$1,0)-MATCH($A$1,[1]characters!$1:$1,0)+1),MATCH(C$1,[1]characters!$1:$1,0)-MATCH($A$1,[1]characters!$1:$1,0)+1,FALSE)</f>
        <v>鎧の巨人</v>
      </c>
      <c r="D5" s="5" t="str">
        <f ca="1">VLOOKUP($A5,OFFSET([1]characters!$A$1,0,0,COUNTA([1]characters!$A:$A),MATCH(D$1,[1]characters!$1:$1,0)-MATCH($A$1,[1]characters!$1:$1,0)+1),MATCH(D$1,[1]characters!$1:$1,0)-MATCH($A$1,[1]characters!$1:$1,0)+1,FALSE)</f>
        <v>執行者</v>
      </c>
      <c r="E5" s="5" t="str">
        <f ca="1">VLOOKUP($A5,OFFSET([1]characters!$A$1,0,0,COUNTA([1]characters!$A:$A),MATCH(E$1,[1]characters!$1:$1,0)-MATCH($A$1,[1]characters!$1:$1,0)+1),MATCH(E$1,[1]characters!$1:$1,0)-MATCH($A$1,[1]characters!$1:$1,0)+1,FALSE)</f>
        <v>格好いい</v>
      </c>
      <c r="F5" s="5" t="str">
        <f ca="1">VLOOKUP($A5,OFFSET([1]characters!$A$1,0,0,COUNTA([1]characters!$A:$A),MATCH(F$1,[1]characters!$1:$1,0)-MATCH($A$1,[1]characters!$1:$1,0)+1),MATCH(F$1,[1]characters!$1:$1,0)-MATCH($A$1,[1]characters!$1:$1,0)+1,FALSE)</f>
        <v>男性</v>
      </c>
      <c r="G5" s="5">
        <f ca="1">VLOOKUP($A5,OFFSET([1]characters!$A$1,0,0,COUNTA([1]characters!$A:$A),MATCH(G$1,[1]characters!$1:$1,0)-MATCH($A$1,[1]characters!$1:$1,0)+1),MATCH(G$1,[1]characters!$1:$1,0)-MATCH($A$1,[1]characters!$1:$1,0)+1,FALSE)</f>
        <v>4</v>
      </c>
      <c r="H5" s="5" t="str">
        <f ca="1">VLOOKUP($A5,OFFSET([1]characters!$A$1,0,0,COUNTA([1]characters!$A:$A),MATCH(H$1,[1]characters!$1:$1,0)-MATCH($A$1,[1]characters!$1:$1,0)+1),MATCH(H$1,[1]characters!$1:$1,0)-MATCH($A$1,[1]characters!$1:$1,0)+1,FALSE)</f>
        <v>Drop2N</v>
      </c>
      <c r="I5" s="5" t="str">
        <f ca="1">VLOOKUP($A5,OFFSET([1]characters!$A$1,0,0,COUNTA([1]characters!$A:$A),MATCH(I$1,[1]characters!$1:$1,0)-MATCH($A$1,[1]characters!$1:$1,0)+1),MATCH(I$1,[1]characters!$1:$1,0)-MATCH($A$1,[1]characters!$1:$1,0)+1,FALSE)</f>
        <v>yellow</v>
      </c>
      <c r="J5" s="5"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193" t="str">
        <f>VLOOKUP(A5,[1]characters!$A:$W,20)</f>
        <v>normal</v>
      </c>
      <c r="Q5" s="106">
        <v>984</v>
      </c>
      <c r="R5" s="5" t="str">
        <f ca="1">IF(Q5="NULL","",VLOOKUP($Q5,OFFSET([1]characters!$A$1,0,0,COUNTA([1]characters!$A:$A),MATCH(R$1,[1]characters!$1:$1,0)-MATCH($A$1,[1]characters!$1:$1,0)+1),MATCH(R$1,[1]characters!$1:$1,0)-MATCH($A$1,[1]characters!$1:$1,0)+1,FALSE))</f>
        <v>破壁の剛弾 鎧の巨人</v>
      </c>
      <c r="S5" s="5">
        <f t="shared" ca="1" si="0"/>
        <v>983</v>
      </c>
      <c r="T5" s="5" t="str">
        <f ca="1">VLOOKUP($S5,OFFSET([1]characters!$A$1,0,0,COUNTA([1]characters!$A:$A),MATCH(T$1,[1]characters!$1:$1,0)-MATCH($A$1,[1]characters!$1:$1,0)+1),MATCH(T$1,[1]characters!$1:$1,0)-MATCH($A$1,[1]characters!$1:$1,0)+1,FALSE)</f>
        <v>鎧の巨人</v>
      </c>
      <c r="U5" s="11">
        <f ca="1">IF(Q5="NULL","NULL",VLOOKUP(G5,ビット!$A$2:$B$7,2))</f>
        <v>50000</v>
      </c>
      <c r="V5"/>
    </row>
    <row r="6" spans="1:22" ht="21" customHeight="1" x14ac:dyDescent="0.15">
      <c r="A6" s="109">
        <v>985</v>
      </c>
      <c r="B6" s="5" t="str">
        <f ca="1">VLOOKUP($A6,OFFSET([1]characters!$A$1,0,0,COUNTA([1]characters!$A:$A),MATCH(B$1,[1]characters!$1:$1,0)-MATCH($A$1,[1]characters!$1:$1,0)+1),MATCH(B$1,[1]characters!$1:$1,0)-MATCH($A$1,[1]characters!$1:$1,0)+1,FALSE)</f>
        <v>エレン</v>
      </c>
      <c r="C6" s="5" t="str">
        <f ca="1">VLOOKUP($A6,OFFSET([1]characters!$A$1,0,0,COUNTA([1]characters!$A:$A),MATCH(C$1,[1]characters!$1:$1,0)-MATCH($A$1,[1]characters!$1:$1,0)+1),MATCH(C$1,[1]characters!$1:$1,0)-MATCH($A$1,[1]characters!$1:$1,0)+1,FALSE)</f>
        <v>エレン・イェーガー</v>
      </c>
      <c r="D6" s="5" t="str">
        <f ca="1">VLOOKUP($A6,OFFSET([1]characters!$A$1,0,0,COUNTA([1]characters!$A:$A),MATCH(D$1,[1]characters!$1:$1,0)-MATCH($A$1,[1]characters!$1:$1,0)+1),MATCH(D$1,[1]characters!$1:$1,0)-MATCH($A$1,[1]characters!$1:$1,0)+1,FALSE)</f>
        <v>執行者</v>
      </c>
      <c r="E6" s="5" t="str">
        <f ca="1">VLOOKUP($A6,OFFSET([1]characters!$A$1,0,0,COUNTA([1]characters!$A:$A),MATCH(E$1,[1]characters!$1:$1,0)-MATCH($A$1,[1]characters!$1:$1,0)+1),MATCH(E$1,[1]characters!$1:$1,0)-MATCH($A$1,[1]characters!$1:$1,0)+1,FALSE)</f>
        <v>格好いい</v>
      </c>
      <c r="F6" s="5" t="str">
        <f ca="1">VLOOKUP($A6,OFFSET([1]characters!$A$1,0,0,COUNTA([1]characters!$A:$A),MATCH(F$1,[1]characters!$1:$1,0)-MATCH($A$1,[1]characters!$1:$1,0)+1),MATCH(F$1,[1]characters!$1:$1,0)-MATCH($A$1,[1]characters!$1:$1,0)+1,FALSE)</f>
        <v>男性</v>
      </c>
      <c r="G6" s="5">
        <f ca="1">VLOOKUP($A6,OFFSET([1]characters!$A$1,0,0,COUNTA([1]characters!$A:$A),MATCH(G$1,[1]characters!$1:$1,0)-MATCH($A$1,[1]characters!$1:$1,0)+1),MATCH(G$1,[1]characters!$1:$1,0)-MATCH($A$1,[1]characters!$1:$1,0)+1,FALSE)</f>
        <v>5</v>
      </c>
      <c r="H6" s="5" t="str">
        <f ca="1">VLOOKUP($A6,OFFSET([1]characters!$A$1,0,0,COUNTA([1]characters!$A:$A),MATCH(H$1,[1]characters!$1:$1,0)-MATCH($A$1,[1]characters!$1:$1,0)+1),MATCH(H$1,[1]characters!$1:$1,0)-MATCH($A$1,[1]characters!$1:$1,0)+1,FALSE)</f>
        <v>PremiumSS</v>
      </c>
      <c r="I6" s="5" t="str">
        <f ca="1">VLOOKUP($A6,OFFSET([1]characters!$A$1,0,0,COUNTA([1]characters!$A:$A),MATCH(I$1,[1]characters!$1:$1,0)-MATCH($A$1,[1]characters!$1:$1,0)+1),MATCH(I$1,[1]characters!$1:$1,0)-MATCH($A$1,[1]characters!$1:$1,0)+1,FALSE)</f>
        <v>red</v>
      </c>
      <c r="J6" s="5" t="str">
        <f ca="1">VLOOKUP($A6,OFFSET([1]characters!$A$1,0,0,COUNTA([1]characters!$A:$A),MATCH(J$1,[1]characters!$1:$1,0)-MATCH($A$1,[1]characters!$1:$1,0)+1),MATCH(J$1,[1]characters!$1:$1,0)-MATCH($A$1,[1]characters!$1:$1,0)+1,FALSE)</f>
        <v>machine</v>
      </c>
      <c r="K6" s="5" t="str">
        <f ca="1">VLOOKUP(J6,[1]character_tribe_i18n!$A:$H,3,FALSE)</f>
        <v>マシン</v>
      </c>
      <c r="L6" s="11" t="e">
        <f>VLOOKUP(#REF!,[1]character_tribe_i18n!$A:$H,4,FALSE)</f>
        <v>#REF!</v>
      </c>
      <c r="M6" s="11" t="e">
        <f>VLOOKUP(#REF!,[1]character_tribe_i18n!$A:$H,5,FALSE)</f>
        <v>#REF!</v>
      </c>
      <c r="N6" s="11" t="e">
        <f>VLOOKUP(#REF!,[1]character_tribe_i18n!$A:$H,6,FALSE)</f>
        <v>#REF!</v>
      </c>
      <c r="O6" s="11" t="e">
        <f>VLOOKUP(#REF!,[1]character_tribe_i18n!$A:$H,7,FALSE)</f>
        <v>#REF!</v>
      </c>
      <c r="P6" s="193" t="str">
        <f>VLOOKUP(A6,[1]characters!$A:$W,20)</f>
        <v>normal</v>
      </c>
      <c r="Q6" s="106">
        <v>986</v>
      </c>
      <c r="R6" s="5" t="str">
        <f ca="1">IF(Q6="NULL","",VLOOKUP($Q6,OFFSET([1]characters!$A$1,0,0,COUNTA([1]characters!$A:$A),MATCH(R$1,[1]characters!$1:$1,0)-MATCH($A$1,[1]characters!$1:$1,0)+1),MATCH(R$1,[1]characters!$1:$1,0)-MATCH($A$1,[1]characters!$1:$1,0)+1,FALSE))</f>
        <v>復讐の誓約 エレン</v>
      </c>
      <c r="S6" s="5">
        <f t="shared" ca="1" si="0"/>
        <v>985</v>
      </c>
      <c r="T6" s="5" t="str">
        <f ca="1">VLOOKUP($S6,OFFSET([1]characters!$A$1,0,0,COUNTA([1]characters!$A:$A),MATCH(T$1,[1]characters!$1:$1,0)-MATCH($A$1,[1]characters!$1:$1,0)+1),MATCH(T$1,[1]characters!$1:$1,0)-MATCH($A$1,[1]characters!$1:$1,0)+1,FALSE)</f>
        <v>エレン</v>
      </c>
      <c r="U6" s="11">
        <f ca="1">IF(Q6="NULL","NULL",VLOOKUP(G6,ビット!$A$2:$B$7,2))</f>
        <v>200000</v>
      </c>
      <c r="V6"/>
    </row>
    <row r="7" spans="1:22" ht="21" customHeight="1" x14ac:dyDescent="0.15">
      <c r="A7" s="109">
        <v>985</v>
      </c>
      <c r="B7" s="5" t="str">
        <f ca="1">VLOOKUP($A7,OFFSET([1]characters!$A$1,0,0,COUNTA([1]characters!$A:$A),MATCH(B$1,[1]characters!$1:$1,0)-MATCH($A$1,[1]characters!$1:$1,0)+1),MATCH(B$1,[1]characters!$1:$1,0)-MATCH($A$1,[1]characters!$1:$1,0)+1,FALSE)</f>
        <v>エレン</v>
      </c>
      <c r="C7" s="5" t="str">
        <f ca="1">VLOOKUP($A7,OFFSET([1]characters!$A$1,0,0,COUNTA([1]characters!$A:$A),MATCH(C$1,[1]characters!$1:$1,0)-MATCH($A$1,[1]characters!$1:$1,0)+1),MATCH(C$1,[1]characters!$1:$1,0)-MATCH($A$1,[1]characters!$1:$1,0)+1,FALSE)</f>
        <v>エレン・イェーガー</v>
      </c>
      <c r="D7" s="5" t="str">
        <f ca="1">VLOOKUP($A7,OFFSET([1]characters!$A$1,0,0,COUNTA([1]characters!$A:$A),MATCH(D$1,[1]characters!$1:$1,0)-MATCH($A$1,[1]characters!$1:$1,0)+1),MATCH(D$1,[1]characters!$1:$1,0)-MATCH($A$1,[1]characters!$1:$1,0)+1,FALSE)</f>
        <v>執行者</v>
      </c>
      <c r="E7" s="5" t="str">
        <f ca="1">VLOOKUP($A7,OFFSET([1]characters!$A$1,0,0,COUNTA([1]characters!$A:$A),MATCH(E$1,[1]characters!$1:$1,0)-MATCH($A$1,[1]characters!$1:$1,0)+1),MATCH(E$1,[1]characters!$1:$1,0)-MATCH($A$1,[1]characters!$1:$1,0)+1,FALSE)</f>
        <v>格好いい</v>
      </c>
      <c r="F7" s="5" t="str">
        <f ca="1">VLOOKUP($A7,OFFSET([1]characters!$A$1,0,0,COUNTA([1]characters!$A:$A),MATCH(F$1,[1]characters!$1:$1,0)-MATCH($A$1,[1]characters!$1:$1,0)+1),MATCH(F$1,[1]characters!$1:$1,0)-MATCH($A$1,[1]characters!$1:$1,0)+1,FALSE)</f>
        <v>男性</v>
      </c>
      <c r="G7" s="5">
        <f ca="1">VLOOKUP($A7,OFFSET([1]characters!$A$1,0,0,COUNTA([1]characters!$A:$A),MATCH(G$1,[1]characters!$1:$1,0)-MATCH($A$1,[1]characters!$1:$1,0)+1),MATCH(G$1,[1]characters!$1:$1,0)-MATCH($A$1,[1]characters!$1:$1,0)+1,FALSE)</f>
        <v>5</v>
      </c>
      <c r="H7" s="5" t="str">
        <f ca="1">VLOOKUP($A7,OFFSET([1]characters!$A$1,0,0,COUNTA([1]characters!$A:$A),MATCH(H$1,[1]characters!$1:$1,0)-MATCH($A$1,[1]characters!$1:$1,0)+1),MATCH(H$1,[1]characters!$1:$1,0)-MATCH($A$1,[1]characters!$1:$1,0)+1,FALSE)</f>
        <v>PremiumSS</v>
      </c>
      <c r="I7" s="5" t="str">
        <f ca="1">VLOOKUP($A7,OFFSET([1]characters!$A$1,0,0,COUNTA([1]characters!$A:$A),MATCH(I$1,[1]characters!$1:$1,0)-MATCH($A$1,[1]characters!$1:$1,0)+1),MATCH(I$1,[1]characters!$1:$1,0)-MATCH($A$1,[1]characters!$1:$1,0)+1,FALSE)</f>
        <v>red</v>
      </c>
      <c r="J7" s="5" t="str">
        <f ca="1">VLOOKUP($A7,OFFSET([1]characters!$A$1,0,0,COUNTA([1]characters!$A:$A),MATCH(J$1,[1]characters!$1:$1,0)-MATCH($A$1,[1]characters!$1:$1,0)+1),MATCH(J$1,[1]characters!$1:$1,0)-MATCH($A$1,[1]characters!$1:$1,0)+1,FALSE)</f>
        <v>machine</v>
      </c>
      <c r="K7" s="5" t="str">
        <f ca="1">VLOOKUP(J7,[1]character_tribe_i18n!$A:$H,3,FALSE)</f>
        <v>マシン</v>
      </c>
      <c r="L7" s="11" t="e">
        <f>VLOOKUP(#REF!,[1]character_tribe_i18n!$A:$H,4,FALSE)</f>
        <v>#REF!</v>
      </c>
      <c r="M7" s="11" t="e">
        <f>VLOOKUP(#REF!,[1]character_tribe_i18n!$A:$H,5,FALSE)</f>
        <v>#REF!</v>
      </c>
      <c r="N7" s="11" t="e">
        <f>VLOOKUP(#REF!,[1]character_tribe_i18n!$A:$H,6,FALSE)</f>
        <v>#REF!</v>
      </c>
      <c r="O7" s="11" t="e">
        <f>VLOOKUP(#REF!,[1]character_tribe_i18n!$A:$H,7,FALSE)</f>
        <v>#REF!</v>
      </c>
      <c r="P7" s="193" t="s">
        <v>472</v>
      </c>
      <c r="Q7" s="106">
        <v>987</v>
      </c>
      <c r="R7" s="5" t="str">
        <f ca="1">IF(Q7="NULL","",VLOOKUP($Q7,OFFSET([1]characters!$A$1,0,0,COUNTA([1]characters!$A:$A),MATCH(R$1,[1]characters!$1:$1,0)-MATCH($A$1,[1]characters!$1:$1,0)+1),MATCH(R$1,[1]characters!$1:$1,0)-MATCH($A$1,[1]characters!$1:$1,0)+1,FALSE))</f>
        <v>撃壊の眼煌 エレン巨人</v>
      </c>
      <c r="S7" s="5">
        <f t="shared" ca="1" si="0"/>
        <v>985</v>
      </c>
      <c r="T7" s="5" t="str">
        <f ca="1">VLOOKUP($S7,OFFSET([1]characters!$A$1,0,0,COUNTA([1]characters!$A:$A),MATCH(T$1,[1]characters!$1:$1,0)-MATCH($A$1,[1]characters!$1:$1,0)+1),MATCH(T$1,[1]characters!$1:$1,0)-MATCH($A$1,[1]characters!$1:$1,0)+1,FALSE)</f>
        <v>エレン</v>
      </c>
      <c r="U7" s="11">
        <f ca="1">IF(Q7="NULL","NULL",VLOOKUP(G7,ビット!$A$2:$B$7,2))</f>
        <v>200000</v>
      </c>
      <c r="V7"/>
    </row>
    <row r="8" spans="1:22" ht="21" customHeight="1" x14ac:dyDescent="0.15">
      <c r="A8" s="109">
        <v>986</v>
      </c>
      <c r="B8" s="5" t="str">
        <f ca="1">VLOOKUP($A8,OFFSET([1]characters!$A$1,0,0,COUNTA([1]characters!$A:$A),MATCH(B$1,[1]characters!$1:$1,0)-MATCH($A$1,[1]characters!$1:$1,0)+1),MATCH(B$1,[1]characters!$1:$1,0)-MATCH($A$1,[1]characters!$1:$1,0)+1,FALSE)</f>
        <v>復讐の誓約 エレン</v>
      </c>
      <c r="C8" s="5" t="str">
        <f ca="1">VLOOKUP($A8,OFFSET([1]characters!$A$1,0,0,COUNTA([1]characters!$A:$A),MATCH(C$1,[1]characters!$1:$1,0)-MATCH($A$1,[1]characters!$1:$1,0)+1),MATCH(C$1,[1]characters!$1:$1,0)-MATCH($A$1,[1]characters!$1:$1,0)+1,FALSE)</f>
        <v>エレン・イェーガー（人間）</v>
      </c>
      <c r="D8" s="5" t="str">
        <f ca="1">VLOOKUP($A8,OFFSET([1]characters!$A$1,0,0,COUNTA([1]characters!$A:$A),MATCH(D$1,[1]characters!$1:$1,0)-MATCH($A$1,[1]characters!$1:$1,0)+1),MATCH(D$1,[1]characters!$1:$1,0)-MATCH($A$1,[1]characters!$1:$1,0)+1,FALSE)</f>
        <v>執行者</v>
      </c>
      <c r="E8" s="5" t="str">
        <f ca="1">VLOOKUP($A8,OFFSET([1]characters!$A$1,0,0,COUNTA([1]characters!$A:$A),MATCH(E$1,[1]characters!$1:$1,0)-MATCH($A$1,[1]characters!$1:$1,0)+1),MATCH(E$1,[1]characters!$1:$1,0)-MATCH($A$1,[1]characters!$1:$1,0)+1,FALSE)</f>
        <v>格好いい</v>
      </c>
      <c r="F8" s="5" t="str">
        <f ca="1">VLOOKUP($A8,OFFSET([1]characters!$A$1,0,0,COUNTA([1]characters!$A:$A),MATCH(F$1,[1]characters!$1:$1,0)-MATCH($A$1,[1]characters!$1:$1,0)+1),MATCH(F$1,[1]characters!$1:$1,0)-MATCH($A$1,[1]characters!$1:$1,0)+1,FALSE)</f>
        <v>男性</v>
      </c>
      <c r="G8" s="5">
        <f ca="1">VLOOKUP($A8,OFFSET([1]characters!$A$1,0,0,COUNTA([1]characters!$A:$A),MATCH(G$1,[1]characters!$1:$1,0)-MATCH($A$1,[1]characters!$1:$1,0)+1),MATCH(G$1,[1]characters!$1:$1,0)-MATCH($A$1,[1]characters!$1:$1,0)+1,FALSE)</f>
        <v>6</v>
      </c>
      <c r="H8" s="5" t="str">
        <f ca="1">VLOOKUP($A8,OFFSET([1]characters!$A$1,0,0,COUNTA([1]characters!$A:$A),MATCH(H$1,[1]characters!$1:$1,0)-MATCH($A$1,[1]characters!$1:$1,0)+1),MATCH(H$1,[1]characters!$1:$1,0)-MATCH($A$1,[1]characters!$1:$1,0)+1,FALSE)</f>
        <v>PremiumSS</v>
      </c>
      <c r="I8" s="5" t="str">
        <f ca="1">VLOOKUP($A8,OFFSET([1]characters!$A$1,0,0,COUNTA([1]characters!$A:$A),MATCH(I$1,[1]characters!$1:$1,0)-MATCH($A$1,[1]characters!$1:$1,0)+1),MATCH(I$1,[1]characters!$1:$1,0)-MATCH($A$1,[1]characters!$1:$1,0)+1,FALSE)</f>
        <v>red</v>
      </c>
      <c r="J8" s="5" t="str">
        <f ca="1">VLOOKUP($A8,OFFSET([1]characters!$A$1,0,0,COUNTA([1]characters!$A:$A),MATCH(J$1,[1]characters!$1:$1,0)-MATCH($A$1,[1]characters!$1:$1,0)+1),MATCH(J$1,[1]characters!$1:$1,0)-MATCH($A$1,[1]characters!$1:$1,0)+1,FALSE)</f>
        <v>machine</v>
      </c>
      <c r="K8" s="5" t="str">
        <f ca="1">VLOOKUP(J8,[1]character_tribe_i18n!$A:$H,3,FALSE)</f>
        <v>マシン</v>
      </c>
      <c r="L8" s="11" t="e">
        <f>VLOOKUP(#REF!,[1]character_tribe_i18n!$A:$H,4,FALSE)</f>
        <v>#REF!</v>
      </c>
      <c r="M8" s="11" t="e">
        <f>VLOOKUP(#REF!,[1]character_tribe_i18n!$A:$H,5,FALSE)</f>
        <v>#REF!</v>
      </c>
      <c r="N8" s="11" t="e">
        <f>VLOOKUP(#REF!,[1]character_tribe_i18n!$A:$H,6,FALSE)</f>
        <v>#REF!</v>
      </c>
      <c r="O8" s="11" t="e">
        <f>VLOOKUP(#REF!,[1]character_tribe_i18n!$A:$H,7,FALSE)</f>
        <v>#REF!</v>
      </c>
      <c r="P8" s="193" t="s">
        <v>472</v>
      </c>
      <c r="Q8" s="106">
        <v>987</v>
      </c>
      <c r="R8" s="5" t="str">
        <f ca="1">IF(Q8="NULL","",VLOOKUP($Q8,OFFSET([1]characters!$A$1,0,0,COUNTA([1]characters!$A:$A),MATCH(R$1,[1]characters!$1:$1,0)-MATCH($A$1,[1]characters!$1:$1,0)+1),MATCH(R$1,[1]characters!$1:$1,0)-MATCH($A$1,[1]characters!$1:$1,0)+1,FALSE))</f>
        <v>撃壊の眼煌 エレン巨人</v>
      </c>
      <c r="S8" s="5">
        <f t="shared" ca="1" si="0"/>
        <v>985</v>
      </c>
      <c r="T8" s="5" t="str">
        <f ca="1">VLOOKUP($S8,OFFSET([1]characters!$A$1,0,0,COUNTA([1]characters!$A:$A),MATCH(T$1,[1]characters!$1:$1,0)-MATCH($A$1,[1]characters!$1:$1,0)+1),MATCH(T$1,[1]characters!$1:$1,0)-MATCH($A$1,[1]characters!$1:$1,0)+1,FALSE)</f>
        <v>エレン</v>
      </c>
      <c r="U8" s="11">
        <f ca="1">IF(Q8="NULL","NULL",VLOOKUP(G8,ビット!$A$2:$B$7,2))</f>
        <v>200000</v>
      </c>
      <c r="V8"/>
    </row>
    <row r="9" spans="1:22" ht="21" customHeight="1" x14ac:dyDescent="0.15">
      <c r="A9" s="109">
        <v>987</v>
      </c>
      <c r="B9" s="5" t="str">
        <f ca="1">VLOOKUP($A9,OFFSET([1]characters!$A$1,0,0,COUNTA([1]characters!$A:$A),MATCH(B$1,[1]characters!$1:$1,0)-MATCH($A$1,[1]characters!$1:$1,0)+1),MATCH(B$1,[1]characters!$1:$1,0)-MATCH($A$1,[1]characters!$1:$1,0)+1,FALSE)</f>
        <v>撃壊の眼煌 エレン巨人</v>
      </c>
      <c r="C9" s="5" t="str">
        <f ca="1">VLOOKUP($A9,OFFSET([1]characters!$A$1,0,0,COUNTA([1]characters!$A:$A),MATCH(C$1,[1]characters!$1:$1,0)-MATCH($A$1,[1]characters!$1:$1,0)+1),MATCH(C$1,[1]characters!$1:$1,0)-MATCH($A$1,[1]characters!$1:$1,0)+1,FALSE)</f>
        <v>エレン・イェーガー（巨人）</v>
      </c>
      <c r="D9" s="5" t="str">
        <f ca="1">VLOOKUP($A9,OFFSET([1]characters!$A$1,0,0,COUNTA([1]characters!$A:$A),MATCH(D$1,[1]characters!$1:$1,0)-MATCH($A$1,[1]characters!$1:$1,0)+1),MATCH(D$1,[1]characters!$1:$1,0)-MATCH($A$1,[1]characters!$1:$1,0)+1,FALSE)</f>
        <v>執行者</v>
      </c>
      <c r="E9" s="5" t="str">
        <f ca="1">VLOOKUP($A9,OFFSET([1]characters!$A$1,0,0,COUNTA([1]characters!$A:$A),MATCH(E$1,[1]characters!$1:$1,0)-MATCH($A$1,[1]characters!$1:$1,0)+1),MATCH(E$1,[1]characters!$1:$1,0)-MATCH($A$1,[1]characters!$1:$1,0)+1,FALSE)</f>
        <v>格好いい</v>
      </c>
      <c r="F9" s="5" t="str">
        <f ca="1">VLOOKUP($A9,OFFSET([1]characters!$A$1,0,0,COUNTA([1]characters!$A:$A),MATCH(F$1,[1]characters!$1:$1,0)-MATCH($A$1,[1]characters!$1:$1,0)+1),MATCH(F$1,[1]characters!$1:$1,0)-MATCH($A$1,[1]characters!$1:$1,0)+1,FALSE)</f>
        <v>男性</v>
      </c>
      <c r="G9" s="5">
        <f ca="1">VLOOKUP($A9,OFFSET([1]characters!$A$1,0,0,COUNTA([1]characters!$A:$A),MATCH(G$1,[1]characters!$1:$1,0)-MATCH($A$1,[1]characters!$1:$1,0)+1),MATCH(G$1,[1]characters!$1:$1,0)-MATCH($A$1,[1]characters!$1:$1,0)+1,FALSE)</f>
        <v>6</v>
      </c>
      <c r="H9" s="5" t="str">
        <f ca="1">VLOOKUP($A9,OFFSET([1]characters!$A$1,0,0,COUNTA([1]characters!$A:$A),MATCH(H$1,[1]characters!$1:$1,0)-MATCH($A$1,[1]characters!$1:$1,0)+1),MATCH(H$1,[1]characters!$1:$1,0)-MATCH($A$1,[1]characters!$1:$1,0)+1,FALSE)</f>
        <v>PremiumSS</v>
      </c>
      <c r="I9" s="5" t="str">
        <f ca="1">VLOOKUP($A9,OFFSET([1]characters!$A$1,0,0,COUNTA([1]characters!$A:$A),MATCH(I$1,[1]characters!$1:$1,0)-MATCH($A$1,[1]characters!$1:$1,0)+1),MATCH(I$1,[1]characters!$1:$1,0)-MATCH($A$1,[1]characters!$1:$1,0)+1,FALSE)</f>
        <v>blue</v>
      </c>
      <c r="J9" s="5" t="str">
        <f ca="1">VLOOKUP($A9,OFFSET([1]characters!$A$1,0,0,COUNTA([1]characters!$A:$A),MATCH(J$1,[1]characters!$1:$1,0)-MATCH($A$1,[1]characters!$1:$1,0)+1),MATCH(J$1,[1]characters!$1:$1,0)-MATCH($A$1,[1]characters!$1:$1,0)+1,FALSE)</f>
        <v>none</v>
      </c>
      <c r="K9" s="5" t="str">
        <f ca="1">VLOOKUP(J9,[1]character_tribe_i18n!$A:$H,3,FALSE)</f>
        <v>種族なし</v>
      </c>
      <c r="L9" s="11" t="e">
        <f>VLOOKUP(#REF!,[1]character_tribe_i18n!$A:$H,4,FALSE)</f>
        <v>#REF!</v>
      </c>
      <c r="M9" s="11" t="e">
        <f>VLOOKUP(#REF!,[1]character_tribe_i18n!$A:$H,5,FALSE)</f>
        <v>#REF!</v>
      </c>
      <c r="N9" s="11" t="e">
        <f>VLOOKUP(#REF!,[1]character_tribe_i18n!$A:$H,6,FALSE)</f>
        <v>#REF!</v>
      </c>
      <c r="O9" s="11" t="e">
        <f>VLOOKUP(#REF!,[1]character_tribe_i18n!$A:$H,7,FALSE)</f>
        <v>#REF!</v>
      </c>
      <c r="P9" s="193" t="str">
        <f>VLOOKUP(A9,[1]characters!$A:$W,20)</f>
        <v>normal</v>
      </c>
      <c r="Q9" s="106">
        <v>986</v>
      </c>
      <c r="R9" s="5" t="str">
        <f ca="1">IF(Q9="NULL","",VLOOKUP($Q9,OFFSET([1]characters!$A$1,0,0,COUNTA([1]characters!$A:$A),MATCH(R$1,[1]characters!$1:$1,0)-MATCH($A$1,[1]characters!$1:$1,0)+1),MATCH(R$1,[1]characters!$1:$1,0)-MATCH($A$1,[1]characters!$1:$1,0)+1,FALSE))</f>
        <v>復讐の誓約 エレン</v>
      </c>
      <c r="S9" s="5">
        <f ca="1">IF(ISNA(MATCH(A9,Q:Q,0)),A9,INDIRECT(ADDRESS(MATCH(A9,Q:Q,0),COLUMN())))</f>
        <v>985</v>
      </c>
      <c r="T9" s="5" t="str">
        <f ca="1">VLOOKUP($S9,OFFSET([1]characters!$A$1,0,0,COUNTA([1]characters!$A:$A),MATCH(T$1,[1]characters!$1:$1,0)-MATCH($A$1,[1]characters!$1:$1,0)+1),MATCH(T$1,[1]characters!$1:$1,0)-MATCH($A$1,[1]characters!$1:$1,0)+1,FALSE)</f>
        <v>エレン</v>
      </c>
      <c r="U9" s="11">
        <f ca="1">IF(Q9="NULL","NULL",VLOOKUP(G9,ビット!$A$2:$B$7,2))</f>
        <v>200000</v>
      </c>
      <c r="V9"/>
    </row>
    <row r="10" spans="1:22" ht="21" customHeight="1" x14ac:dyDescent="0.15">
      <c r="A10" s="109">
        <v>988</v>
      </c>
      <c r="B10" s="5" t="str">
        <f ca="1">VLOOKUP($A10,OFFSET([1]characters!$A$1,0,0,COUNTA([1]characters!$A:$A),MATCH(B$1,[1]characters!$1:$1,0)-MATCH($A$1,[1]characters!$1:$1,0)+1),MATCH(B$1,[1]characters!$1:$1,0)-MATCH($A$1,[1]characters!$1:$1,0)+1,FALSE)</f>
        <v>ミカサ</v>
      </c>
      <c r="C10" s="5" t="str">
        <f ca="1">VLOOKUP($A10,OFFSET([1]characters!$A$1,0,0,COUNTA([1]characters!$A:$A),MATCH(C$1,[1]characters!$1:$1,0)-MATCH($A$1,[1]characters!$1:$1,0)+1),MATCH(C$1,[1]characters!$1:$1,0)-MATCH($A$1,[1]characters!$1:$1,0)+1,FALSE)</f>
        <v>ミカサ・アッカーマン</v>
      </c>
      <c r="D10" s="5" t="str">
        <f ca="1">VLOOKUP($A10,OFFSET([1]characters!$A$1,0,0,COUNTA([1]characters!$A:$A),MATCH(D$1,[1]characters!$1:$1,0)-MATCH($A$1,[1]characters!$1:$1,0)+1),MATCH(D$1,[1]characters!$1:$1,0)-MATCH($A$1,[1]characters!$1:$1,0)+1,FALSE)</f>
        <v>執行者</v>
      </c>
      <c r="E10" s="5" t="str">
        <f ca="1">VLOOKUP($A10,OFFSET([1]characters!$A$1,0,0,COUNTA([1]characters!$A:$A),MATCH(E$1,[1]characters!$1:$1,0)-MATCH($A$1,[1]characters!$1:$1,0)+1),MATCH(E$1,[1]characters!$1:$1,0)-MATCH($A$1,[1]characters!$1:$1,0)+1,FALSE)</f>
        <v>格好いい</v>
      </c>
      <c r="F10" s="5" t="str">
        <f ca="1">VLOOKUP($A10,OFFSET([1]characters!$A$1,0,0,COUNTA([1]characters!$A:$A),MATCH(F$1,[1]characters!$1:$1,0)-MATCH($A$1,[1]characters!$1:$1,0)+1),MATCH(F$1,[1]characters!$1:$1,0)-MATCH($A$1,[1]characters!$1:$1,0)+1,FALSE)</f>
        <v>男性</v>
      </c>
      <c r="G10" s="5">
        <f ca="1">VLOOKUP($A10,OFFSET([1]characters!$A$1,0,0,COUNTA([1]characters!$A:$A),MATCH(G$1,[1]characters!$1:$1,0)-MATCH($A$1,[1]characters!$1:$1,0)+1),MATCH(G$1,[1]characters!$1:$1,0)-MATCH($A$1,[1]characters!$1:$1,0)+1,FALSE)</f>
        <v>5</v>
      </c>
      <c r="H10" s="5" t="str">
        <f ca="1">VLOOKUP($A10,OFFSET([1]characters!$A$1,0,0,COUNTA([1]characters!$A:$A),MATCH(H$1,[1]characters!$1:$1,0)-MATCH($A$1,[1]characters!$1:$1,0)+1),MATCH(H$1,[1]characters!$1:$1,0)-MATCH($A$1,[1]characters!$1:$1,0)+1,FALSE)</f>
        <v>PremiumSS</v>
      </c>
      <c r="I10" s="5" t="str">
        <f ca="1">VLOOKUP($A10,OFFSET([1]characters!$A$1,0,0,COUNTA([1]characters!$A:$A),MATCH(I$1,[1]characters!$1:$1,0)-MATCH($A$1,[1]characters!$1:$1,0)+1),MATCH(I$1,[1]characters!$1:$1,0)-MATCH($A$1,[1]characters!$1:$1,0)+1,FALSE)</f>
        <v>red</v>
      </c>
      <c r="J10" s="5" t="str">
        <f ca="1">VLOOKUP($A10,OFFSET([1]characters!$A$1,0,0,COUNTA([1]characters!$A:$A),MATCH(J$1,[1]characters!$1:$1,0)-MATCH($A$1,[1]characters!$1:$1,0)+1),MATCH(J$1,[1]characters!$1:$1,0)-MATCH($A$1,[1]characters!$1:$1,0)+1,FALSE)</f>
        <v>machine</v>
      </c>
      <c r="K10" s="5" t="str">
        <f ca="1">VLOOKUP(J10,[1]character_tribe_i18n!$A:$H,3,FALSE)</f>
        <v>マシン</v>
      </c>
      <c r="L10" s="11" t="e">
        <f>VLOOKUP(#REF!,[1]character_tribe_i18n!$A:$H,4,FALSE)</f>
        <v>#REF!</v>
      </c>
      <c r="M10" s="11" t="e">
        <f>VLOOKUP(#REF!,[1]character_tribe_i18n!$A:$H,5,FALSE)</f>
        <v>#REF!</v>
      </c>
      <c r="N10" s="11" t="e">
        <f>VLOOKUP(#REF!,[1]character_tribe_i18n!$A:$H,6,FALSE)</f>
        <v>#REF!</v>
      </c>
      <c r="O10" s="11" t="e">
        <f>VLOOKUP(#REF!,[1]character_tribe_i18n!$A:$H,7,FALSE)</f>
        <v>#REF!</v>
      </c>
      <c r="P10" s="193" t="str">
        <f>VLOOKUP(A10,[1]characters!$A:$W,20)</f>
        <v>normal</v>
      </c>
      <c r="Q10" s="106">
        <v>989</v>
      </c>
      <c r="R10" s="5" t="str">
        <f ca="1">IF(Q10="NULL","",VLOOKUP($Q10,OFFSET([1]characters!$A$1,0,0,COUNTA([1]characters!$A:$A),MATCH(R$1,[1]characters!$1:$1,0)-MATCH($A$1,[1]characters!$1:$1,0)+1),MATCH(R$1,[1]characters!$1:$1,0)-MATCH($A$1,[1]characters!$1:$1,0)+1,FALSE))</f>
        <v>稀代の逸材 ミカサ</v>
      </c>
      <c r="S10" s="5">
        <f t="shared" ca="1" si="0"/>
        <v>988</v>
      </c>
      <c r="T10" s="5" t="str">
        <f ca="1">VLOOKUP($S10,OFFSET([1]characters!$A$1,0,0,COUNTA([1]characters!$A:$A),MATCH(T$1,[1]characters!$1:$1,0)-MATCH($A$1,[1]characters!$1:$1,0)+1),MATCH(T$1,[1]characters!$1:$1,0)-MATCH($A$1,[1]characters!$1:$1,0)+1,FALSE)</f>
        <v>ミカサ</v>
      </c>
      <c r="U10" s="11">
        <f ca="1">IF(Q10="NULL","NULL",VLOOKUP(G10,ビット!$A$2:$B$7,2))</f>
        <v>200000</v>
      </c>
      <c r="V10"/>
    </row>
    <row r="11" spans="1:22" ht="21" customHeight="1" x14ac:dyDescent="0.15">
      <c r="A11" s="109">
        <v>990</v>
      </c>
      <c r="B11" s="5" t="str">
        <f ca="1">VLOOKUP($A11,OFFSET([1]characters!$A$1,0,0,COUNTA([1]characters!$A:$A),MATCH(B$1,[1]characters!$1:$1,0)-MATCH($A$1,[1]characters!$1:$1,0)+1),MATCH(B$1,[1]characters!$1:$1,0)-MATCH($A$1,[1]characters!$1:$1,0)+1,FALSE)</f>
        <v>エルヴィン</v>
      </c>
      <c r="C11" s="5" t="str">
        <f ca="1">VLOOKUP($A11,OFFSET([1]characters!$A$1,0,0,COUNTA([1]characters!$A:$A),MATCH(C$1,[1]characters!$1:$1,0)-MATCH($A$1,[1]characters!$1:$1,0)+1),MATCH(C$1,[1]characters!$1:$1,0)-MATCH($A$1,[1]characters!$1:$1,0)+1,FALSE)</f>
        <v>エルヴィン・スミス</v>
      </c>
      <c r="D11" s="5" t="str">
        <f ca="1">VLOOKUP($A11,OFFSET([1]characters!$A$1,0,0,COUNTA([1]characters!$A:$A),MATCH(D$1,[1]characters!$1:$1,0)-MATCH($A$1,[1]characters!$1:$1,0)+1),MATCH(D$1,[1]characters!$1:$1,0)-MATCH($A$1,[1]characters!$1:$1,0)+1,FALSE)</f>
        <v>執行者</v>
      </c>
      <c r="E11" s="5" t="str">
        <f ca="1">VLOOKUP($A11,OFFSET([1]characters!$A$1,0,0,COUNTA([1]characters!$A:$A),MATCH(E$1,[1]characters!$1:$1,0)-MATCH($A$1,[1]characters!$1:$1,0)+1),MATCH(E$1,[1]characters!$1:$1,0)-MATCH($A$1,[1]characters!$1:$1,0)+1,FALSE)</f>
        <v>格好いい</v>
      </c>
      <c r="F11" s="5" t="str">
        <f ca="1">VLOOKUP($A11,OFFSET([1]characters!$A$1,0,0,COUNTA([1]characters!$A:$A),MATCH(F$1,[1]characters!$1:$1,0)-MATCH($A$1,[1]characters!$1:$1,0)+1),MATCH(F$1,[1]characters!$1:$1,0)-MATCH($A$1,[1]characters!$1:$1,0)+1,FALSE)</f>
        <v>男性</v>
      </c>
      <c r="G11" s="5">
        <f ca="1">VLOOKUP($A11,OFFSET([1]characters!$A$1,0,0,COUNTA([1]characters!$A:$A),MATCH(G$1,[1]characters!$1:$1,0)-MATCH($A$1,[1]characters!$1:$1,0)+1),MATCH(G$1,[1]characters!$1:$1,0)-MATCH($A$1,[1]characters!$1:$1,0)+1,FALSE)</f>
        <v>4</v>
      </c>
      <c r="H11" s="5" t="str">
        <f ca="1">VLOOKUP($A11,OFFSET([1]characters!$A$1,0,0,COUNTA([1]characters!$A:$A),MATCH(H$1,[1]characters!$1:$1,0)-MATCH($A$1,[1]characters!$1:$1,0)+1),MATCH(H$1,[1]characters!$1:$1,0)-MATCH($A$1,[1]characters!$1:$1,0)+1,FALSE)</f>
        <v>PremiumS</v>
      </c>
      <c r="I11" s="5" t="str">
        <f ca="1">VLOOKUP($A11,OFFSET([1]characters!$A$1,0,0,COUNTA([1]characters!$A:$A),MATCH(I$1,[1]characters!$1:$1,0)-MATCH($A$1,[1]characters!$1:$1,0)+1),MATCH(I$1,[1]characters!$1:$1,0)-MATCH($A$1,[1]characters!$1:$1,0)+1,FALSE)</f>
        <v>red</v>
      </c>
      <c r="J11" s="5" t="str">
        <f ca="1">VLOOKUP($A11,OFFSET([1]characters!$A$1,0,0,COUNTA([1]characters!$A:$A),MATCH(J$1,[1]characters!$1:$1,0)-MATCH($A$1,[1]characters!$1:$1,0)+1),MATCH(J$1,[1]characters!$1:$1,0)-MATCH($A$1,[1]characters!$1:$1,0)+1,FALSE)</f>
        <v>machine</v>
      </c>
      <c r="K11" s="5" t="str">
        <f ca="1">VLOOKUP(J11,[1]character_tribe_i18n!$A:$H,3,FALSE)</f>
        <v>マシン</v>
      </c>
      <c r="L11" s="11" t="e">
        <f>VLOOKUP(#REF!,[1]character_tribe_i18n!$A:$H,4,FALSE)</f>
        <v>#REF!</v>
      </c>
      <c r="M11" s="11" t="e">
        <f>VLOOKUP(#REF!,[1]character_tribe_i18n!$A:$H,5,FALSE)</f>
        <v>#REF!</v>
      </c>
      <c r="N11" s="11" t="e">
        <f>VLOOKUP(#REF!,[1]character_tribe_i18n!$A:$H,6,FALSE)</f>
        <v>#REF!</v>
      </c>
      <c r="O11" s="11" t="e">
        <f>VLOOKUP(#REF!,[1]character_tribe_i18n!$A:$H,7,FALSE)</f>
        <v>#REF!</v>
      </c>
      <c r="P11" s="193" t="str">
        <f>VLOOKUP(A11,[1]characters!$A:$W,20)</f>
        <v>normal</v>
      </c>
      <c r="Q11" s="106">
        <v>991</v>
      </c>
      <c r="R11" s="5" t="str">
        <f ca="1">IF(Q11="NULL","",VLOOKUP($Q11,OFFSET([1]characters!$A$1,0,0,COUNTA([1]characters!$A:$A),MATCH(R$1,[1]characters!$1:$1,0)-MATCH($A$1,[1]characters!$1:$1,0)+1),MATCH(R$1,[1]characters!$1:$1,0)-MATCH($A$1,[1]characters!$1:$1,0)+1,FALSE))</f>
        <v>反撃の核心 エルヴィン</v>
      </c>
      <c r="S11" s="5">
        <f t="shared" ca="1" si="0"/>
        <v>990</v>
      </c>
      <c r="T11" s="5" t="str">
        <f ca="1">VLOOKUP($S11,OFFSET([1]characters!$A$1,0,0,COUNTA([1]characters!$A:$A),MATCH(T$1,[1]characters!$1:$1,0)-MATCH($A$1,[1]characters!$1:$1,0)+1),MATCH(T$1,[1]characters!$1:$1,0)-MATCH($A$1,[1]characters!$1:$1,0)+1,FALSE)</f>
        <v>エルヴィン</v>
      </c>
      <c r="U11" s="11">
        <f ca="1">IF(Q11="NULL","NULL",VLOOKUP(G11,ビット!$A$2:$B$7,2))</f>
        <v>50000</v>
      </c>
      <c r="V11"/>
    </row>
    <row r="12" spans="1:22" ht="21" customHeight="1" x14ac:dyDescent="0.15">
      <c r="A12" s="109">
        <v>992</v>
      </c>
      <c r="B12" s="5" t="str">
        <f ca="1">VLOOKUP($A12,OFFSET([1]characters!$A$1,0,0,COUNTA([1]characters!$A:$A),MATCH(B$1,[1]characters!$1:$1,0)-MATCH($A$1,[1]characters!$1:$1,0)+1),MATCH(B$1,[1]characters!$1:$1,0)-MATCH($A$1,[1]characters!$1:$1,0)+1,FALSE)</f>
        <v>ハンジ</v>
      </c>
      <c r="C12" s="5" t="str">
        <f ca="1">VLOOKUP($A12,OFFSET([1]characters!$A$1,0,0,COUNTA([1]characters!$A:$A),MATCH(C$1,[1]characters!$1:$1,0)-MATCH($A$1,[1]characters!$1:$1,0)+1),MATCH(C$1,[1]characters!$1:$1,0)-MATCH($A$1,[1]characters!$1:$1,0)+1,FALSE)</f>
        <v>ハンジ・ゾエ</v>
      </c>
      <c r="D12" s="5" t="str">
        <f ca="1">VLOOKUP($A12,OFFSET([1]characters!$A$1,0,0,COUNTA([1]characters!$A:$A),MATCH(D$1,[1]characters!$1:$1,0)-MATCH($A$1,[1]characters!$1:$1,0)+1),MATCH(D$1,[1]characters!$1:$1,0)-MATCH($A$1,[1]characters!$1:$1,0)+1,FALSE)</f>
        <v>執行者</v>
      </c>
      <c r="E12" s="5" t="str">
        <f ca="1">VLOOKUP($A12,OFFSET([1]characters!$A$1,0,0,COUNTA([1]characters!$A:$A),MATCH(E$1,[1]characters!$1:$1,0)-MATCH($A$1,[1]characters!$1:$1,0)+1),MATCH(E$1,[1]characters!$1:$1,0)-MATCH($A$1,[1]characters!$1:$1,0)+1,FALSE)</f>
        <v>格好いい</v>
      </c>
      <c r="F12" s="5" t="str">
        <f ca="1">VLOOKUP($A12,OFFSET([1]characters!$A$1,0,0,COUNTA([1]characters!$A:$A),MATCH(F$1,[1]characters!$1:$1,0)-MATCH($A$1,[1]characters!$1:$1,0)+1),MATCH(F$1,[1]characters!$1:$1,0)-MATCH($A$1,[1]characters!$1:$1,0)+1,FALSE)</f>
        <v>男性</v>
      </c>
      <c r="G12" s="5">
        <f ca="1">VLOOKUP($A12,OFFSET([1]characters!$A$1,0,0,COUNTA([1]characters!$A:$A),MATCH(G$1,[1]characters!$1:$1,0)-MATCH($A$1,[1]characters!$1:$1,0)+1),MATCH(G$1,[1]characters!$1:$1,0)-MATCH($A$1,[1]characters!$1:$1,0)+1,FALSE)</f>
        <v>4</v>
      </c>
      <c r="H12" s="5" t="str">
        <f ca="1">VLOOKUP($A12,OFFSET([1]characters!$A$1,0,0,COUNTA([1]characters!$A:$A),MATCH(H$1,[1]characters!$1:$1,0)-MATCH($A$1,[1]characters!$1:$1,0)+1),MATCH(H$1,[1]characters!$1:$1,0)-MATCH($A$1,[1]characters!$1:$1,0)+1,FALSE)</f>
        <v>PremiumS</v>
      </c>
      <c r="I12" s="5" t="str">
        <f ca="1">VLOOKUP($A12,OFFSET([1]characters!$A$1,0,0,COUNTA([1]characters!$A:$A),MATCH(I$1,[1]characters!$1:$1,0)-MATCH($A$1,[1]characters!$1:$1,0)+1),MATCH(I$1,[1]characters!$1:$1,0)-MATCH($A$1,[1]characters!$1:$1,0)+1,FALSE)</f>
        <v>green</v>
      </c>
      <c r="J12" s="5" t="str">
        <f ca="1">VLOOKUP($A12,OFFSET([1]characters!$A$1,0,0,COUNTA([1]characters!$A:$A),MATCH(J$1,[1]characters!$1:$1,0)-MATCH($A$1,[1]characters!$1:$1,0)+1),MATCH(J$1,[1]characters!$1:$1,0)-MATCH($A$1,[1]characters!$1:$1,0)+1,FALSE)</f>
        <v>machine</v>
      </c>
      <c r="K12" s="5" t="str">
        <f ca="1">VLOOKUP(J12,[1]character_tribe_i18n!$A:$H,3,FALSE)</f>
        <v>マシン</v>
      </c>
      <c r="L12" s="11" t="e">
        <f>VLOOKUP(#REF!,[1]character_tribe_i18n!$A:$H,4,FALSE)</f>
        <v>#REF!</v>
      </c>
      <c r="M12" s="11" t="e">
        <f>VLOOKUP(#REF!,[1]character_tribe_i18n!$A:$H,5,FALSE)</f>
        <v>#REF!</v>
      </c>
      <c r="N12" s="11" t="e">
        <f>VLOOKUP(#REF!,[1]character_tribe_i18n!$A:$H,6,FALSE)</f>
        <v>#REF!</v>
      </c>
      <c r="O12" s="11" t="e">
        <f>VLOOKUP(#REF!,[1]character_tribe_i18n!$A:$H,7,FALSE)</f>
        <v>#REF!</v>
      </c>
      <c r="P12" s="193" t="str">
        <f>VLOOKUP(A12,[1]characters!$A:$W,20)</f>
        <v>normal</v>
      </c>
      <c r="Q12" s="106">
        <v>993</v>
      </c>
      <c r="R12" s="5" t="str">
        <f ca="1">IF(Q12="NULL","",VLOOKUP($Q12,OFFSET([1]characters!$A$1,0,0,COUNTA([1]characters!$A:$A),MATCH(R$1,[1]characters!$1:$1,0)-MATCH($A$1,[1]characters!$1:$1,0)+1),MATCH(R$1,[1]characters!$1:$1,0)-MATCH($A$1,[1]characters!$1:$1,0)+1,FALSE))</f>
        <v>巨躯への執着 ハンジ</v>
      </c>
      <c r="S12" s="5">
        <f t="shared" ca="1" si="0"/>
        <v>992</v>
      </c>
      <c r="T12" s="5" t="str">
        <f ca="1">VLOOKUP($S12,OFFSET([1]characters!$A$1,0,0,COUNTA([1]characters!$A:$A),MATCH(T$1,[1]characters!$1:$1,0)-MATCH($A$1,[1]characters!$1:$1,0)+1),MATCH(T$1,[1]characters!$1:$1,0)-MATCH($A$1,[1]characters!$1:$1,0)+1,FALSE)</f>
        <v>ハンジ</v>
      </c>
      <c r="U12" s="11">
        <f ca="1">IF(Q12="NULL","NULL",VLOOKUP(G12,ビット!$A$2:$B$7,2))</f>
        <v>50000</v>
      </c>
      <c r="V12"/>
    </row>
    <row r="13" spans="1:22" ht="21" customHeight="1" x14ac:dyDescent="0.15">
      <c r="A13" s="109">
        <v>994</v>
      </c>
      <c r="B13" s="5" t="str">
        <f ca="1">VLOOKUP($A13,OFFSET([1]characters!$A$1,0,0,COUNTA([1]characters!$A:$A),MATCH(B$1,[1]characters!$1:$1,0)-MATCH($A$1,[1]characters!$1:$1,0)+1),MATCH(B$1,[1]characters!$1:$1,0)-MATCH($A$1,[1]characters!$1:$1,0)+1,FALSE)</f>
        <v>アルミン</v>
      </c>
      <c r="C13" s="5" t="str">
        <f ca="1">VLOOKUP($A13,OFFSET([1]characters!$A$1,0,0,COUNTA([1]characters!$A:$A),MATCH(C$1,[1]characters!$1:$1,0)-MATCH($A$1,[1]characters!$1:$1,0)+1),MATCH(C$1,[1]characters!$1:$1,0)-MATCH($A$1,[1]characters!$1:$1,0)+1,FALSE)</f>
        <v>アルミン・アルレルト</v>
      </c>
      <c r="D13" s="5" t="str">
        <f ca="1">VLOOKUP($A13,OFFSET([1]characters!$A$1,0,0,COUNTA([1]characters!$A:$A),MATCH(D$1,[1]characters!$1:$1,0)-MATCH($A$1,[1]characters!$1:$1,0)+1),MATCH(D$1,[1]characters!$1:$1,0)-MATCH($A$1,[1]characters!$1:$1,0)+1,FALSE)</f>
        <v>執行者</v>
      </c>
      <c r="E13" s="5" t="str">
        <f ca="1">VLOOKUP($A13,OFFSET([1]characters!$A$1,0,0,COUNTA([1]characters!$A:$A),MATCH(E$1,[1]characters!$1:$1,0)-MATCH($A$1,[1]characters!$1:$1,0)+1),MATCH(E$1,[1]characters!$1:$1,0)-MATCH($A$1,[1]characters!$1:$1,0)+1,FALSE)</f>
        <v>格好いい</v>
      </c>
      <c r="F13" s="5" t="str">
        <f ca="1">VLOOKUP($A13,OFFSET([1]characters!$A$1,0,0,COUNTA([1]characters!$A:$A),MATCH(F$1,[1]characters!$1:$1,0)-MATCH($A$1,[1]characters!$1:$1,0)+1),MATCH(F$1,[1]characters!$1:$1,0)-MATCH($A$1,[1]characters!$1:$1,0)+1,FALSE)</f>
        <v>男性</v>
      </c>
      <c r="G13" s="5">
        <f ca="1">VLOOKUP($A13,OFFSET([1]characters!$A$1,0,0,COUNTA([1]characters!$A:$A),MATCH(G$1,[1]characters!$1:$1,0)-MATCH($A$1,[1]characters!$1:$1,0)+1),MATCH(G$1,[1]characters!$1:$1,0)-MATCH($A$1,[1]characters!$1:$1,0)+1,FALSE)</f>
        <v>4</v>
      </c>
      <c r="H13" s="5" t="str">
        <f ca="1">VLOOKUP($A13,OFFSET([1]characters!$A$1,0,0,COUNTA([1]characters!$A:$A),MATCH(H$1,[1]characters!$1:$1,0)-MATCH($A$1,[1]characters!$1:$1,0)+1),MATCH(H$1,[1]characters!$1:$1,0)-MATCH($A$1,[1]characters!$1:$1,0)+1,FALSE)</f>
        <v>PremiumS</v>
      </c>
      <c r="I13" s="5" t="str">
        <f ca="1">VLOOKUP($A13,OFFSET([1]characters!$A$1,0,0,COUNTA([1]characters!$A:$A),MATCH(I$1,[1]characters!$1:$1,0)-MATCH($A$1,[1]characters!$1:$1,0)+1),MATCH(I$1,[1]characters!$1:$1,0)-MATCH($A$1,[1]characters!$1:$1,0)+1,FALSE)</f>
        <v>green</v>
      </c>
      <c r="J13" s="5" t="str">
        <f ca="1">VLOOKUP($A13,OFFSET([1]characters!$A$1,0,0,COUNTA([1]characters!$A:$A),MATCH(J$1,[1]characters!$1:$1,0)-MATCH($A$1,[1]characters!$1:$1,0)+1),MATCH(J$1,[1]characters!$1:$1,0)-MATCH($A$1,[1]characters!$1:$1,0)+1,FALSE)</f>
        <v>machine</v>
      </c>
      <c r="K13" s="5" t="str">
        <f ca="1">VLOOKUP(J13,[1]character_tribe_i18n!$A:$H,3,FALSE)</f>
        <v>マシン</v>
      </c>
      <c r="L13" s="11" t="e">
        <f>VLOOKUP(#REF!,[1]character_tribe_i18n!$A:$H,4,FALSE)</f>
        <v>#REF!</v>
      </c>
      <c r="M13" s="11" t="e">
        <f>VLOOKUP(#REF!,[1]character_tribe_i18n!$A:$H,5,FALSE)</f>
        <v>#REF!</v>
      </c>
      <c r="N13" s="11" t="e">
        <f>VLOOKUP(#REF!,[1]character_tribe_i18n!$A:$H,6,FALSE)</f>
        <v>#REF!</v>
      </c>
      <c r="O13" s="11" t="e">
        <f>VLOOKUP(#REF!,[1]character_tribe_i18n!$A:$H,7,FALSE)</f>
        <v>#REF!</v>
      </c>
      <c r="P13" s="193" t="str">
        <f>VLOOKUP(A13,[1]characters!$A:$W,20)</f>
        <v>normal</v>
      </c>
      <c r="Q13" s="106">
        <v>995</v>
      </c>
      <c r="R13" s="5" t="str">
        <f ca="1">IF(Q13="NULL","",VLOOKUP($Q13,OFFSET([1]characters!$A$1,0,0,COUNTA([1]characters!$A:$A),MATCH(R$1,[1]characters!$1:$1,0)-MATCH($A$1,[1]characters!$1:$1,0)+1),MATCH(R$1,[1]characters!$1:$1,0)-MATCH($A$1,[1]characters!$1:$1,0)+1,FALSE))</f>
        <v>疾駆する閃略 アルミン</v>
      </c>
      <c r="S13" s="5">
        <f t="shared" ca="1" si="0"/>
        <v>994</v>
      </c>
      <c r="T13" s="5" t="str">
        <f ca="1">VLOOKUP($S13,OFFSET([1]characters!$A$1,0,0,COUNTA([1]characters!$A:$A),MATCH(T$1,[1]characters!$1:$1,0)-MATCH($A$1,[1]characters!$1:$1,0)+1),MATCH(T$1,[1]characters!$1:$1,0)-MATCH($A$1,[1]characters!$1:$1,0)+1,FALSE)</f>
        <v>アルミン</v>
      </c>
      <c r="U13" s="11">
        <f ca="1">IF(Q13="NULL","NULL",VLOOKUP(G13,ビット!$A$2:$B$7,2))</f>
        <v>50000</v>
      </c>
      <c r="V13"/>
    </row>
    <row r="14" spans="1:22" ht="21" customHeight="1" x14ac:dyDescent="0.15">
      <c r="A14" s="109">
        <v>996</v>
      </c>
      <c r="B14" s="5" t="str">
        <f ca="1">VLOOKUP($A14,OFFSET([1]characters!$A$1,0,0,COUNTA([1]characters!$A:$A),MATCH(B$1,[1]characters!$1:$1,0)-MATCH($A$1,[1]characters!$1:$1,0)+1),MATCH(B$1,[1]characters!$1:$1,0)-MATCH($A$1,[1]characters!$1:$1,0)+1,FALSE)</f>
        <v>リヴァイ</v>
      </c>
      <c r="C14" s="5" t="str">
        <f ca="1">VLOOKUP($A14,OFFSET([1]characters!$A$1,0,0,COUNTA([1]characters!$A:$A),MATCH(C$1,[1]characters!$1:$1,0)-MATCH($A$1,[1]characters!$1:$1,0)+1),MATCH(C$1,[1]characters!$1:$1,0)-MATCH($A$1,[1]characters!$1:$1,0)+1,FALSE)</f>
        <v>リヴァイ</v>
      </c>
      <c r="D14" s="5" t="str">
        <f ca="1">VLOOKUP($A14,OFFSET([1]characters!$A$1,0,0,COUNTA([1]characters!$A:$A),MATCH(D$1,[1]characters!$1:$1,0)-MATCH($A$1,[1]characters!$1:$1,0)+1),MATCH(D$1,[1]characters!$1:$1,0)-MATCH($A$1,[1]characters!$1:$1,0)+1,FALSE)</f>
        <v>執行者</v>
      </c>
      <c r="E14" s="5" t="str">
        <f ca="1">VLOOKUP($A14,OFFSET([1]characters!$A$1,0,0,COUNTA([1]characters!$A:$A),MATCH(E$1,[1]characters!$1:$1,0)-MATCH($A$1,[1]characters!$1:$1,0)+1),MATCH(E$1,[1]characters!$1:$1,0)-MATCH($A$1,[1]characters!$1:$1,0)+1,FALSE)</f>
        <v>格好いい</v>
      </c>
      <c r="F14" s="5" t="str">
        <f ca="1">VLOOKUP($A14,OFFSET([1]characters!$A$1,0,0,COUNTA([1]characters!$A:$A),MATCH(F$1,[1]characters!$1:$1,0)-MATCH($A$1,[1]characters!$1:$1,0)+1),MATCH(F$1,[1]characters!$1:$1,0)-MATCH($A$1,[1]characters!$1:$1,0)+1,FALSE)</f>
        <v>男性</v>
      </c>
      <c r="G14" s="5">
        <f ca="1">VLOOKUP($A14,OFFSET([1]characters!$A$1,0,0,COUNTA([1]characters!$A:$A),MATCH(G$1,[1]characters!$1:$1,0)-MATCH($A$1,[1]characters!$1:$1,0)+1),MATCH(G$1,[1]characters!$1:$1,0)-MATCH($A$1,[1]characters!$1:$1,0)+1,FALSE)</f>
        <v>5</v>
      </c>
      <c r="H14" s="5" t="str">
        <f ca="1">VLOOKUP($A14,OFFSET([1]characters!$A$1,0,0,COUNTA([1]characters!$A:$A),MATCH(H$1,[1]characters!$1:$1,0)-MATCH($A$1,[1]characters!$1:$1,0)+1),MATCH(H$1,[1]characters!$1:$1,0)-MATCH($A$1,[1]characters!$1:$1,0)+1,FALSE)</f>
        <v>PremiumSS</v>
      </c>
      <c r="I14" s="5" t="str">
        <f ca="1">VLOOKUP($A14,OFFSET([1]characters!$A$1,0,0,COUNTA([1]characters!$A:$A),MATCH(I$1,[1]characters!$1:$1,0)-MATCH($A$1,[1]characters!$1:$1,0)+1),MATCH(I$1,[1]characters!$1:$1,0)-MATCH($A$1,[1]characters!$1:$1,0)+1,FALSE)</f>
        <v>blue</v>
      </c>
      <c r="J14" s="5" t="str">
        <f ca="1">VLOOKUP($A14,OFFSET([1]characters!$A$1,0,0,COUNTA([1]characters!$A:$A),MATCH(J$1,[1]characters!$1:$1,0)-MATCH($A$1,[1]characters!$1:$1,0)+1),MATCH(J$1,[1]characters!$1:$1,0)-MATCH($A$1,[1]characters!$1:$1,0)+1,FALSE)</f>
        <v>machine</v>
      </c>
      <c r="K14" s="5" t="str">
        <f ca="1">VLOOKUP(J14,[1]character_tribe_i18n!$A:$H,3,FALSE)</f>
        <v>マシン</v>
      </c>
      <c r="L14" s="11" t="e">
        <f>VLOOKUP(#REF!,[1]character_tribe_i18n!$A:$H,4,FALSE)</f>
        <v>#REF!</v>
      </c>
      <c r="M14" s="11" t="e">
        <f>VLOOKUP(#REF!,[1]character_tribe_i18n!$A:$H,5,FALSE)</f>
        <v>#REF!</v>
      </c>
      <c r="N14" s="11" t="e">
        <f>VLOOKUP(#REF!,[1]character_tribe_i18n!$A:$H,6,FALSE)</f>
        <v>#REF!</v>
      </c>
      <c r="O14" s="11" t="e">
        <f>VLOOKUP(#REF!,[1]character_tribe_i18n!$A:$H,7,FALSE)</f>
        <v>#REF!</v>
      </c>
      <c r="P14" s="193" t="str">
        <f>VLOOKUP(A14,[1]characters!$A:$W,20)</f>
        <v>normal</v>
      </c>
      <c r="Q14" s="106">
        <v>997</v>
      </c>
      <c r="R14" s="5" t="str">
        <f ca="1">IF(Q14="NULL","",VLOOKUP($Q14,OFFSET([1]characters!$A$1,0,0,COUNTA([1]characters!$A:$A),MATCH(R$1,[1]characters!$1:$1,0)-MATCH($A$1,[1]characters!$1:$1,0)+1),MATCH(R$1,[1]characters!$1:$1,0)-MATCH($A$1,[1]characters!$1:$1,0)+1,FALSE))</f>
        <v>人類最強 リヴァイ</v>
      </c>
      <c r="S14" s="5">
        <f t="shared" ca="1" si="0"/>
        <v>996</v>
      </c>
      <c r="T14" s="5" t="str">
        <f ca="1">VLOOKUP($S14,OFFSET([1]characters!$A$1,0,0,COUNTA([1]characters!$A:$A),MATCH(T$1,[1]characters!$1:$1,0)-MATCH($A$1,[1]characters!$1:$1,0)+1),MATCH(T$1,[1]characters!$1:$1,0)-MATCH($A$1,[1]characters!$1:$1,0)+1,FALSE)</f>
        <v>リヴァイ</v>
      </c>
      <c r="U14" s="11">
        <f ca="1">IF(Q14="NULL","NULL",VLOOKUP(G14,ビット!$A$2:$B$7,2))</f>
        <v>200000</v>
      </c>
      <c r="V14"/>
    </row>
    <row r="15" spans="1:22" ht="21" customHeight="1" x14ac:dyDescent="0.15">
      <c r="A15" s="109">
        <v>998</v>
      </c>
      <c r="B15" s="5" t="str">
        <f ca="1">VLOOKUP($A15,OFFSET([1]characters!$A$1,0,0,COUNTA([1]characters!$A:$A),MATCH(B$1,[1]characters!$1:$1,0)-MATCH($A$1,[1]characters!$1:$1,0)+1),MATCH(B$1,[1]characters!$1:$1,0)-MATCH($A$1,[1]characters!$1:$1,0)+1,FALSE)</f>
        <v>サシャ</v>
      </c>
      <c r="C15" s="5" t="str">
        <f ca="1">VLOOKUP($A15,OFFSET([1]characters!$A$1,0,0,COUNTA([1]characters!$A:$A),MATCH(C$1,[1]characters!$1:$1,0)-MATCH($A$1,[1]characters!$1:$1,0)+1),MATCH(C$1,[1]characters!$1:$1,0)-MATCH($A$1,[1]characters!$1:$1,0)+1,FALSE)</f>
        <v>サシャ・ブラウス</v>
      </c>
      <c r="D15" s="5" t="str">
        <f ca="1">VLOOKUP($A15,OFFSET([1]characters!$A$1,0,0,COUNTA([1]characters!$A:$A),MATCH(D$1,[1]characters!$1:$1,0)-MATCH($A$1,[1]characters!$1:$1,0)+1),MATCH(D$1,[1]characters!$1:$1,0)-MATCH($A$1,[1]characters!$1:$1,0)+1,FALSE)</f>
        <v>執行者</v>
      </c>
      <c r="E15" s="5" t="str">
        <f ca="1">VLOOKUP($A15,OFFSET([1]characters!$A$1,0,0,COUNTA([1]characters!$A:$A),MATCH(E$1,[1]characters!$1:$1,0)-MATCH($A$1,[1]characters!$1:$1,0)+1),MATCH(E$1,[1]characters!$1:$1,0)-MATCH($A$1,[1]characters!$1:$1,0)+1,FALSE)</f>
        <v>格好いい</v>
      </c>
      <c r="F15" s="5" t="str">
        <f ca="1">VLOOKUP($A15,OFFSET([1]characters!$A$1,0,0,COUNTA([1]characters!$A:$A),MATCH(F$1,[1]characters!$1:$1,0)-MATCH($A$1,[1]characters!$1:$1,0)+1),MATCH(F$1,[1]characters!$1:$1,0)-MATCH($A$1,[1]characters!$1:$1,0)+1,FALSE)</f>
        <v>男性</v>
      </c>
      <c r="G15" s="5">
        <f ca="1">VLOOKUP($A15,OFFSET([1]characters!$A$1,0,0,COUNTA([1]characters!$A:$A),MATCH(G$1,[1]characters!$1:$1,0)-MATCH($A$1,[1]characters!$1:$1,0)+1),MATCH(G$1,[1]characters!$1:$1,0)-MATCH($A$1,[1]characters!$1:$1,0)+1,FALSE)</f>
        <v>4</v>
      </c>
      <c r="H15" s="5" t="str">
        <f ca="1">VLOOKUP($A15,OFFSET([1]characters!$A$1,0,0,COUNTA([1]characters!$A:$A),MATCH(H$1,[1]characters!$1:$1,0)-MATCH($A$1,[1]characters!$1:$1,0)+1),MATCH(H$1,[1]characters!$1:$1,0)-MATCH($A$1,[1]characters!$1:$1,0)+1,FALSE)</f>
        <v>PremiumS</v>
      </c>
      <c r="I15" s="5" t="str">
        <f ca="1">VLOOKUP($A15,OFFSET([1]characters!$A$1,0,0,COUNTA([1]characters!$A:$A),MATCH(I$1,[1]characters!$1:$1,0)-MATCH($A$1,[1]characters!$1:$1,0)+1),MATCH(I$1,[1]characters!$1:$1,0)-MATCH($A$1,[1]characters!$1:$1,0)+1,FALSE)</f>
        <v>blue</v>
      </c>
      <c r="J15" s="5" t="str">
        <f ca="1">VLOOKUP($A15,OFFSET([1]characters!$A$1,0,0,COUNTA([1]characters!$A:$A),MATCH(J$1,[1]characters!$1:$1,0)-MATCH($A$1,[1]characters!$1:$1,0)+1),MATCH(J$1,[1]characters!$1:$1,0)-MATCH($A$1,[1]characters!$1:$1,0)+1,FALSE)</f>
        <v>machine</v>
      </c>
      <c r="K15" s="5" t="str">
        <f ca="1">VLOOKUP(J15,[1]character_tribe_i18n!$A:$H,3,FALSE)</f>
        <v>マシン</v>
      </c>
      <c r="L15" s="11" t="e">
        <f>VLOOKUP(#REF!,[1]character_tribe_i18n!$A:$H,4,FALSE)</f>
        <v>#REF!</v>
      </c>
      <c r="M15" s="11" t="e">
        <f>VLOOKUP(#REF!,[1]character_tribe_i18n!$A:$H,5,FALSE)</f>
        <v>#REF!</v>
      </c>
      <c r="N15" s="11" t="e">
        <f>VLOOKUP(#REF!,[1]character_tribe_i18n!$A:$H,6,FALSE)</f>
        <v>#REF!</v>
      </c>
      <c r="O15" s="11" t="e">
        <f>VLOOKUP(#REF!,[1]character_tribe_i18n!$A:$H,7,FALSE)</f>
        <v>#REF!</v>
      </c>
      <c r="P15" s="193" t="str">
        <f>VLOOKUP(A15,[1]characters!$A:$W,20)</f>
        <v>normal</v>
      </c>
      <c r="Q15" s="106">
        <v>999</v>
      </c>
      <c r="R15" s="5" t="str">
        <f ca="1">IF(Q15="NULL","",VLOOKUP($Q15,OFFSET([1]characters!$A$1,0,0,COUNTA([1]characters!$A:$A),MATCH(R$1,[1]characters!$1:$1,0)-MATCH($A$1,[1]characters!$1:$1,0)+1),MATCH(R$1,[1]characters!$1:$1,0)-MATCH($A$1,[1]characters!$1:$1,0)+1,FALSE))</f>
        <v>無尽蔵の食猟 サシャ</v>
      </c>
      <c r="S15" s="5">
        <f t="shared" ca="1" si="0"/>
        <v>998</v>
      </c>
      <c r="T15" s="5" t="str">
        <f ca="1">VLOOKUP($S15,OFFSET([1]characters!$A$1,0,0,COUNTA([1]characters!$A:$A),MATCH(T$1,[1]characters!$1:$1,0)-MATCH($A$1,[1]characters!$1:$1,0)+1),MATCH(T$1,[1]characters!$1:$1,0)-MATCH($A$1,[1]characters!$1:$1,0)+1,FALSE)</f>
        <v>サシャ</v>
      </c>
      <c r="U15" s="11">
        <f ca="1">IF(Q15="NULL","NULL",VLOOKUP(G15,ビット!$A$2:$B$7,2))</f>
        <v>50000</v>
      </c>
      <c r="V15"/>
    </row>
    <row r="16" spans="1:22" ht="21" customHeight="1" x14ac:dyDescent="0.15">
      <c r="A16" s="109">
        <v>1000</v>
      </c>
      <c r="B16" s="5" t="str">
        <f ca="1">VLOOKUP($A16,OFFSET([1]characters!$A$1,0,0,COUNTA([1]characters!$A:$A),MATCH(B$1,[1]characters!$1:$1,0)-MATCH($A$1,[1]characters!$1:$1,0)+1),MATCH(B$1,[1]characters!$1:$1,0)-MATCH($A$1,[1]characters!$1:$1,0)+1,FALSE)</f>
        <v>クリスタ</v>
      </c>
      <c r="C16" s="5" t="str">
        <f ca="1">VLOOKUP($A16,OFFSET([1]characters!$A$1,0,0,COUNTA([1]characters!$A:$A),MATCH(C$1,[1]characters!$1:$1,0)-MATCH($A$1,[1]characters!$1:$1,0)+1),MATCH(C$1,[1]characters!$1:$1,0)-MATCH($A$1,[1]characters!$1:$1,0)+1,FALSE)</f>
        <v>クリスタ・レンズ</v>
      </c>
      <c r="D16" s="5" t="str">
        <f ca="1">VLOOKUP($A16,OFFSET([1]characters!$A$1,0,0,COUNTA([1]characters!$A:$A),MATCH(D$1,[1]characters!$1:$1,0)-MATCH($A$1,[1]characters!$1:$1,0)+1),MATCH(D$1,[1]characters!$1:$1,0)-MATCH($A$1,[1]characters!$1:$1,0)+1,FALSE)</f>
        <v>執行者</v>
      </c>
      <c r="E16" s="5" t="str">
        <f ca="1">VLOOKUP($A16,OFFSET([1]characters!$A$1,0,0,COUNTA([1]characters!$A:$A),MATCH(E$1,[1]characters!$1:$1,0)-MATCH($A$1,[1]characters!$1:$1,0)+1),MATCH(E$1,[1]characters!$1:$1,0)-MATCH($A$1,[1]characters!$1:$1,0)+1,FALSE)</f>
        <v>格好いい</v>
      </c>
      <c r="F16" s="5" t="str">
        <f ca="1">VLOOKUP($A16,OFFSET([1]characters!$A$1,0,0,COUNTA([1]characters!$A:$A),MATCH(F$1,[1]characters!$1:$1,0)-MATCH($A$1,[1]characters!$1:$1,0)+1),MATCH(F$1,[1]characters!$1:$1,0)-MATCH($A$1,[1]characters!$1:$1,0)+1,FALSE)</f>
        <v>男性</v>
      </c>
      <c r="G16" s="5">
        <f ca="1">VLOOKUP($A16,OFFSET([1]characters!$A$1,0,0,COUNTA([1]characters!$A:$A),MATCH(G$1,[1]characters!$1:$1,0)-MATCH($A$1,[1]characters!$1:$1,0)+1),MATCH(G$1,[1]characters!$1:$1,0)-MATCH($A$1,[1]characters!$1:$1,0)+1,FALSE)</f>
        <v>4</v>
      </c>
      <c r="H16" s="5" t="str">
        <f ca="1">VLOOKUP($A16,OFFSET([1]characters!$A$1,0,0,COUNTA([1]characters!$A:$A),MATCH(H$1,[1]characters!$1:$1,0)-MATCH($A$1,[1]characters!$1:$1,0)+1),MATCH(H$1,[1]characters!$1:$1,0)-MATCH($A$1,[1]characters!$1:$1,0)+1,FALSE)</f>
        <v>PremiumS</v>
      </c>
      <c r="I16" s="5" t="str">
        <f ca="1">VLOOKUP($A16,OFFSET([1]characters!$A$1,0,0,COUNTA([1]characters!$A:$A),MATCH(I$1,[1]characters!$1:$1,0)-MATCH($A$1,[1]characters!$1:$1,0)+1),MATCH(I$1,[1]characters!$1:$1,0)-MATCH($A$1,[1]characters!$1:$1,0)+1,FALSE)</f>
        <v>yellow</v>
      </c>
      <c r="J16" s="5" t="str">
        <f ca="1">VLOOKUP($A16,OFFSET([1]characters!$A$1,0,0,COUNTA([1]characters!$A:$A),MATCH(J$1,[1]characters!$1:$1,0)-MATCH($A$1,[1]characters!$1:$1,0)+1),MATCH(J$1,[1]characters!$1:$1,0)-MATCH($A$1,[1]characters!$1:$1,0)+1,FALSE)</f>
        <v>machine</v>
      </c>
      <c r="K16" s="5" t="str">
        <f ca="1">VLOOKUP(J16,[1]character_tribe_i18n!$A:$H,3,FALSE)</f>
        <v>マシン</v>
      </c>
      <c r="L16" s="11" t="e">
        <f>VLOOKUP(#REF!,[1]character_tribe_i18n!$A:$H,4,FALSE)</f>
        <v>#REF!</v>
      </c>
      <c r="M16" s="11" t="e">
        <f>VLOOKUP(#REF!,[1]character_tribe_i18n!$A:$H,5,FALSE)</f>
        <v>#REF!</v>
      </c>
      <c r="N16" s="11" t="e">
        <f>VLOOKUP(#REF!,[1]character_tribe_i18n!$A:$H,6,FALSE)</f>
        <v>#REF!</v>
      </c>
      <c r="O16" s="11" t="e">
        <f>VLOOKUP(#REF!,[1]character_tribe_i18n!$A:$H,7,FALSE)</f>
        <v>#REF!</v>
      </c>
      <c r="P16" s="193" t="str">
        <f>VLOOKUP(A16,[1]characters!$A:$W,20)</f>
        <v>normal</v>
      </c>
      <c r="Q16" s="106">
        <v>1001</v>
      </c>
      <c r="R16" s="5" t="str">
        <f ca="1">IF(Q16="NULL","",VLOOKUP($Q16,OFFSET([1]characters!$A$1,0,0,COUNTA([1]characters!$A:$A),MATCH(R$1,[1]characters!$1:$1,0)-MATCH($A$1,[1]characters!$1:$1,0)+1),MATCH(R$1,[1]characters!$1:$1,0)-MATCH($A$1,[1]characters!$1:$1,0)+1,FALSE))</f>
        <v>細愛の女神 クリスタ</v>
      </c>
      <c r="S16" s="5">
        <f t="shared" ca="1" si="0"/>
        <v>1000</v>
      </c>
      <c r="T16" s="5" t="str">
        <f ca="1">VLOOKUP($S16,OFFSET([1]characters!$A$1,0,0,COUNTA([1]characters!$A:$A),MATCH(T$1,[1]characters!$1:$1,0)-MATCH($A$1,[1]characters!$1:$1,0)+1),MATCH(T$1,[1]characters!$1:$1,0)-MATCH($A$1,[1]characters!$1:$1,0)+1,FALSE)</f>
        <v>クリスタ</v>
      </c>
      <c r="U16" s="11">
        <f ca="1">IF(Q16="NULL","NULL",VLOOKUP(G16,ビット!$A$2:$B$7,2))</f>
        <v>50000</v>
      </c>
      <c r="V16"/>
    </row>
    <row r="17" spans="1:22" ht="21" customHeight="1" x14ac:dyDescent="0.15">
      <c r="A17" s="109">
        <v>1002</v>
      </c>
      <c r="B17" s="5" t="str">
        <f ca="1">VLOOKUP($A17,OFFSET([1]characters!$A$1,0,0,COUNTA([1]characters!$A:$A),MATCH(B$1,[1]characters!$1:$1,0)-MATCH($A$1,[1]characters!$1:$1,0)+1),MATCH(B$1,[1]characters!$1:$1,0)-MATCH($A$1,[1]characters!$1:$1,0)+1,FALSE)</f>
        <v>ジャン</v>
      </c>
      <c r="C17" s="5" t="str">
        <f ca="1">VLOOKUP($A17,OFFSET([1]characters!$A$1,0,0,COUNTA([1]characters!$A:$A),MATCH(C$1,[1]characters!$1:$1,0)-MATCH($A$1,[1]characters!$1:$1,0)+1),MATCH(C$1,[1]characters!$1:$1,0)-MATCH($A$1,[1]characters!$1:$1,0)+1,FALSE)</f>
        <v>ジャン・キルシュタイン</v>
      </c>
      <c r="D17" s="5" t="str">
        <f ca="1">VLOOKUP($A17,OFFSET([1]characters!$A$1,0,0,COUNTA([1]characters!$A:$A),MATCH(D$1,[1]characters!$1:$1,0)-MATCH($A$1,[1]characters!$1:$1,0)+1),MATCH(D$1,[1]characters!$1:$1,0)-MATCH($A$1,[1]characters!$1:$1,0)+1,FALSE)</f>
        <v>執行者</v>
      </c>
      <c r="E17" s="5" t="str">
        <f ca="1">VLOOKUP($A17,OFFSET([1]characters!$A$1,0,0,COUNTA([1]characters!$A:$A),MATCH(E$1,[1]characters!$1:$1,0)-MATCH($A$1,[1]characters!$1:$1,0)+1),MATCH(E$1,[1]characters!$1:$1,0)-MATCH($A$1,[1]characters!$1:$1,0)+1,FALSE)</f>
        <v>格好いい</v>
      </c>
      <c r="F17" s="5" t="str">
        <f ca="1">VLOOKUP($A17,OFFSET([1]characters!$A$1,0,0,COUNTA([1]characters!$A:$A),MATCH(F$1,[1]characters!$1:$1,0)-MATCH($A$1,[1]characters!$1:$1,0)+1),MATCH(F$1,[1]characters!$1:$1,0)-MATCH($A$1,[1]characters!$1:$1,0)+1,FALSE)</f>
        <v>男性</v>
      </c>
      <c r="G17" s="5">
        <f ca="1">VLOOKUP($A17,OFFSET([1]characters!$A$1,0,0,COUNTA([1]characters!$A:$A),MATCH(G$1,[1]characters!$1:$1,0)-MATCH($A$1,[1]characters!$1:$1,0)+1),MATCH(G$1,[1]characters!$1:$1,0)-MATCH($A$1,[1]characters!$1:$1,0)+1,FALSE)</f>
        <v>4</v>
      </c>
      <c r="H17" s="5" t="str">
        <f ca="1">VLOOKUP($A17,OFFSET([1]characters!$A$1,0,0,COUNTA([1]characters!$A:$A),MATCH(H$1,[1]characters!$1:$1,0)-MATCH($A$1,[1]characters!$1:$1,0)+1),MATCH(H$1,[1]characters!$1:$1,0)-MATCH($A$1,[1]characters!$1:$1,0)+1,FALSE)</f>
        <v>PremiumS</v>
      </c>
      <c r="I17" s="5" t="str">
        <f ca="1">VLOOKUP($A17,OFFSET([1]characters!$A$1,0,0,COUNTA([1]characters!$A:$A),MATCH(I$1,[1]characters!$1:$1,0)-MATCH($A$1,[1]characters!$1:$1,0)+1),MATCH(I$1,[1]characters!$1:$1,0)-MATCH($A$1,[1]characters!$1:$1,0)+1,FALSE)</f>
        <v>yellow</v>
      </c>
      <c r="J17" s="5" t="str">
        <f ca="1">VLOOKUP($A17,OFFSET([1]characters!$A$1,0,0,COUNTA([1]characters!$A:$A),MATCH(J$1,[1]characters!$1:$1,0)-MATCH($A$1,[1]characters!$1:$1,0)+1),MATCH(J$1,[1]characters!$1:$1,0)-MATCH($A$1,[1]characters!$1:$1,0)+1,FALSE)</f>
        <v>machine</v>
      </c>
      <c r="K17" s="5" t="str">
        <f ca="1">VLOOKUP(J17,[1]character_tribe_i18n!$A:$H,3,FALSE)</f>
        <v>マシン</v>
      </c>
      <c r="L17" s="11" t="e">
        <f>VLOOKUP(#REF!,[1]character_tribe_i18n!$A:$H,4,FALSE)</f>
        <v>#REF!</v>
      </c>
      <c r="M17" s="11" t="e">
        <f>VLOOKUP(#REF!,[1]character_tribe_i18n!$A:$H,5,FALSE)</f>
        <v>#REF!</v>
      </c>
      <c r="N17" s="11" t="e">
        <f>VLOOKUP(#REF!,[1]character_tribe_i18n!$A:$H,6,FALSE)</f>
        <v>#REF!</v>
      </c>
      <c r="O17" s="11" t="e">
        <f>VLOOKUP(#REF!,[1]character_tribe_i18n!$A:$H,7,FALSE)</f>
        <v>#REF!</v>
      </c>
      <c r="P17" s="193" t="str">
        <f>VLOOKUP(A17,[1]characters!$A:$W,20)</f>
        <v>normal</v>
      </c>
      <c r="Q17" s="106">
        <v>1003</v>
      </c>
      <c r="R17" s="5" t="str">
        <f ca="1">IF(Q17="NULL","",VLOOKUP($Q17,OFFSET([1]characters!$A$1,0,0,COUNTA([1]characters!$A:$A),MATCH(R$1,[1]characters!$1:$1,0)-MATCH($A$1,[1]characters!$1:$1,0)+1),MATCH(R$1,[1]characters!$1:$1,0)-MATCH($A$1,[1]characters!$1:$1,0)+1,FALSE))</f>
        <v>真義の勇抱 ジャン</v>
      </c>
      <c r="S17" s="5">
        <f t="shared" ca="1" si="0"/>
        <v>1002</v>
      </c>
      <c r="T17" s="5" t="str">
        <f ca="1">VLOOKUP($S17,OFFSET([1]characters!$A$1,0,0,COUNTA([1]characters!$A:$A),MATCH(T$1,[1]characters!$1:$1,0)-MATCH($A$1,[1]characters!$1:$1,0)+1),MATCH(T$1,[1]characters!$1:$1,0)-MATCH($A$1,[1]characters!$1:$1,0)+1,FALSE)</f>
        <v>ジャン</v>
      </c>
      <c r="U17" s="11">
        <f ca="1">IF(Q17="NULL","NULL",VLOOKUP(G17,ビット!$A$2:$B$7,2))</f>
        <v>50000</v>
      </c>
      <c r="V17"/>
    </row>
  </sheetData>
  <autoFilter ref="A1:U2"/>
  <phoneticPr fontId="22"/>
  <conditionalFormatting sqref="W1:W7 W18:W1048576">
    <cfRule type="cellIs" dxfId="28" priority="6" operator="equal">
      <formula>"FALSE"</formula>
    </cfRule>
  </conditionalFormatting>
  <conditionalFormatting sqref="W10 W12 W14 W16">
    <cfRule type="cellIs" dxfId="27" priority="5" operator="equal">
      <formula>"FALSE"</formula>
    </cfRule>
  </conditionalFormatting>
  <conditionalFormatting sqref="W11 W13 W15">
    <cfRule type="cellIs" dxfId="26" priority="4" operator="equal">
      <formula>"FALSE"</formula>
    </cfRule>
  </conditionalFormatting>
  <conditionalFormatting sqref="W8">
    <cfRule type="cellIs" dxfId="25" priority="3" operator="equal">
      <formula>"FALSE"</formula>
    </cfRule>
  </conditionalFormatting>
  <conditionalFormatting sqref="W17">
    <cfRule type="cellIs" dxfId="24" priority="2" operator="equal">
      <formula>"FALSE"</formula>
    </cfRule>
  </conditionalFormatting>
  <conditionalFormatting sqref="W9">
    <cfRule type="cellIs" dxfId="23"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53"/>
  <sheetViews>
    <sheetView showGridLines="0" workbookViewId="0">
      <pane ySplit="1" topLeftCell="A10" activePane="bottomLeft" state="frozen"/>
      <selection pane="bottomLeft" activeCell="H27" sqref="H27"/>
    </sheetView>
  </sheetViews>
  <sheetFormatPr baseColWidth="12" defaultColWidth="13" defaultRowHeight="15" x14ac:dyDescent="0.15"/>
  <cols>
    <col min="1" max="1" width="11.5" style="62" bestFit="1" customWidth="1"/>
    <col min="2" max="2" width="19.1640625" style="3" bestFit="1" customWidth="1"/>
    <col min="3" max="3" width="22.83203125" style="2" bestFit="1" customWidth="1"/>
    <col min="4" max="4" width="19.6640625" style="2" bestFit="1" customWidth="1"/>
    <col min="5" max="5" width="13.6640625" style="2" bestFit="1" customWidth="1"/>
    <col min="6" max="6" width="21.33203125" style="2" bestFit="1" customWidth="1"/>
    <col min="7" max="7" width="13.5" style="2" bestFit="1" customWidth="1"/>
    <col min="8" max="8" width="17" style="1" bestFit="1" customWidth="1"/>
    <col min="9" max="16384" width="13" style="2"/>
  </cols>
  <sheetData>
    <row r="1" spans="1:13" ht="21" customHeight="1" x14ac:dyDescent="0.15">
      <c r="A1" s="62" t="s">
        <v>462</v>
      </c>
      <c r="B1" s="40" t="s">
        <v>463</v>
      </c>
      <c r="C1" s="210" t="s">
        <v>464</v>
      </c>
      <c r="D1" s="19" t="s">
        <v>465</v>
      </c>
      <c r="E1" s="19" t="s">
        <v>466</v>
      </c>
      <c r="F1" s="19" t="s">
        <v>467</v>
      </c>
      <c r="G1" s="211" t="s">
        <v>468</v>
      </c>
      <c r="H1" s="19" t="s">
        <v>465</v>
      </c>
      <c r="I1" s="41" t="s">
        <v>36</v>
      </c>
      <c r="J1" s="19" t="s">
        <v>465</v>
      </c>
      <c r="K1" s="18" t="s">
        <v>37</v>
      </c>
      <c r="L1" s="212" t="s">
        <v>469</v>
      </c>
      <c r="M1" s="211" t="s">
        <v>470</v>
      </c>
    </row>
    <row r="2" spans="1:13" ht="21" customHeight="1" x14ac:dyDescent="0.15">
      <c r="A2" s="62" t="str">
        <f t="shared" ref="A2" si="0">B2&amp;"_"&amp;I2</f>
        <v>977_109</v>
      </c>
      <c r="B2" s="194">
        <v>977</v>
      </c>
      <c r="C2" s="195">
        <f t="shared" ref="C2:C33" si="1">B2</f>
        <v>977</v>
      </c>
      <c r="D2" s="196" t="str">
        <f ca="1">VLOOKUP(B2,units!A:B,2)</f>
        <v>リヴァイ お掃除ver</v>
      </c>
      <c r="E2" s="196" t="e">
        <v>#VALUE!</v>
      </c>
      <c r="F2" s="196" t="e">
        <v>#VALUE!</v>
      </c>
      <c r="G2" s="197">
        <f>VLOOKUP(B2,fork_awake_units!A:Q,17,FALSE )</f>
        <v>978</v>
      </c>
      <c r="H2" s="196" t="e">
        <v>#VALUE!</v>
      </c>
      <c r="I2" s="194">
        <v>109</v>
      </c>
      <c r="J2" s="196" t="str">
        <f>VLOOKUP(I2,[1]characters!$A:$C,3,FALSE)</f>
        <v>ブルーチェシャ</v>
      </c>
      <c r="K2" s="198">
        <v>1</v>
      </c>
      <c r="L2" s="199">
        <v>1</v>
      </c>
      <c r="M2" s="199">
        <v>1</v>
      </c>
    </row>
    <row r="3" spans="1:13" ht="21" customHeight="1" x14ac:dyDescent="0.15">
      <c r="A3" s="62" t="str">
        <f t="shared" ref="A3:A5" si="2">B3&amp;"_"&amp;I3</f>
        <v>977_110</v>
      </c>
      <c r="B3" s="194">
        <v>977</v>
      </c>
      <c r="C3" s="195">
        <f t="shared" si="1"/>
        <v>977</v>
      </c>
      <c r="D3" s="196" t="str">
        <f ca="1">VLOOKUP(B3,units!A:B,2)</f>
        <v>リヴァイ お掃除ver</v>
      </c>
      <c r="E3" s="196" t="e">
        <v>#VALUE!</v>
      </c>
      <c r="F3" s="196" t="e">
        <v>#VALUE!</v>
      </c>
      <c r="G3" s="197">
        <f>VLOOKUP(B3,fork_awake_units!A:Q,17,FALSE )</f>
        <v>978</v>
      </c>
      <c r="H3" s="196" t="e">
        <v>#VALUE!</v>
      </c>
      <c r="I3" s="194">
        <v>110</v>
      </c>
      <c r="J3" s="196" t="str">
        <f>VLOOKUP(I3,[1]characters!$A:$C,3,FALSE)</f>
        <v>ブルーラビット</v>
      </c>
      <c r="K3" s="198">
        <v>2</v>
      </c>
      <c r="L3" s="199">
        <v>1</v>
      </c>
      <c r="M3" s="199">
        <v>1</v>
      </c>
    </row>
    <row r="4" spans="1:13" ht="21" customHeight="1" x14ac:dyDescent="0.15">
      <c r="A4" s="62" t="str">
        <f t="shared" ref="A4" si="3">B4&amp;"_"&amp;I4</f>
        <v>977_111</v>
      </c>
      <c r="B4" s="194">
        <v>977</v>
      </c>
      <c r="C4" s="195">
        <f t="shared" si="1"/>
        <v>977</v>
      </c>
      <c r="D4" s="196" t="str">
        <f ca="1">VLOOKUP(B4,units!A:B,2)</f>
        <v>リヴァイ お掃除ver</v>
      </c>
      <c r="E4" s="196" t="e">
        <v>#VALUE!</v>
      </c>
      <c r="F4" s="196" t="e">
        <v>#VALUE!</v>
      </c>
      <c r="G4" s="197">
        <f>VLOOKUP(B4,fork_awake_units!A:Q,17,FALSE )</f>
        <v>978</v>
      </c>
      <c r="H4" s="196" t="e">
        <v>#VALUE!</v>
      </c>
      <c r="I4" s="194">
        <v>111</v>
      </c>
      <c r="J4" s="196" t="str">
        <f>VLOOKUP(I4,[1]characters!$A:$C,3,FALSE)</f>
        <v>ブルーキャタップ</v>
      </c>
      <c r="K4" s="198">
        <v>1</v>
      </c>
      <c r="L4" s="199">
        <v>1</v>
      </c>
      <c r="M4" s="199">
        <v>1</v>
      </c>
    </row>
    <row r="5" spans="1:13" ht="21" customHeight="1" x14ac:dyDescent="0.15">
      <c r="A5" s="62" t="str">
        <f t="shared" si="2"/>
        <v>977_112</v>
      </c>
      <c r="B5" s="194">
        <v>977</v>
      </c>
      <c r="C5" s="195">
        <f t="shared" si="1"/>
        <v>977</v>
      </c>
      <c r="D5" s="196" t="str">
        <f ca="1">VLOOKUP(B5,units!A:B,2)</f>
        <v>リヴァイ お掃除ver</v>
      </c>
      <c r="E5" s="196" t="e">
        <v>#VALUE!</v>
      </c>
      <c r="F5" s="196" t="e">
        <v>#VALUE!</v>
      </c>
      <c r="G5" s="197">
        <f>VLOOKUP(B5,fork_awake_units!A:Q,17,FALSE )</f>
        <v>978</v>
      </c>
      <c r="H5" s="196" t="e">
        <v>#VALUE!</v>
      </c>
      <c r="I5" s="194">
        <v>112</v>
      </c>
      <c r="J5" s="196" t="str">
        <f>VLOOKUP(I5,[1]characters!$A:$C,3,FALSE)</f>
        <v>水のマッドハッター</v>
      </c>
      <c r="K5" s="198">
        <v>1</v>
      </c>
      <c r="L5" s="199">
        <v>1</v>
      </c>
      <c r="M5" s="199">
        <v>1</v>
      </c>
    </row>
    <row r="6" spans="1:13" ht="21" customHeight="1" x14ac:dyDescent="0.15">
      <c r="A6" s="62" t="str">
        <f t="shared" ref="A6" si="4">B6&amp;"_"&amp;I6</f>
        <v>979_981</v>
      </c>
      <c r="B6" s="194" ph="1">
        <v>979</v>
      </c>
      <c r="C6" s="195">
        <f t="shared" si="1"/>
        <v>979</v>
      </c>
      <c r="D6" s="196" t="str">
        <f ca="1">VLOOKUP(B6,units!A:B,2)</f>
        <v>超大型巨人</v>
      </c>
      <c r="E6" s="196" t="e">
        <v>#VALUE!</v>
      </c>
      <c r="F6" s="196" t="e">
        <v>#VALUE!</v>
      </c>
      <c r="G6" s="197">
        <f>VLOOKUP(B6,fork_awake_units!A:Q,17,FALSE )</f>
        <v>980</v>
      </c>
      <c r="H6" s="196" t="e">
        <v>#VALUE!</v>
      </c>
      <c r="I6" s="194">
        <v>981</v>
      </c>
      <c r="J6" s="196" t="str">
        <f>VLOOKUP(I6,[1]characters!$A:$C,3,FALSE)</f>
        <v>女型の巨人</v>
      </c>
      <c r="K6" s="198">
        <v>2</v>
      </c>
      <c r="L6" s="199">
        <v>1</v>
      </c>
      <c r="M6" s="199">
        <v>1</v>
      </c>
    </row>
    <row r="7" spans="1:13" ht="21" customHeight="1" x14ac:dyDescent="0.15">
      <c r="A7" s="62" t="str">
        <f t="shared" ref="A7:A9" si="5">B7&amp;"_"&amp;I7</f>
        <v>979_983</v>
      </c>
      <c r="B7" s="194" ph="1">
        <v>979</v>
      </c>
      <c r="C7" s="195">
        <f t="shared" si="1"/>
        <v>979</v>
      </c>
      <c r="D7" s="196" t="str">
        <f ca="1">VLOOKUP(B7,units!A:B,2)</f>
        <v>超大型巨人</v>
      </c>
      <c r="E7" s="196" t="e">
        <v>#VALUE!</v>
      </c>
      <c r="F7" s="196" t="e">
        <v>#VALUE!</v>
      </c>
      <c r="G7" s="197">
        <f>VLOOKUP(B7,fork_awake_units!A:Q,17,FALSE )</f>
        <v>980</v>
      </c>
      <c r="H7" s="196" t="e">
        <v>#VALUE!</v>
      </c>
      <c r="I7" s="194">
        <v>983</v>
      </c>
      <c r="J7" s="196" t="str">
        <f>VLOOKUP(I7,[1]characters!$A:$C,3,FALSE)</f>
        <v>鎧の巨人</v>
      </c>
      <c r="K7" s="198">
        <v>2</v>
      </c>
      <c r="L7" s="199">
        <v>1</v>
      </c>
      <c r="M7" s="199">
        <v>1</v>
      </c>
    </row>
    <row r="8" spans="1:13" ht="21" customHeight="1" x14ac:dyDescent="0.15">
      <c r="A8" s="62" t="str">
        <f t="shared" si="5"/>
        <v>979_837</v>
      </c>
      <c r="B8" s="194" ph="1">
        <v>979</v>
      </c>
      <c r="C8" s="195">
        <f t="shared" si="1"/>
        <v>979</v>
      </c>
      <c r="D8" s="196" t="str">
        <f ca="1">VLOOKUP(B8,units!A:B,2)</f>
        <v>超大型巨人</v>
      </c>
      <c r="E8" s="196" t="e">
        <v>#VALUE!</v>
      </c>
      <c r="F8" s="196" t="e">
        <v>#VALUE!</v>
      </c>
      <c r="G8" s="197">
        <f>VLOOKUP(B8,fork_awake_units!A:Q,17,FALSE )</f>
        <v>980</v>
      </c>
      <c r="H8" s="196" t="e">
        <v>#VALUE!</v>
      </c>
      <c r="I8" s="194">
        <v>837</v>
      </c>
      <c r="J8" s="196" t="str">
        <f>VLOOKUP(I8,[1]characters!$A:$C,3,FALSE)</f>
        <v>リトルハンプティ</v>
      </c>
      <c r="K8" s="198">
        <v>1</v>
      </c>
      <c r="L8" s="199">
        <v>1</v>
      </c>
      <c r="M8" s="199">
        <v>100</v>
      </c>
    </row>
    <row r="9" spans="1:13" ht="21" customHeight="1" x14ac:dyDescent="0.15">
      <c r="A9" s="62" t="str">
        <f t="shared" si="5"/>
        <v>981_105</v>
      </c>
      <c r="B9" s="194" ph="1">
        <v>981</v>
      </c>
      <c r="C9" s="195">
        <f t="shared" si="1"/>
        <v>981</v>
      </c>
      <c r="D9" s="196" t="str">
        <f ca="1">VLOOKUP(B9,units!A:B,2)</f>
        <v>女型の巨人</v>
      </c>
      <c r="E9" s="196" t="e">
        <v>#VALUE!</v>
      </c>
      <c r="F9" s="196" t="e">
        <v>#VALUE!</v>
      </c>
      <c r="G9" s="197">
        <f>VLOOKUP(B9,fork_awake_units!A:Q,17,FALSE )</f>
        <v>982</v>
      </c>
      <c r="H9" s="196" t="e">
        <v>#VALUE!</v>
      </c>
      <c r="I9" s="194">
        <v>105</v>
      </c>
      <c r="J9" s="196" t="str">
        <f>VLOOKUP(I9,[1]characters!$A:$C,3,FALSE)</f>
        <v>グリーンチェシャ</v>
      </c>
      <c r="K9" s="198">
        <v>1</v>
      </c>
      <c r="L9" s="199">
        <v>1</v>
      </c>
      <c r="M9" s="199">
        <v>1</v>
      </c>
    </row>
    <row r="10" spans="1:13" ht="21" customHeight="1" x14ac:dyDescent="0.15">
      <c r="A10" s="62" t="str">
        <f t="shared" ref="A10:A13" si="6">B10&amp;"_"&amp;I10</f>
        <v>981_106</v>
      </c>
      <c r="B10" s="194" ph="1">
        <v>981</v>
      </c>
      <c r="C10" s="195">
        <f t="shared" si="1"/>
        <v>981</v>
      </c>
      <c r="D10" s="196" t="str">
        <f ca="1">VLOOKUP(B10,units!A:B,2)</f>
        <v>女型の巨人</v>
      </c>
      <c r="E10" s="196" t="e">
        <v>#VALUE!</v>
      </c>
      <c r="F10" s="196" t="e">
        <v>#VALUE!</v>
      </c>
      <c r="G10" s="197">
        <f>VLOOKUP(B10,fork_awake_units!A:Q,17,FALSE )</f>
        <v>982</v>
      </c>
      <c r="H10" s="196" t="e">
        <v>#VALUE!</v>
      </c>
      <c r="I10" s="194">
        <v>106</v>
      </c>
      <c r="J10" s="196" t="str">
        <f>VLOOKUP(I10,[1]characters!$A:$C,3,FALSE)</f>
        <v>グリーンラビット</v>
      </c>
      <c r="K10" s="198">
        <v>1</v>
      </c>
      <c r="L10" s="199">
        <v>1</v>
      </c>
      <c r="M10" s="199">
        <v>1</v>
      </c>
    </row>
    <row r="11" spans="1:13" ht="21" customHeight="1" x14ac:dyDescent="0.15">
      <c r="A11" s="62" t="str">
        <f t="shared" ref="A11" si="7">B11&amp;"_"&amp;I11</f>
        <v>981_107</v>
      </c>
      <c r="B11" s="194" ph="1">
        <v>981</v>
      </c>
      <c r="C11" s="195">
        <f t="shared" si="1"/>
        <v>981</v>
      </c>
      <c r="D11" s="196" t="str">
        <f ca="1">VLOOKUP(B11,units!A:B,2)</f>
        <v>女型の巨人</v>
      </c>
      <c r="E11" s="196" t="e">
        <v>#VALUE!</v>
      </c>
      <c r="F11" s="196" t="e">
        <v>#VALUE!</v>
      </c>
      <c r="G11" s="197">
        <f>VLOOKUP(B11,fork_awake_units!A:Q,17,FALSE )</f>
        <v>982</v>
      </c>
      <c r="H11" s="196" t="e">
        <v>#VALUE!</v>
      </c>
      <c r="I11" s="194">
        <v>107</v>
      </c>
      <c r="J11" s="196" t="str">
        <f>VLOOKUP(I11,[1]characters!$A:$C,3,FALSE)</f>
        <v>グリーンキャタップ</v>
      </c>
      <c r="K11" s="198">
        <v>1</v>
      </c>
      <c r="L11" s="199">
        <v>1</v>
      </c>
      <c r="M11" s="199">
        <v>1</v>
      </c>
    </row>
    <row r="12" spans="1:13" ht="21" customHeight="1" x14ac:dyDescent="0.15">
      <c r="A12" s="62" t="str">
        <f t="shared" si="6"/>
        <v>981_983</v>
      </c>
      <c r="B12" s="194" ph="1">
        <v>981</v>
      </c>
      <c r="C12" s="195">
        <f t="shared" si="1"/>
        <v>981</v>
      </c>
      <c r="D12" s="196" t="str">
        <f ca="1">VLOOKUP(B12,units!A:B,2)</f>
        <v>女型の巨人</v>
      </c>
      <c r="E12" s="196" t="e">
        <v>#VALUE!</v>
      </c>
      <c r="F12" s="196" t="e">
        <v>#VALUE!</v>
      </c>
      <c r="G12" s="197">
        <f>VLOOKUP(B12,fork_awake_units!A:Q,17,FALSE )</f>
        <v>982</v>
      </c>
      <c r="H12" s="196" t="e">
        <v>#VALUE!</v>
      </c>
      <c r="I12" s="194">
        <v>983</v>
      </c>
      <c r="J12" s="196" t="str">
        <f>VLOOKUP(I12,[1]characters!$A:$C,3,FALSE)</f>
        <v>鎧の巨人</v>
      </c>
      <c r="K12" s="198">
        <v>1</v>
      </c>
      <c r="L12" s="199">
        <v>1</v>
      </c>
      <c r="M12" s="199">
        <v>1</v>
      </c>
    </row>
    <row r="13" spans="1:13" ht="21" customHeight="1" x14ac:dyDescent="0.15">
      <c r="A13" s="62" t="str">
        <f t="shared" si="6"/>
        <v>983_113</v>
      </c>
      <c r="B13" s="194" ph="1">
        <v>983</v>
      </c>
      <c r="C13" s="195">
        <f t="shared" si="1"/>
        <v>983</v>
      </c>
      <c r="D13" s="196" t="str">
        <f ca="1">VLOOKUP(B13,units!A:B,2)</f>
        <v>鎧の巨人</v>
      </c>
      <c r="E13" s="196" t="e">
        <v>#VALUE!</v>
      </c>
      <c r="F13" s="196" t="e">
        <v>#VALUE!</v>
      </c>
      <c r="G13" s="197">
        <f>VLOOKUP(B13,fork_awake_units!A:Q,17,FALSE )</f>
        <v>984</v>
      </c>
      <c r="H13" s="196" t="e">
        <v>#VALUE!</v>
      </c>
      <c r="I13" s="194">
        <v>113</v>
      </c>
      <c r="J13" s="196" t="str">
        <f>VLOOKUP(I13,[1]characters!$A:$C,3,FALSE)</f>
        <v>イエローチェシャ</v>
      </c>
      <c r="K13" s="198">
        <v>1</v>
      </c>
      <c r="L13" s="199">
        <v>1</v>
      </c>
      <c r="M13" s="199">
        <v>1</v>
      </c>
    </row>
    <row r="14" spans="1:13" ht="21" customHeight="1" x14ac:dyDescent="0.15">
      <c r="A14" s="62" t="str">
        <f t="shared" ref="A14:A17" si="8">B14&amp;"_"&amp;I14</f>
        <v>983_114</v>
      </c>
      <c r="B14" s="194" ph="1">
        <v>983</v>
      </c>
      <c r="C14" s="195">
        <f t="shared" si="1"/>
        <v>983</v>
      </c>
      <c r="D14" s="196" t="str">
        <f ca="1">VLOOKUP(B14,units!A:B,2)</f>
        <v>鎧の巨人</v>
      </c>
      <c r="E14" s="196" t="e">
        <v>#VALUE!</v>
      </c>
      <c r="F14" s="196" t="e">
        <v>#VALUE!</v>
      </c>
      <c r="G14" s="197">
        <f>VLOOKUP(B14,fork_awake_units!A:Q,17,FALSE )</f>
        <v>984</v>
      </c>
      <c r="H14" s="196" t="e">
        <v>#VALUE!</v>
      </c>
      <c r="I14" s="194">
        <v>114</v>
      </c>
      <c r="J14" s="196" t="str">
        <f>VLOOKUP(I14,[1]characters!$A:$C,3,FALSE)</f>
        <v>イエローラビット</v>
      </c>
      <c r="K14" s="198">
        <v>1</v>
      </c>
      <c r="L14" s="199">
        <v>1</v>
      </c>
      <c r="M14" s="199">
        <v>1</v>
      </c>
    </row>
    <row r="15" spans="1:13" ht="21" customHeight="1" x14ac:dyDescent="0.15">
      <c r="A15" s="62" t="str">
        <f t="shared" ref="A15" si="9">B15&amp;"_"&amp;I15</f>
        <v>983_115</v>
      </c>
      <c r="B15" s="194" ph="1">
        <v>983</v>
      </c>
      <c r="C15" s="195">
        <f t="shared" si="1"/>
        <v>983</v>
      </c>
      <c r="D15" s="196" t="str">
        <f ca="1">VLOOKUP(B15,units!A:B,2)</f>
        <v>鎧の巨人</v>
      </c>
      <c r="E15" s="196" t="e">
        <v>#VALUE!</v>
      </c>
      <c r="F15" s="196" t="e">
        <v>#VALUE!</v>
      </c>
      <c r="G15" s="197">
        <f>VLOOKUP(B15,fork_awake_units!A:Q,17,FALSE )</f>
        <v>984</v>
      </c>
      <c r="H15" s="196" t="e">
        <v>#VALUE!</v>
      </c>
      <c r="I15" s="194">
        <v>115</v>
      </c>
      <c r="J15" s="196" t="str">
        <f>VLOOKUP(I15,[1]characters!$A:$C,3,FALSE)</f>
        <v>イエローキャタップ</v>
      </c>
      <c r="K15" s="198">
        <v>1</v>
      </c>
      <c r="L15" s="199">
        <v>1</v>
      </c>
      <c r="M15" s="199">
        <v>100</v>
      </c>
    </row>
    <row r="16" spans="1:13" ht="21" customHeight="1" x14ac:dyDescent="0.15">
      <c r="A16" s="62" t="str">
        <f t="shared" si="8"/>
        <v>983_981</v>
      </c>
      <c r="B16" s="194" ph="1">
        <v>983</v>
      </c>
      <c r="C16" s="195">
        <f t="shared" si="1"/>
        <v>983</v>
      </c>
      <c r="D16" s="196" t="str">
        <f ca="1">VLOOKUP(B16,units!A:B,2)</f>
        <v>鎧の巨人</v>
      </c>
      <c r="E16" s="196" t="e">
        <v>#VALUE!</v>
      </c>
      <c r="F16" s="196" t="e">
        <v>#VALUE!</v>
      </c>
      <c r="G16" s="197">
        <f>VLOOKUP(B16,fork_awake_units!A:Q,17,FALSE )</f>
        <v>984</v>
      </c>
      <c r="H16" s="196" t="e">
        <v>#VALUE!</v>
      </c>
      <c r="I16" s="194">
        <v>981</v>
      </c>
      <c r="J16" s="196" t="str">
        <f>VLOOKUP(I16,[1]characters!$A:$C,3,FALSE)</f>
        <v>女型の巨人</v>
      </c>
      <c r="K16" s="198">
        <v>1</v>
      </c>
      <c r="L16" s="199">
        <v>1</v>
      </c>
      <c r="M16" s="199">
        <v>1</v>
      </c>
    </row>
    <row r="17" spans="1:13" ht="21" customHeight="1" x14ac:dyDescent="0.15">
      <c r="A17" s="62" t="str">
        <f t="shared" si="8"/>
        <v>985_103</v>
      </c>
      <c r="B17" s="194" ph="1">
        <v>985</v>
      </c>
      <c r="C17" s="195">
        <f t="shared" si="1"/>
        <v>985</v>
      </c>
      <c r="D17" s="196" t="str">
        <f ca="1">VLOOKUP(B17,units!A:B,2)</f>
        <v>エレン</v>
      </c>
      <c r="E17" s="196" t="e">
        <v>#VALUE!</v>
      </c>
      <c r="F17" s="196" t="e">
        <v>#VALUE!</v>
      </c>
      <c r="G17" s="197">
        <f>VLOOKUP(B17,fork_awake_units!A:Q,17,FALSE )</f>
        <v>986</v>
      </c>
      <c r="H17" s="196" t="e">
        <v>#VALUE!</v>
      </c>
      <c r="I17" s="194">
        <v>103</v>
      </c>
      <c r="J17" s="196" t="str">
        <f>VLOOKUP(I17,[1]characters!$A:$C,3,FALSE)</f>
        <v>レッドキャタップ</v>
      </c>
      <c r="K17" s="198">
        <v>1</v>
      </c>
      <c r="L17" s="199">
        <v>1</v>
      </c>
      <c r="M17" s="199">
        <v>1</v>
      </c>
    </row>
    <row r="18" spans="1:13" ht="21" customHeight="1" x14ac:dyDescent="0.15">
      <c r="A18" s="62" t="str">
        <f t="shared" ref="A18:A23" si="10">B18&amp;"_"&amp;I18</f>
        <v>985_102</v>
      </c>
      <c r="B18" s="194" ph="1">
        <v>985</v>
      </c>
      <c r="C18" s="195">
        <f t="shared" si="1"/>
        <v>985</v>
      </c>
      <c r="D18" s="196" t="str">
        <f ca="1">VLOOKUP(B18,units!A:B,2)</f>
        <v>エレン</v>
      </c>
      <c r="E18" s="196" t="e">
        <v>#VALUE!</v>
      </c>
      <c r="F18" s="196" t="e">
        <v>#VALUE!</v>
      </c>
      <c r="G18" s="197">
        <f>VLOOKUP(B18,fork_awake_units!A:Q,17,FALSE )</f>
        <v>986</v>
      </c>
      <c r="H18" s="196" t="e">
        <v>#VALUE!</v>
      </c>
      <c r="I18" s="194">
        <v>102</v>
      </c>
      <c r="J18" s="196" t="str">
        <f>VLOOKUP(I18,[1]characters!$A:$C,3,FALSE)</f>
        <v>レッドラビット</v>
      </c>
      <c r="K18" s="198">
        <v>1</v>
      </c>
      <c r="L18" s="199">
        <v>1</v>
      </c>
      <c r="M18" s="199">
        <v>1</v>
      </c>
    </row>
    <row r="19" spans="1:13" ht="21" customHeight="1" x14ac:dyDescent="0.15">
      <c r="A19" s="62" t="str">
        <f t="shared" ref="A19" si="11">B19&amp;"_"&amp;I19</f>
        <v>985_356</v>
      </c>
      <c r="B19" s="194" ph="1">
        <v>985</v>
      </c>
      <c r="C19" s="195">
        <f t="shared" si="1"/>
        <v>985</v>
      </c>
      <c r="D19" s="196" t="str">
        <f ca="1">VLOOKUP(B19,units!A:B,2)</f>
        <v>エレン</v>
      </c>
      <c r="E19" s="196" t="e">
        <v>#VALUE!</v>
      </c>
      <c r="F19" s="196" t="e">
        <v>#VALUE!</v>
      </c>
      <c r="G19" s="197">
        <f>VLOOKUP(B19,fork_awake_units!A:Q,17,FALSE )</f>
        <v>986</v>
      </c>
      <c r="H19" s="196" t="e">
        <v>#VALUE!</v>
      </c>
      <c r="I19" s="194">
        <v>356</v>
      </c>
      <c r="J19" s="196" t="str">
        <f>VLOOKUP(I19,[1]characters!$A:$C,3,FALSE)</f>
        <v>炎上のドードー</v>
      </c>
      <c r="K19" s="198">
        <v>1</v>
      </c>
      <c r="L19" s="199">
        <v>1</v>
      </c>
      <c r="M19" s="199">
        <v>1</v>
      </c>
    </row>
    <row r="20" spans="1:13" ht="21" customHeight="1" x14ac:dyDescent="0.15">
      <c r="A20" s="62" t="str">
        <f t="shared" si="10"/>
        <v>985_837</v>
      </c>
      <c r="B20" s="194" ph="1">
        <v>985</v>
      </c>
      <c r="C20" s="195">
        <f t="shared" si="1"/>
        <v>985</v>
      </c>
      <c r="D20" s="196" t="str">
        <f ca="1">VLOOKUP(B20,units!A:B,2)</f>
        <v>エレン</v>
      </c>
      <c r="E20" s="196" t="e">
        <v>#VALUE!</v>
      </c>
      <c r="F20" s="196" t="e">
        <v>#VALUE!</v>
      </c>
      <c r="G20" s="197">
        <f>VLOOKUP(B20,fork_awake_units!A:Q,17,FALSE )</f>
        <v>986</v>
      </c>
      <c r="H20" s="196" t="e">
        <v>#VALUE!</v>
      </c>
      <c r="I20" s="194">
        <v>837</v>
      </c>
      <c r="J20" s="196" t="str">
        <f>VLOOKUP(I20,[1]characters!$A:$C,3,FALSE)</f>
        <v>リトルハンプティ</v>
      </c>
      <c r="K20" s="198">
        <v>1</v>
      </c>
      <c r="L20" s="199">
        <v>1</v>
      </c>
      <c r="M20" s="199">
        <v>100</v>
      </c>
    </row>
    <row r="21" spans="1:13" ht="21" customHeight="1" x14ac:dyDescent="0.15">
      <c r="A21" s="62" t="str">
        <f t="shared" si="10"/>
        <v>985_981</v>
      </c>
      <c r="B21" s="194" ph="1">
        <v>985</v>
      </c>
      <c r="C21" s="195">
        <f t="shared" si="1"/>
        <v>985</v>
      </c>
      <c r="D21" s="196" t="str">
        <f ca="1">VLOOKUP(B21,units!A:B,2)</f>
        <v>エレン</v>
      </c>
      <c r="E21" s="196" t="e">
        <v>#VALUE!</v>
      </c>
      <c r="F21" s="196" t="e">
        <v>#VALUE!</v>
      </c>
      <c r="G21" s="197">
        <v>987</v>
      </c>
      <c r="H21" s="196" t="e">
        <v>#VALUE!</v>
      </c>
      <c r="I21" s="194">
        <v>981</v>
      </c>
      <c r="J21" s="196" t="str">
        <f>VLOOKUP(I21,[1]characters!$A:$C,3,FALSE)</f>
        <v>女型の巨人</v>
      </c>
      <c r="K21" s="198">
        <v>1</v>
      </c>
      <c r="L21" s="199">
        <v>3</v>
      </c>
      <c r="M21" s="199">
        <v>1</v>
      </c>
    </row>
    <row r="22" spans="1:13" ht="21" customHeight="1" x14ac:dyDescent="0.15">
      <c r="A22" s="62" t="str">
        <f t="shared" ref="A22" si="12">B22&amp;"_"&amp;I22</f>
        <v>985_983</v>
      </c>
      <c r="B22" s="194" ph="1">
        <v>985</v>
      </c>
      <c r="C22" s="195">
        <f t="shared" si="1"/>
        <v>985</v>
      </c>
      <c r="D22" s="196" t="str">
        <f ca="1">VLOOKUP(B22,units!A:B,2)</f>
        <v>エレン</v>
      </c>
      <c r="E22" s="196" t="e">
        <v>#VALUE!</v>
      </c>
      <c r="F22" s="196" t="e">
        <v>#VALUE!</v>
      </c>
      <c r="G22" s="197">
        <v>987</v>
      </c>
      <c r="H22" s="196" t="e">
        <v>#VALUE!</v>
      </c>
      <c r="I22" s="194">
        <v>983</v>
      </c>
      <c r="J22" s="196" t="str">
        <f>VLOOKUP(I22,[1]characters!$A:$C,3,FALSE)</f>
        <v>鎧の巨人</v>
      </c>
      <c r="K22" s="198">
        <v>1</v>
      </c>
      <c r="L22" s="199">
        <v>3</v>
      </c>
      <c r="M22" s="199">
        <v>1</v>
      </c>
    </row>
    <row r="23" spans="1:13" ht="21" customHeight="1" x14ac:dyDescent="0.15">
      <c r="A23" s="62" t="str">
        <f t="shared" si="10"/>
        <v>986_981</v>
      </c>
      <c r="B23" s="194" ph="1">
        <v>986</v>
      </c>
      <c r="C23" s="195">
        <f t="shared" si="1"/>
        <v>986</v>
      </c>
      <c r="D23" s="196" t="str">
        <f ca="1">VLOOKUP(B23,units!A:B,2)</f>
        <v>復讐の誓約 エレン</v>
      </c>
      <c r="E23" s="196" t="e">
        <v>#VALUE!</v>
      </c>
      <c r="F23" s="196" t="e">
        <v>#VALUE!</v>
      </c>
      <c r="G23" s="197">
        <f>VLOOKUP(B23,fork_awake_units!A:Q,17,FALSE )</f>
        <v>987</v>
      </c>
      <c r="H23" s="196" t="e">
        <v>#VALUE!</v>
      </c>
      <c r="I23" s="194">
        <v>981</v>
      </c>
      <c r="J23" s="196" t="str">
        <f>VLOOKUP(I23,[1]characters!$A:$C,3,FALSE)</f>
        <v>女型の巨人</v>
      </c>
      <c r="K23" s="198">
        <v>1</v>
      </c>
      <c r="L23" s="199">
        <v>2</v>
      </c>
      <c r="M23" s="199">
        <v>1</v>
      </c>
    </row>
    <row r="24" spans="1:13" ht="21" customHeight="1" x14ac:dyDescent="0.15">
      <c r="A24" s="62" t="str">
        <f t="shared" ref="A24:A25" si="13">B24&amp;"_"&amp;I24</f>
        <v>986_983</v>
      </c>
      <c r="B24" s="194" ph="1">
        <v>986</v>
      </c>
      <c r="C24" s="195">
        <f t="shared" si="1"/>
        <v>986</v>
      </c>
      <c r="D24" s="196" t="str">
        <f ca="1">VLOOKUP(B24,units!A:B,2)</f>
        <v>復讐の誓約 エレン</v>
      </c>
      <c r="E24" s="196" t="e">
        <v>#VALUE!</v>
      </c>
      <c r="F24" s="196" t="e">
        <v>#VALUE!</v>
      </c>
      <c r="G24" s="197">
        <f>VLOOKUP(B24,fork_awake_units!A:Q,17,FALSE )</f>
        <v>987</v>
      </c>
      <c r="H24" s="196" t="e">
        <v>#VALUE!</v>
      </c>
      <c r="I24" s="194">
        <v>983</v>
      </c>
      <c r="J24" s="196" t="str">
        <f>VLOOKUP(I24,[1]characters!$A:$C,3,FALSE)</f>
        <v>鎧の巨人</v>
      </c>
      <c r="K24" s="198">
        <v>1</v>
      </c>
      <c r="L24" s="199">
        <v>2</v>
      </c>
      <c r="M24" s="199">
        <v>1</v>
      </c>
    </row>
    <row r="25" spans="1:13" ht="21" customHeight="1" x14ac:dyDescent="0.15">
      <c r="A25" s="62" t="str">
        <f t="shared" si="13"/>
        <v>987_103</v>
      </c>
      <c r="B25" s="194" ph="1">
        <v>987</v>
      </c>
      <c r="C25" s="195">
        <f t="shared" si="1"/>
        <v>987</v>
      </c>
      <c r="D25" s="196" t="str">
        <f ca="1">VLOOKUP(B25,units!A:B,2)</f>
        <v>撃壊の眼煌 エレン巨人</v>
      </c>
      <c r="E25" s="196" t="e">
        <v>#VALUE!</v>
      </c>
      <c r="F25" s="196" t="e">
        <v>#VALUE!</v>
      </c>
      <c r="G25" s="197">
        <v>986</v>
      </c>
      <c r="H25" s="196" t="e">
        <v>#VALUE!</v>
      </c>
      <c r="I25" s="194">
        <v>103</v>
      </c>
      <c r="J25" s="196" t="str">
        <f>VLOOKUP(I25,[1]characters!$A:$C,3,FALSE)</f>
        <v>レッドキャタップ</v>
      </c>
      <c r="K25" s="198">
        <v>1</v>
      </c>
      <c r="L25" s="199">
        <v>1</v>
      </c>
      <c r="M25" s="199">
        <v>1</v>
      </c>
    </row>
    <row r="26" spans="1:13" ht="21" customHeight="1" x14ac:dyDescent="0.15">
      <c r="A26" s="62" t="str">
        <f t="shared" ref="A26:A31" si="14">B26&amp;"_"&amp;I26</f>
        <v>987_102</v>
      </c>
      <c r="B26" s="194" ph="1">
        <v>987</v>
      </c>
      <c r="C26" s="195">
        <f t="shared" si="1"/>
        <v>987</v>
      </c>
      <c r="D26" s="196" t="str">
        <f ca="1">VLOOKUP(B26,units!A:B,2)</f>
        <v>撃壊の眼煌 エレン巨人</v>
      </c>
      <c r="E26" s="196" t="e">
        <v>#VALUE!</v>
      </c>
      <c r="F26" s="196" t="e">
        <v>#VALUE!</v>
      </c>
      <c r="G26" s="197">
        <v>986</v>
      </c>
      <c r="H26" s="196" t="e">
        <v>#VALUE!</v>
      </c>
      <c r="I26" s="194">
        <v>102</v>
      </c>
      <c r="J26" s="196" t="str">
        <f>VLOOKUP(I26,[1]characters!$A:$C,3,FALSE)</f>
        <v>レッドラビット</v>
      </c>
      <c r="K26" s="198">
        <v>1</v>
      </c>
      <c r="L26" s="199">
        <v>1</v>
      </c>
      <c r="M26" s="199">
        <v>1</v>
      </c>
    </row>
    <row r="27" spans="1:13" ht="21" customHeight="1" x14ac:dyDescent="0.15">
      <c r="A27" s="62" t="str">
        <f t="shared" ref="A27" si="15">B27&amp;"_"&amp;I27</f>
        <v>987_356</v>
      </c>
      <c r="B27" s="194" ph="1">
        <v>987</v>
      </c>
      <c r="C27" s="195">
        <f t="shared" si="1"/>
        <v>987</v>
      </c>
      <c r="D27" s="196" t="str">
        <f ca="1">VLOOKUP(B27,units!A:B,2)</f>
        <v>撃壊の眼煌 エレン巨人</v>
      </c>
      <c r="E27" s="196" t="e">
        <v>#VALUE!</v>
      </c>
      <c r="F27" s="196" t="e">
        <v>#VALUE!</v>
      </c>
      <c r="G27" s="197">
        <v>986</v>
      </c>
      <c r="H27" s="196" t="e">
        <v>#VALUE!</v>
      </c>
      <c r="I27" s="194">
        <v>356</v>
      </c>
      <c r="J27" s="196" t="str">
        <f>VLOOKUP(I27,[1]characters!$A:$C,3,FALSE)</f>
        <v>炎上のドードー</v>
      </c>
      <c r="K27" s="198">
        <v>1</v>
      </c>
      <c r="L27" s="199">
        <v>1</v>
      </c>
      <c r="M27" s="199">
        <v>1</v>
      </c>
    </row>
    <row r="28" spans="1:13" ht="21" customHeight="1" x14ac:dyDescent="0.15">
      <c r="A28" s="62" t="str">
        <f t="shared" si="14"/>
        <v>988_103</v>
      </c>
      <c r="B28" s="194" ph="1">
        <v>988</v>
      </c>
      <c r="C28" s="195">
        <f t="shared" si="1"/>
        <v>988</v>
      </c>
      <c r="D28" s="196" t="str">
        <f ca="1">VLOOKUP(B28,units!A:B,2)</f>
        <v>ミカサ</v>
      </c>
      <c r="E28" s="196" t="e">
        <v>#VALUE!</v>
      </c>
      <c r="F28" s="196" t="e">
        <v>#VALUE!</v>
      </c>
      <c r="G28" s="197">
        <f>VLOOKUP(B28,fork_awake_units!A:Q,17,FALSE )</f>
        <v>989</v>
      </c>
      <c r="H28" s="196" t="e">
        <v>#VALUE!</v>
      </c>
      <c r="I28" s="194">
        <v>103</v>
      </c>
      <c r="J28" s="196" t="str">
        <f>VLOOKUP(I28,[1]characters!$A:$C,3,FALSE)</f>
        <v>レッドキャタップ</v>
      </c>
      <c r="K28" s="198">
        <v>1</v>
      </c>
      <c r="L28" s="199">
        <v>1</v>
      </c>
      <c r="M28" s="199">
        <v>1</v>
      </c>
    </row>
    <row r="29" spans="1:13" ht="21" customHeight="1" x14ac:dyDescent="0.15">
      <c r="A29" s="62" t="str">
        <f t="shared" ref="A29" si="16">B29&amp;"_"&amp;I29</f>
        <v>988_104</v>
      </c>
      <c r="B29" s="194" ph="1">
        <v>988</v>
      </c>
      <c r="C29" s="195">
        <f t="shared" si="1"/>
        <v>988</v>
      </c>
      <c r="D29" s="196" t="str">
        <f ca="1">VLOOKUP(B29,units!A:B,2)</f>
        <v>ミカサ</v>
      </c>
      <c r="E29" s="196" t="e">
        <v>#VALUE!</v>
      </c>
      <c r="F29" s="196" t="e">
        <v>#VALUE!</v>
      </c>
      <c r="G29" s="197">
        <f>VLOOKUP(B29,fork_awake_units!A:Q,17,FALSE )</f>
        <v>989</v>
      </c>
      <c r="H29" s="196" t="e">
        <v>#VALUE!</v>
      </c>
      <c r="I29" s="194">
        <v>104</v>
      </c>
      <c r="J29" s="196" t="str">
        <f>VLOOKUP(I29,[1]characters!$A:$C,3,FALSE)</f>
        <v>炎のマッドハッター</v>
      </c>
      <c r="K29" s="198">
        <v>1</v>
      </c>
      <c r="L29" s="199">
        <v>1</v>
      </c>
      <c r="M29" s="199">
        <v>1</v>
      </c>
    </row>
    <row r="30" spans="1:13" ht="21" customHeight="1" x14ac:dyDescent="0.15">
      <c r="A30" s="62" t="str">
        <f t="shared" si="14"/>
        <v>988_981</v>
      </c>
      <c r="B30" s="194" ph="1">
        <v>988</v>
      </c>
      <c r="C30" s="195">
        <f t="shared" si="1"/>
        <v>988</v>
      </c>
      <c r="D30" s="196" t="str">
        <f ca="1">VLOOKUP(B30,units!A:B,2)</f>
        <v>ミカサ</v>
      </c>
      <c r="E30" s="196" t="e">
        <v>#VALUE!</v>
      </c>
      <c r="F30" s="196" t="e">
        <v>#VALUE!</v>
      </c>
      <c r="G30" s="197">
        <f>VLOOKUP(B30,fork_awake_units!A:Q,17,FALSE )</f>
        <v>989</v>
      </c>
      <c r="H30" s="196" t="e">
        <v>#VALUE!</v>
      </c>
      <c r="I30" s="194">
        <v>981</v>
      </c>
      <c r="J30" s="196" t="str">
        <f>VLOOKUP(I30,[1]characters!$A:$C,3,FALSE)</f>
        <v>女型の巨人</v>
      </c>
      <c r="K30" s="198">
        <v>1</v>
      </c>
      <c r="L30" s="199">
        <v>3</v>
      </c>
      <c r="M30" s="199">
        <v>1</v>
      </c>
    </row>
    <row r="31" spans="1:13" ht="21" customHeight="1" x14ac:dyDescent="0.15">
      <c r="A31" s="62" t="str">
        <f t="shared" si="14"/>
        <v>988_837</v>
      </c>
      <c r="B31" s="194" ph="1">
        <v>988</v>
      </c>
      <c r="C31" s="195">
        <f t="shared" si="1"/>
        <v>988</v>
      </c>
      <c r="D31" s="196" t="str">
        <f ca="1">VLOOKUP(B31,units!A:B,2)</f>
        <v>ミカサ</v>
      </c>
      <c r="E31" s="196" t="e">
        <v>#VALUE!</v>
      </c>
      <c r="F31" s="196" t="e">
        <v>#VALUE!</v>
      </c>
      <c r="G31" s="197">
        <f>VLOOKUP(B31,fork_awake_units!A:Q,17,FALSE )</f>
        <v>989</v>
      </c>
      <c r="H31" s="196" t="e">
        <v>#VALUE!</v>
      </c>
      <c r="I31" s="194">
        <v>837</v>
      </c>
      <c r="J31" s="196" t="str">
        <f>VLOOKUP(I31,[1]characters!$A:$C,3,FALSE)</f>
        <v>リトルハンプティ</v>
      </c>
      <c r="K31" s="198">
        <v>1</v>
      </c>
      <c r="L31" s="199">
        <v>1</v>
      </c>
      <c r="M31" s="199">
        <v>100</v>
      </c>
    </row>
    <row r="32" spans="1:13" ht="21" customHeight="1" x14ac:dyDescent="0.15">
      <c r="A32" s="62" t="str">
        <f t="shared" ref="A32:A34" si="17">B32&amp;"_"&amp;I32</f>
        <v>990_102</v>
      </c>
      <c r="B32" s="194" ph="1">
        <v>990</v>
      </c>
      <c r="C32" s="195">
        <f t="shared" si="1"/>
        <v>990</v>
      </c>
      <c r="D32" s="196" t="str">
        <f ca="1">VLOOKUP(B32,units!A:B,2)</f>
        <v>エルヴィン</v>
      </c>
      <c r="E32" s="196" t="e">
        <v>#VALUE!</v>
      </c>
      <c r="F32" s="196" t="e">
        <v>#VALUE!</v>
      </c>
      <c r="G32" s="197">
        <f>VLOOKUP(B32,fork_awake_units!A:Q,17,FALSE )</f>
        <v>991</v>
      </c>
      <c r="H32" s="196" t="e">
        <v>#VALUE!</v>
      </c>
      <c r="I32" s="194">
        <v>102</v>
      </c>
      <c r="J32" s="196" t="str">
        <f>VLOOKUP(I32,[1]characters!$A:$C,3,FALSE)</f>
        <v>レッドラビット</v>
      </c>
      <c r="K32" s="198">
        <v>1</v>
      </c>
      <c r="L32" s="199">
        <v>1</v>
      </c>
      <c r="M32" s="199">
        <v>1</v>
      </c>
    </row>
    <row r="33" spans="1:13" ht="21" customHeight="1" x14ac:dyDescent="0.15">
      <c r="A33" s="62" t="str">
        <f t="shared" si="17"/>
        <v>990_103</v>
      </c>
      <c r="B33" s="194" ph="1">
        <v>990</v>
      </c>
      <c r="C33" s="195">
        <f t="shared" si="1"/>
        <v>990</v>
      </c>
      <c r="D33" s="196" t="str">
        <f ca="1">VLOOKUP(B33,units!A:B,2)</f>
        <v>エルヴィン</v>
      </c>
      <c r="E33" s="196" t="e">
        <v>#VALUE!</v>
      </c>
      <c r="F33" s="196" t="e">
        <v>#VALUE!</v>
      </c>
      <c r="G33" s="197">
        <f>VLOOKUP(B33,fork_awake_units!A:Q,17,FALSE )</f>
        <v>991</v>
      </c>
      <c r="H33" s="196" t="e">
        <v>#VALUE!</v>
      </c>
      <c r="I33" s="194">
        <v>103</v>
      </c>
      <c r="J33" s="196" t="str">
        <f>VLOOKUP(I33,[1]characters!$A:$C,3,FALSE)</f>
        <v>レッドキャタップ</v>
      </c>
      <c r="K33" s="198">
        <v>2</v>
      </c>
      <c r="L33" s="199">
        <v>1</v>
      </c>
      <c r="M33" s="199">
        <v>1</v>
      </c>
    </row>
    <row r="34" spans="1:13" ht="21" customHeight="1" x14ac:dyDescent="0.15">
      <c r="A34" s="62" t="str">
        <f t="shared" si="17"/>
        <v>990_104</v>
      </c>
      <c r="B34" s="194" ph="1">
        <v>990</v>
      </c>
      <c r="C34" s="195">
        <f t="shared" ref="C34:C53" si="18">B34</f>
        <v>990</v>
      </c>
      <c r="D34" s="196" t="str">
        <f ca="1">VLOOKUP(B34,units!A:B,2)</f>
        <v>エルヴィン</v>
      </c>
      <c r="E34" s="196" t="e">
        <v>#VALUE!</v>
      </c>
      <c r="F34" s="196" t="e">
        <v>#VALUE!</v>
      </c>
      <c r="G34" s="197">
        <f>VLOOKUP(B34,fork_awake_units!A:Q,17,FALSE )</f>
        <v>991</v>
      </c>
      <c r="H34" s="196" t="e">
        <v>#VALUE!</v>
      </c>
      <c r="I34" s="194">
        <v>104</v>
      </c>
      <c r="J34" s="196" t="str">
        <f>VLOOKUP(I34,[1]characters!$A:$C,3,FALSE)</f>
        <v>炎のマッドハッター</v>
      </c>
      <c r="K34" s="198">
        <v>2</v>
      </c>
      <c r="L34" s="199">
        <v>1</v>
      </c>
      <c r="M34" s="199">
        <v>1</v>
      </c>
    </row>
    <row r="35" spans="1:13" ht="21" customHeight="1" x14ac:dyDescent="0.15">
      <c r="A35" s="62" t="str">
        <f t="shared" ref="A35:A37" si="19">B35&amp;"_"&amp;I35</f>
        <v>992_106</v>
      </c>
      <c r="B35" s="194" ph="1">
        <v>992</v>
      </c>
      <c r="C35" s="195">
        <f t="shared" si="18"/>
        <v>992</v>
      </c>
      <c r="D35" s="196" t="str">
        <f ca="1">VLOOKUP(B35,units!A:B,2)</f>
        <v>ハンジ</v>
      </c>
      <c r="E35" s="196" t="e">
        <v>#VALUE!</v>
      </c>
      <c r="F35" s="196" t="e">
        <v>#VALUE!</v>
      </c>
      <c r="G35" s="197">
        <f>VLOOKUP(B35,fork_awake_units!A:Q,17,FALSE )</f>
        <v>993</v>
      </c>
      <c r="H35" s="196" t="e">
        <v>#VALUE!</v>
      </c>
      <c r="I35" s="194">
        <v>106</v>
      </c>
      <c r="J35" s="196" t="str">
        <f>VLOOKUP(I35,[1]characters!$A:$C,3,FALSE)</f>
        <v>グリーンラビット</v>
      </c>
      <c r="K35" s="198">
        <v>1</v>
      </c>
      <c r="L35" s="199">
        <v>1</v>
      </c>
      <c r="M35" s="199">
        <v>1</v>
      </c>
    </row>
    <row r="36" spans="1:13" ht="21" customHeight="1" x14ac:dyDescent="0.15">
      <c r="A36" s="62" t="str">
        <f t="shared" si="19"/>
        <v>992_107</v>
      </c>
      <c r="B36" s="194" ph="1">
        <v>992</v>
      </c>
      <c r="C36" s="195">
        <f t="shared" si="18"/>
        <v>992</v>
      </c>
      <c r="D36" s="196" t="str">
        <f ca="1">VLOOKUP(B36,units!A:B,2)</f>
        <v>ハンジ</v>
      </c>
      <c r="E36" s="196" t="e">
        <v>#VALUE!</v>
      </c>
      <c r="F36" s="196" t="e">
        <v>#VALUE!</v>
      </c>
      <c r="G36" s="197">
        <f>VLOOKUP(B36,fork_awake_units!A:Q,17,FALSE )</f>
        <v>993</v>
      </c>
      <c r="H36" s="196" t="e">
        <v>#VALUE!</v>
      </c>
      <c r="I36" s="194">
        <v>107</v>
      </c>
      <c r="J36" s="196" t="str">
        <f>VLOOKUP(I36,[1]characters!$A:$C,3,FALSE)</f>
        <v>グリーンキャタップ</v>
      </c>
      <c r="K36" s="198">
        <v>2</v>
      </c>
      <c r="L36" s="199">
        <v>1</v>
      </c>
      <c r="M36" s="199">
        <v>1</v>
      </c>
    </row>
    <row r="37" spans="1:13" ht="21" customHeight="1" x14ac:dyDescent="0.15">
      <c r="A37" s="62" t="str">
        <f t="shared" si="19"/>
        <v>992_108</v>
      </c>
      <c r="B37" s="194" ph="1">
        <v>992</v>
      </c>
      <c r="C37" s="195">
        <f t="shared" si="18"/>
        <v>992</v>
      </c>
      <c r="D37" s="196" t="str">
        <f ca="1">VLOOKUP(B37,units!A:B,2)</f>
        <v>ハンジ</v>
      </c>
      <c r="E37" s="196" t="e">
        <v>#VALUE!</v>
      </c>
      <c r="F37" s="196" t="e">
        <v>#VALUE!</v>
      </c>
      <c r="G37" s="197">
        <f>VLOOKUP(B37,fork_awake_units!A:Q,17,FALSE )</f>
        <v>993</v>
      </c>
      <c r="H37" s="196" t="e">
        <v>#VALUE!</v>
      </c>
      <c r="I37" s="194">
        <v>108</v>
      </c>
      <c r="J37" s="196" t="str">
        <f>VLOOKUP(I37,[1]characters!$A:$C,3,FALSE)</f>
        <v>森のマッドハッター</v>
      </c>
      <c r="K37" s="198">
        <v>2</v>
      </c>
      <c r="L37" s="199">
        <v>1</v>
      </c>
      <c r="M37" s="199">
        <v>1</v>
      </c>
    </row>
    <row r="38" spans="1:13" ht="21" customHeight="1" x14ac:dyDescent="0.15">
      <c r="A38" s="62" t="str">
        <f t="shared" ref="A38:A47" si="20">B38&amp;"_"&amp;I38</f>
        <v>994_106</v>
      </c>
      <c r="B38" s="194" ph="1">
        <v>994</v>
      </c>
      <c r="C38" s="195">
        <f t="shared" si="18"/>
        <v>994</v>
      </c>
      <c r="D38" s="196" t="str">
        <f ca="1">VLOOKUP(B38,units!A:B,2)</f>
        <v>アルミン</v>
      </c>
      <c r="E38" s="196" t="e">
        <v>#VALUE!</v>
      </c>
      <c r="F38" s="196" t="e">
        <v>#VALUE!</v>
      </c>
      <c r="G38" s="197">
        <f>VLOOKUP(B38,fork_awake_units!A:Q,17,FALSE )</f>
        <v>995</v>
      </c>
      <c r="H38" s="196" t="e">
        <v>#VALUE!</v>
      </c>
      <c r="I38" s="194">
        <v>106</v>
      </c>
      <c r="J38" s="196" t="str">
        <f>VLOOKUP(I38,[1]characters!$A:$C,3,FALSE)</f>
        <v>グリーンラビット</v>
      </c>
      <c r="K38" s="198">
        <v>1</v>
      </c>
      <c r="L38" s="199">
        <v>1</v>
      </c>
      <c r="M38" s="199">
        <v>1</v>
      </c>
    </row>
    <row r="39" spans="1:13" ht="21" customHeight="1" x14ac:dyDescent="0.15">
      <c r="A39" s="62" t="str">
        <f t="shared" si="20"/>
        <v>994_107</v>
      </c>
      <c r="B39" s="194" ph="1">
        <v>994</v>
      </c>
      <c r="C39" s="195">
        <f t="shared" si="18"/>
        <v>994</v>
      </c>
      <c r="D39" s="196" t="str">
        <f ca="1">VLOOKUP(B39,units!A:B,2)</f>
        <v>アルミン</v>
      </c>
      <c r="E39" s="196" t="e">
        <v>#VALUE!</v>
      </c>
      <c r="F39" s="196" t="e">
        <v>#VALUE!</v>
      </c>
      <c r="G39" s="197">
        <f>VLOOKUP(B39,fork_awake_units!A:Q,17,FALSE )</f>
        <v>995</v>
      </c>
      <c r="H39" s="196" t="e">
        <v>#VALUE!</v>
      </c>
      <c r="I39" s="194">
        <v>107</v>
      </c>
      <c r="J39" s="196" t="str">
        <f>VLOOKUP(I39,[1]characters!$A:$C,3,FALSE)</f>
        <v>グリーンキャタップ</v>
      </c>
      <c r="K39" s="198">
        <v>2</v>
      </c>
      <c r="L39" s="199">
        <v>1</v>
      </c>
      <c r="M39" s="199">
        <v>1</v>
      </c>
    </row>
    <row r="40" spans="1:13" ht="21" customHeight="1" x14ac:dyDescent="0.15">
      <c r="A40" s="62" t="str">
        <f t="shared" si="20"/>
        <v>994_108</v>
      </c>
      <c r="B40" s="194" ph="1">
        <v>994</v>
      </c>
      <c r="C40" s="195">
        <f t="shared" si="18"/>
        <v>994</v>
      </c>
      <c r="D40" s="196" t="str">
        <f ca="1">VLOOKUP(B40,units!A:B,2)</f>
        <v>アルミン</v>
      </c>
      <c r="E40" s="196" t="e">
        <v>#VALUE!</v>
      </c>
      <c r="F40" s="196" t="e">
        <v>#VALUE!</v>
      </c>
      <c r="G40" s="197">
        <f>VLOOKUP(B40,fork_awake_units!A:Q,17,FALSE )</f>
        <v>995</v>
      </c>
      <c r="H40" s="196" t="e">
        <v>#VALUE!</v>
      </c>
      <c r="I40" s="194">
        <v>108</v>
      </c>
      <c r="J40" s="196" t="str">
        <f>VLOOKUP(I40,[1]characters!$A:$C,3,FALSE)</f>
        <v>森のマッドハッター</v>
      </c>
      <c r="K40" s="198">
        <v>2</v>
      </c>
      <c r="L40" s="199">
        <v>1</v>
      </c>
      <c r="M40" s="199">
        <v>1</v>
      </c>
    </row>
    <row r="41" spans="1:13" ht="21" customHeight="1" x14ac:dyDescent="0.15">
      <c r="A41" s="62" t="str">
        <f t="shared" si="20"/>
        <v>996_111</v>
      </c>
      <c r="B41" s="194" ph="1">
        <v>996</v>
      </c>
      <c r="C41" s="195">
        <f t="shared" si="18"/>
        <v>996</v>
      </c>
      <c r="D41" s="196" t="str">
        <f ca="1">VLOOKUP(B41,units!A:B,2)</f>
        <v>リヴァイ</v>
      </c>
      <c r="E41" s="196" t="e">
        <v>#VALUE!</v>
      </c>
      <c r="F41" s="196" t="e">
        <v>#VALUE!</v>
      </c>
      <c r="G41" s="197">
        <f>VLOOKUP(B41,fork_awake_units!A:Q,17,FALSE )</f>
        <v>997</v>
      </c>
      <c r="H41" s="196" t="e">
        <v>#VALUE!</v>
      </c>
      <c r="I41" s="194">
        <v>111</v>
      </c>
      <c r="J41" s="196" t="str">
        <f>VLOOKUP(I41,[1]characters!$A:$C,3,FALSE)</f>
        <v>ブルーキャタップ</v>
      </c>
      <c r="K41" s="198">
        <v>1</v>
      </c>
      <c r="L41" s="199">
        <v>1</v>
      </c>
      <c r="M41" s="199">
        <v>1</v>
      </c>
    </row>
    <row r="42" spans="1:13" ht="21" customHeight="1" x14ac:dyDescent="0.15">
      <c r="A42" s="62" t="str">
        <f t="shared" ref="A42" si="21">B42&amp;"_"&amp;I42</f>
        <v>996_112</v>
      </c>
      <c r="B42" s="194" ph="1">
        <v>996</v>
      </c>
      <c r="C42" s="195">
        <f t="shared" si="18"/>
        <v>996</v>
      </c>
      <c r="D42" s="196" t="str">
        <f ca="1">VLOOKUP(B42,units!A:B,2)</f>
        <v>リヴァイ</v>
      </c>
      <c r="E42" s="196" t="e">
        <v>#VALUE!</v>
      </c>
      <c r="F42" s="196" t="e">
        <v>#VALUE!</v>
      </c>
      <c r="G42" s="197">
        <f>VLOOKUP(B42,fork_awake_units!A:Q,17,FALSE )</f>
        <v>997</v>
      </c>
      <c r="H42" s="196" t="e">
        <v>#VALUE!</v>
      </c>
      <c r="I42" s="194">
        <v>112</v>
      </c>
      <c r="J42" s="196" t="str">
        <f>VLOOKUP(I42,[1]characters!$A:$C,3,FALSE)</f>
        <v>水のマッドハッター</v>
      </c>
      <c r="K42" s="198">
        <v>1</v>
      </c>
      <c r="L42" s="199">
        <v>1</v>
      </c>
      <c r="M42" s="199">
        <v>1</v>
      </c>
    </row>
    <row r="43" spans="1:13" ht="21" customHeight="1" x14ac:dyDescent="0.15">
      <c r="A43" s="62" t="str">
        <f t="shared" si="20"/>
        <v>996_983</v>
      </c>
      <c r="B43" s="194" ph="1">
        <v>996</v>
      </c>
      <c r="C43" s="195">
        <f t="shared" si="18"/>
        <v>996</v>
      </c>
      <c r="D43" s="196" t="str">
        <f ca="1">VLOOKUP(B43,units!A:B,2)</f>
        <v>リヴァイ</v>
      </c>
      <c r="E43" s="196" t="e">
        <v>#VALUE!</v>
      </c>
      <c r="F43" s="196" t="e">
        <v>#VALUE!</v>
      </c>
      <c r="G43" s="197">
        <f>VLOOKUP(B43,fork_awake_units!A:Q,17,FALSE )</f>
        <v>997</v>
      </c>
      <c r="H43" s="196" t="e">
        <v>#VALUE!</v>
      </c>
      <c r="I43" s="194">
        <v>983</v>
      </c>
      <c r="J43" s="196" t="str">
        <f>VLOOKUP(I43,[1]characters!$A:$C,3,FALSE)</f>
        <v>鎧の巨人</v>
      </c>
      <c r="K43" s="198">
        <v>1</v>
      </c>
      <c r="L43" s="199">
        <v>3</v>
      </c>
      <c r="M43" s="199">
        <v>1</v>
      </c>
    </row>
    <row r="44" spans="1:13" ht="21" customHeight="1" x14ac:dyDescent="0.15">
      <c r="A44" s="62" t="str">
        <f t="shared" si="20"/>
        <v>996_837</v>
      </c>
      <c r="B44" s="194" ph="1">
        <v>996</v>
      </c>
      <c r="C44" s="195">
        <f t="shared" si="18"/>
        <v>996</v>
      </c>
      <c r="D44" s="196" t="str">
        <f ca="1">VLOOKUP(B44,units!A:B,2)</f>
        <v>リヴァイ</v>
      </c>
      <c r="E44" s="196" t="e">
        <v>#VALUE!</v>
      </c>
      <c r="F44" s="196" t="e">
        <v>#VALUE!</v>
      </c>
      <c r="G44" s="197">
        <f>VLOOKUP(B44,fork_awake_units!A:Q,17,FALSE )</f>
        <v>997</v>
      </c>
      <c r="H44" s="196" t="e">
        <v>#VALUE!</v>
      </c>
      <c r="I44" s="194">
        <v>837</v>
      </c>
      <c r="J44" s="196" t="str">
        <f>VLOOKUP(I44,[1]characters!$A:$C,3,FALSE)</f>
        <v>リトルハンプティ</v>
      </c>
      <c r="K44" s="198">
        <v>1</v>
      </c>
      <c r="L44" s="199">
        <v>1</v>
      </c>
      <c r="M44" s="199">
        <v>100</v>
      </c>
    </row>
    <row r="45" spans="1:13" ht="21" customHeight="1" x14ac:dyDescent="0.15">
      <c r="A45" s="62" t="str">
        <f t="shared" si="20"/>
        <v>998_110</v>
      </c>
      <c r="B45" s="194" ph="1">
        <v>998</v>
      </c>
      <c r="C45" s="195">
        <f t="shared" si="18"/>
        <v>998</v>
      </c>
      <c r="D45" s="196" t="str">
        <f ca="1">VLOOKUP(B45,units!A:B,2)</f>
        <v>サシャ</v>
      </c>
      <c r="E45" s="196" t="e">
        <v>#VALUE!</v>
      </c>
      <c r="F45" s="196" t="e">
        <v>#VALUE!</v>
      </c>
      <c r="G45" s="197">
        <f>VLOOKUP(B45,fork_awake_units!A:Q,17,FALSE )</f>
        <v>999</v>
      </c>
      <c r="H45" s="196" t="e">
        <v>#VALUE!</v>
      </c>
      <c r="I45" s="194">
        <v>110</v>
      </c>
      <c r="J45" s="196" t="str">
        <f>VLOOKUP(I45,[1]characters!$A:$C,3,FALSE)</f>
        <v>ブルーラビット</v>
      </c>
      <c r="K45" s="198">
        <v>1</v>
      </c>
      <c r="L45" s="199">
        <v>1</v>
      </c>
      <c r="M45" s="199">
        <v>1</v>
      </c>
    </row>
    <row r="46" spans="1:13" ht="21" customHeight="1" x14ac:dyDescent="0.15">
      <c r="A46" s="62" t="str">
        <f t="shared" si="20"/>
        <v>998_111</v>
      </c>
      <c r="B46" s="194" ph="1">
        <v>998</v>
      </c>
      <c r="C46" s="195">
        <f t="shared" si="18"/>
        <v>998</v>
      </c>
      <c r="D46" s="196" t="str">
        <f ca="1">VLOOKUP(B46,units!A:B,2)</f>
        <v>サシャ</v>
      </c>
      <c r="E46" s="196" t="e">
        <v>#VALUE!</v>
      </c>
      <c r="F46" s="196" t="e">
        <v>#VALUE!</v>
      </c>
      <c r="G46" s="197">
        <f>VLOOKUP(B46,fork_awake_units!A:Q,17,FALSE )</f>
        <v>999</v>
      </c>
      <c r="H46" s="196" t="e">
        <v>#VALUE!</v>
      </c>
      <c r="I46" s="194">
        <v>111</v>
      </c>
      <c r="J46" s="196" t="str">
        <f>VLOOKUP(I46,[1]characters!$A:$C,3,FALSE)</f>
        <v>ブルーキャタップ</v>
      </c>
      <c r="K46" s="198">
        <v>2</v>
      </c>
      <c r="L46" s="199">
        <v>1</v>
      </c>
      <c r="M46" s="199">
        <v>1</v>
      </c>
    </row>
    <row r="47" spans="1:13" ht="21" customHeight="1" x14ac:dyDescent="0.15">
      <c r="A47" s="62" t="str">
        <f t="shared" si="20"/>
        <v>998_112</v>
      </c>
      <c r="B47" s="194" ph="1">
        <v>998</v>
      </c>
      <c r="C47" s="195">
        <f t="shared" si="18"/>
        <v>998</v>
      </c>
      <c r="D47" s="196" t="str">
        <f ca="1">VLOOKUP(B47,units!A:B,2)</f>
        <v>サシャ</v>
      </c>
      <c r="E47" s="196" t="e">
        <v>#VALUE!</v>
      </c>
      <c r="F47" s="196" t="e">
        <v>#VALUE!</v>
      </c>
      <c r="G47" s="197">
        <f>VLOOKUP(B47,fork_awake_units!A:Q,17,FALSE )</f>
        <v>999</v>
      </c>
      <c r="H47" s="196" t="e">
        <v>#VALUE!</v>
      </c>
      <c r="I47" s="194">
        <v>112</v>
      </c>
      <c r="J47" s="196" t="str">
        <f>VLOOKUP(I47,[1]characters!$A:$C,3,FALSE)</f>
        <v>水のマッドハッター</v>
      </c>
      <c r="K47" s="198">
        <v>2</v>
      </c>
      <c r="L47" s="199">
        <v>1</v>
      </c>
      <c r="M47" s="199">
        <v>1</v>
      </c>
    </row>
    <row r="48" spans="1:13" ht="21" customHeight="1" x14ac:dyDescent="0.15">
      <c r="A48" s="62" t="str">
        <f t="shared" ref="A48:A50" si="22">B48&amp;"_"&amp;I48</f>
        <v>1000_114</v>
      </c>
      <c r="B48" s="194" ph="1">
        <v>1000</v>
      </c>
      <c r="C48" s="195">
        <f t="shared" si="18"/>
        <v>1000</v>
      </c>
      <c r="D48" s="196" t="str">
        <f ca="1">VLOOKUP(B48,units!A:B,2)</f>
        <v>クリスタ</v>
      </c>
      <c r="E48" s="196" t="e">
        <v>#VALUE!</v>
      </c>
      <c r="F48" s="196" t="e">
        <v>#VALUE!</v>
      </c>
      <c r="G48" s="197">
        <f>VLOOKUP(B48,fork_awake_units!A:Q,17,FALSE )</f>
        <v>1001</v>
      </c>
      <c r="H48" s="196" t="e">
        <v>#VALUE!</v>
      </c>
      <c r="I48" s="194">
        <v>114</v>
      </c>
      <c r="J48" s="196" t="str">
        <f>VLOOKUP(I48,[1]characters!$A:$C,3,FALSE)</f>
        <v>イエローラビット</v>
      </c>
      <c r="K48" s="198">
        <v>1</v>
      </c>
      <c r="L48" s="199">
        <v>1</v>
      </c>
      <c r="M48" s="199">
        <v>1</v>
      </c>
    </row>
    <row r="49" spans="1:13" ht="21" customHeight="1" x14ac:dyDescent="0.15">
      <c r="A49" s="62" t="str">
        <f t="shared" si="22"/>
        <v>1000_115</v>
      </c>
      <c r="B49" s="194" ph="1">
        <v>1000</v>
      </c>
      <c r="C49" s="195">
        <f t="shared" si="18"/>
        <v>1000</v>
      </c>
      <c r="D49" s="196" t="str">
        <f ca="1">VLOOKUP(B49,units!A:B,2)</f>
        <v>クリスタ</v>
      </c>
      <c r="E49" s="196" t="e">
        <v>#VALUE!</v>
      </c>
      <c r="F49" s="196" t="e">
        <v>#VALUE!</v>
      </c>
      <c r="G49" s="197">
        <f>VLOOKUP(B49,fork_awake_units!A:Q,17,FALSE )</f>
        <v>1001</v>
      </c>
      <c r="H49" s="196" t="e">
        <v>#VALUE!</v>
      </c>
      <c r="I49" s="194">
        <v>115</v>
      </c>
      <c r="J49" s="196" t="str">
        <f>VLOOKUP(I49,[1]characters!$A:$C,3,FALSE)</f>
        <v>イエローキャタップ</v>
      </c>
      <c r="K49" s="198">
        <v>2</v>
      </c>
      <c r="L49" s="199">
        <v>1</v>
      </c>
      <c r="M49" s="199">
        <v>1</v>
      </c>
    </row>
    <row r="50" spans="1:13" ht="21" customHeight="1" x14ac:dyDescent="0.15">
      <c r="A50" s="62" t="str">
        <f t="shared" si="22"/>
        <v>1000_116</v>
      </c>
      <c r="B50" s="194" ph="1">
        <v>1000</v>
      </c>
      <c r="C50" s="195">
        <f t="shared" si="18"/>
        <v>1000</v>
      </c>
      <c r="D50" s="196" t="str">
        <f ca="1">VLOOKUP(B50,units!A:B,2)</f>
        <v>クリスタ</v>
      </c>
      <c r="E50" s="196" t="e">
        <v>#VALUE!</v>
      </c>
      <c r="F50" s="196" t="e">
        <v>#VALUE!</v>
      </c>
      <c r="G50" s="197">
        <f>VLOOKUP(B50,fork_awake_units!A:Q,17,FALSE )</f>
        <v>1001</v>
      </c>
      <c r="H50" s="196" t="e">
        <v>#VALUE!</v>
      </c>
      <c r="I50" s="194">
        <v>116</v>
      </c>
      <c r="J50" s="196" t="str">
        <f>VLOOKUP(I50,[1]characters!$A:$C,3,FALSE)</f>
        <v>雷のマッドハッター</v>
      </c>
      <c r="K50" s="198">
        <v>2</v>
      </c>
      <c r="L50" s="199">
        <v>1</v>
      </c>
      <c r="M50" s="199">
        <v>1</v>
      </c>
    </row>
    <row r="51" spans="1:13" ht="21" customHeight="1" x14ac:dyDescent="0.15">
      <c r="A51" s="62" t="str">
        <f t="shared" ref="A51:A53" si="23">B51&amp;"_"&amp;I51</f>
        <v>1002_114</v>
      </c>
      <c r="B51" s="194" ph="1">
        <v>1002</v>
      </c>
      <c r="C51" s="195">
        <f t="shared" si="18"/>
        <v>1002</v>
      </c>
      <c r="D51" s="196" t="str">
        <f ca="1">VLOOKUP(B51,units!A:B,2)</f>
        <v>ジャン</v>
      </c>
      <c r="E51" s="196" t="e">
        <v>#VALUE!</v>
      </c>
      <c r="F51" s="196" t="e">
        <v>#VALUE!</v>
      </c>
      <c r="G51" s="197">
        <f>VLOOKUP(B51,fork_awake_units!A:Q,17,FALSE )</f>
        <v>1003</v>
      </c>
      <c r="H51" s="196" t="e">
        <v>#VALUE!</v>
      </c>
      <c r="I51" s="194">
        <v>114</v>
      </c>
      <c r="J51" s="196" t="str">
        <f>VLOOKUP(I51,[1]characters!$A:$C,3,FALSE)</f>
        <v>イエローラビット</v>
      </c>
      <c r="K51" s="198">
        <v>1</v>
      </c>
      <c r="L51" s="199">
        <v>1</v>
      </c>
      <c r="M51" s="199">
        <v>1</v>
      </c>
    </row>
    <row r="52" spans="1:13" ht="21" customHeight="1" x14ac:dyDescent="0.15">
      <c r="A52" s="62" t="str">
        <f t="shared" si="23"/>
        <v>1002_115</v>
      </c>
      <c r="B52" s="194" ph="1">
        <v>1002</v>
      </c>
      <c r="C52" s="195">
        <f t="shared" si="18"/>
        <v>1002</v>
      </c>
      <c r="D52" s="196" t="str">
        <f ca="1">VLOOKUP(B52,units!A:B,2)</f>
        <v>ジャン</v>
      </c>
      <c r="E52" s="196" t="e">
        <v>#VALUE!</v>
      </c>
      <c r="F52" s="196" t="e">
        <v>#VALUE!</v>
      </c>
      <c r="G52" s="197">
        <f>VLOOKUP(B52,fork_awake_units!A:Q,17,FALSE )</f>
        <v>1003</v>
      </c>
      <c r="H52" s="196" t="e">
        <v>#VALUE!</v>
      </c>
      <c r="I52" s="194">
        <v>115</v>
      </c>
      <c r="J52" s="196" t="str">
        <f>VLOOKUP(I52,[1]characters!$A:$C,3,FALSE)</f>
        <v>イエローキャタップ</v>
      </c>
      <c r="K52" s="198">
        <v>2</v>
      </c>
      <c r="L52" s="199">
        <v>1</v>
      </c>
      <c r="M52" s="199">
        <v>1</v>
      </c>
    </row>
    <row r="53" spans="1:13" ht="21" customHeight="1" x14ac:dyDescent="0.15">
      <c r="A53" s="62" t="str">
        <f t="shared" si="23"/>
        <v>1002_116</v>
      </c>
      <c r="B53" s="194" ph="1">
        <v>1002</v>
      </c>
      <c r="C53" s="195">
        <f t="shared" si="18"/>
        <v>1002</v>
      </c>
      <c r="D53" s="196" t="str">
        <f ca="1">VLOOKUP(B53,units!A:B,2)</f>
        <v>ジャン</v>
      </c>
      <c r="E53" s="196" t="e">
        <v>#VALUE!</v>
      </c>
      <c r="F53" s="196" t="e">
        <v>#VALUE!</v>
      </c>
      <c r="G53" s="197">
        <f>VLOOKUP(B53,fork_awake_units!A:Q,17,FALSE )</f>
        <v>1003</v>
      </c>
      <c r="H53" s="196" t="e">
        <v>#VALUE!</v>
      </c>
      <c r="I53" s="194">
        <v>116</v>
      </c>
      <c r="J53" s="196" t="str">
        <f>VLOOKUP(I53,[1]characters!$A:$C,3,FALSE)</f>
        <v>雷のマッドハッター</v>
      </c>
      <c r="K53" s="198">
        <v>2</v>
      </c>
      <c r="L53" s="199">
        <v>1</v>
      </c>
      <c r="M53" s="199">
        <v>1</v>
      </c>
    </row>
  </sheetData>
  <sheetProtection selectLockedCells="1" selectUnlockedCells="1"/>
  <autoFilter ref="B1:H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1"/>
  <sheetViews>
    <sheetView workbookViewId="0">
      <selection activeCell="A2" sqref="A2:XFD2"/>
    </sheetView>
  </sheetViews>
  <sheetFormatPr baseColWidth="12" defaultRowHeight="15" x14ac:dyDescent="0.15"/>
  <sheetData>
    <row r="1" spans="1:6" s="22" customFormat="1" ht="21" customHeight="1" x14ac:dyDescent="0.15">
      <c r="A1" s="172" t="s">
        <v>292</v>
      </c>
      <c r="B1" s="116" t="s">
        <v>187</v>
      </c>
      <c r="C1" s="117" t="s">
        <v>40</v>
      </c>
      <c r="D1" s="118" t="s">
        <v>158</v>
      </c>
      <c r="E1" s="173" t="s">
        <v>293</v>
      </c>
      <c r="F1" s="173" t="s">
        <v>294</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H6"/>
  <sheetViews>
    <sheetView workbookViewId="0">
      <selection activeCell="F6" sqref="F6"/>
    </sheetView>
  </sheetViews>
  <sheetFormatPr baseColWidth="12" defaultRowHeight="15" x14ac:dyDescent="0.15"/>
  <cols>
    <col min="2" max="2" width="20.1640625" customWidth="1"/>
    <col min="5" max="5" width="17.83203125" bestFit="1" customWidth="1"/>
    <col min="6" max="6" width="46.1640625" bestFit="1" customWidth="1"/>
  </cols>
  <sheetData>
    <row r="1" spans="1:8" s="22" customFormat="1" ht="21" customHeight="1" x14ac:dyDescent="0.15">
      <c r="A1" s="172" t="s">
        <v>295</v>
      </c>
      <c r="B1" s="175" t="s">
        <v>296</v>
      </c>
      <c r="C1" s="116" t="s">
        <v>297</v>
      </c>
      <c r="D1" s="116" t="s">
        <v>298</v>
      </c>
      <c r="E1" s="176" t="s">
        <v>299</v>
      </c>
      <c r="F1" s="176" t="s">
        <v>300</v>
      </c>
      <c r="G1" s="119" t="s">
        <v>301</v>
      </c>
      <c r="H1" s="172" t="s">
        <v>302</v>
      </c>
    </row>
    <row r="2" spans="1:8" s="4" customFormat="1" ht="14" x14ac:dyDescent="0.15">
      <c r="A2" s="174">
        <v>980</v>
      </c>
      <c r="B2" s="177" t="str">
        <f>VLOOKUP(A2,[1]characters!$A:$C,3)</f>
        <v>猛熱の災厄 超大型巨人</v>
      </c>
      <c r="C2" s="174">
        <v>1</v>
      </c>
      <c r="D2" s="174">
        <v>203</v>
      </c>
      <c r="E2" s="178" t="str">
        <f>VLOOKUP(D2,[2]abilities!A:D,3)</f>
        <v>爆風軽減無効</v>
      </c>
      <c r="F2" s="178" t="str">
        <f>VLOOKUP(D2,[2]abilities!A:D,4)</f>
        <v>自身が先頭の時、爆風軽減を無効化する</v>
      </c>
      <c r="G2" s="179" t="s">
        <v>446</v>
      </c>
      <c r="H2" s="179" t="s">
        <v>477</v>
      </c>
    </row>
    <row r="3" spans="1:8" s="4" customFormat="1" ht="14" x14ac:dyDescent="0.15">
      <c r="A3" s="174">
        <v>986</v>
      </c>
      <c r="B3" s="177" t="str">
        <f>VLOOKUP(A3,[1]characters!$A:$C,3)</f>
        <v>復讐の誓約 エレン</v>
      </c>
      <c r="C3" s="174">
        <v>1</v>
      </c>
      <c r="D3" s="174">
        <v>316</v>
      </c>
      <c r="E3" s="178" t="str">
        <f>VLOOKUP(D3,[2]abilities!A:D,3)</f>
        <v>対Unknown ダメージUP</v>
      </c>
      <c r="F3" s="178" t="str">
        <f>VLOOKUP(D3,[2]abilities!A:D,4)</f>
        <v>自身の攻撃対象が種族Unknownの場合全ての攻撃の威力をUP</v>
      </c>
      <c r="G3" s="179" t="s">
        <v>446</v>
      </c>
      <c r="H3" s="179" t="s">
        <v>447</v>
      </c>
    </row>
    <row r="4" spans="1:8" s="4" customFormat="1" ht="14" x14ac:dyDescent="0.15">
      <c r="A4" s="174">
        <v>987</v>
      </c>
      <c r="B4" s="177" t="str">
        <f>VLOOKUP(A4,[1]characters!$A:$C,3)</f>
        <v>撃壊の眼煌 エレン巨人</v>
      </c>
      <c r="C4" s="174">
        <v>1</v>
      </c>
      <c r="D4" s="174">
        <v>203</v>
      </c>
      <c r="E4" s="178" t="str">
        <f>VLOOKUP(D4,[2]abilities!A:D,3)</f>
        <v>爆風軽減無効</v>
      </c>
      <c r="F4" s="178" t="str">
        <f>VLOOKUP(D4,[2]abilities!A:D,4)</f>
        <v>自身が先頭の時、爆風軽減を無効化する</v>
      </c>
      <c r="G4" s="179" t="s">
        <v>446</v>
      </c>
      <c r="H4" s="179" t="s">
        <v>447</v>
      </c>
    </row>
    <row r="5" spans="1:8" s="4" customFormat="1" ht="14" x14ac:dyDescent="0.15">
      <c r="A5" s="174">
        <v>989</v>
      </c>
      <c r="B5" s="177" t="str">
        <f>VLOOKUP(A5,[1]characters!$A:$C,3)</f>
        <v>稀代の逸材 ミカサ</v>
      </c>
      <c r="C5" s="174">
        <v>1</v>
      </c>
      <c r="D5" s="174">
        <v>103</v>
      </c>
      <c r="E5" s="178" t="str">
        <f>VLOOKUP(D5,[2]abilities!A:D,3)</f>
        <v>お邪魔ブレイク</v>
      </c>
      <c r="F5" s="178" t="str">
        <f>VLOOKUP(D5,[2]abilities!A:D,4)</f>
        <v>自身が先頭の時、お邪魔パネルを破壊できる</v>
      </c>
      <c r="G5" s="179" t="s">
        <v>446</v>
      </c>
      <c r="H5" s="179" t="s">
        <v>447</v>
      </c>
    </row>
    <row r="6" spans="1:8" s="4" customFormat="1" ht="14" x14ac:dyDescent="0.15">
      <c r="A6" s="174">
        <v>997</v>
      </c>
      <c r="B6" s="177" t="str">
        <f>VLOOKUP(A6,[1]characters!$A:$C,3)</f>
        <v>人類最強 リヴァイ</v>
      </c>
      <c r="C6" s="174">
        <v>1</v>
      </c>
      <c r="D6" s="174">
        <v>102</v>
      </c>
      <c r="E6" s="178" t="str">
        <f>VLOOKUP(D6,[2]abilities!A:D,3)</f>
        <v>プロテクトブレイク</v>
      </c>
      <c r="F6" s="178" t="str">
        <f>VLOOKUP(D6,[2]abilities!A:D,4)</f>
        <v>自身が先頭の時、プロテクトを無視してパネル破壊できる</v>
      </c>
      <c r="G6" s="179" t="s">
        <v>446</v>
      </c>
      <c r="H6" s="179" t="s">
        <v>447</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E7" sqref="E7"/>
    </sheetView>
  </sheetViews>
  <sheetFormatPr baseColWidth="12" defaultRowHeight="15" x14ac:dyDescent="0.15"/>
  <sheetData>
    <row r="1" spans="1:2" x14ac:dyDescent="0.15">
      <c r="A1" t="s">
        <v>497</v>
      </c>
      <c r="B1" t="s">
        <v>498</v>
      </c>
    </row>
    <row r="2" spans="1:2" x14ac:dyDescent="0.15">
      <c r="A2" t="s">
        <v>499</v>
      </c>
      <c r="B2">
        <v>1</v>
      </c>
    </row>
    <row r="3" spans="1:2" x14ac:dyDescent="0.15">
      <c r="A3" t="s">
        <v>500</v>
      </c>
      <c r="B3">
        <v>1</v>
      </c>
    </row>
    <row r="4" spans="1:2" x14ac:dyDescent="0.15">
      <c r="A4" t="s">
        <v>501</v>
      </c>
      <c r="B4">
        <v>1</v>
      </c>
    </row>
    <row r="5" spans="1:2" x14ac:dyDescent="0.15">
      <c r="A5" t="s">
        <v>502</v>
      </c>
      <c r="B5">
        <v>1</v>
      </c>
    </row>
    <row r="6" spans="1:2" x14ac:dyDescent="0.15">
      <c r="A6" t="s">
        <v>503</v>
      </c>
      <c r="B6">
        <v>1</v>
      </c>
    </row>
    <row r="7" spans="1:2" x14ac:dyDescent="0.15">
      <c r="A7" t="s">
        <v>504</v>
      </c>
      <c r="B7">
        <v>1</v>
      </c>
    </row>
    <row r="8" spans="1:2" x14ac:dyDescent="0.15">
      <c r="A8" t="s">
        <v>505</v>
      </c>
      <c r="B8">
        <v>1</v>
      </c>
    </row>
    <row r="9" spans="1:2" x14ac:dyDescent="0.15">
      <c r="A9" t="s">
        <v>506</v>
      </c>
      <c r="B9">
        <v>1</v>
      </c>
    </row>
    <row r="10" spans="1:2" x14ac:dyDescent="0.15">
      <c r="A10" t="s">
        <v>507</v>
      </c>
      <c r="B10">
        <v>1</v>
      </c>
    </row>
    <row r="11" spans="1:2" x14ac:dyDescent="0.15">
      <c r="A11" t="s">
        <v>508</v>
      </c>
      <c r="B11">
        <v>1</v>
      </c>
    </row>
    <row r="12" spans="1:2" x14ac:dyDescent="0.15">
      <c r="A12" t="s">
        <v>509</v>
      </c>
      <c r="B12">
        <v>1</v>
      </c>
    </row>
    <row r="13" spans="1:2" x14ac:dyDescent="0.15">
      <c r="A13" t="s">
        <v>510</v>
      </c>
      <c r="B13">
        <v>0</v>
      </c>
    </row>
    <row r="14" spans="1:2" x14ac:dyDescent="0.15">
      <c r="A14" t="s">
        <v>511</v>
      </c>
      <c r="B14">
        <v>500</v>
      </c>
    </row>
    <row r="15" spans="1:2" x14ac:dyDescent="0.15">
      <c r="A15" t="s">
        <v>512</v>
      </c>
      <c r="B15">
        <v>600</v>
      </c>
    </row>
    <row r="16" spans="1:2" x14ac:dyDescent="0.15">
      <c r="A16" t="s">
        <v>513</v>
      </c>
      <c r="B16">
        <v>700</v>
      </c>
    </row>
    <row r="17" spans="1:2" x14ac:dyDescent="0.15">
      <c r="A17" t="s">
        <v>514</v>
      </c>
      <c r="B17">
        <v>5500</v>
      </c>
    </row>
    <row r="18" spans="1:2" x14ac:dyDescent="0.15">
      <c r="A18" t="s">
        <v>515</v>
      </c>
      <c r="B18">
        <v>6000</v>
      </c>
    </row>
    <row r="19" spans="1:2" x14ac:dyDescent="0.15">
      <c r="A19" t="s">
        <v>516</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topLeftCell="A4" workbookViewId="0">
      <selection activeCell="I20" sqref="I20"/>
    </sheetView>
  </sheetViews>
  <sheetFormatPr baseColWidth="12" defaultColWidth="13" defaultRowHeight="21" customHeight="1" x14ac:dyDescent="0.15"/>
  <cols>
    <col min="1" max="1" width="13" style="4"/>
    <col min="2" max="16384" width="13" style="22"/>
  </cols>
  <sheetData>
    <row r="1" spans="1:9" s="4" customFormat="1" ht="21" customHeight="1" x14ac:dyDescent="0.15">
      <c r="A1" s="29" t="s">
        <v>227</v>
      </c>
      <c r="B1" s="31">
        <v>1</v>
      </c>
      <c r="C1" s="31">
        <v>2</v>
      </c>
      <c r="D1" s="31">
        <v>3</v>
      </c>
      <c r="E1" s="31">
        <v>4</v>
      </c>
      <c r="F1" s="31">
        <v>5</v>
      </c>
      <c r="G1" s="31">
        <v>6</v>
      </c>
      <c r="H1" s="31">
        <v>7</v>
      </c>
      <c r="I1" s="31">
        <v>8</v>
      </c>
    </row>
    <row r="2" spans="1:9" s="4" customFormat="1" ht="21" customHeight="1" x14ac:dyDescent="0.15">
      <c r="A2" s="141" t="s">
        <v>228</v>
      </c>
      <c r="B2" s="142"/>
      <c r="C2" s="143"/>
      <c r="D2" s="144" t="s">
        <v>229</v>
      </c>
      <c r="E2" s="144">
        <v>30</v>
      </c>
      <c r="F2" s="144">
        <v>40</v>
      </c>
      <c r="G2" s="144">
        <f>15+F2</f>
        <v>55</v>
      </c>
      <c r="H2" s="143"/>
      <c r="I2" s="143"/>
    </row>
    <row r="3" spans="1:9" s="4" customFormat="1" ht="21" customHeight="1" x14ac:dyDescent="0.15">
      <c r="A3" s="141" t="s">
        <v>230</v>
      </c>
      <c r="B3" s="145"/>
      <c r="C3" s="146"/>
      <c r="D3" s="147" t="s">
        <v>229</v>
      </c>
      <c r="E3" s="147">
        <v>25</v>
      </c>
      <c r="F3" s="147">
        <v>35</v>
      </c>
      <c r="G3" s="144">
        <f t="shared" ref="G3:G4" si="0">15+F3</f>
        <v>50</v>
      </c>
      <c r="H3" s="146"/>
      <c r="I3" s="146"/>
    </row>
    <row r="4" spans="1:9" s="4" customFormat="1" ht="21" customHeight="1" x14ac:dyDescent="0.15">
      <c r="A4" s="141" t="s">
        <v>231</v>
      </c>
      <c r="B4" s="148"/>
      <c r="C4" s="149"/>
      <c r="D4" s="150">
        <v>10</v>
      </c>
      <c r="E4" s="150">
        <v>20</v>
      </c>
      <c r="F4" s="150">
        <v>30</v>
      </c>
      <c r="G4" s="150">
        <f t="shared" si="0"/>
        <v>45</v>
      </c>
      <c r="H4" s="149"/>
      <c r="I4" s="149"/>
    </row>
    <row r="5" spans="1:9" s="4" customFormat="1" ht="21" customHeight="1" x14ac:dyDescent="0.15">
      <c r="A5" s="160" t="s">
        <v>232</v>
      </c>
      <c r="B5" s="155"/>
      <c r="C5" s="156"/>
      <c r="D5" s="27">
        <v>9</v>
      </c>
      <c r="E5" s="27">
        <v>18</v>
      </c>
      <c r="F5" s="27">
        <v>28</v>
      </c>
      <c r="G5" s="37">
        <v>38</v>
      </c>
      <c r="H5" s="156"/>
      <c r="I5" s="156"/>
    </row>
    <row r="6" spans="1:9" s="4" customFormat="1" ht="21" customHeight="1" x14ac:dyDescent="0.15">
      <c r="A6" s="160" t="s">
        <v>233</v>
      </c>
      <c r="B6" s="155"/>
      <c r="C6" s="156"/>
      <c r="D6" s="27">
        <v>7</v>
      </c>
      <c r="E6" s="27">
        <v>16</v>
      </c>
      <c r="F6" s="66" t="s">
        <v>11</v>
      </c>
      <c r="G6" s="66" t="s">
        <v>11</v>
      </c>
      <c r="H6" s="156"/>
      <c r="I6" s="156"/>
    </row>
    <row r="7" spans="1:9" ht="21" customHeight="1" x14ac:dyDescent="0.15">
      <c r="A7" s="71" t="s">
        <v>234</v>
      </c>
      <c r="B7" s="44" t="s">
        <v>11</v>
      </c>
      <c r="C7" s="44" t="s">
        <v>11</v>
      </c>
      <c r="D7" s="37" t="s">
        <v>229</v>
      </c>
      <c r="E7" s="37" t="s">
        <v>229</v>
      </c>
      <c r="F7" s="37" t="s">
        <v>229</v>
      </c>
      <c r="G7" s="37" t="s">
        <v>229</v>
      </c>
      <c r="H7" s="37" t="s">
        <v>229</v>
      </c>
      <c r="I7" s="37" t="s">
        <v>229</v>
      </c>
    </row>
    <row r="8" spans="1:9" ht="21" customHeight="1" x14ac:dyDescent="0.15">
      <c r="A8" s="72" t="s">
        <v>235</v>
      </c>
      <c r="B8" s="44" t="s">
        <v>11</v>
      </c>
      <c r="C8" s="44" t="s">
        <v>11</v>
      </c>
      <c r="D8" s="37" t="s">
        <v>229</v>
      </c>
      <c r="E8" s="37">
        <v>30</v>
      </c>
      <c r="F8" s="37">
        <v>40</v>
      </c>
      <c r="G8" s="37">
        <f>15+F8</f>
        <v>55</v>
      </c>
      <c r="H8" s="37" t="s">
        <v>229</v>
      </c>
      <c r="I8" s="37" t="s">
        <v>229</v>
      </c>
    </row>
    <row r="9" spans="1:9" s="43" customFormat="1" ht="21" customHeight="1" x14ac:dyDescent="0.15">
      <c r="A9" s="73" t="s">
        <v>236</v>
      </c>
      <c r="B9" s="27" t="s">
        <v>11</v>
      </c>
      <c r="C9" s="27" t="s">
        <v>11</v>
      </c>
      <c r="D9" s="103" t="s">
        <v>229</v>
      </c>
      <c r="E9" s="103">
        <v>25</v>
      </c>
      <c r="F9" s="103">
        <v>35</v>
      </c>
      <c r="G9" s="37">
        <f t="shared" ref="G9:G10" si="1">15+F9</f>
        <v>50</v>
      </c>
      <c r="H9" s="103" t="s">
        <v>229</v>
      </c>
      <c r="I9" s="103" t="s">
        <v>229</v>
      </c>
    </row>
    <row r="10" spans="1:9" ht="21" customHeight="1" x14ac:dyDescent="0.15">
      <c r="A10" s="73" t="s">
        <v>9</v>
      </c>
      <c r="B10" s="66" t="s">
        <v>11</v>
      </c>
      <c r="C10" s="66" t="s">
        <v>11</v>
      </c>
      <c r="D10" s="27">
        <v>10</v>
      </c>
      <c r="E10" s="27">
        <v>20</v>
      </c>
      <c r="F10" s="27">
        <v>30</v>
      </c>
      <c r="G10" s="37">
        <f t="shared" si="1"/>
        <v>45</v>
      </c>
      <c r="H10" s="66" t="s">
        <v>11</v>
      </c>
      <c r="I10" s="66" t="s">
        <v>11</v>
      </c>
    </row>
    <row r="11" spans="1:9" ht="21" customHeight="1" x14ac:dyDescent="0.15">
      <c r="A11" s="73" t="s">
        <v>237</v>
      </c>
      <c r="B11" s="66" t="s">
        <v>11</v>
      </c>
      <c r="C11" s="66" t="s">
        <v>11</v>
      </c>
      <c r="D11" s="27">
        <v>9</v>
      </c>
      <c r="E11" s="27">
        <v>18</v>
      </c>
      <c r="F11" s="27">
        <v>28</v>
      </c>
      <c r="G11" s="37">
        <v>38</v>
      </c>
      <c r="H11" s="66" t="s">
        <v>11</v>
      </c>
      <c r="I11" s="66" t="s">
        <v>11</v>
      </c>
    </row>
    <row r="12" spans="1:9" ht="21" customHeight="1" x14ac:dyDescent="0.15">
      <c r="A12" s="73" t="s">
        <v>238</v>
      </c>
      <c r="B12" s="66" t="s">
        <v>11</v>
      </c>
      <c r="C12" s="66" t="s">
        <v>11</v>
      </c>
      <c r="D12" s="27">
        <v>7</v>
      </c>
      <c r="E12" s="27">
        <v>16</v>
      </c>
      <c r="F12" s="66" t="s">
        <v>11</v>
      </c>
      <c r="G12" s="66" t="s">
        <v>11</v>
      </c>
      <c r="H12" s="66" t="s">
        <v>11</v>
      </c>
      <c r="I12" s="66" t="s">
        <v>11</v>
      </c>
    </row>
    <row r="13" spans="1:9" ht="21" customHeight="1" x14ac:dyDescent="0.15">
      <c r="A13" s="102" t="s">
        <v>239</v>
      </c>
      <c r="B13" s="66" t="s">
        <v>11</v>
      </c>
      <c r="C13" s="66" t="s">
        <v>11</v>
      </c>
      <c r="D13" s="27">
        <v>8</v>
      </c>
      <c r="E13" s="27">
        <v>17</v>
      </c>
      <c r="F13" s="27">
        <v>26</v>
      </c>
      <c r="G13" s="66" t="s">
        <v>11</v>
      </c>
      <c r="H13" s="66" t="s">
        <v>11</v>
      </c>
      <c r="I13" s="66" t="s">
        <v>11</v>
      </c>
    </row>
    <row r="14" spans="1:9" ht="21" customHeight="1" x14ac:dyDescent="0.15">
      <c r="A14" s="73" t="s">
        <v>240</v>
      </c>
      <c r="B14" s="66" t="s">
        <v>11</v>
      </c>
      <c r="C14" s="66" t="s">
        <v>11</v>
      </c>
      <c r="D14" s="27">
        <v>8</v>
      </c>
      <c r="E14" s="27">
        <v>17</v>
      </c>
      <c r="F14" s="27">
        <v>26</v>
      </c>
      <c r="G14" s="66" t="s">
        <v>11</v>
      </c>
      <c r="H14" s="66" t="s">
        <v>11</v>
      </c>
      <c r="I14" s="66" t="s">
        <v>11</v>
      </c>
    </row>
    <row r="15" spans="1:9" ht="21" customHeight="1" x14ac:dyDescent="0.15">
      <c r="A15" s="73" t="s">
        <v>241</v>
      </c>
      <c r="B15" s="66" t="s">
        <v>11</v>
      </c>
      <c r="C15" s="66" t="s">
        <v>11</v>
      </c>
      <c r="D15" s="27">
        <v>6</v>
      </c>
      <c r="E15" s="27">
        <v>14</v>
      </c>
      <c r="F15" s="66" t="s">
        <v>11</v>
      </c>
      <c r="G15" s="66" t="s">
        <v>11</v>
      </c>
      <c r="H15" s="66" t="s">
        <v>11</v>
      </c>
      <c r="I15" s="66" t="s">
        <v>11</v>
      </c>
    </row>
    <row r="16" spans="1:9" ht="21" customHeight="1" x14ac:dyDescent="0.15">
      <c r="A16" s="73" t="s">
        <v>242</v>
      </c>
      <c r="B16" s="66" t="s">
        <v>11</v>
      </c>
      <c r="C16" s="27">
        <v>4</v>
      </c>
      <c r="D16" s="27">
        <v>6</v>
      </c>
      <c r="E16" s="27">
        <v>14</v>
      </c>
      <c r="F16" s="66" t="s">
        <v>11</v>
      </c>
      <c r="G16" s="66" t="s">
        <v>11</v>
      </c>
      <c r="H16" s="66" t="s">
        <v>11</v>
      </c>
      <c r="I16" s="66" t="s">
        <v>11</v>
      </c>
    </row>
    <row r="17" spans="1:9" ht="21" customHeight="1" x14ac:dyDescent="0.15">
      <c r="A17" s="73" t="s">
        <v>8</v>
      </c>
      <c r="B17" s="27">
        <v>2</v>
      </c>
      <c r="C17" s="27">
        <v>4</v>
      </c>
      <c r="D17" s="27">
        <v>6</v>
      </c>
      <c r="E17" s="66" t="s">
        <v>11</v>
      </c>
      <c r="F17" s="66" t="s">
        <v>11</v>
      </c>
      <c r="G17" s="66" t="s">
        <v>11</v>
      </c>
      <c r="H17" s="66" t="s">
        <v>11</v>
      </c>
      <c r="I17" s="66" t="s">
        <v>11</v>
      </c>
    </row>
    <row r="18" spans="1:9" ht="21" customHeight="1" x14ac:dyDescent="0.15">
      <c r="A18" s="74" t="s">
        <v>7</v>
      </c>
      <c r="B18" s="30">
        <v>1</v>
      </c>
      <c r="C18" s="30">
        <v>2</v>
      </c>
      <c r="D18" s="67" t="s">
        <v>11</v>
      </c>
      <c r="E18" s="67" t="s">
        <v>11</v>
      </c>
      <c r="F18" s="67" t="s">
        <v>11</v>
      </c>
      <c r="G18" s="67" t="s">
        <v>11</v>
      </c>
      <c r="H18" s="67" t="s">
        <v>11</v>
      </c>
      <c r="I18" s="67" t="s">
        <v>11</v>
      </c>
    </row>
    <row r="19" spans="1:9" ht="21" customHeight="1" x14ac:dyDescent="0.15">
      <c r="A19" s="75" t="s">
        <v>243</v>
      </c>
      <c r="B19" s="25">
        <v>1</v>
      </c>
      <c r="C19" s="25">
        <v>1</v>
      </c>
      <c r="D19" s="67" t="s">
        <v>11</v>
      </c>
      <c r="E19" s="67" t="s">
        <v>11</v>
      </c>
      <c r="F19" s="67" t="s">
        <v>11</v>
      </c>
      <c r="G19" s="67" t="s">
        <v>11</v>
      </c>
      <c r="H19" s="67" t="s">
        <v>11</v>
      </c>
      <c r="I19" s="67" t="s">
        <v>11</v>
      </c>
    </row>
    <row r="20" spans="1:9" ht="21" customHeight="1" x14ac:dyDescent="0.15">
      <c r="A20" s="36" t="s">
        <v>244</v>
      </c>
      <c r="B20" s="25">
        <v>99</v>
      </c>
      <c r="C20" s="25">
        <v>99</v>
      </c>
      <c r="D20" s="25">
        <v>99</v>
      </c>
      <c r="E20" s="25">
        <v>99</v>
      </c>
      <c r="F20" s="25">
        <v>99</v>
      </c>
      <c r="G20" s="25">
        <v>99</v>
      </c>
      <c r="H20" s="25">
        <v>99</v>
      </c>
      <c r="I20" s="25">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I24" sqref="I24"/>
    </sheetView>
  </sheetViews>
  <sheetFormatPr baseColWidth="12" defaultColWidth="13" defaultRowHeight="21" customHeight="1" x14ac:dyDescent="0.15"/>
  <cols>
    <col min="1" max="1" width="13" style="4"/>
    <col min="2" max="16384" width="13" style="22"/>
  </cols>
  <sheetData>
    <row r="1" spans="1:9" ht="21" customHeight="1" x14ac:dyDescent="0.15">
      <c r="A1" s="31" t="s">
        <v>10</v>
      </c>
      <c r="B1" s="21">
        <v>1</v>
      </c>
      <c r="C1" s="21">
        <v>2</v>
      </c>
      <c r="D1" s="21">
        <v>3</v>
      </c>
      <c r="E1" s="21">
        <v>4</v>
      </c>
      <c r="F1" s="21">
        <v>5</v>
      </c>
      <c r="G1" s="21">
        <v>6</v>
      </c>
      <c r="H1" s="21">
        <v>7</v>
      </c>
      <c r="I1" s="21">
        <v>8</v>
      </c>
    </row>
    <row r="2" spans="1:9" s="4" customFormat="1" ht="21" customHeight="1" x14ac:dyDescent="0.15">
      <c r="A2" s="141" t="s">
        <v>228</v>
      </c>
      <c r="B2" s="157"/>
      <c r="C2" s="143"/>
      <c r="D2" s="151" t="s">
        <v>105</v>
      </c>
      <c r="E2" s="151">
        <v>60</v>
      </c>
      <c r="F2" s="151">
        <v>80</v>
      </c>
      <c r="G2" s="151">
        <v>99</v>
      </c>
      <c r="H2" s="143"/>
      <c r="I2" s="143"/>
    </row>
    <row r="3" spans="1:9" s="4" customFormat="1" ht="21" customHeight="1" x14ac:dyDescent="0.15">
      <c r="A3" s="141" t="s">
        <v>230</v>
      </c>
      <c r="B3" s="158"/>
      <c r="C3" s="146"/>
      <c r="D3" s="151" t="s">
        <v>105</v>
      </c>
      <c r="E3" s="151">
        <v>60</v>
      </c>
      <c r="F3" s="151">
        <v>80</v>
      </c>
      <c r="G3" s="151">
        <v>99</v>
      </c>
      <c r="H3" s="146"/>
      <c r="I3" s="146"/>
    </row>
    <row r="4" spans="1:9" s="4" customFormat="1" ht="21" customHeight="1" x14ac:dyDescent="0.15">
      <c r="A4" s="141" t="s">
        <v>224</v>
      </c>
      <c r="B4" s="159"/>
      <c r="C4" s="149"/>
      <c r="D4" s="151">
        <v>40</v>
      </c>
      <c r="E4" s="151">
        <v>60</v>
      </c>
      <c r="F4" s="151">
        <v>80</v>
      </c>
      <c r="G4" s="151">
        <v>99</v>
      </c>
      <c r="H4" s="149"/>
      <c r="I4" s="149"/>
    </row>
    <row r="5" spans="1:9" s="4" customFormat="1" ht="21" customHeight="1" x14ac:dyDescent="0.15">
      <c r="A5" s="160" t="s">
        <v>232</v>
      </c>
      <c r="B5" s="155"/>
      <c r="C5" s="156"/>
      <c r="D5" s="151">
        <v>40</v>
      </c>
      <c r="E5" s="151">
        <v>60</v>
      </c>
      <c r="F5" s="151">
        <v>80</v>
      </c>
      <c r="G5" s="151">
        <v>99</v>
      </c>
      <c r="H5" s="156"/>
      <c r="I5" s="156"/>
    </row>
    <row r="6" spans="1:9" s="4" customFormat="1" ht="21" customHeight="1" x14ac:dyDescent="0.15">
      <c r="A6" s="160" t="s">
        <v>233</v>
      </c>
      <c r="B6" s="155"/>
      <c r="C6" s="156"/>
      <c r="D6" s="151">
        <v>40</v>
      </c>
      <c r="E6" s="151">
        <v>60</v>
      </c>
      <c r="F6" s="151" t="s">
        <v>105</v>
      </c>
      <c r="G6" s="151" t="s">
        <v>105</v>
      </c>
      <c r="H6" s="156"/>
      <c r="I6" s="156"/>
    </row>
    <row r="7" spans="1:9" ht="21" customHeight="1" x14ac:dyDescent="0.15">
      <c r="A7" s="71" t="s">
        <v>200</v>
      </c>
      <c r="B7" s="38" t="s">
        <v>105</v>
      </c>
      <c r="C7" s="38" t="s">
        <v>105</v>
      </c>
      <c r="D7" s="38" t="s">
        <v>105</v>
      </c>
      <c r="E7" s="38" t="s">
        <v>105</v>
      </c>
      <c r="F7" s="38" t="s">
        <v>105</v>
      </c>
      <c r="G7" s="38" t="s">
        <v>105</v>
      </c>
      <c r="H7" s="38" t="s">
        <v>105</v>
      </c>
      <c r="I7" s="38" t="s">
        <v>105</v>
      </c>
    </row>
    <row r="8" spans="1:9" ht="21" customHeight="1" x14ac:dyDescent="0.15">
      <c r="A8" s="72" t="s">
        <v>235</v>
      </c>
      <c r="B8" s="38" t="s">
        <v>105</v>
      </c>
      <c r="C8" s="38" t="s">
        <v>105</v>
      </c>
      <c r="D8" s="38" t="s">
        <v>105</v>
      </c>
      <c r="E8" s="38">
        <v>60</v>
      </c>
      <c r="F8" s="38">
        <v>80</v>
      </c>
      <c r="G8" s="38">
        <v>99</v>
      </c>
      <c r="H8" s="38" t="s">
        <v>105</v>
      </c>
      <c r="I8" s="38" t="s">
        <v>105</v>
      </c>
    </row>
    <row r="9" spans="1:9" s="43" customFormat="1" ht="21" customHeight="1" x14ac:dyDescent="0.15">
      <c r="A9" s="73" t="s">
        <v>236</v>
      </c>
      <c r="B9" s="63" t="s">
        <v>105</v>
      </c>
      <c r="C9" s="63" t="s">
        <v>105</v>
      </c>
      <c r="D9" s="63" t="s">
        <v>105</v>
      </c>
      <c r="E9" s="63">
        <v>60</v>
      </c>
      <c r="F9" s="63">
        <v>80</v>
      </c>
      <c r="G9" s="63">
        <v>99</v>
      </c>
      <c r="H9" s="63" t="s">
        <v>105</v>
      </c>
      <c r="I9" s="63" t="s">
        <v>105</v>
      </c>
    </row>
    <row r="10" spans="1:9" ht="21" customHeight="1" x14ac:dyDescent="0.15">
      <c r="A10" s="73" t="s">
        <v>9</v>
      </c>
      <c r="B10" s="68" t="s">
        <v>105</v>
      </c>
      <c r="C10" s="68" t="s">
        <v>105</v>
      </c>
      <c r="D10" s="35">
        <v>40</v>
      </c>
      <c r="E10" s="35">
        <v>60</v>
      </c>
      <c r="F10" s="35">
        <v>80</v>
      </c>
      <c r="G10" s="38">
        <v>99</v>
      </c>
      <c r="H10" s="68" t="s">
        <v>105</v>
      </c>
      <c r="I10" s="68" t="s">
        <v>105</v>
      </c>
    </row>
    <row r="11" spans="1:9" ht="21" customHeight="1" x14ac:dyDescent="0.15">
      <c r="A11" s="73" t="s">
        <v>203</v>
      </c>
      <c r="B11" s="68" t="s">
        <v>105</v>
      </c>
      <c r="C11" s="68" t="s">
        <v>105</v>
      </c>
      <c r="D11" s="35">
        <v>40</v>
      </c>
      <c r="E11" s="35">
        <v>60</v>
      </c>
      <c r="F11" s="35">
        <v>80</v>
      </c>
      <c r="G11" s="63">
        <v>99</v>
      </c>
      <c r="H11" s="68" t="s">
        <v>105</v>
      </c>
      <c r="I11" s="68" t="s">
        <v>105</v>
      </c>
    </row>
    <row r="12" spans="1:9" ht="21" customHeight="1" x14ac:dyDescent="0.15">
      <c r="A12" s="73" t="s">
        <v>199</v>
      </c>
      <c r="B12" s="68" t="s">
        <v>105</v>
      </c>
      <c r="C12" s="68" t="s">
        <v>105</v>
      </c>
      <c r="D12" s="35">
        <v>40</v>
      </c>
      <c r="E12" s="35">
        <v>60</v>
      </c>
      <c r="F12" s="68" t="s">
        <v>105</v>
      </c>
      <c r="G12" s="68" t="s">
        <v>105</v>
      </c>
      <c r="H12" s="68" t="s">
        <v>105</v>
      </c>
      <c r="I12" s="68" t="s">
        <v>105</v>
      </c>
    </row>
    <row r="13" spans="1:9" ht="21" customHeight="1" x14ac:dyDescent="0.15">
      <c r="A13" s="102" t="s">
        <v>239</v>
      </c>
      <c r="B13" s="68" t="s">
        <v>105</v>
      </c>
      <c r="C13" s="68" t="s">
        <v>105</v>
      </c>
      <c r="D13" s="35">
        <v>40</v>
      </c>
      <c r="E13" s="35">
        <v>60</v>
      </c>
      <c r="F13" s="35">
        <v>80</v>
      </c>
      <c r="G13" s="68" t="s">
        <v>105</v>
      </c>
      <c r="H13" s="68" t="s">
        <v>105</v>
      </c>
      <c r="I13" s="68" t="s">
        <v>105</v>
      </c>
    </row>
    <row r="14" spans="1:9" ht="21" customHeight="1" x14ac:dyDescent="0.15">
      <c r="A14" s="73" t="s">
        <v>240</v>
      </c>
      <c r="B14" s="68" t="s">
        <v>105</v>
      </c>
      <c r="C14" s="68" t="s">
        <v>105</v>
      </c>
      <c r="D14" s="35">
        <v>40</v>
      </c>
      <c r="E14" s="35">
        <v>60</v>
      </c>
      <c r="F14" s="35">
        <v>80</v>
      </c>
      <c r="G14" s="68" t="s">
        <v>105</v>
      </c>
      <c r="H14" s="68" t="s">
        <v>105</v>
      </c>
      <c r="I14" s="68" t="s">
        <v>105</v>
      </c>
    </row>
    <row r="15" spans="1:9" ht="21" customHeight="1" x14ac:dyDescent="0.15">
      <c r="A15" s="73" t="s">
        <v>101</v>
      </c>
      <c r="B15" s="68" t="s">
        <v>105</v>
      </c>
      <c r="C15" s="35">
        <v>30</v>
      </c>
      <c r="D15" s="35">
        <v>40</v>
      </c>
      <c r="E15" s="35">
        <v>60</v>
      </c>
      <c r="F15" s="68" t="s">
        <v>105</v>
      </c>
      <c r="G15" s="68" t="s">
        <v>105</v>
      </c>
      <c r="H15" s="68" t="s">
        <v>105</v>
      </c>
      <c r="I15" s="68" t="s">
        <v>105</v>
      </c>
    </row>
    <row r="16" spans="1:9" ht="21" customHeight="1" x14ac:dyDescent="0.15">
      <c r="A16" s="73" t="s">
        <v>242</v>
      </c>
      <c r="B16" s="68" t="s">
        <v>105</v>
      </c>
      <c r="C16" s="35">
        <v>30</v>
      </c>
      <c r="D16" s="35">
        <v>40</v>
      </c>
      <c r="E16" s="35">
        <v>60</v>
      </c>
      <c r="F16" s="68" t="s">
        <v>105</v>
      </c>
      <c r="G16" s="68" t="s">
        <v>105</v>
      </c>
      <c r="H16" s="68" t="s">
        <v>105</v>
      </c>
      <c r="I16" s="68" t="s">
        <v>105</v>
      </c>
    </row>
    <row r="17" spans="1:9" ht="21" customHeight="1" x14ac:dyDescent="0.15">
      <c r="A17" s="73" t="s">
        <v>8</v>
      </c>
      <c r="B17" s="35">
        <v>15</v>
      </c>
      <c r="C17" s="35">
        <v>30</v>
      </c>
      <c r="D17" s="35">
        <v>40</v>
      </c>
      <c r="E17" s="68" t="s">
        <v>105</v>
      </c>
      <c r="F17" s="68" t="s">
        <v>105</v>
      </c>
      <c r="G17" s="68" t="s">
        <v>105</v>
      </c>
      <c r="H17" s="68" t="s">
        <v>105</v>
      </c>
      <c r="I17" s="68" t="s">
        <v>105</v>
      </c>
    </row>
    <row r="18" spans="1:9" ht="21" customHeight="1" x14ac:dyDescent="0.15">
      <c r="A18" s="74" t="s">
        <v>7</v>
      </c>
      <c r="B18" s="35">
        <v>15</v>
      </c>
      <c r="C18" s="35">
        <v>30</v>
      </c>
      <c r="D18" s="35">
        <v>40</v>
      </c>
      <c r="E18" s="68" t="s">
        <v>209</v>
      </c>
      <c r="F18" s="68" t="s">
        <v>209</v>
      </c>
      <c r="G18" s="68" t="s">
        <v>209</v>
      </c>
      <c r="H18" s="68" t="s">
        <v>209</v>
      </c>
      <c r="I18" s="68" t="s">
        <v>209</v>
      </c>
    </row>
    <row r="19" spans="1:9" ht="21" customHeight="1" x14ac:dyDescent="0.15">
      <c r="A19" s="75" t="s">
        <v>243</v>
      </c>
      <c r="B19" s="35">
        <v>10</v>
      </c>
      <c r="C19" s="35">
        <v>20</v>
      </c>
      <c r="D19" s="68" t="s">
        <v>209</v>
      </c>
      <c r="E19" s="68" t="s">
        <v>209</v>
      </c>
      <c r="F19" s="68" t="s">
        <v>209</v>
      </c>
      <c r="G19" s="68" t="s">
        <v>209</v>
      </c>
      <c r="H19" s="68" t="s">
        <v>209</v>
      </c>
      <c r="I19" s="68" t="s">
        <v>209</v>
      </c>
    </row>
    <row r="20" spans="1:9" ht="21" customHeight="1" x14ac:dyDescent="0.15">
      <c r="A20" s="36" t="s">
        <v>244</v>
      </c>
      <c r="B20" s="35">
        <v>1</v>
      </c>
      <c r="C20" s="35">
        <v>1</v>
      </c>
      <c r="D20" s="35">
        <v>1</v>
      </c>
      <c r="E20" s="35">
        <v>1</v>
      </c>
      <c r="F20" s="35">
        <v>1</v>
      </c>
      <c r="G20" s="35">
        <v>1</v>
      </c>
      <c r="H20" s="35">
        <v>1</v>
      </c>
      <c r="I20" s="35">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H23" sqref="H23"/>
    </sheetView>
  </sheetViews>
  <sheetFormatPr baseColWidth="12" defaultColWidth="13" defaultRowHeight="21" customHeight="1" x14ac:dyDescent="0.15"/>
  <cols>
    <col min="1" max="16384" width="13" style="22"/>
  </cols>
  <sheetData>
    <row r="1" spans="1:11" ht="21" customHeight="1" x14ac:dyDescent="0.15">
      <c r="A1" s="46" t="s">
        <v>10</v>
      </c>
      <c r="B1" s="47">
        <v>1</v>
      </c>
      <c r="C1" s="47">
        <v>2</v>
      </c>
      <c r="D1" s="47">
        <v>3</v>
      </c>
      <c r="E1" s="47">
        <v>4</v>
      </c>
      <c r="F1" s="47">
        <v>5</v>
      </c>
      <c r="G1" s="47">
        <v>6</v>
      </c>
      <c r="H1" s="47">
        <v>7</v>
      </c>
      <c r="I1" s="47">
        <v>8</v>
      </c>
    </row>
    <row r="2" spans="1:11" s="4" customFormat="1" ht="21" customHeight="1" x14ac:dyDescent="0.15">
      <c r="A2" s="141" t="s">
        <v>228</v>
      </c>
      <c r="B2" s="142"/>
      <c r="C2" s="143"/>
      <c r="D2" s="151" t="s">
        <v>105</v>
      </c>
      <c r="E2" s="152" t="s">
        <v>56</v>
      </c>
      <c r="F2" s="152" t="s">
        <v>56</v>
      </c>
      <c r="G2" s="152" t="s">
        <v>245</v>
      </c>
      <c r="H2" s="143"/>
      <c r="I2" s="143"/>
    </row>
    <row r="3" spans="1:11" s="4" customFormat="1" ht="21" customHeight="1" x14ac:dyDescent="0.15">
      <c r="A3" s="141" t="s">
        <v>230</v>
      </c>
      <c r="B3" s="145"/>
      <c r="C3" s="146"/>
      <c r="D3" s="152" t="s">
        <v>56</v>
      </c>
      <c r="E3" s="152" t="s">
        <v>56</v>
      </c>
      <c r="F3" s="152" t="s">
        <v>56</v>
      </c>
      <c r="G3" s="152" t="s">
        <v>223</v>
      </c>
      <c r="H3" s="146"/>
      <c r="I3" s="146"/>
    </row>
    <row r="4" spans="1:11" s="4" customFormat="1" ht="21" customHeight="1" x14ac:dyDescent="0.15">
      <c r="A4" s="141" t="s">
        <v>224</v>
      </c>
      <c r="B4" s="148"/>
      <c r="C4" s="149"/>
      <c r="D4" s="153" t="s">
        <v>56</v>
      </c>
      <c r="E4" s="153" t="s">
        <v>56</v>
      </c>
      <c r="F4" s="153" t="s">
        <v>56</v>
      </c>
      <c r="G4" s="152" t="s">
        <v>223</v>
      </c>
      <c r="H4" s="149"/>
      <c r="I4" s="149"/>
    </row>
    <row r="5" spans="1:11" s="4" customFormat="1" ht="21" customHeight="1" x14ac:dyDescent="0.15">
      <c r="A5" s="160" t="s">
        <v>232</v>
      </c>
      <c r="B5" s="155"/>
      <c r="C5" s="156"/>
      <c r="D5" s="153" t="s">
        <v>56</v>
      </c>
      <c r="E5" s="153" t="s">
        <v>56</v>
      </c>
      <c r="F5" s="153" t="s">
        <v>56</v>
      </c>
      <c r="G5" s="152" t="s">
        <v>213</v>
      </c>
      <c r="H5" s="156"/>
      <c r="I5" s="156"/>
    </row>
    <row r="6" spans="1:11" s="4" customFormat="1" ht="21" customHeight="1" x14ac:dyDescent="0.15">
      <c r="A6" s="160" t="s">
        <v>233</v>
      </c>
      <c r="B6" s="155"/>
      <c r="C6" s="156"/>
      <c r="D6" s="161" t="s">
        <v>57</v>
      </c>
      <c r="E6" s="161" t="s">
        <v>57</v>
      </c>
      <c r="F6" s="151" t="s">
        <v>105</v>
      </c>
      <c r="G6" s="151" t="s">
        <v>105</v>
      </c>
      <c r="H6" s="156"/>
      <c r="I6" s="156"/>
    </row>
    <row r="7" spans="1:11" ht="21" customHeight="1" x14ac:dyDescent="0.15">
      <c r="A7" s="71" t="s">
        <v>200</v>
      </c>
      <c r="B7" s="38" t="s">
        <v>105</v>
      </c>
      <c r="C7" s="38" t="s">
        <v>105</v>
      </c>
      <c r="D7" s="38" t="s">
        <v>105</v>
      </c>
      <c r="E7" s="38" t="s">
        <v>105</v>
      </c>
      <c r="F7" s="38" t="s">
        <v>105</v>
      </c>
      <c r="G7" s="38" t="s">
        <v>105</v>
      </c>
      <c r="H7" s="38" t="s">
        <v>105</v>
      </c>
      <c r="I7" s="38" t="s">
        <v>105</v>
      </c>
    </row>
    <row r="8" spans="1:11" ht="21" customHeight="1" x14ac:dyDescent="0.15">
      <c r="A8" s="72" t="s">
        <v>235</v>
      </c>
      <c r="B8" s="38" t="s">
        <v>105</v>
      </c>
      <c r="C8" s="38" t="s">
        <v>105</v>
      </c>
      <c r="D8" s="38" t="s">
        <v>210</v>
      </c>
      <c r="E8" s="49" t="s">
        <v>111</v>
      </c>
      <c r="F8" s="49" t="s">
        <v>111</v>
      </c>
      <c r="G8" s="49" t="s">
        <v>211</v>
      </c>
      <c r="H8" s="38" t="s">
        <v>210</v>
      </c>
      <c r="I8" s="38" t="s">
        <v>105</v>
      </c>
    </row>
    <row r="9" spans="1:11" s="43" customFormat="1" ht="21" customHeight="1" x14ac:dyDescent="0.15">
      <c r="A9" s="73" t="s">
        <v>236</v>
      </c>
      <c r="B9" s="63" t="s">
        <v>105</v>
      </c>
      <c r="C9" s="63" t="s">
        <v>105</v>
      </c>
      <c r="D9" s="63" t="s">
        <v>105</v>
      </c>
      <c r="E9" s="49" t="s">
        <v>56</v>
      </c>
      <c r="F9" s="49" t="s">
        <v>56</v>
      </c>
      <c r="G9" s="49" t="s">
        <v>111</v>
      </c>
      <c r="H9" s="63" t="s">
        <v>212</v>
      </c>
      <c r="I9" s="63" t="s">
        <v>212</v>
      </c>
    </row>
    <row r="10" spans="1:11" ht="21" customHeight="1" x14ac:dyDescent="0.15">
      <c r="A10" s="73" t="s">
        <v>9</v>
      </c>
      <c r="B10" s="68" t="s">
        <v>105</v>
      </c>
      <c r="C10" s="68" t="s">
        <v>105</v>
      </c>
      <c r="D10" s="49" t="s">
        <v>56</v>
      </c>
      <c r="E10" s="49" t="s">
        <v>56</v>
      </c>
      <c r="F10" s="49" t="s">
        <v>56</v>
      </c>
      <c r="G10" s="49" t="s">
        <v>213</v>
      </c>
      <c r="H10" s="68" t="s">
        <v>212</v>
      </c>
      <c r="I10" s="68" t="s">
        <v>212</v>
      </c>
      <c r="K10" s="26" t="s">
        <v>12</v>
      </c>
    </row>
    <row r="11" spans="1:11" ht="21" customHeight="1" x14ac:dyDescent="0.15">
      <c r="A11" s="73" t="s">
        <v>203</v>
      </c>
      <c r="B11" s="68" t="s">
        <v>105</v>
      </c>
      <c r="C11" s="68" t="s">
        <v>105</v>
      </c>
      <c r="D11" s="50" t="s">
        <v>56</v>
      </c>
      <c r="E11" s="50" t="s">
        <v>56</v>
      </c>
      <c r="F11" s="50" t="s">
        <v>56</v>
      </c>
      <c r="G11" s="49" t="s">
        <v>213</v>
      </c>
      <c r="H11" s="68" t="s">
        <v>212</v>
      </c>
      <c r="I11" s="68" t="s">
        <v>212</v>
      </c>
      <c r="K11" s="28" t="s">
        <v>13</v>
      </c>
    </row>
    <row r="12" spans="1:11" ht="21" customHeight="1" x14ac:dyDescent="0.15">
      <c r="A12" s="73" t="s">
        <v>199</v>
      </c>
      <c r="B12" s="68" t="s">
        <v>105</v>
      </c>
      <c r="C12" s="68" t="s">
        <v>105</v>
      </c>
      <c r="D12" s="51" t="s">
        <v>57</v>
      </c>
      <c r="E12" s="51" t="s">
        <v>57</v>
      </c>
      <c r="F12" s="68" t="s">
        <v>105</v>
      </c>
      <c r="G12" s="68" t="s">
        <v>105</v>
      </c>
      <c r="H12" s="68" t="s">
        <v>105</v>
      </c>
      <c r="I12" s="68" t="s">
        <v>105</v>
      </c>
      <c r="K12" s="69" t="s">
        <v>35</v>
      </c>
    </row>
    <row r="13" spans="1:11" ht="21" customHeight="1" x14ac:dyDescent="0.15">
      <c r="A13" s="102" t="s">
        <v>239</v>
      </c>
      <c r="B13" s="68" t="s">
        <v>105</v>
      </c>
      <c r="C13" s="68" t="s">
        <v>105</v>
      </c>
      <c r="D13" s="52" t="s">
        <v>56</v>
      </c>
      <c r="E13" s="52" t="s">
        <v>56</v>
      </c>
      <c r="F13" s="52" t="s">
        <v>56</v>
      </c>
      <c r="G13" s="68" t="s">
        <v>105</v>
      </c>
      <c r="H13" s="68" t="s">
        <v>105</v>
      </c>
      <c r="I13" s="68" t="s">
        <v>105</v>
      </c>
      <c r="K13" s="70"/>
    </row>
    <row r="14" spans="1:11" ht="21" customHeight="1" x14ac:dyDescent="0.15">
      <c r="A14" s="73" t="s">
        <v>240</v>
      </c>
      <c r="B14" s="68" t="s">
        <v>105</v>
      </c>
      <c r="C14" s="68" t="s">
        <v>105</v>
      </c>
      <c r="D14" s="52" t="s">
        <v>56</v>
      </c>
      <c r="E14" s="52" t="s">
        <v>56</v>
      </c>
      <c r="F14" s="52" t="s">
        <v>56</v>
      </c>
      <c r="G14" s="68" t="s">
        <v>105</v>
      </c>
      <c r="H14" s="68" t="s">
        <v>105</v>
      </c>
      <c r="I14" s="68" t="s">
        <v>105</v>
      </c>
    </row>
    <row r="15" spans="1:11" ht="21" customHeight="1" x14ac:dyDescent="0.15">
      <c r="A15" s="73" t="s">
        <v>101</v>
      </c>
      <c r="B15" s="68" t="s">
        <v>105</v>
      </c>
      <c r="C15" s="68" t="s">
        <v>105</v>
      </c>
      <c r="D15" s="52" t="s">
        <v>57</v>
      </c>
      <c r="E15" s="52" t="s">
        <v>57</v>
      </c>
      <c r="F15" s="68" t="s">
        <v>105</v>
      </c>
      <c r="G15" s="68" t="s">
        <v>105</v>
      </c>
      <c r="H15" s="68" t="s">
        <v>105</v>
      </c>
      <c r="I15" s="68" t="s">
        <v>105</v>
      </c>
    </row>
    <row r="16" spans="1:11" ht="21" customHeight="1" x14ac:dyDescent="0.15">
      <c r="A16" s="73" t="s">
        <v>242</v>
      </c>
      <c r="B16" s="68" t="s">
        <v>105</v>
      </c>
      <c r="C16" s="52" t="s">
        <v>57</v>
      </c>
      <c r="D16" s="52" t="s">
        <v>57</v>
      </c>
      <c r="E16" s="52" t="s">
        <v>57</v>
      </c>
      <c r="F16" s="68" t="s">
        <v>105</v>
      </c>
      <c r="G16" s="68" t="s">
        <v>105</v>
      </c>
      <c r="H16" s="68" t="s">
        <v>105</v>
      </c>
      <c r="I16" s="68" t="s">
        <v>105</v>
      </c>
    </row>
    <row r="17" spans="1:9" ht="21" customHeight="1" x14ac:dyDescent="0.15">
      <c r="A17" s="73" t="s">
        <v>8</v>
      </c>
      <c r="B17" s="53" t="s">
        <v>58</v>
      </c>
      <c r="C17" s="53" t="s">
        <v>58</v>
      </c>
      <c r="D17" s="53" t="s">
        <v>58</v>
      </c>
      <c r="E17" s="68" t="s">
        <v>105</v>
      </c>
      <c r="F17" s="68" t="s">
        <v>105</v>
      </c>
      <c r="G17" s="68" t="s">
        <v>105</v>
      </c>
      <c r="H17" s="68" t="s">
        <v>105</v>
      </c>
      <c r="I17" s="68" t="s">
        <v>105</v>
      </c>
    </row>
    <row r="18" spans="1:9" ht="21" customHeight="1" x14ac:dyDescent="0.15">
      <c r="A18" s="74" t="s">
        <v>7</v>
      </c>
      <c r="B18" s="48" t="s">
        <v>59</v>
      </c>
      <c r="C18" s="48" t="s">
        <v>59</v>
      </c>
      <c r="D18" s="68" t="s">
        <v>105</v>
      </c>
      <c r="E18" s="68" t="s">
        <v>105</v>
      </c>
      <c r="F18" s="68" t="s">
        <v>105</v>
      </c>
      <c r="G18" s="68" t="s">
        <v>105</v>
      </c>
      <c r="H18" s="68" t="s">
        <v>105</v>
      </c>
      <c r="I18" s="68" t="s">
        <v>105</v>
      </c>
    </row>
    <row r="19" spans="1:9" ht="21" customHeight="1" x14ac:dyDescent="0.15">
      <c r="A19" s="75" t="s">
        <v>243</v>
      </c>
      <c r="B19" s="50" t="s">
        <v>60</v>
      </c>
      <c r="C19" s="50" t="s">
        <v>60</v>
      </c>
      <c r="D19" s="68" t="s">
        <v>105</v>
      </c>
      <c r="E19" s="68" t="s">
        <v>105</v>
      </c>
      <c r="F19" s="68" t="s">
        <v>105</v>
      </c>
      <c r="G19" s="68" t="s">
        <v>105</v>
      </c>
      <c r="H19" s="68" t="s">
        <v>105</v>
      </c>
      <c r="I19" s="68" t="s">
        <v>105</v>
      </c>
    </row>
    <row r="20" spans="1:9" ht="21" customHeight="1" x14ac:dyDescent="0.15">
      <c r="A20" s="36" t="s">
        <v>244</v>
      </c>
      <c r="B20" s="76" t="s">
        <v>44</v>
      </c>
      <c r="C20" s="76" t="s">
        <v>44</v>
      </c>
      <c r="D20" s="76" t="s">
        <v>44</v>
      </c>
      <c r="E20" s="76" t="s">
        <v>44</v>
      </c>
      <c r="F20" s="76" t="s">
        <v>44</v>
      </c>
      <c r="G20" s="76" t="s">
        <v>44</v>
      </c>
      <c r="H20" s="76" t="s">
        <v>44</v>
      </c>
      <c r="I20" s="76" t="s">
        <v>44</v>
      </c>
    </row>
    <row r="25" spans="1:9" ht="21" customHeight="1" x14ac:dyDescent="0.15">
      <c r="A25" s="22" t="s">
        <v>14</v>
      </c>
    </row>
    <row r="26" spans="1:9" ht="21" customHeight="1" x14ac:dyDescent="0.15">
      <c r="A26" s="20" t="s">
        <v>61</v>
      </c>
      <c r="B26" s="20" t="s">
        <v>62</v>
      </c>
    </row>
    <row r="27" spans="1:9" ht="21" customHeight="1" x14ac:dyDescent="0.15">
      <c r="A27" s="23">
        <v>1</v>
      </c>
      <c r="B27" s="23">
        <v>200</v>
      </c>
    </row>
    <row r="28" spans="1:9" ht="21" customHeight="1" x14ac:dyDescent="0.15">
      <c r="A28" s="23">
        <v>2</v>
      </c>
      <c r="B28" s="23">
        <v>600</v>
      </c>
    </row>
    <row r="29" spans="1:9" ht="21" customHeight="1" x14ac:dyDescent="0.15">
      <c r="A29" s="23">
        <v>3</v>
      </c>
      <c r="B29" s="23">
        <v>1500</v>
      </c>
    </row>
    <row r="30" spans="1:9" ht="21" customHeight="1" x14ac:dyDescent="0.15">
      <c r="A30" s="23">
        <v>4</v>
      </c>
      <c r="B30" s="23">
        <v>3400</v>
      </c>
    </row>
    <row r="31" spans="1:9" ht="21" customHeight="1" x14ac:dyDescent="0.15">
      <c r="A31" s="23">
        <v>5</v>
      </c>
      <c r="B31" s="23">
        <v>6400</v>
      </c>
    </row>
  </sheetData>
  <sheetProtection selectLockedCells="1" selectUnlockedCells="1"/>
  <phoneticPr fontId="9"/>
  <conditionalFormatting sqref="A34:I65540 J1:IV1 J10:J13 L10:IV13 J14:IV65540 J7:IV7">
    <cfRule type="cellIs" dxfId="22" priority="27" stopIfTrue="1" operator="equal">
      <formula>1</formula>
    </cfRule>
  </conditionalFormatting>
  <conditionalFormatting sqref="A24:B25 A32:B33 C24:I33">
    <cfRule type="cellIs" dxfId="21" priority="26" stopIfTrue="1" operator="equal">
      <formula>1</formula>
    </cfRule>
  </conditionalFormatting>
  <conditionalFormatting sqref="K10:K13">
    <cfRule type="cellIs" dxfId="20" priority="22" stopIfTrue="1" operator="equal">
      <formula>1</formula>
    </cfRule>
  </conditionalFormatting>
  <conditionalFormatting sqref="J8:IV8">
    <cfRule type="cellIs" dxfId="19" priority="21" stopIfTrue="1" operator="equal">
      <formula>1</formula>
    </cfRule>
  </conditionalFormatting>
  <conditionalFormatting sqref="J9:IV9">
    <cfRule type="cellIs" dxfId="18" priority="20" stopIfTrue="1" operator="equal">
      <formula>1</formula>
    </cfRule>
  </conditionalFormatting>
  <conditionalFormatting sqref="G19:I19">
    <cfRule type="cellIs" dxfId="17" priority="12" stopIfTrue="1" operator="equal">
      <formula>1</formula>
    </cfRule>
  </conditionalFormatting>
  <conditionalFormatting sqref="D18:G18 F15:G17 H15:I18">
    <cfRule type="cellIs" dxfId="16" priority="11" stopIfTrue="1" operator="equal">
      <formula>1</formula>
    </cfRule>
  </conditionalFormatting>
  <conditionalFormatting sqref="F17:G17">
    <cfRule type="cellIs" dxfId="15" priority="10" stopIfTrue="1" operator="equal">
      <formula>1</formula>
    </cfRule>
  </conditionalFormatting>
  <conditionalFormatting sqref="A20">
    <cfRule type="cellIs" dxfId="14" priority="9" stopIfTrue="1" operator="equal">
      <formula>1</formula>
    </cfRule>
  </conditionalFormatting>
  <conditionalFormatting sqref="G12:I14 H10:I11">
    <cfRule type="cellIs" dxfId="13" priority="8" stopIfTrue="1" operator="equal">
      <formula>1</formula>
    </cfRule>
  </conditionalFormatting>
  <conditionalFormatting sqref="B10:C15">
    <cfRule type="cellIs" dxfId="12" priority="7" stopIfTrue="1" operator="equal">
      <formula>1</formula>
    </cfRule>
  </conditionalFormatting>
  <conditionalFormatting sqref="B16">
    <cfRule type="cellIs" dxfId="11" priority="6" stopIfTrue="1" operator="equal">
      <formula>1</formula>
    </cfRule>
  </conditionalFormatting>
  <conditionalFormatting sqref="E17">
    <cfRule type="cellIs" dxfId="10" priority="5" stopIfTrue="1" operator="equal">
      <formula>1</formula>
    </cfRule>
  </conditionalFormatting>
  <conditionalFormatting sqref="F12">
    <cfRule type="cellIs" dxfId="9" priority="4" stopIfTrue="1" operator="equal">
      <formula>1</formula>
    </cfRule>
  </conditionalFormatting>
  <conditionalFormatting sqref="J2: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workbookViewId="0">
      <selection activeCell="D20" sqref="D20"/>
    </sheetView>
  </sheetViews>
  <sheetFormatPr baseColWidth="12" defaultColWidth="13" defaultRowHeight="21" customHeight="1" x14ac:dyDescent="0.15"/>
  <cols>
    <col min="1" max="1" width="13" style="4"/>
    <col min="2" max="16384" width="13" style="22"/>
  </cols>
  <sheetData>
    <row r="1" spans="1:9" s="4" customFormat="1" ht="21" customHeight="1" x14ac:dyDescent="0.15">
      <c r="A1" s="31" t="s">
        <v>10</v>
      </c>
      <c r="B1" s="31">
        <v>1</v>
      </c>
      <c r="C1" s="31">
        <v>2</v>
      </c>
      <c r="D1" s="31">
        <v>3</v>
      </c>
      <c r="E1" s="31">
        <v>4</v>
      </c>
      <c r="F1" s="31">
        <v>5</v>
      </c>
      <c r="G1" s="31">
        <v>6</v>
      </c>
      <c r="H1" s="31">
        <v>7</v>
      </c>
      <c r="I1" s="31">
        <v>8</v>
      </c>
    </row>
    <row r="2" spans="1:9" s="4" customFormat="1" ht="21" customHeight="1" x14ac:dyDescent="0.15">
      <c r="A2" s="141" t="s">
        <v>221</v>
      </c>
      <c r="B2" s="142"/>
      <c r="C2" s="143"/>
      <c r="D2" s="154" t="s">
        <v>11</v>
      </c>
      <c r="E2" s="154">
        <v>8000</v>
      </c>
      <c r="F2" s="154">
        <v>10000</v>
      </c>
      <c r="G2" s="154">
        <v>14000</v>
      </c>
      <c r="H2" s="143"/>
      <c r="I2" s="143"/>
    </row>
    <row r="3" spans="1:9" s="4" customFormat="1" ht="21" customHeight="1" x14ac:dyDescent="0.15">
      <c r="A3" s="141" t="s">
        <v>222</v>
      </c>
      <c r="B3" s="145"/>
      <c r="C3" s="146"/>
      <c r="D3" s="154" t="s">
        <v>11</v>
      </c>
      <c r="E3" s="154">
        <v>7500</v>
      </c>
      <c r="F3" s="154">
        <v>9500</v>
      </c>
      <c r="G3" s="154">
        <v>13000</v>
      </c>
      <c r="H3" s="146"/>
      <c r="I3" s="146"/>
    </row>
    <row r="4" spans="1:9" s="4" customFormat="1" ht="21" customHeight="1" x14ac:dyDescent="0.15">
      <c r="A4" s="141" t="s">
        <v>224</v>
      </c>
      <c r="B4" s="148"/>
      <c r="C4" s="149"/>
      <c r="D4" s="154">
        <v>5000</v>
      </c>
      <c r="E4" s="154">
        <v>7000</v>
      </c>
      <c r="F4" s="154">
        <v>9000</v>
      </c>
      <c r="G4" s="154">
        <v>12000</v>
      </c>
      <c r="H4" s="149"/>
      <c r="I4" s="149"/>
    </row>
    <row r="5" spans="1:9" s="4" customFormat="1" ht="21" customHeight="1" x14ac:dyDescent="0.15">
      <c r="A5" s="160" t="s">
        <v>225</v>
      </c>
      <c r="B5" s="155"/>
      <c r="C5" s="156"/>
      <c r="D5" s="154">
        <v>4900</v>
      </c>
      <c r="E5" s="154">
        <v>6700</v>
      </c>
      <c r="F5" s="154">
        <v>8500</v>
      </c>
      <c r="G5" s="154">
        <v>11000</v>
      </c>
      <c r="H5" s="156"/>
      <c r="I5" s="156"/>
    </row>
    <row r="6" spans="1:9" s="4" customFormat="1" ht="21" customHeight="1" x14ac:dyDescent="0.15">
      <c r="A6" s="160" t="s">
        <v>226</v>
      </c>
      <c r="B6" s="155"/>
      <c r="C6" s="156"/>
      <c r="D6" s="154">
        <v>4800</v>
      </c>
      <c r="E6" s="154">
        <v>6600</v>
      </c>
      <c r="F6" s="154" t="s">
        <v>11</v>
      </c>
      <c r="G6" s="154" t="s">
        <v>11</v>
      </c>
      <c r="H6" s="156"/>
      <c r="I6" s="156"/>
    </row>
    <row r="7" spans="1:9" ht="21" customHeight="1" x14ac:dyDescent="0.15">
      <c r="A7" s="71" t="s">
        <v>200</v>
      </c>
      <c r="B7" s="44" t="s">
        <v>11</v>
      </c>
      <c r="C7" s="44" t="s">
        <v>11</v>
      </c>
      <c r="D7" s="44" t="s">
        <v>11</v>
      </c>
      <c r="E7" s="44" t="s">
        <v>11</v>
      </c>
      <c r="F7" s="44" t="s">
        <v>11</v>
      </c>
      <c r="G7" s="44" t="s">
        <v>11</v>
      </c>
      <c r="H7" s="44" t="s">
        <v>11</v>
      </c>
      <c r="I7" s="44" t="s">
        <v>11</v>
      </c>
    </row>
    <row r="8" spans="1:9" ht="21" customHeight="1" x14ac:dyDescent="0.15">
      <c r="A8" s="72" t="s">
        <v>201</v>
      </c>
      <c r="B8" s="44" t="s">
        <v>11</v>
      </c>
      <c r="C8" s="44" t="s">
        <v>11</v>
      </c>
      <c r="D8" s="44" t="s">
        <v>11</v>
      </c>
      <c r="E8" s="44">
        <v>8000</v>
      </c>
      <c r="F8" s="27">
        <v>10000</v>
      </c>
      <c r="G8" s="44">
        <v>14000</v>
      </c>
      <c r="H8" s="44" t="s">
        <v>11</v>
      </c>
      <c r="I8" s="44" t="s">
        <v>11</v>
      </c>
    </row>
    <row r="9" spans="1:9" s="43" customFormat="1" ht="21" customHeight="1" x14ac:dyDescent="0.15">
      <c r="A9" s="73" t="s">
        <v>202</v>
      </c>
      <c r="B9" s="27" t="s">
        <v>11</v>
      </c>
      <c r="C9" s="27" t="s">
        <v>11</v>
      </c>
      <c r="D9" s="27" t="s">
        <v>11</v>
      </c>
      <c r="E9" s="27">
        <v>7500</v>
      </c>
      <c r="F9" s="27">
        <v>9500</v>
      </c>
      <c r="G9" s="44">
        <v>13000</v>
      </c>
      <c r="H9" s="27" t="s">
        <v>11</v>
      </c>
      <c r="I9" s="27" t="s">
        <v>11</v>
      </c>
    </row>
    <row r="10" spans="1:9" ht="21" customHeight="1" x14ac:dyDescent="0.15">
      <c r="A10" s="73" t="s">
        <v>9</v>
      </c>
      <c r="B10" s="66" t="s">
        <v>11</v>
      </c>
      <c r="C10" s="66" t="s">
        <v>11</v>
      </c>
      <c r="D10" s="27">
        <v>5000</v>
      </c>
      <c r="E10" s="27">
        <v>7000</v>
      </c>
      <c r="F10" s="27">
        <v>9000</v>
      </c>
      <c r="G10" s="44">
        <v>12000</v>
      </c>
      <c r="H10" s="66" t="s">
        <v>11</v>
      </c>
      <c r="I10" s="66" t="s">
        <v>11</v>
      </c>
    </row>
    <row r="11" spans="1:9" ht="21" customHeight="1" x14ac:dyDescent="0.15">
      <c r="A11" s="73" t="s">
        <v>203</v>
      </c>
      <c r="B11" s="66" t="s">
        <v>11</v>
      </c>
      <c r="C11" s="66" t="s">
        <v>11</v>
      </c>
      <c r="D11" s="27">
        <v>4900</v>
      </c>
      <c r="E11" s="27">
        <v>6700</v>
      </c>
      <c r="F11" s="27">
        <v>8500</v>
      </c>
      <c r="G11" s="44">
        <v>11000</v>
      </c>
      <c r="H11" s="66" t="s">
        <v>11</v>
      </c>
      <c r="I11" s="66" t="s">
        <v>11</v>
      </c>
    </row>
    <row r="12" spans="1:9" ht="21" customHeight="1" x14ac:dyDescent="0.15">
      <c r="A12" s="73" t="s">
        <v>102</v>
      </c>
      <c r="B12" s="66" t="s">
        <v>11</v>
      </c>
      <c r="C12" s="66" t="s">
        <v>11</v>
      </c>
      <c r="D12" s="27">
        <v>4800</v>
      </c>
      <c r="E12" s="27">
        <v>6600</v>
      </c>
      <c r="F12" s="66" t="s">
        <v>11</v>
      </c>
      <c r="G12" s="66" t="s">
        <v>11</v>
      </c>
      <c r="H12" s="66" t="s">
        <v>11</v>
      </c>
      <c r="I12" s="66" t="s">
        <v>11</v>
      </c>
    </row>
    <row r="13" spans="1:9" ht="21" customHeight="1" x14ac:dyDescent="0.15">
      <c r="A13" s="73" t="s">
        <v>204</v>
      </c>
      <c r="B13" s="66" t="s">
        <v>11</v>
      </c>
      <c r="C13" s="66" t="s">
        <v>11</v>
      </c>
      <c r="D13" s="66" t="s">
        <v>11</v>
      </c>
      <c r="E13" s="27">
        <v>6300</v>
      </c>
      <c r="F13" s="66" t="s">
        <v>11</v>
      </c>
      <c r="G13" s="66" t="s">
        <v>11</v>
      </c>
      <c r="H13" s="66" t="s">
        <v>11</v>
      </c>
      <c r="I13" s="66" t="s">
        <v>11</v>
      </c>
    </row>
    <row r="14" spans="1:9" ht="21" customHeight="1" x14ac:dyDescent="0.15">
      <c r="A14" s="73" t="s">
        <v>205</v>
      </c>
      <c r="B14" s="66" t="s">
        <v>11</v>
      </c>
      <c r="C14" s="66" t="s">
        <v>11</v>
      </c>
      <c r="D14" s="27">
        <v>4600</v>
      </c>
      <c r="E14" s="27">
        <v>5800</v>
      </c>
      <c r="F14" s="27">
        <v>7600</v>
      </c>
      <c r="G14" s="66" t="s">
        <v>11</v>
      </c>
      <c r="H14" s="66" t="s">
        <v>11</v>
      </c>
      <c r="I14" s="66" t="s">
        <v>11</v>
      </c>
    </row>
    <row r="15" spans="1:9" ht="21" customHeight="1" x14ac:dyDescent="0.15">
      <c r="A15" s="73" t="s">
        <v>101</v>
      </c>
      <c r="B15" s="66" t="s">
        <v>11</v>
      </c>
      <c r="C15" s="66" t="s">
        <v>11</v>
      </c>
      <c r="D15" s="27">
        <v>4400</v>
      </c>
      <c r="E15" s="27">
        <v>5600</v>
      </c>
      <c r="F15" s="66" t="s">
        <v>11</v>
      </c>
      <c r="G15" s="66" t="s">
        <v>11</v>
      </c>
      <c r="H15" s="66" t="s">
        <v>11</v>
      </c>
      <c r="I15" s="66" t="s">
        <v>11</v>
      </c>
    </row>
    <row r="16" spans="1:9" ht="21" customHeight="1" x14ac:dyDescent="0.15">
      <c r="A16" s="73" t="s">
        <v>206</v>
      </c>
      <c r="B16" s="66" t="s">
        <v>11</v>
      </c>
      <c r="C16" s="27">
        <v>3000</v>
      </c>
      <c r="D16" s="27">
        <v>4200</v>
      </c>
      <c r="E16" s="27">
        <v>5400</v>
      </c>
      <c r="F16" s="66" t="s">
        <v>11</v>
      </c>
      <c r="G16" s="66" t="s">
        <v>11</v>
      </c>
      <c r="H16" s="66" t="s">
        <v>11</v>
      </c>
      <c r="I16" s="66" t="s">
        <v>11</v>
      </c>
    </row>
    <row r="17" spans="1:9" ht="21" customHeight="1" x14ac:dyDescent="0.15">
      <c r="A17" s="73" t="s">
        <v>8</v>
      </c>
      <c r="B17" s="27">
        <v>2000</v>
      </c>
      <c r="C17" s="27">
        <v>2800</v>
      </c>
      <c r="D17" s="27">
        <v>4000</v>
      </c>
      <c r="E17" s="66" t="s">
        <v>11</v>
      </c>
      <c r="F17" s="66" t="s">
        <v>11</v>
      </c>
      <c r="G17" s="66" t="s">
        <v>11</v>
      </c>
      <c r="H17" s="66" t="s">
        <v>11</v>
      </c>
      <c r="I17" s="66" t="s">
        <v>11</v>
      </c>
    </row>
    <row r="18" spans="1:9" ht="21" customHeight="1" x14ac:dyDescent="0.15">
      <c r="A18" s="74" t="s">
        <v>7</v>
      </c>
      <c r="B18" s="27">
        <v>1750</v>
      </c>
      <c r="C18" s="27">
        <v>2550</v>
      </c>
      <c r="D18" s="66" t="s">
        <v>11</v>
      </c>
      <c r="E18" s="66" t="s">
        <v>11</v>
      </c>
      <c r="F18" s="66" t="s">
        <v>11</v>
      </c>
      <c r="G18" s="66" t="s">
        <v>11</v>
      </c>
      <c r="H18" s="66" t="s">
        <v>11</v>
      </c>
      <c r="I18" s="66" t="s">
        <v>11</v>
      </c>
    </row>
    <row r="19" spans="1:9" ht="21" customHeight="1" x14ac:dyDescent="0.15">
      <c r="A19" s="74" t="s">
        <v>207</v>
      </c>
      <c r="B19" s="27">
        <v>1500</v>
      </c>
      <c r="C19" s="27">
        <v>2300</v>
      </c>
      <c r="D19" s="66" t="s">
        <v>11</v>
      </c>
      <c r="E19" s="66" t="s">
        <v>11</v>
      </c>
      <c r="F19" s="66" t="s">
        <v>11</v>
      </c>
      <c r="G19" s="66" t="s">
        <v>11</v>
      </c>
      <c r="H19" s="66" t="s">
        <v>11</v>
      </c>
      <c r="I19" s="66" t="s">
        <v>11</v>
      </c>
    </row>
    <row r="20" spans="1:9" ht="21" customHeight="1" x14ac:dyDescent="0.15">
      <c r="A20" s="36" t="s">
        <v>208</v>
      </c>
      <c r="B20" s="35">
        <v>1000</v>
      </c>
      <c r="C20" s="35">
        <v>1000</v>
      </c>
      <c r="D20" s="35">
        <v>1000</v>
      </c>
      <c r="E20" s="35">
        <v>1000</v>
      </c>
      <c r="F20" s="35">
        <v>1000</v>
      </c>
      <c r="G20" s="35">
        <v>1000</v>
      </c>
      <c r="H20" s="35">
        <v>1000</v>
      </c>
      <c r="I20" s="35">
        <v>1000</v>
      </c>
    </row>
  </sheetData>
  <sheetProtection selectLockedCells="1" selectUnlockedCells="1"/>
  <phoneticPr fontId="9"/>
  <conditionalFormatting sqref="L22:R65541 J1:IU1 L7:R19 S7:IU1048576 J7:K1048576">
    <cfRule type="cellIs" dxfId="5" priority="7" stopIfTrue="1" operator="equal">
      <formula>1</formula>
    </cfRule>
  </conditionalFormatting>
  <conditionalFormatting sqref="A21:I65541">
    <cfRule type="cellIs" dxfId="4" priority="8" stopIfTrue="1" operator="equal">
      <formula>1</formula>
    </cfRule>
  </conditionalFormatting>
  <conditionalFormatting sqref="A20:I20">
    <cfRule type="cellIs" dxfId="3" priority="5" stopIfTrue="1" operator="equal">
      <formula>1</formula>
    </cfRule>
  </conditionalFormatting>
  <conditionalFormatting sqref="J2:IV4">
    <cfRule type="cellIs" dxfId="2" priority="4" stopIfTrue="1" operator="equal">
      <formula>1</formula>
    </cfRule>
  </conditionalFormatting>
  <conditionalFormatting sqref="J5:IV6">
    <cfRule type="cellIs" dxfId="1" priority="3"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B6" sqref="B6"/>
    </sheetView>
  </sheetViews>
  <sheetFormatPr baseColWidth="12" defaultColWidth="13" defaultRowHeight="21" customHeight="1" x14ac:dyDescent="0.15"/>
  <cols>
    <col min="1" max="16384" width="13" style="22"/>
  </cols>
  <sheetData>
    <row r="1" spans="1:8" ht="21" customHeight="1" x14ac:dyDescent="0.15">
      <c r="A1" s="22" t="s">
        <v>107</v>
      </c>
      <c r="G1" s="22" t="s">
        <v>108</v>
      </c>
    </row>
    <row r="2" spans="1:8" ht="21" customHeight="1" x14ac:dyDescent="0.15">
      <c r="A2" s="20" t="s">
        <v>15</v>
      </c>
      <c r="B2" s="20" t="s">
        <v>16</v>
      </c>
      <c r="G2" s="20" t="s">
        <v>15</v>
      </c>
      <c r="H2" s="20" t="s">
        <v>16</v>
      </c>
    </row>
    <row r="3" spans="1:8" ht="21" customHeight="1" x14ac:dyDescent="0.15">
      <c r="A3" s="23">
        <v>1</v>
      </c>
      <c r="B3" s="32">
        <v>5000</v>
      </c>
      <c r="G3" s="23">
        <v>1</v>
      </c>
      <c r="H3" s="23">
        <v>75</v>
      </c>
    </row>
    <row r="4" spans="1:8" ht="21" customHeight="1" x14ac:dyDescent="0.15">
      <c r="A4" s="23">
        <v>2</v>
      </c>
      <c r="B4" s="24">
        <v>10000</v>
      </c>
      <c r="G4" s="23">
        <v>2</v>
      </c>
      <c r="H4" s="23">
        <v>150</v>
      </c>
    </row>
    <row r="5" spans="1:8" ht="21" customHeight="1" x14ac:dyDescent="0.15">
      <c r="A5" s="23">
        <v>3</v>
      </c>
      <c r="B5" s="24">
        <v>20000</v>
      </c>
      <c r="G5" s="23">
        <v>3</v>
      </c>
      <c r="H5" s="23">
        <v>300</v>
      </c>
    </row>
    <row r="6" spans="1:8" ht="21" customHeight="1" x14ac:dyDescent="0.15">
      <c r="A6" s="23">
        <v>4</v>
      </c>
      <c r="B6" s="24">
        <v>50000</v>
      </c>
      <c r="G6" s="23">
        <v>4</v>
      </c>
      <c r="H6" s="23">
        <v>600</v>
      </c>
    </row>
    <row r="7" spans="1:8" ht="21" customHeight="1" x14ac:dyDescent="0.15">
      <c r="A7" s="23">
        <v>5</v>
      </c>
      <c r="B7" s="24">
        <v>200000</v>
      </c>
      <c r="G7" s="23">
        <v>5</v>
      </c>
      <c r="H7" s="23">
        <v>900</v>
      </c>
    </row>
    <row r="8" spans="1:8" ht="21" customHeight="1" x14ac:dyDescent="0.15">
      <c r="A8" s="23">
        <v>6</v>
      </c>
      <c r="B8" s="33">
        <v>0</v>
      </c>
      <c r="G8" s="23">
        <v>6</v>
      </c>
      <c r="H8" s="34">
        <v>1200</v>
      </c>
    </row>
    <row r="9" spans="1:8" ht="21" customHeight="1" x14ac:dyDescent="0.15">
      <c r="A9" s="23">
        <v>7</v>
      </c>
      <c r="B9" s="33"/>
      <c r="G9" s="23">
        <v>7</v>
      </c>
      <c r="H9" s="33"/>
    </row>
    <row r="10" spans="1:8" ht="21" customHeight="1" x14ac:dyDescent="0.15">
      <c r="A10" s="23">
        <v>8</v>
      </c>
      <c r="B10" s="33"/>
      <c r="G10" s="23">
        <v>8</v>
      </c>
      <c r="H10" s="33"/>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192</v>
      </c>
      <c r="B2" s="12">
        <v>591</v>
      </c>
    </row>
    <row r="3" spans="1:4" x14ac:dyDescent="0.15">
      <c r="A3" t="s">
        <v>193</v>
      </c>
      <c r="B3" s="129">
        <v>592</v>
      </c>
    </row>
    <row r="4" spans="1:4" x14ac:dyDescent="0.15">
      <c r="A4" t="s">
        <v>194</v>
      </c>
      <c r="B4" s="129">
        <v>593</v>
      </c>
    </row>
    <row r="7" spans="1:4" x14ac:dyDescent="0.15">
      <c r="A7" t="s">
        <v>195</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214</v>
      </c>
    </row>
    <row r="13" spans="1:4" x14ac:dyDescent="0.15">
      <c r="B13" t="s">
        <v>218</v>
      </c>
      <c r="C13" t="s">
        <v>219</v>
      </c>
      <c r="D13" t="s">
        <v>220</v>
      </c>
    </row>
    <row r="14" spans="1:4" x14ac:dyDescent="0.15">
      <c r="A14" t="s">
        <v>216</v>
      </c>
      <c r="B14" t="e">
        <f>VLOOKUP($B2,units!$A:$BN,63)</f>
        <v>#N/A</v>
      </c>
      <c r="C14" t="e">
        <f>VLOOKUP($B2,units!$A:$BN,64)</f>
        <v>#N/A</v>
      </c>
      <c r="D14" t="e">
        <f>VLOOKUP($B2,units!$A:$BN,66)</f>
        <v>#N/A</v>
      </c>
    </row>
    <row r="15" spans="1:4" x14ac:dyDescent="0.15">
      <c r="A15" t="s">
        <v>217</v>
      </c>
      <c r="B15" t="e">
        <f>VLOOKUP($B3,units!$A:$BN,63)</f>
        <v>#N/A</v>
      </c>
      <c r="C15" t="e">
        <f>VLOOKUP($B3,units!$A:$BN,64)</f>
        <v>#N/A</v>
      </c>
      <c r="D15" t="e">
        <f>VLOOKUP($B3,units!$A:$BN,66)</f>
        <v>#N/A</v>
      </c>
    </row>
    <row r="16" spans="1:4" x14ac:dyDescent="0.15">
      <c r="A16" t="s">
        <v>215</v>
      </c>
      <c r="B16" t="e">
        <f>VLOOKUP($B4,units!$A:$BN,63)</f>
        <v>#N/A</v>
      </c>
      <c r="C16" t="e">
        <f>VLOOKUP($B4,units!$A:$BN,64)</f>
        <v>#N/A</v>
      </c>
      <c r="D16" t="e">
        <f>VLOOKUP($B4,units!$A:$BN,66)</f>
        <v>#N/A</v>
      </c>
    </row>
    <row r="19" spans="1:1" ht="19" customHeight="1" x14ac:dyDescent="0.15">
      <c r="A19" t="s">
        <v>196</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197</v>
      </c>
    </row>
    <row r="36" spans="1:1" x14ac:dyDescent="0.15">
      <c r="A36" t="str">
        <f>IFERROR(VLOOKUP($B$2,crash_skills!A:J,3),"なし")</f>
        <v>なし</v>
      </c>
    </row>
    <row r="37" spans="1:1" x14ac:dyDescent="0.15">
      <c r="A37" t="str">
        <f>IFERROR(VLOOKUP($B$2,crash_skills!A:J,4),"なし")</f>
        <v>なし</v>
      </c>
    </row>
    <row r="38" spans="1:1" x14ac:dyDescent="0.15">
      <c r="A38" t="str">
        <f>IFERROR(VLOOKUP($B$2,crash_skills!A:J,6),"なし")</f>
        <v>なし</v>
      </c>
    </row>
    <row r="40" spans="1:1" x14ac:dyDescent="0.15">
      <c r="A40" t="str">
        <f>IFERROR(VLOOKUP($B$3,crash_skills!A:J,3),"なし")</f>
        <v>なし</v>
      </c>
    </row>
    <row r="41" spans="1:1" x14ac:dyDescent="0.15">
      <c r="A41" t="str">
        <f>IFERROR(VLOOKUP($B$3,crash_skills!A:J,4),"なし")</f>
        <v>なし</v>
      </c>
    </row>
    <row r="42" spans="1:1" x14ac:dyDescent="0.15">
      <c r="A42" t="str">
        <f>IFERROR(VLOOKUP($B$3,crash_skills!A:J,6),"なし")</f>
        <v>なし</v>
      </c>
    </row>
    <row r="44" spans="1:1" x14ac:dyDescent="0.15">
      <c r="A44" t="str">
        <f>IFERROR(VLOOKUP($B$4,crash_skills!A:J,3),"なし")</f>
        <v>なし</v>
      </c>
    </row>
    <row r="45" spans="1:1" x14ac:dyDescent="0.15">
      <c r="A45" t="str">
        <f>IFERROR(VLOOKUP($B$4,crash_skills!A:J,4),"なし")</f>
        <v>なし</v>
      </c>
    </row>
    <row r="46" spans="1:1" x14ac:dyDescent="0.15">
      <c r="A46" t="str">
        <f>IFERROR(VLOOKUP($B$4,crash_skills!A:J,6),"なし")</f>
        <v>なし</v>
      </c>
    </row>
    <row r="48" spans="1:1" x14ac:dyDescent="0.15">
      <c r="A48" t="s">
        <v>198</v>
      </c>
    </row>
    <row r="49" spans="1:1" x14ac:dyDescent="0.15">
      <c r="A49" t="str">
        <f>IFERROR(VLOOKUP($B$3,awake_materials!A:I,2),"なし")</f>
        <v>なし</v>
      </c>
    </row>
    <row r="50" spans="1:1" x14ac:dyDescent="0.15">
      <c r="A50" t="str">
        <f>IFERROR(VLOOKUP($B$3,awake_materials!A:I,2),"なし")</f>
        <v>なし</v>
      </c>
    </row>
    <row r="51" spans="1:1" x14ac:dyDescent="0.15">
      <c r="A51" t="str">
        <f>IFERROR(VLOOKUP($B$3,awake_materials!A:I,2),"なし")</f>
        <v>なし</v>
      </c>
    </row>
    <row r="52" spans="1:1" x14ac:dyDescent="0.15">
      <c r="A52" t="str">
        <f>IFERROR(VLOOKUP($B$3,awake_materials!A:I,2),"なし")</f>
        <v>なし</v>
      </c>
    </row>
    <row r="53" spans="1:1" x14ac:dyDescent="0.15">
      <c r="A53" t="str">
        <f>IFERROR(VLOOKUP($B$3,awake_materials!A:I,2),"なし")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2017-06-06T10:05:39Z</dcterms:modified>
</cp:coreProperties>
</file>