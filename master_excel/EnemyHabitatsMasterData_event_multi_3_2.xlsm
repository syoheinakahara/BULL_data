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3"/>
  </bookViews>
  <sheets>
    <sheet name="floors_multi_3_2" sheetId="2" r:id="rId1"/>
    <sheet name="enemy_habitats_multi_3_2" sheetId="1" r:id="rId2"/>
    <sheet name="enemy_habitat_S_multi_3_2" sheetId="7" r:id="rId3"/>
    <sheet name="floors_multi_3_2.tmp" sheetId="5" r:id="rId4"/>
    <sheet name="enemy_habitats_multi_3_2.tmp" sheetId="6" r:id="rId5"/>
    <sheet name="enemy_habitat_S_multi_3_2.tmp" sheetId="8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2" hidden="1">enemy_habitat_S_multi_3_2!$B$1:$Y$2</definedName>
    <definedName name="_xlnm._FilterDatabase" localSheetId="1" hidden="1">enemy_habitats_multi_3_2!$B$1:$AH$2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6" l="1"/>
  <c r="R14" i="6"/>
  <c r="J2" i="7"/>
  <c r="Y2" i="7"/>
  <c r="R2" i="7"/>
  <c r="Q2" i="7"/>
  <c r="P2" i="7"/>
  <c r="O2" i="7"/>
  <c r="N2" i="7"/>
  <c r="AE13" i="1"/>
  <c r="AD13" i="1"/>
  <c r="AC13" i="1"/>
  <c r="AE12" i="1"/>
  <c r="AD12" i="1"/>
  <c r="AC12" i="1"/>
  <c r="AE11" i="1"/>
  <c r="AD11" i="1"/>
  <c r="AC11" i="1"/>
  <c r="AE10" i="1"/>
  <c r="AD10" i="1"/>
  <c r="AC10" i="1"/>
  <c r="AE9" i="1"/>
  <c r="AD9" i="1"/>
  <c r="AC9" i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AA13" i="1"/>
  <c r="AA12" i="1"/>
  <c r="AA11" i="1"/>
  <c r="AA10" i="1"/>
  <c r="AA9" i="1"/>
  <c r="AA8" i="1"/>
  <c r="AA7" i="1"/>
  <c r="AA6" i="1"/>
  <c r="AA5" i="1"/>
  <c r="AA4" i="1"/>
  <c r="AA3" i="1"/>
  <c r="AA2" i="1"/>
  <c r="M3" i="1"/>
  <c r="N3" i="1"/>
  <c r="O3" i="1"/>
  <c r="P3" i="1"/>
  <c r="Q3" i="1"/>
  <c r="M4" i="1"/>
  <c r="N4" i="1"/>
  <c r="O4" i="1"/>
  <c r="P4" i="1"/>
  <c r="Q4" i="1"/>
  <c r="M5" i="1"/>
  <c r="N5" i="1"/>
  <c r="O5" i="1"/>
  <c r="P5" i="1"/>
  <c r="Q5" i="1"/>
  <c r="M6" i="1"/>
  <c r="N6" i="1"/>
  <c r="O6" i="1"/>
  <c r="P6" i="1"/>
  <c r="Q6" i="1"/>
  <c r="M7" i="1"/>
  <c r="N7" i="1"/>
  <c r="O7" i="1"/>
  <c r="P7" i="1"/>
  <c r="Q7" i="1"/>
  <c r="M8" i="1"/>
  <c r="N8" i="1"/>
  <c r="O8" i="1"/>
  <c r="P8" i="1"/>
  <c r="Q8" i="1"/>
  <c r="M9" i="1"/>
  <c r="N9" i="1"/>
  <c r="O9" i="1"/>
  <c r="P9" i="1"/>
  <c r="Q9" i="1"/>
  <c r="M10" i="1"/>
  <c r="N10" i="1"/>
  <c r="O10" i="1"/>
  <c r="P10" i="1"/>
  <c r="Q10" i="1"/>
  <c r="M11" i="1"/>
  <c r="N11" i="1"/>
  <c r="O11" i="1"/>
  <c r="P11" i="1"/>
  <c r="Q11" i="1"/>
  <c r="M12" i="1"/>
  <c r="N12" i="1"/>
  <c r="O12" i="1"/>
  <c r="P12" i="1"/>
  <c r="Q12" i="1"/>
  <c r="M13" i="1"/>
  <c r="N13" i="1"/>
  <c r="O13" i="1"/>
  <c r="P13" i="1"/>
  <c r="Q13" i="1"/>
  <c r="Q2" i="1"/>
  <c r="P2" i="1"/>
  <c r="O2" i="1"/>
  <c r="N2" i="1"/>
  <c r="M2" i="1"/>
  <c r="A3" i="1"/>
  <c r="A2" i="1"/>
  <c r="E2" i="1"/>
  <c r="D2" i="1"/>
  <c r="C1" i="6"/>
  <c r="A1" i="6"/>
  <c r="A13" i="1"/>
  <c r="A14" i="6"/>
  <c r="A4" i="1"/>
  <c r="A5" i="1"/>
  <c r="A6" i="1"/>
  <c r="A7" i="1"/>
  <c r="A8" i="1"/>
  <c r="A9" i="1"/>
  <c r="A10" i="1"/>
  <c r="A11" i="1"/>
  <c r="A12" i="1"/>
  <c r="B1" i="6"/>
  <c r="X14" i="6"/>
  <c r="W14" i="6"/>
  <c r="V14" i="6"/>
  <c r="U14" i="6"/>
  <c r="T14" i="6"/>
  <c r="S14" i="6"/>
  <c r="AG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X13" i="6"/>
  <c r="W13" i="6"/>
  <c r="V13" i="6"/>
  <c r="U13" i="6"/>
  <c r="T13" i="6"/>
  <c r="S13" i="6"/>
  <c r="R13" i="6"/>
  <c r="AG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X12" i="6"/>
  <c r="W12" i="6"/>
  <c r="V12" i="6"/>
  <c r="U12" i="6"/>
  <c r="T12" i="6"/>
  <c r="S12" i="6"/>
  <c r="R12" i="6"/>
  <c r="AG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X11" i="6"/>
  <c r="W11" i="6"/>
  <c r="V11" i="6"/>
  <c r="U11" i="6"/>
  <c r="T11" i="6"/>
  <c r="S11" i="6"/>
  <c r="R11" i="6"/>
  <c r="AG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X10" i="6"/>
  <c r="W10" i="6"/>
  <c r="V10" i="6"/>
  <c r="U10" i="6"/>
  <c r="T10" i="6"/>
  <c r="S10" i="6"/>
  <c r="AG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X9" i="6"/>
  <c r="W9" i="6"/>
  <c r="V9" i="6"/>
  <c r="U9" i="6"/>
  <c r="T9" i="6"/>
  <c r="S9" i="6"/>
  <c r="R9" i="6"/>
  <c r="AG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X8" i="6"/>
  <c r="W8" i="6"/>
  <c r="V8" i="6"/>
  <c r="U8" i="6"/>
  <c r="T8" i="6"/>
  <c r="S8" i="6"/>
  <c r="R8" i="6"/>
  <c r="AG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X7" i="6"/>
  <c r="W7" i="6"/>
  <c r="V7" i="6"/>
  <c r="U7" i="6"/>
  <c r="T7" i="6"/>
  <c r="S7" i="6"/>
  <c r="R7" i="6"/>
  <c r="AG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X6" i="6"/>
  <c r="W6" i="6"/>
  <c r="V6" i="6"/>
  <c r="U6" i="6"/>
  <c r="T6" i="6"/>
  <c r="S6" i="6"/>
  <c r="R6" i="6"/>
  <c r="AG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X5" i="6"/>
  <c r="W5" i="6"/>
  <c r="V5" i="6"/>
  <c r="U5" i="6"/>
  <c r="T5" i="6"/>
  <c r="S5" i="6"/>
  <c r="R5" i="6"/>
  <c r="AG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X4" i="6"/>
  <c r="W4" i="6"/>
  <c r="V4" i="6"/>
  <c r="U4" i="6"/>
  <c r="T4" i="6"/>
  <c r="S4" i="6"/>
  <c r="R4" i="6"/>
  <c r="AG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C1" i="5"/>
  <c r="A1" i="5"/>
  <c r="G13" i="2"/>
  <c r="A13" i="2"/>
  <c r="A14" i="5"/>
  <c r="B1" i="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D4" i="1"/>
  <c r="E4" i="1"/>
  <c r="F4" i="1"/>
  <c r="H4" i="1"/>
  <c r="I4" i="1"/>
  <c r="J4" i="1"/>
  <c r="V4" i="1"/>
  <c r="D5" i="1"/>
  <c r="E5" i="1"/>
  <c r="F5" i="1"/>
  <c r="H5" i="1"/>
  <c r="I5" i="1"/>
  <c r="J5" i="1"/>
  <c r="V5" i="1"/>
  <c r="D6" i="1"/>
  <c r="E6" i="1"/>
  <c r="F6" i="1"/>
  <c r="H6" i="1"/>
  <c r="I6" i="1"/>
  <c r="J6" i="1"/>
  <c r="V6" i="1"/>
  <c r="D7" i="1"/>
  <c r="E7" i="1"/>
  <c r="F7" i="1"/>
  <c r="H7" i="1"/>
  <c r="I7" i="1"/>
  <c r="J7" i="1"/>
  <c r="V7" i="1"/>
  <c r="D8" i="1"/>
  <c r="E8" i="1"/>
  <c r="F8" i="1"/>
  <c r="H8" i="1"/>
  <c r="I8" i="1"/>
  <c r="J8" i="1"/>
  <c r="V8" i="1"/>
  <c r="D9" i="1"/>
  <c r="E9" i="1"/>
  <c r="F9" i="1"/>
  <c r="H9" i="1"/>
  <c r="I9" i="1"/>
  <c r="J9" i="1"/>
  <c r="V9" i="1"/>
  <c r="D10" i="1"/>
  <c r="E10" i="1"/>
  <c r="F10" i="1"/>
  <c r="H10" i="1"/>
  <c r="I10" i="1"/>
  <c r="J10" i="1"/>
  <c r="V10" i="1"/>
  <c r="D11" i="1"/>
  <c r="E11" i="1"/>
  <c r="F11" i="1"/>
  <c r="H11" i="1"/>
  <c r="I11" i="1"/>
  <c r="J11" i="1"/>
  <c r="V11" i="1"/>
  <c r="D12" i="1"/>
  <c r="E12" i="1"/>
  <c r="F12" i="1"/>
  <c r="H12" i="1"/>
  <c r="I12" i="1"/>
  <c r="J12" i="1"/>
  <c r="V12" i="1"/>
  <c r="D13" i="1"/>
  <c r="E13" i="1"/>
  <c r="F13" i="1"/>
  <c r="H13" i="1"/>
  <c r="I13" i="1"/>
  <c r="J13" i="1"/>
  <c r="V13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V3" i="1"/>
  <c r="J3" i="1"/>
  <c r="I3" i="1"/>
  <c r="D3" i="1"/>
  <c r="F3" i="1"/>
  <c r="E3" i="1"/>
  <c r="A2" i="7"/>
  <c r="C1" i="8"/>
  <c r="A1" i="8"/>
  <c r="A3" i="8"/>
  <c r="B1" i="8"/>
  <c r="M3" i="8"/>
  <c r="L3" i="8"/>
  <c r="K3" i="8"/>
  <c r="J3" i="8"/>
  <c r="I3" i="8"/>
  <c r="H3" i="8"/>
  <c r="G3" i="8"/>
  <c r="F3" i="8"/>
  <c r="E3" i="8"/>
  <c r="D3" i="8"/>
  <c r="C3" i="8"/>
  <c r="B3" i="8"/>
  <c r="W2" i="7"/>
  <c r="H2" i="7"/>
  <c r="I2" i="7"/>
  <c r="D2" i="7"/>
  <c r="F2" i="7"/>
  <c r="E2" i="7"/>
  <c r="A3" i="6"/>
  <c r="X3" i="6"/>
  <c r="J2" i="1"/>
  <c r="I2" i="1"/>
  <c r="D2" i="2"/>
  <c r="E2" i="2"/>
  <c r="H2" i="2"/>
  <c r="V2" i="1"/>
  <c r="I3" i="6"/>
  <c r="H3" i="6"/>
  <c r="G3" i="6"/>
  <c r="F2" i="1"/>
  <c r="W3" i="6"/>
  <c r="V3" i="6"/>
  <c r="U3" i="6"/>
  <c r="T3" i="6"/>
  <c r="S3" i="6"/>
  <c r="AG2" i="1"/>
  <c r="B2" i="2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sharedStrings.xml><?xml version="1.0" encoding="utf-8"?>
<sst xmlns="http://schemas.openxmlformats.org/spreadsheetml/2006/main" count="129" uniqueCount="68">
  <si>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</si>
  <si>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</si>
  <si>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</si>
  <si>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</si>
  <si>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</si>
  <si>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</si>
  <si>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</si>
  <si>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</si>
  <si>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</si>
  <si>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</si>
  <si>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</si>
  <si>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</si>
  <si>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</si>
  <si>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</si>
  <si>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</si>
  <si>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</si>
  <si>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</si>
  <si>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</si>
  <si>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</si>
  <si>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</si>
  <si>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</si>
  <si>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</si>
  <si>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</si>
  <si>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</si>
  <si>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</si>
  <si>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</si>
  <si>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</si>
  <si>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</si>
  <si>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</si>
  <si>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</si>
  <si>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</si>
  <si>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</si>
  <si>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</si>
  <si>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</si>
  <si>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</si>
  <si>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</si>
  <si>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</si>
  <si>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</si>
  <si>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</si>
  <si>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</si>
  <si>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</si>
  <si>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</si>
  <si>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</si>
  <si>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</si>
  <si>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</si>
  <si>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</si>
  <si>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</si>
  <si>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</si>
  <si>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</si>
  <si>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</si>
  <si>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</si>
  <si>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</si>
  <si>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</si>
  <si>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</si>
  <si>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</si>
  <si>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</si>
  <si>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</si>
  <si>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seq_no</t>
    <phoneticPr fontId="3"/>
  </si>
  <si>
    <t>state_no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</si>
  <si>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</si>
  <si>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</si>
  <si>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</si>
  <si>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</si>
  <si>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</si>
  <si>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</si>
  <si>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hp_coefficient</t>
    <phoneticPr fontId="3"/>
  </si>
  <si>
    <t>attack_coefficient</t>
    <phoneticPr fontId="3"/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</si>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</sst>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/>
      <right style="thin">
        <color indexed="8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medium">
        <color auto="1"/>
      </bottom>
      <diagonal/>
    </border>
  </borders>
  <cellStyleXfs count="47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5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7" xfId="0" applyFont="1" applyFill="1" applyBorder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5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5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4" fillId="0" borderId="5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2" fillId="0" borderId="5" xfId="0" applyFont="1" applyFill="1" applyBorder="1" applyAlignment="1">
      <alignment horizontal="center" vertical="center"/>
    </xf>
    <xf numFmtId="177" fontId="2" fillId="0" borderId="5" xfId="0" applyNumberFormat="1" applyFont="1" applyFill="1" applyBorder="1" applyAlignment="1">
      <alignment horizontal="center" vertical="center"/>
    </xf>
    <xf numFmtId="177" fontId="2" fillId="0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77" fontId="2" fillId="9" borderId="10" xfId="0" applyNumberFormat="1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177" fontId="2" fillId="9" borderId="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177" fontId="2" fillId="9" borderId="11" xfId="0" applyNumberFormat="1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177" fontId="2" fillId="0" borderId="12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178" fontId="6" fillId="0" borderId="5" xfId="0" applyNumberFormat="1" applyFont="1" applyBorder="1" applyAlignment="1">
      <alignment vertical="center"/>
    </xf>
    <xf numFmtId="0" fontId="6" fillId="0" borderId="2" xfId="0" applyFont="1" applyBorder="1" applyAlignment="1">
      <alignment vertical="center"/>
    </xf>
    <xf numFmtId="178" fontId="6" fillId="0" borderId="2" xfId="0" applyNumberFormat="1" applyFont="1" applyBorder="1" applyAlignment="1">
      <alignment vertical="center"/>
    </xf>
    <xf numFmtId="0" fontId="6" fillId="9" borderId="10" xfId="0" applyFont="1" applyFill="1" applyBorder="1" applyAlignment="1">
      <alignment vertical="center"/>
    </xf>
    <xf numFmtId="178" fontId="6" fillId="9" borderId="10" xfId="0" applyNumberFormat="1" applyFont="1" applyFill="1" applyBorder="1" applyAlignment="1">
      <alignment vertical="center"/>
    </xf>
    <xf numFmtId="0" fontId="6" fillId="9" borderId="5" xfId="0" applyFont="1" applyFill="1" applyBorder="1" applyAlignment="1">
      <alignment vertical="center"/>
    </xf>
    <xf numFmtId="178" fontId="6" fillId="9" borderId="5" xfId="0" applyNumberFormat="1" applyFont="1" applyFill="1" applyBorder="1" applyAlignment="1">
      <alignment vertical="center"/>
    </xf>
    <xf numFmtId="0" fontId="6" fillId="9" borderId="11" xfId="0" applyFont="1" applyFill="1" applyBorder="1" applyAlignment="1">
      <alignment vertical="center"/>
    </xf>
    <xf numFmtId="178" fontId="6" fillId="9" borderId="11" xfId="0" applyNumberFormat="1" applyFont="1" applyFill="1" applyBorder="1" applyAlignment="1">
      <alignment vertical="center"/>
    </xf>
    <xf numFmtId="0" fontId="6" fillId="0" borderId="12" xfId="0" applyFont="1" applyBorder="1" applyAlignment="1">
      <alignment vertical="center"/>
    </xf>
    <xf numFmtId="178" fontId="6" fillId="0" borderId="12" xfId="0" applyNumberFormat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4" fillId="5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2" fillId="9" borderId="10" xfId="0" applyFont="1" applyFill="1" applyBorder="1" applyAlignment="1">
      <alignment vertical="center"/>
    </xf>
    <xf numFmtId="0" fontId="2" fillId="9" borderId="5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2" fillId="9" borderId="11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14" fillId="0" borderId="5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12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/>
    </xf>
    <xf numFmtId="0" fontId="10" fillId="8" borderId="14" xfId="0" applyFont="1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vertical="center"/>
    </xf>
    <xf numFmtId="0" fontId="4" fillId="0" borderId="10" xfId="0" applyFont="1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0" fontId="2" fillId="3" borderId="10" xfId="0" applyFont="1" applyFill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10" fillId="8" borderId="17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0" fillId="8" borderId="18" xfId="0" applyFont="1" applyFill="1" applyBorder="1" applyAlignment="1">
      <alignment vertical="center"/>
    </xf>
    <xf numFmtId="0" fontId="2" fillId="3" borderId="11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4" fillId="5" borderId="20" xfId="0" applyFont="1" applyFill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0" borderId="21" xfId="0" applyFont="1" applyBorder="1" applyAlignment="1">
      <alignment vertical="center"/>
    </xf>
    <xf numFmtId="0" fontId="4" fillId="5" borderId="22" xfId="0" applyFont="1" applyFill="1" applyBorder="1" applyAlignment="1">
      <alignment vertical="center"/>
    </xf>
    <xf numFmtId="0" fontId="4" fillId="5" borderId="23" xfId="0" applyFont="1" applyFill="1" applyBorder="1" applyAlignment="1">
      <alignment vertical="center"/>
    </xf>
    <xf numFmtId="0" fontId="4" fillId="5" borderId="24" xfId="0" applyFont="1" applyFill="1" applyBorder="1" applyAlignment="1">
      <alignment vertical="center"/>
    </xf>
    <xf numFmtId="0" fontId="4" fillId="5" borderId="25" xfId="0" applyFont="1" applyFill="1" applyBorder="1" applyAlignment="1">
      <alignment vertical="center"/>
    </xf>
    <xf numFmtId="0" fontId="4" fillId="5" borderId="26" xfId="0" applyFont="1" applyFill="1" applyBorder="1" applyAlignment="1">
      <alignment vertical="center"/>
    </xf>
    <xf numFmtId="0" fontId="4" fillId="5" borderId="27" xfId="0" applyFont="1" applyFill="1" applyBorder="1" applyAlignment="1">
      <alignment vertical="center"/>
    </xf>
  </cellXfs>
  <cellStyles count="478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externalLink" Target="externalLinks/externalLink3.xml"/><Relationship Id="rId10" Type="http://schemas.openxmlformats.org/officeDocument/2006/relationships/externalLink" Target="externalLinks/externalLink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M9" sqref="M9"/>
    </sheetView>
  </sheetViews>
  <sheetFormatPr baseColWidth="12" defaultColWidth="13" defaultRowHeight="21" customHeight="1" outlineLevelCol="1" x14ac:dyDescent="0.15"/>
  <cols>
    <col min="1" max="1" width="8.83203125" style="23" bestFit="1" customWidth="1"/>
    <col min="2" max="2" width="5" style="23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3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7" t="s">
        <v>31</v>
      </c>
      <c r="B1" s="17" t="s">
        <v>38</v>
      </c>
      <c r="C1" s="1" t="s">
        <v>0</v>
      </c>
      <c r="D1" s="2" t="s">
        <v>18</v>
      </c>
      <c r="E1" s="16" t="s">
        <v>35</v>
      </c>
      <c r="F1" s="1" t="s">
        <v>1</v>
      </c>
      <c r="G1" s="27" t="s">
        <v>34</v>
      </c>
      <c r="H1" s="16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ca="1">G2&amp;"-"&amp;I2</f>
        <v>30010_1-1</v>
      </c>
      <c r="B2" s="17" t="str">
        <f ca="1">IF(COUNTIF(enemy_habitats_multi_3_2!$H:$H,A2),"OK","NG")</f>
        <v>OK</v>
      </c>
      <c r="C2" s="43">
        <v>30010</v>
      </c>
      <c r="D2" s="9" t="str">
        <f ca="1">VLOOKUP($C2,OFFSET([1]quests!$A$1,0,0,COUNTA([1]quests!$A:$A),MATCH(D$1,[1]quests!$1:$1,0)-MATCH($C$1,[1]quests!$1:$1,0)+1),MATCH(D$1,[1]quests!$1:$1,0)-MATCH($C$1,[1]quests!$1:$1,0)+1,FALSE)</f>
        <v>最大最凶</v>
      </c>
      <c r="E2" s="22" t="str">
        <f ca="1">VLOOKUP($C2,OFFSET([1]quests!$A$1,0,0,COUNTA([1]quests!$A:$A),MATCH(E$1,[1]quests!$1:$1,0)-MATCH($C$1,[1]quests!$1:$1,0)+1),MATCH(E$1,[1]quests!$1:$1,0)-MATCH($C$1,[1]quests!$1:$1,0)+1,FALSE)</f>
        <v>ドロップイベント3（マルチ専用）</v>
      </c>
      <c r="F2" s="44">
        <v>1</v>
      </c>
      <c r="G2" s="27" t="str">
        <f ca="1">C2&amp;"_"&amp;F2</f>
        <v>30010_1</v>
      </c>
      <c r="H2" s="16" t="str">
        <f ca="1">VLOOKUP($G2,OFFSET([1]stages!$A$1,0,0,COUNTA([1]stages!$A:$A),MATCH(H$1,[1]stages!$2:$2,0)-MATCH($G$1,[1]stages!$2:$2,0)+1),MATCH(H$1,[1]stages!$2:$2,0)-MATCH($G$1,[1]stages!$2:$2,0)+1,FALSE)</f>
        <v>【上級】最大最凶</v>
      </c>
      <c r="I2" s="44">
        <v>1</v>
      </c>
      <c r="J2" s="42">
        <v>20</v>
      </c>
      <c r="K2" s="42">
        <v>20</v>
      </c>
    </row>
    <row r="3" spans="1:11" ht="21" customHeight="1" x14ac:dyDescent="0.15">
      <c r="A3" s="17" t="str">
        <f t="shared" ref="A3:A13" ca="1" si="0">G3&amp;"-"&amp;I3</f>
        <v>30010_1-2</v>
      </c>
      <c r="B3" s="17" t="str">
        <f ca="1">IF(COUNTIF(enemy_habitats_multi_3_2!$H:$H,A3),"OK","NG")</f>
        <v>OK</v>
      </c>
      <c r="C3" s="43">
        <v>30010</v>
      </c>
      <c r="D3" s="9" t="str">
        <f ca="1">VLOOKUP($C3,OFFSET([1]quests!$A$1,0,0,COUNTA([1]quests!$A:$A),MATCH(D$1,[1]quests!$1:$1,0)-MATCH($C$1,[1]quests!$1:$1,0)+1),MATCH(D$1,[1]quests!$1:$1,0)-MATCH($C$1,[1]quests!$1:$1,0)+1,FALSE)</f>
        <v>最大最凶</v>
      </c>
      <c r="E3" s="22" t="str">
        <f ca="1">VLOOKUP($C3,OFFSET([1]quests!$A$1,0,0,COUNTA([1]quests!$A:$A),MATCH(E$1,[1]quests!$1:$1,0)-MATCH($C$1,[1]quests!$1:$1,0)+1),MATCH(E$1,[1]quests!$1:$1,0)-MATCH($C$1,[1]quests!$1:$1,0)+1,FALSE)</f>
        <v>ドロップイベント3（マルチ専用）</v>
      </c>
      <c r="F3" s="44">
        <v>1</v>
      </c>
      <c r="G3" s="27" t="str">
        <f t="shared" ref="G3:G13" ca="1" si="1">C3&amp;"_"&amp;F3</f>
        <v>30010_1</v>
      </c>
      <c r="H3" s="16" t="str">
        <f ca="1">VLOOKUP($G3,OFFSET([1]stages!$A$1,0,0,COUNTA([1]stages!$A:$A),MATCH(H$1,[1]stages!$2:$2,0)-MATCH($G$1,[1]stages!$2:$2,0)+1),MATCH(H$1,[1]stages!$2:$2,0)-MATCH($G$1,[1]stages!$2:$2,0)+1,FALSE)</f>
        <v>【上級】最大最凶</v>
      </c>
      <c r="I3" s="44">
        <v>2</v>
      </c>
      <c r="J3" s="42">
        <v>20</v>
      </c>
      <c r="K3" s="42">
        <v>20</v>
      </c>
    </row>
    <row r="4" spans="1:11" ht="21" customHeight="1" x14ac:dyDescent="0.15">
      <c r="A4" s="17" t="str">
        <f t="shared" ca="1" si="0"/>
        <v>30010_1-3</v>
      </c>
      <c r="B4" s="17" t="str">
        <f ca="1">IF(COUNTIF(enemy_habitats_multi_3_2!$H:$H,A4),"OK","NG")</f>
        <v>OK</v>
      </c>
      <c r="C4" s="43">
        <v>30010</v>
      </c>
      <c r="D4" s="9" t="str">
        <f ca="1">VLOOKUP($C4,OFFSET([1]quests!$A$1,0,0,COUNTA([1]quests!$A:$A),MATCH(D$1,[1]quests!$1:$1,0)-MATCH($C$1,[1]quests!$1:$1,0)+1),MATCH(D$1,[1]quests!$1:$1,0)-MATCH($C$1,[1]quests!$1:$1,0)+1,FALSE)</f>
        <v>最大最凶</v>
      </c>
      <c r="E4" s="22" t="str">
        <f ca="1">VLOOKUP($C4,OFFSET([1]quests!$A$1,0,0,COUNTA([1]quests!$A:$A),MATCH(E$1,[1]quests!$1:$1,0)-MATCH($C$1,[1]quests!$1:$1,0)+1),MATCH(E$1,[1]quests!$1:$1,0)-MATCH($C$1,[1]quests!$1:$1,0)+1,FALSE)</f>
        <v>ドロップイベント3（マルチ専用）</v>
      </c>
      <c r="F4" s="44">
        <v>1</v>
      </c>
      <c r="G4" s="27" t="str">
        <f t="shared" ca="1" si="1"/>
        <v>30010_1</v>
      </c>
      <c r="H4" s="16" t="str">
        <f ca="1">VLOOKUP($G4,OFFSET([1]stages!$A$1,0,0,COUNTA([1]stages!$A:$A),MATCH(H$1,[1]stages!$2:$2,0)-MATCH($G$1,[1]stages!$2:$2,0)+1),MATCH(H$1,[1]stages!$2:$2,0)-MATCH($G$1,[1]stages!$2:$2,0)+1,FALSE)</f>
        <v>【上級】最大最凶</v>
      </c>
      <c r="I4" s="44">
        <v>3</v>
      </c>
      <c r="J4" s="42">
        <v>20</v>
      </c>
      <c r="K4" s="42">
        <v>20</v>
      </c>
    </row>
    <row r="5" spans="1:11" ht="21" customHeight="1" x14ac:dyDescent="0.15">
      <c r="A5" s="17" t="str">
        <f t="shared" ca="1" si="0"/>
        <v>30010_1-4</v>
      </c>
      <c r="B5" s="17" t="str">
        <f ca="1">IF(COUNTIF(enemy_habitats_multi_3_2!$H:$H,A5),"OK","NG")</f>
        <v>OK</v>
      </c>
      <c r="C5" s="43">
        <v>30010</v>
      </c>
      <c r="D5" s="9" t="str">
        <f ca="1">VLOOKUP($C5,OFFSET([1]quests!$A$1,0,0,COUNTA([1]quests!$A:$A),MATCH(D$1,[1]quests!$1:$1,0)-MATCH($C$1,[1]quests!$1:$1,0)+1),MATCH(D$1,[1]quests!$1:$1,0)-MATCH($C$1,[1]quests!$1:$1,0)+1,FALSE)</f>
        <v>最大最凶</v>
      </c>
      <c r="E5" s="22" t="str">
        <f ca="1">VLOOKUP($C5,OFFSET([1]quests!$A$1,0,0,COUNTA([1]quests!$A:$A),MATCH(E$1,[1]quests!$1:$1,0)-MATCH($C$1,[1]quests!$1:$1,0)+1),MATCH(E$1,[1]quests!$1:$1,0)-MATCH($C$1,[1]quests!$1:$1,0)+1,FALSE)</f>
        <v>ドロップイベント3（マルチ専用）</v>
      </c>
      <c r="F5" s="44">
        <v>1</v>
      </c>
      <c r="G5" s="27" t="str">
        <f t="shared" ca="1" si="1"/>
        <v>30010_1</v>
      </c>
      <c r="H5" s="16" t="str">
        <f ca="1">VLOOKUP($G5,OFFSET([1]stages!$A$1,0,0,COUNTA([1]stages!$A:$A),MATCH(H$1,[1]stages!$2:$2,0)-MATCH($G$1,[1]stages!$2:$2,0)+1),MATCH(H$1,[1]stages!$2:$2,0)-MATCH($G$1,[1]stages!$2:$2,0)+1,FALSE)</f>
        <v>【上級】最大最凶</v>
      </c>
      <c r="I5" s="44">
        <v>4</v>
      </c>
      <c r="J5" s="42">
        <v>30</v>
      </c>
      <c r="K5" s="42">
        <v>30</v>
      </c>
    </row>
    <row r="6" spans="1:11" ht="21" customHeight="1" x14ac:dyDescent="0.15">
      <c r="A6" s="17" t="str">
        <f t="shared" ca="1" si="0"/>
        <v>30010_2-1</v>
      </c>
      <c r="B6" s="17" t="str">
        <f ca="1">IF(COUNTIF(enemy_habitats_multi_3_2!$H:$H,A6),"OK","NG")</f>
        <v>OK</v>
      </c>
      <c r="C6" s="43">
        <v>30010</v>
      </c>
      <c r="D6" s="9" t="str">
        <f ca="1">VLOOKUP($C6,OFFSET([1]quests!$A$1,0,0,COUNTA([1]quests!$A:$A),MATCH(D$1,[1]quests!$1:$1,0)-MATCH($C$1,[1]quests!$1:$1,0)+1),MATCH(D$1,[1]quests!$1:$1,0)-MATCH($C$1,[1]quests!$1:$1,0)+1,FALSE)</f>
        <v>最大最凶</v>
      </c>
      <c r="E6" s="22" t="str">
        <f ca="1">VLOOKUP($C6,OFFSET([1]quests!$A$1,0,0,COUNTA([1]quests!$A:$A),MATCH(E$1,[1]quests!$1:$1,0)-MATCH($C$1,[1]quests!$1:$1,0)+1),MATCH(E$1,[1]quests!$1:$1,0)-MATCH($C$1,[1]quests!$1:$1,0)+1,FALSE)</f>
        <v>ドロップイベント3（マルチ専用）</v>
      </c>
      <c r="F6" s="44">
        <v>2</v>
      </c>
      <c r="G6" s="27" t="str">
        <f t="shared" ca="1" si="1"/>
        <v>30010_2</v>
      </c>
      <c r="H6" s="16" t="str">
        <f ca="1">VLOOKUP($G6,OFFSET([1]stages!$A$1,0,0,COUNTA([1]stages!$A:$A),MATCH(H$1,[1]stages!$2:$2,0)-MATCH($G$1,[1]stages!$2:$2,0)+1),MATCH(H$1,[1]stages!$2:$2,0)-MATCH($G$1,[1]stages!$2:$2,0)+1,FALSE)</f>
        <v>【超級】最大最凶</v>
      </c>
      <c r="I6" s="44">
        <v>1</v>
      </c>
      <c r="J6" s="42">
        <v>20</v>
      </c>
      <c r="K6" s="83">
        <v>20</v>
      </c>
    </row>
    <row r="7" spans="1:11" ht="21" customHeight="1" x14ac:dyDescent="0.15">
      <c r="A7" s="17" t="str">
        <f t="shared" ca="1" si="0"/>
        <v>30010_2-2</v>
      </c>
      <c r="B7" s="17" t="str">
        <f ca="1">IF(COUNTIF(enemy_habitats_multi_3_2!$H:$H,A7),"OK","NG")</f>
        <v>OK</v>
      </c>
      <c r="C7" s="43">
        <v>30010</v>
      </c>
      <c r="D7" s="9" t="str">
        <f ca="1">VLOOKUP($C7,OFFSET([1]quests!$A$1,0,0,COUNTA([1]quests!$A:$A),MATCH(D$1,[1]quests!$1:$1,0)-MATCH($C$1,[1]quests!$1:$1,0)+1),MATCH(D$1,[1]quests!$1:$1,0)-MATCH($C$1,[1]quests!$1:$1,0)+1,FALSE)</f>
        <v>最大最凶</v>
      </c>
      <c r="E7" s="22" t="str">
        <f ca="1">VLOOKUP($C7,OFFSET([1]quests!$A$1,0,0,COUNTA([1]quests!$A:$A),MATCH(E$1,[1]quests!$1:$1,0)-MATCH($C$1,[1]quests!$1:$1,0)+1),MATCH(E$1,[1]quests!$1:$1,0)-MATCH($C$1,[1]quests!$1:$1,0)+1,FALSE)</f>
        <v>ドロップイベント3（マルチ専用）</v>
      </c>
      <c r="F7" s="44">
        <v>2</v>
      </c>
      <c r="G7" s="27" t="str">
        <f t="shared" ca="1" si="1"/>
        <v>30010_2</v>
      </c>
      <c r="H7" s="16" t="str">
        <f ca="1">VLOOKUP($G7,OFFSET([1]stages!$A$1,0,0,COUNTA([1]stages!$A:$A),MATCH(H$1,[1]stages!$2:$2,0)-MATCH($G$1,[1]stages!$2:$2,0)+1),MATCH(H$1,[1]stages!$2:$2,0)-MATCH($G$1,[1]stages!$2:$2,0)+1,FALSE)</f>
        <v>【超級】最大最凶</v>
      </c>
      <c r="I7" s="44">
        <v>2</v>
      </c>
      <c r="J7" s="42">
        <v>20</v>
      </c>
      <c r="K7" s="84">
        <v>20</v>
      </c>
    </row>
    <row r="8" spans="1:11" ht="21" customHeight="1" x14ac:dyDescent="0.15">
      <c r="A8" s="17" t="str">
        <f t="shared" ca="1" si="0"/>
        <v>30010_2-3</v>
      </c>
      <c r="B8" s="17" t="str">
        <f ca="1">IF(COUNTIF(enemy_habitats_multi_3_2!$H:$H,A8),"OK","NG")</f>
        <v>OK</v>
      </c>
      <c r="C8" s="43">
        <v>30010</v>
      </c>
      <c r="D8" s="9" t="str">
        <f ca="1">VLOOKUP($C8,OFFSET([1]quests!$A$1,0,0,COUNTA([1]quests!$A:$A),MATCH(D$1,[1]quests!$1:$1,0)-MATCH($C$1,[1]quests!$1:$1,0)+1),MATCH(D$1,[1]quests!$1:$1,0)-MATCH($C$1,[1]quests!$1:$1,0)+1,FALSE)</f>
        <v>最大最凶</v>
      </c>
      <c r="E8" s="22" t="str">
        <f ca="1">VLOOKUP($C8,OFFSET([1]quests!$A$1,0,0,COUNTA([1]quests!$A:$A),MATCH(E$1,[1]quests!$1:$1,0)-MATCH($C$1,[1]quests!$1:$1,0)+1),MATCH(E$1,[1]quests!$1:$1,0)-MATCH($C$1,[1]quests!$1:$1,0)+1,FALSE)</f>
        <v>ドロップイベント3（マルチ専用）</v>
      </c>
      <c r="F8" s="44">
        <v>2</v>
      </c>
      <c r="G8" s="27" t="str">
        <f t="shared" ca="1" si="1"/>
        <v>30010_2</v>
      </c>
      <c r="H8" s="16" t="str">
        <f ca="1">VLOOKUP($G8,OFFSET([1]stages!$A$1,0,0,COUNTA([1]stages!$A:$A),MATCH(H$1,[1]stages!$2:$2,0)-MATCH($G$1,[1]stages!$2:$2,0)+1),MATCH(H$1,[1]stages!$2:$2,0)-MATCH($G$1,[1]stages!$2:$2,0)+1,FALSE)</f>
        <v>【超級】最大最凶</v>
      </c>
      <c r="I8" s="44">
        <v>3</v>
      </c>
      <c r="J8" s="42">
        <v>20</v>
      </c>
      <c r="K8" s="84">
        <v>20</v>
      </c>
    </row>
    <row r="9" spans="1:11" ht="21" customHeight="1" x14ac:dyDescent="0.15">
      <c r="A9" s="17" t="str">
        <f t="shared" ca="1" si="0"/>
        <v>30010_2-4</v>
      </c>
      <c r="B9" s="17" t="str">
        <f ca="1">IF(COUNTIF(enemy_habitats_multi_3_2!$H:$H,A9),"OK","NG")</f>
        <v>OK</v>
      </c>
      <c r="C9" s="43">
        <v>30010</v>
      </c>
      <c r="D9" s="9" t="str">
        <f ca="1">VLOOKUP($C9,OFFSET([1]quests!$A$1,0,0,COUNTA([1]quests!$A:$A),MATCH(D$1,[1]quests!$1:$1,0)-MATCH($C$1,[1]quests!$1:$1,0)+1),MATCH(D$1,[1]quests!$1:$1,0)-MATCH($C$1,[1]quests!$1:$1,0)+1,FALSE)</f>
        <v>最大最凶</v>
      </c>
      <c r="E9" s="22" t="str">
        <f ca="1">VLOOKUP($C9,OFFSET([1]quests!$A$1,0,0,COUNTA([1]quests!$A:$A),MATCH(E$1,[1]quests!$1:$1,0)-MATCH($C$1,[1]quests!$1:$1,0)+1),MATCH(E$1,[1]quests!$1:$1,0)-MATCH($C$1,[1]quests!$1:$1,0)+1,FALSE)</f>
        <v>ドロップイベント3（マルチ専用）</v>
      </c>
      <c r="F9" s="44">
        <v>2</v>
      </c>
      <c r="G9" s="27" t="str">
        <f t="shared" ca="1" si="1"/>
        <v>30010_2</v>
      </c>
      <c r="H9" s="16" t="str">
        <f ca="1">VLOOKUP($G9,OFFSET([1]stages!$A$1,0,0,COUNTA([1]stages!$A:$A),MATCH(H$1,[1]stages!$2:$2,0)-MATCH($G$1,[1]stages!$2:$2,0)+1),MATCH(H$1,[1]stages!$2:$2,0)-MATCH($G$1,[1]stages!$2:$2,0)+1,FALSE)</f>
        <v>【超級】最大最凶</v>
      </c>
      <c r="I9" s="44">
        <v>4</v>
      </c>
      <c r="J9" s="42">
        <v>30</v>
      </c>
      <c r="K9" s="84">
        <v>30</v>
      </c>
    </row>
    <row r="10" spans="1:11" ht="21" customHeight="1" x14ac:dyDescent="0.15">
      <c r="A10" s="17" t="str">
        <f t="shared" ca="1" si="0"/>
        <v>30010_3-1</v>
      </c>
      <c r="B10" s="17" t="str">
        <f ca="1">IF(COUNTIF(enemy_habitats_multi_3_2!$H:$H,A10),"OK","NG")</f>
        <v>OK</v>
      </c>
      <c r="C10" s="43">
        <v>30010</v>
      </c>
      <c r="D10" s="9" t="str">
        <f ca="1">VLOOKUP($C10,OFFSET([1]quests!$A$1,0,0,COUNTA([1]quests!$A:$A),MATCH(D$1,[1]quests!$1:$1,0)-MATCH($C$1,[1]quests!$1:$1,0)+1),MATCH(D$1,[1]quests!$1:$1,0)-MATCH($C$1,[1]quests!$1:$1,0)+1,FALSE)</f>
        <v>最大最凶</v>
      </c>
      <c r="E10" s="22" t="str">
        <f ca="1">VLOOKUP($C10,OFFSET([1]quests!$A$1,0,0,COUNTA([1]quests!$A:$A),MATCH(E$1,[1]quests!$1:$1,0)-MATCH($C$1,[1]quests!$1:$1,0)+1),MATCH(E$1,[1]quests!$1:$1,0)-MATCH($C$1,[1]quests!$1:$1,0)+1,FALSE)</f>
        <v>ドロップイベント3（マルチ専用）</v>
      </c>
      <c r="F10" s="44">
        <v>3</v>
      </c>
      <c r="G10" s="27" t="str">
        <f t="shared" ca="1" si="1"/>
        <v>30010_3</v>
      </c>
      <c r="H10" s="16" t="str">
        <f ca="1">VLOOKUP($G10,OFFSET([1]stages!$A$1,0,0,COUNTA([1]stages!$A:$A),MATCH(H$1,[1]stages!$2:$2,0)-MATCH($G$1,[1]stages!$2:$2,0)+1),MATCH(H$1,[1]stages!$2:$2,0)-MATCH($G$1,[1]stages!$2:$2,0)+1,FALSE)</f>
        <v>【超絶級】最大最凶</v>
      </c>
      <c r="I10" s="44">
        <v>1</v>
      </c>
      <c r="J10" s="42">
        <v>30</v>
      </c>
      <c r="K10" s="42">
        <v>30</v>
      </c>
    </row>
    <row r="11" spans="1:11" ht="21" customHeight="1" x14ac:dyDescent="0.15">
      <c r="A11" s="17" t="str">
        <f t="shared" ca="1" si="0"/>
        <v>30010_3-2</v>
      </c>
      <c r="B11" s="17" t="str">
        <f ca="1">IF(COUNTIF(enemy_habitats_multi_3_2!$H:$H,A11),"OK","NG")</f>
        <v>OK</v>
      </c>
      <c r="C11" s="43">
        <v>30010</v>
      </c>
      <c r="D11" s="9" t="str">
        <f ca="1">VLOOKUP($C11,OFFSET([1]quests!$A$1,0,0,COUNTA([1]quests!$A:$A),MATCH(D$1,[1]quests!$1:$1,0)-MATCH($C$1,[1]quests!$1:$1,0)+1),MATCH(D$1,[1]quests!$1:$1,0)-MATCH($C$1,[1]quests!$1:$1,0)+1,FALSE)</f>
        <v>最大最凶</v>
      </c>
      <c r="E11" s="22" t="str">
        <f ca="1">VLOOKUP($C11,OFFSET([1]quests!$A$1,0,0,COUNTA([1]quests!$A:$A),MATCH(E$1,[1]quests!$1:$1,0)-MATCH($C$1,[1]quests!$1:$1,0)+1),MATCH(E$1,[1]quests!$1:$1,0)-MATCH($C$1,[1]quests!$1:$1,0)+1,FALSE)</f>
        <v>ドロップイベント3（マルチ専用）</v>
      </c>
      <c r="F11" s="44">
        <v>3</v>
      </c>
      <c r="G11" s="27" t="str">
        <f t="shared" ca="1" si="1"/>
        <v>30010_3</v>
      </c>
      <c r="H11" s="16" t="str">
        <f ca="1">VLOOKUP($G11,OFFSET([1]stages!$A$1,0,0,COUNTA([1]stages!$A:$A),MATCH(H$1,[1]stages!$2:$2,0)-MATCH($G$1,[1]stages!$2:$2,0)+1),MATCH(H$1,[1]stages!$2:$2,0)-MATCH($G$1,[1]stages!$2:$2,0)+1,FALSE)</f>
        <v>【超絶級】最大最凶</v>
      </c>
      <c r="I11" s="44">
        <v>2</v>
      </c>
      <c r="J11" s="42">
        <v>30</v>
      </c>
      <c r="K11" s="42">
        <v>30</v>
      </c>
    </row>
    <row r="12" spans="1:11" ht="21" customHeight="1" x14ac:dyDescent="0.15">
      <c r="A12" s="17" t="str">
        <f t="shared" ca="1" si="0"/>
        <v>30010_3-3</v>
      </c>
      <c r="B12" s="17" t="str">
        <f ca="1">IF(COUNTIF(enemy_habitats_multi_3_2!$H:$H,A12),"OK","NG")</f>
        <v>OK</v>
      </c>
      <c r="C12" s="43">
        <v>30010</v>
      </c>
      <c r="D12" s="9" t="str">
        <f ca="1">VLOOKUP($C12,OFFSET([1]quests!$A$1,0,0,COUNTA([1]quests!$A:$A),MATCH(D$1,[1]quests!$1:$1,0)-MATCH($C$1,[1]quests!$1:$1,0)+1),MATCH(D$1,[1]quests!$1:$1,0)-MATCH($C$1,[1]quests!$1:$1,0)+1,FALSE)</f>
        <v>最大最凶</v>
      </c>
      <c r="E12" s="22" t="str">
        <f ca="1">VLOOKUP($C12,OFFSET([1]quests!$A$1,0,0,COUNTA([1]quests!$A:$A),MATCH(E$1,[1]quests!$1:$1,0)-MATCH($C$1,[1]quests!$1:$1,0)+1),MATCH(E$1,[1]quests!$1:$1,0)-MATCH($C$1,[1]quests!$1:$1,0)+1,FALSE)</f>
        <v>ドロップイベント3（マルチ専用）</v>
      </c>
      <c r="F12" s="44">
        <v>3</v>
      </c>
      <c r="G12" s="27" t="str">
        <f t="shared" ca="1" si="1"/>
        <v>30010_3</v>
      </c>
      <c r="H12" s="16" t="str">
        <f ca="1">VLOOKUP($G12,OFFSET([1]stages!$A$1,0,0,COUNTA([1]stages!$A:$A),MATCH(H$1,[1]stages!$2:$2,0)-MATCH($G$1,[1]stages!$2:$2,0)+1),MATCH(H$1,[1]stages!$2:$2,0)-MATCH($G$1,[1]stages!$2:$2,0)+1,FALSE)</f>
        <v>【超絶級】最大最凶</v>
      </c>
      <c r="I12" s="44">
        <v>3</v>
      </c>
      <c r="J12" s="42">
        <v>30</v>
      </c>
      <c r="K12" s="42">
        <v>30</v>
      </c>
    </row>
    <row r="13" spans="1:11" ht="21" customHeight="1" x14ac:dyDescent="0.15">
      <c r="A13" s="17" t="str">
        <f t="shared" ca="1" si="0"/>
        <v>30010_3-4</v>
      </c>
      <c r="B13" s="17" t="str">
        <f ca="1">IF(COUNTIF(enemy_habitats_multi_3_2!$H:$H,A13),"OK","NG")</f>
        <v>OK</v>
      </c>
      <c r="C13" s="43">
        <v>30010</v>
      </c>
      <c r="D13" s="9" t="str">
        <f ca="1">VLOOKUP($C13,OFFSET([1]quests!$A$1,0,0,COUNTA([1]quests!$A:$A),MATCH(D$1,[1]quests!$1:$1,0)-MATCH($C$1,[1]quests!$1:$1,0)+1),MATCH(D$1,[1]quests!$1:$1,0)-MATCH($C$1,[1]quests!$1:$1,0)+1,FALSE)</f>
        <v>最大最凶</v>
      </c>
      <c r="E13" s="22" t="str">
        <f ca="1">VLOOKUP($C13,OFFSET([1]quests!$A$1,0,0,COUNTA([1]quests!$A:$A),MATCH(E$1,[1]quests!$1:$1,0)-MATCH($C$1,[1]quests!$1:$1,0)+1),MATCH(E$1,[1]quests!$1:$1,0)-MATCH($C$1,[1]quests!$1:$1,0)+1,FALSE)</f>
        <v>ドロップイベント3（マルチ専用）</v>
      </c>
      <c r="F13" s="44">
        <v>3</v>
      </c>
      <c r="G13" s="27" t="str">
        <f t="shared" ca="1" si="1"/>
        <v>30010_3</v>
      </c>
      <c r="H13" s="16" t="str">
        <f ca="1">VLOOKUP($G13,OFFSET([1]stages!$A$1,0,0,COUNTA([1]stages!$A:$A),MATCH(H$1,[1]stages!$2:$2,0)-MATCH($G$1,[1]stages!$2:$2,0)+1),MATCH(H$1,[1]stages!$2:$2,0)-MATCH($G$1,[1]stages!$2:$2,0)+1,FALSE)</f>
        <v>【超絶級】最大最凶</v>
      </c>
      <c r="I13" s="44">
        <v>4</v>
      </c>
      <c r="J13" s="42">
        <v>30</v>
      </c>
      <c r="K13" s="42">
        <v>30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13"/>
  <sheetViews>
    <sheetView showGridLines="0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G36" sqref="G36"/>
    </sheetView>
  </sheetViews>
  <sheetFormatPr baseColWidth="12" defaultColWidth="13" defaultRowHeight="21" customHeight="1" outlineLevelCol="1" x14ac:dyDescent="0.15"/>
  <cols>
    <col min="1" max="1" width="15.83203125" style="23" bestFit="1" customWidth="1"/>
    <col min="2" max="2" width="10.83203125" style="3" bestFit="1" customWidth="1"/>
    <col min="3" max="3" width="10.6640625" style="3" bestFit="1" customWidth="1"/>
    <col min="4" max="4" width="13" style="11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3.5" style="7" bestFit="1" customWidth="1"/>
    <col min="13" max="13" width="8.83203125" style="3" bestFit="1" customWidth="1" outlineLevel="1"/>
    <col min="14" max="14" width="8.6640625" style="3" bestFit="1" customWidth="1" outlineLevel="1"/>
    <col min="15" max="15" width="12" style="3" bestFit="1" customWidth="1" outlineLevel="1"/>
    <col min="16" max="16" width="21" style="3" bestFit="1" customWidth="1" outlineLevel="1"/>
    <col min="17" max="17" width="8" style="3" bestFit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bestFit="1" customWidth="1"/>
    <col min="23" max="23" width="12.1640625" style="3" bestFit="1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0" bestFit="1" customWidth="1" outlineLevel="1"/>
    <col min="30" max="30" width="8" style="11" bestFit="1" customWidth="1" outlineLevel="1"/>
    <col min="31" max="31" width="12" style="11" bestFit="1" customWidth="1" outlineLevel="1"/>
    <col min="32" max="32" width="15" style="8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9" customFormat="1" ht="21" customHeight="1" x14ac:dyDescent="0.15">
      <c r="A1" s="31" t="s">
        <v>29</v>
      </c>
      <c r="B1" s="32" t="s">
        <v>0</v>
      </c>
      <c r="C1" s="32" t="s">
        <v>1</v>
      </c>
      <c r="D1" s="33" t="s">
        <v>28</v>
      </c>
      <c r="E1" s="34" t="s">
        <v>20</v>
      </c>
      <c r="F1" s="34" t="s">
        <v>20</v>
      </c>
      <c r="G1" s="32" t="s">
        <v>19</v>
      </c>
      <c r="H1" s="33" t="s">
        <v>37</v>
      </c>
      <c r="I1" s="33" t="s">
        <v>14</v>
      </c>
      <c r="J1" s="33" t="s">
        <v>15</v>
      </c>
      <c r="K1" s="40" t="s">
        <v>56</v>
      </c>
      <c r="L1" s="41" t="s">
        <v>2</v>
      </c>
      <c r="M1" s="35" t="s">
        <v>21</v>
      </c>
      <c r="N1" s="33" t="s">
        <v>24</v>
      </c>
      <c r="O1" s="33" t="s">
        <v>23</v>
      </c>
      <c r="P1" s="36" t="s">
        <v>26</v>
      </c>
      <c r="Q1" s="34" t="s">
        <v>25</v>
      </c>
      <c r="R1" s="32" t="s">
        <v>3</v>
      </c>
      <c r="S1" s="30" t="s">
        <v>50</v>
      </c>
      <c r="T1" s="30" t="s">
        <v>52</v>
      </c>
      <c r="U1" s="30" t="s">
        <v>54</v>
      </c>
      <c r="V1" s="33" t="s">
        <v>33</v>
      </c>
      <c r="W1" s="32" t="s">
        <v>4</v>
      </c>
      <c r="X1" s="32" t="s">
        <v>5</v>
      </c>
      <c r="Y1" s="32" t="s">
        <v>6</v>
      </c>
      <c r="Z1" s="32" t="s">
        <v>7</v>
      </c>
      <c r="AA1" s="32" t="s">
        <v>8</v>
      </c>
      <c r="AB1" s="37" t="s">
        <v>9</v>
      </c>
      <c r="AC1" s="38" t="s">
        <v>16</v>
      </c>
      <c r="AD1" s="38" t="s">
        <v>17</v>
      </c>
      <c r="AE1" s="38" t="s">
        <v>27</v>
      </c>
      <c r="AF1" s="37" t="s">
        <v>10</v>
      </c>
      <c r="AG1" s="32" t="s">
        <v>11</v>
      </c>
      <c r="AH1" s="32" t="s">
        <v>12</v>
      </c>
      <c r="AI1" s="32" t="s">
        <v>40</v>
      </c>
      <c r="AJ1" s="32" t="s">
        <v>42</v>
      </c>
      <c r="AK1" s="32" t="s">
        <v>44</v>
      </c>
      <c r="AL1" s="32" t="s">
        <v>46</v>
      </c>
      <c r="AM1" s="32" t="s">
        <v>48</v>
      </c>
    </row>
    <row r="2" spans="1:39" ht="21" customHeight="1" x14ac:dyDescent="0.15">
      <c r="A2" s="17" t="str">
        <f ca="1">B2&amp;"_"&amp;C2&amp;"-"&amp;G2&amp;"/"&amp;L2&amp;"&lt;lv"&amp;R2&amp;"&gt;s"&amp;AA2</f>
        <v>30010_1-1/132&lt;lv42&gt;s3</v>
      </c>
      <c r="B2" s="45">
        <v>30010</v>
      </c>
      <c r="C2" s="44">
        <v>1</v>
      </c>
      <c r="D2" s="2" t="str">
        <f>B2&amp;"_"&amp;C2</f>
        <v>30010_1</v>
      </c>
      <c r="E2" s="4" t="str">
        <f ca="1">VLOOKUP($B2,OFFSET([1]quests!$A$1,0,0,COUNTA([1]quests!$A:$A),MATCH(E$1,[1]quests!$1:$1,0)-MATCH($B$1,[1]quests!$1:$1,0)+1),MATCH(E$1,[1]quests!$1:$1,0)-MATCH($B$1,[1]quests!$1:$1,0)+1,FALSE)</f>
        <v>最大最凶</v>
      </c>
      <c r="F2" s="4" t="str">
        <f ca="1">VLOOKUP($D2,OFFSET([1]stages!$A$1,0,0,COUNTA([1]stages!$A:$A),MATCH(F$1,[1]stages!$2:$2,0)-MATCH($D$1,[1]stages!$2:$2,0)+1),MATCH(F$1,[1]stages!$2:$2,0)-MATCH($D$1,[1]stages!$2:$2,0)+1,FALSE)</f>
        <v>【上級】最大最凶</v>
      </c>
      <c r="G2" s="44">
        <v>1</v>
      </c>
      <c r="H2" s="16" t="str">
        <f ca="1">B2&amp;"_"&amp;C2&amp;"-"&amp;G2</f>
        <v>30010_1-1</v>
      </c>
      <c r="I2" s="4">
        <f ca="1">VLOOKUP($H2,OFFSET(floors_multi_3_2!$A$1,0,0,COUNTA(floors_multi_3_2!$A:$A),MATCH(I$1,floors_multi_3_2!$1:$1,0)-MATCH($H$1,floors_multi_3_2!$1:$1,0)+1),MATCH(I$1,floors_multi_3_2!$1:$1,0)-MATCH($H$1,floors_multi_3_2!$1:$1,0)+1,FALSE)</f>
        <v>20</v>
      </c>
      <c r="J2" s="4">
        <f ca="1">VLOOKUP($H2,OFFSET(floors_multi_3_2!$A$1,0,0,COUNTA(floors_multi_3_2!$A:$A),MATCH(J$1,floors_multi_3_2!$1:$1,0)-MATCH($H$1,floors_multi_3_2!$1:$1,0)+1),MATCH(J$1,floors_multi_3_2!$1:$1,0)-MATCH($H$1,floors_multi_3_2!$1:$1,0)+1,FALSE)</f>
        <v>20</v>
      </c>
      <c r="K2" s="42" t="s">
        <v>55</v>
      </c>
      <c r="L2" s="56">
        <v>132</v>
      </c>
      <c r="M2" s="20" t="str">
        <f ca="1">VLOOKUP(L2,[2]enemies!$A:$B,2,FALSE)</f>
        <v>鳥人ハヤト</v>
      </c>
      <c r="N2" s="22" t="str">
        <f ca="1">VLOOKUP(L2,[2]enemies!$A:$D,4,FALSE)</f>
        <v>yellow</v>
      </c>
      <c r="O2" s="22" t="str">
        <f ca="1">VLOOKUP(L2,[3]characters!$A:$J,10,FALSE)</f>
        <v>PremiumW</v>
      </c>
      <c r="P2" s="21" t="str">
        <f ca="1">VLOOKUP(L2,[3]characters!$A:$M,13,FALSE)</f>
        <v>human</v>
      </c>
      <c r="Q2" s="4">
        <f ca="1">VLOOKUP(L2,[2]enemies!$A:$X,24,FALSE)</f>
        <v>20</v>
      </c>
      <c r="R2" s="59">
        <v>42</v>
      </c>
      <c r="S2" s="60">
        <v>0.5</v>
      </c>
      <c r="T2" s="60">
        <v>0.7</v>
      </c>
      <c r="U2" s="59">
        <v>0</v>
      </c>
      <c r="V2" s="4" t="str">
        <f ca="1">VLOOKUP($W2,OFFSET([4]enemy_skill_sets!$B$1,0,0,COUNTA([4]enemy_skill_sets!$B:$B),MATCH(M$1,[4]enemy_skill_sets!$1:$1,0)-MATCH($W$1,[4]enemy_skill_sets!$1:$1,0)+2),MATCH(M$1,[4]enemy_skill_sets!$1:$1,0)-MATCH($W$1,[4]enemy_skill_sets!$1:$1,0)+2,FALSE)</f>
        <v>種族マシンのユニットに大ダメージ</v>
      </c>
      <c r="W2" s="22">
        <v>13202</v>
      </c>
      <c r="X2" s="71">
        <v>1</v>
      </c>
      <c r="Y2" s="71">
        <v>100</v>
      </c>
      <c r="Z2" s="71">
        <v>0</v>
      </c>
      <c r="AA2" s="4">
        <f ca="1">VLOOKUP(L2,[2]enemies!$A:$V,22,FALSE)</f>
        <v>3</v>
      </c>
      <c r="AB2" s="56">
        <v>132</v>
      </c>
      <c r="AC2" s="4" t="str">
        <f ca="1">VLOOKUP(L2,[2]enemies!$A:$B,2,FALSE)</f>
        <v>鳥人ハヤト</v>
      </c>
      <c r="AD2" s="4">
        <f ca="1">VLOOKUP(L2,[2]enemies!$A:$E,3,FALSE)</f>
        <v>3</v>
      </c>
      <c r="AE2" s="4" t="str">
        <f ca="1">VLOOKUP(L2,[3]characters!$A:$J,10,FALSE)</f>
        <v>PremiumW</v>
      </c>
      <c r="AF2" s="6">
        <v>1</v>
      </c>
      <c r="AG2" s="28">
        <f ca="1">AD2</f>
        <v>3</v>
      </c>
      <c r="AH2" s="71">
        <v>0</v>
      </c>
      <c r="AI2" s="43">
        <v>0</v>
      </c>
      <c r="AJ2" s="43">
        <v>0</v>
      </c>
      <c r="AK2" s="43">
        <v>0</v>
      </c>
      <c r="AL2" s="43">
        <v>0</v>
      </c>
      <c r="AM2" s="43">
        <v>1</v>
      </c>
    </row>
    <row r="3" spans="1:39" ht="21" customHeight="1" x14ac:dyDescent="0.15">
      <c r="A3" s="17" t="str">
        <f ca="1">B3&amp;"_"&amp;C3&amp;"-"&amp;G3&amp;"/"&amp;L3&amp;"&lt;lv"&amp;R3&amp;"&gt;s"&amp;AA3</f>
        <v>30010_1-2/130&lt;lv42&gt;s3</v>
      </c>
      <c r="B3" s="45">
        <v>30010</v>
      </c>
      <c r="C3" s="44">
        <v>1</v>
      </c>
      <c r="D3" s="2" t="str">
        <f>B3&amp;"_"&amp;C3</f>
        <v>30010_1</v>
      </c>
      <c r="E3" s="4" t="str">
        <f ca="1">VLOOKUP($B3,OFFSET([1]quests!$A$1,0,0,COUNTA([1]quests!$A:$A),MATCH(E$1,[1]quests!$1:$1,0)-MATCH($B$1,[1]quests!$1:$1,0)+1),MATCH(E$1,[1]quests!$1:$1,0)-MATCH($B$1,[1]quests!$1:$1,0)+1,FALSE)</f>
        <v>最大最凶</v>
      </c>
      <c r="F3" s="4" t="str">
        <f ca="1">VLOOKUP($D3,OFFSET([1]stages!$A$1,0,0,COUNTA([1]stages!$A:$A),MATCH(F$1,[1]stages!$2:$2,0)-MATCH($D$1,[1]stages!$2:$2,0)+1),MATCH(F$1,[1]stages!$2:$2,0)-MATCH($D$1,[1]stages!$2:$2,0)+1,FALSE)</f>
        <v>【上級】最大最凶</v>
      </c>
      <c r="G3" s="44">
        <v>2</v>
      </c>
      <c r="H3" s="16" t="str">
        <f ca="1">B3&amp;"_"&amp;C3&amp;"-"&amp;G3</f>
        <v>30010_1-2</v>
      </c>
      <c r="I3" s="4">
        <f ca="1">VLOOKUP($H3,OFFSET(floors_multi_3_2!$A$1,0,0,COUNTA(floors_multi_3_2!$A:$A),MATCH(I$1,floors_multi_3_2!$1:$1,0)-MATCH($H$1,floors_multi_3_2!$1:$1,0)+1),MATCH(I$1,floors_multi_3_2!$1:$1,0)-MATCH($H$1,floors_multi_3_2!$1:$1,0)+1,FALSE)</f>
        <v>20</v>
      </c>
      <c r="J3" s="4">
        <f ca="1">VLOOKUP($H3,OFFSET(floors_multi_3_2!$A$1,0,0,COUNTA(floors_multi_3_2!$A:$A),MATCH(J$1,floors_multi_3_2!$1:$1,0)-MATCH($H$1,floors_multi_3_2!$1:$1,0)+1),MATCH(J$1,floors_multi_3_2!$1:$1,0)-MATCH($H$1,floors_multi_3_2!$1:$1,0)+1,FALSE)</f>
        <v>20</v>
      </c>
      <c r="K3" s="42" t="s">
        <v>55</v>
      </c>
      <c r="L3" s="56">
        <v>130</v>
      </c>
      <c r="M3" s="20" t="str">
        <f ca="1">VLOOKUP(L3,[2]enemies!$A:$B,2,FALSE)</f>
        <v>狼男 ローレンス</v>
      </c>
      <c r="N3" s="22" t="str">
        <f ca="1">VLOOKUP(L3,[2]enemies!$A:$D,4,FALSE)</f>
        <v>blue</v>
      </c>
      <c r="O3" s="22" t="str">
        <f ca="1">VLOOKUP(L3,[3]characters!$A:$J,10,FALSE)</f>
        <v>PremiumW</v>
      </c>
      <c r="P3" s="21" t="str">
        <f ca="1">VLOOKUP(L3,[3]characters!$A:$M,13,FALSE)</f>
        <v>animal</v>
      </c>
      <c r="Q3" s="4">
        <f ca="1">VLOOKUP(L3,[2]enemies!$A:$X,24,FALSE)</f>
        <v>20</v>
      </c>
      <c r="R3" s="59">
        <v>42</v>
      </c>
      <c r="S3" s="60">
        <v>0.9</v>
      </c>
      <c r="T3" s="60">
        <v>0.8</v>
      </c>
      <c r="U3" s="59">
        <v>0</v>
      </c>
      <c r="V3" s="4" t="str">
        <f ca="1">VLOOKUP($W3,OFFSET([4]enemy_skill_sets!$B$1,0,0,COUNTA([4]enemy_skill_sets!$B:$B),MATCH(M$1,[4]enemy_skill_sets!$1:$1,0)-MATCH($W$1,[4]enemy_skill_sets!$1:$1,0)+2),MATCH(M$1,[4]enemy_skill_sets!$1:$1,0)-MATCH($W$1,[4]enemy_skill_sets!$1:$1,0)+2,FALSE)</f>
        <v>ランダムでハートパネルに変換</v>
      </c>
      <c r="W3" s="22">
        <v>13003</v>
      </c>
      <c r="X3" s="71">
        <v>1</v>
      </c>
      <c r="Y3" s="71">
        <v>100</v>
      </c>
      <c r="Z3" s="71">
        <v>0</v>
      </c>
      <c r="AA3" s="4">
        <f ca="1">VLOOKUP(L3,[2]enemies!$A:$V,22,FALSE)</f>
        <v>3</v>
      </c>
      <c r="AB3" s="56">
        <v>130</v>
      </c>
      <c r="AC3" s="4" t="str">
        <f ca="1">VLOOKUP(L3,[2]enemies!$A:$B,2,FALSE)</f>
        <v>狼男 ローレンス</v>
      </c>
      <c r="AD3" s="4">
        <f ca="1">VLOOKUP(L3,[2]enemies!$A:$E,3,FALSE)</f>
        <v>3</v>
      </c>
      <c r="AE3" s="4" t="str">
        <f ca="1">VLOOKUP(L3,[3]characters!$A:$J,10,FALSE)</f>
        <v>PremiumW</v>
      </c>
      <c r="AF3" s="6">
        <v>1</v>
      </c>
      <c r="AG3" s="28">
        <f ca="1">AD3</f>
        <v>3</v>
      </c>
      <c r="AH3" s="71">
        <v>0</v>
      </c>
      <c r="AI3" s="43">
        <v>0</v>
      </c>
      <c r="AJ3" s="43">
        <v>0</v>
      </c>
      <c r="AK3" s="43">
        <v>0</v>
      </c>
      <c r="AL3" s="43">
        <v>0</v>
      </c>
      <c r="AM3" s="43">
        <v>1</v>
      </c>
    </row>
    <row r="4" spans="1:39" ht="21" customHeight="1" x14ac:dyDescent="0.15">
      <c r="A4" s="17" t="str">
        <f t="shared" ref="A4:A13" ca="1" si="0">B4&amp;"_"&amp;C4&amp;"-"&amp;G4&amp;"/"&amp;L4&amp;"&lt;lv"&amp;R4&amp;"&gt;s"&amp;AA4</f>
        <v>30010_1-3/152&lt;lv45&gt;s1</v>
      </c>
      <c r="B4" s="45">
        <v>30010</v>
      </c>
      <c r="C4" s="44">
        <v>1</v>
      </c>
      <c r="D4" s="2" t="str">
        <f t="shared" ref="D4:D13" si="1">B4&amp;"_"&amp;C4</f>
        <v>30010_1</v>
      </c>
      <c r="E4" s="4" t="str">
        <f ca="1">VLOOKUP($B4,OFFSET([1]quests!$A$1,0,0,COUNTA([1]quests!$A:$A),MATCH(E$1,[1]quests!$1:$1,0)-MATCH($B$1,[1]quests!$1:$1,0)+1),MATCH(E$1,[1]quests!$1:$1,0)-MATCH($B$1,[1]quests!$1:$1,0)+1,FALSE)</f>
        <v>最大最凶</v>
      </c>
      <c r="F4" s="4" t="str">
        <f ca="1">VLOOKUP($D4,OFFSET([1]stages!$A$1,0,0,COUNTA([1]stages!$A:$A),MATCH(F$1,[1]stages!$2:$2,0)-MATCH($D$1,[1]stages!$2:$2,0)+1),MATCH(F$1,[1]stages!$2:$2,0)-MATCH($D$1,[1]stages!$2:$2,0)+1,FALSE)</f>
        <v>【上級】最大最凶</v>
      </c>
      <c r="G4" s="44">
        <v>3</v>
      </c>
      <c r="H4" s="16" t="str">
        <f t="shared" ref="H4:H13" ca="1" si="2">B4&amp;"_"&amp;C4&amp;"-"&amp;G4</f>
        <v>30010_1-3</v>
      </c>
      <c r="I4" s="4">
        <f ca="1">VLOOKUP($H4,OFFSET(floors_multi_3_2!$A$1,0,0,COUNTA(floors_multi_3_2!$A:$A),MATCH(I$1,floors_multi_3_2!$1:$1,0)-MATCH($H$1,floors_multi_3_2!$1:$1,0)+1),MATCH(I$1,floors_multi_3_2!$1:$1,0)-MATCH($H$1,floors_multi_3_2!$1:$1,0)+1,FALSE)</f>
        <v>20</v>
      </c>
      <c r="J4" s="4">
        <f ca="1">VLOOKUP($H4,OFFSET(floors_multi_3_2!$A$1,0,0,COUNTA(floors_multi_3_2!$A:$A),MATCH(J$1,floors_multi_3_2!$1:$1,0)-MATCH($H$1,floors_multi_3_2!$1:$1,0)+1),MATCH(J$1,floors_multi_3_2!$1:$1,0)-MATCH($H$1,floors_multi_3_2!$1:$1,0)+1,FALSE)</f>
        <v>20</v>
      </c>
      <c r="K4" s="42" t="s">
        <v>55</v>
      </c>
      <c r="L4" s="56">
        <v>152</v>
      </c>
      <c r="M4" s="20" t="str">
        <f ca="1">VLOOKUP(L4,[2]enemies!$A:$B,2,FALSE)</f>
        <v>功夫少女ランラン</v>
      </c>
      <c r="N4" s="22" t="str">
        <f ca="1">VLOOKUP(L4,[2]enemies!$A:$D,4,FALSE)</f>
        <v>green</v>
      </c>
      <c r="O4" s="22" t="str">
        <f ca="1">VLOOKUP(L4,[3]characters!$A:$J,10,FALSE)</f>
        <v>PremiumW</v>
      </c>
      <c r="P4" s="21" t="str">
        <f ca="1">VLOOKUP(L4,[3]characters!$A:$M,13,FALSE)</f>
        <v>human</v>
      </c>
      <c r="Q4" s="4">
        <f ca="1">VLOOKUP(L4,[2]enemies!$A:$X,24,FALSE)</f>
        <v>20</v>
      </c>
      <c r="R4" s="59">
        <v>45</v>
      </c>
      <c r="S4" s="60">
        <v>1.1000000000000001</v>
      </c>
      <c r="T4" s="60">
        <v>0.9</v>
      </c>
      <c r="U4" s="59">
        <v>0</v>
      </c>
      <c r="V4" s="4" t="str">
        <f ca="1">VLOOKUP($W4,OFFSET([4]enemy_skill_sets!$B$1,0,0,COUNTA([4]enemy_skill_sets!$B:$B),MATCH(M$1,[4]enemy_skill_sets!$1:$1,0)-MATCH($W$1,[4]enemy_skill_sets!$1:$1,0)+2),MATCH(M$1,[4]enemy_skill_sets!$1:$1,0)-MATCH($W$1,[4]enemy_skill_sets!$1:$1,0)+2,FALSE)</f>
        <v>ランダムでハートパネルに変換</v>
      </c>
      <c r="W4" s="22">
        <v>15202</v>
      </c>
      <c r="X4" s="71">
        <v>1</v>
      </c>
      <c r="Y4" s="71">
        <v>100</v>
      </c>
      <c r="Z4" s="71">
        <v>0</v>
      </c>
      <c r="AA4" s="4">
        <f ca="1">VLOOKUP(L4,[2]enemies!$A:$V,22,FALSE)</f>
        <v>1</v>
      </c>
      <c r="AB4" s="56">
        <v>152</v>
      </c>
      <c r="AC4" s="4" t="str">
        <f ca="1">VLOOKUP(L4,[2]enemies!$A:$B,2,FALSE)</f>
        <v>功夫少女ランラン</v>
      </c>
      <c r="AD4" s="4">
        <f ca="1">VLOOKUP(L4,[2]enemies!$A:$E,3,FALSE)</f>
        <v>3</v>
      </c>
      <c r="AE4" s="4" t="str">
        <f ca="1">VLOOKUP(L4,[3]characters!$A:$J,10,FALSE)</f>
        <v>PremiumW</v>
      </c>
      <c r="AF4" s="6">
        <v>1</v>
      </c>
      <c r="AG4" s="28">
        <f t="shared" ref="AG4:AG13" ca="1" si="3">AD4</f>
        <v>3</v>
      </c>
      <c r="AH4" s="71">
        <v>0</v>
      </c>
      <c r="AI4" s="43">
        <v>0</v>
      </c>
      <c r="AJ4" s="43">
        <v>0</v>
      </c>
      <c r="AK4" s="43">
        <v>0</v>
      </c>
      <c r="AL4" s="43">
        <v>0</v>
      </c>
      <c r="AM4" s="43">
        <v>1</v>
      </c>
    </row>
    <row r="5" spans="1:39" ht="21" customHeight="1" thickBot="1" x14ac:dyDescent="0.2">
      <c r="A5" s="17" t="str">
        <f t="shared" ca="1" si="0"/>
        <v>30010_1-4/306&lt;lv48&gt;s2</v>
      </c>
      <c r="B5" s="46">
        <v>30010</v>
      </c>
      <c r="C5" s="47">
        <v>1</v>
      </c>
      <c r="D5" s="85" t="str">
        <f t="shared" si="1"/>
        <v>30010_1</v>
      </c>
      <c r="E5" s="86" t="str">
        <f ca="1">VLOOKUP($B5,OFFSET([1]quests!$A$1,0,0,COUNTA([1]quests!$A:$A),MATCH(E$1,[1]quests!$1:$1,0)-MATCH($B$1,[1]quests!$1:$1,0)+1),MATCH(E$1,[1]quests!$1:$1,0)-MATCH($B$1,[1]quests!$1:$1,0)+1,FALSE)</f>
        <v>最大最凶</v>
      </c>
      <c r="F5" s="86" t="str">
        <f ca="1">VLOOKUP($D5,OFFSET([1]stages!$A$1,0,0,COUNTA([1]stages!$A:$A),MATCH(F$1,[1]stages!$2:$2,0)-MATCH($D$1,[1]stages!$2:$2,0)+1),MATCH(F$1,[1]stages!$2:$2,0)-MATCH($D$1,[1]stages!$2:$2,0)+1,FALSE)</f>
        <v>【上級】最大最凶</v>
      </c>
      <c r="G5" s="47">
        <v>4</v>
      </c>
      <c r="H5" s="85" t="str">
        <f t="shared" ca="1" si="2"/>
        <v>30010_1-4</v>
      </c>
      <c r="I5" s="86">
        <f ca="1">VLOOKUP($H5,OFFSET(floors_multi_3_2!$A$1,0,0,COUNTA(floors_multi_3_2!$A:$A),MATCH(I$1,floors_multi_3_2!$1:$1,0)-MATCH($H$1,floors_multi_3_2!$1:$1,0)+1),MATCH(I$1,floors_multi_3_2!$1:$1,0)-MATCH($H$1,floors_multi_3_2!$1:$1,0)+1,FALSE)</f>
        <v>30</v>
      </c>
      <c r="J5" s="86">
        <f ca="1">VLOOKUP($H5,OFFSET(floors_multi_3_2!$A$1,0,0,COUNTA(floors_multi_3_2!$A:$A),MATCH(J$1,floors_multi_3_2!$1:$1,0)-MATCH($H$1,floors_multi_3_2!$1:$1,0)+1),MATCH(J$1,floors_multi_3_2!$1:$1,0)-MATCH($H$1,floors_multi_3_2!$1:$1,0)+1,FALSE)</f>
        <v>30</v>
      </c>
      <c r="K5" s="87" t="s">
        <v>55</v>
      </c>
      <c r="L5" s="57">
        <v>306</v>
      </c>
      <c r="M5" s="110" t="str">
        <f ca="1">VLOOKUP(L5,[2]enemies!$A:$B,2,FALSE)</f>
        <v>メガロドン</v>
      </c>
      <c r="N5" s="77" t="str">
        <f ca="1">VLOOKUP(L5,[2]enemies!$A:$D,4,FALSE)</f>
        <v>red</v>
      </c>
      <c r="O5" s="77" t="str">
        <f ca="1">VLOOKUP(L5,[3]characters!$A:$J,10,FALSE)</f>
        <v>Drop2N</v>
      </c>
      <c r="P5" s="106" t="str">
        <f ca="1">VLOOKUP(L5,[3]characters!$A:$M,13,FALSE)</f>
        <v>animal</v>
      </c>
      <c r="Q5" s="111">
        <f ca="1">VLOOKUP(L5,[2]enemies!$A:$X,24,FALSE)</f>
        <v>30</v>
      </c>
      <c r="R5" s="61">
        <v>48</v>
      </c>
      <c r="S5" s="62">
        <v>3</v>
      </c>
      <c r="T5" s="62">
        <v>1.2</v>
      </c>
      <c r="U5" s="61">
        <v>0</v>
      </c>
      <c r="V5" s="86" t="str">
        <f ca="1">VLOOKUP($W5,OFFSET([4]enemy_skill_sets!$B$1,0,0,COUNTA([4]enemy_skill_sets!$B:$B),MATCH(M$1,[4]enemy_skill_sets!$1:$1,0)-MATCH($W$1,[4]enemy_skill_sets!$1:$1,0)+2),MATCH(M$1,[4]enemy_skill_sets!$1:$1,0)-MATCH($W$1,[4]enemy_skill_sets!$1:$1,0)+2,FALSE)</f>
        <v>赤パネルをハートパネルに大量変換</v>
      </c>
      <c r="W5" s="72">
        <v>30602</v>
      </c>
      <c r="X5" s="73">
        <v>1</v>
      </c>
      <c r="Y5" s="73">
        <v>100</v>
      </c>
      <c r="Z5" s="73">
        <v>0</v>
      </c>
      <c r="AA5" s="112">
        <f ca="1">VLOOKUP(L5,[2]enemies!$A:$V,22,FALSE)</f>
        <v>2</v>
      </c>
      <c r="AB5" s="57">
        <v>306</v>
      </c>
      <c r="AC5" s="113" t="str">
        <f ca="1">VLOOKUP(L5,[2]enemies!$A:$B,2,FALSE)</f>
        <v>メガロドン</v>
      </c>
      <c r="AD5" s="114">
        <f ca="1">VLOOKUP(L5,[2]enemies!$A:$E,3,FALSE)</f>
        <v>4</v>
      </c>
      <c r="AE5" s="115" t="str">
        <f ca="1">VLOOKUP(L5,[3]characters!$A:$J,10,FALSE)</f>
        <v>Drop2N</v>
      </c>
      <c r="AF5" s="81">
        <v>1</v>
      </c>
      <c r="AG5" s="88">
        <f t="shared" ca="1" si="3"/>
        <v>4</v>
      </c>
      <c r="AH5" s="73">
        <v>20</v>
      </c>
      <c r="AI5" s="81">
        <v>0</v>
      </c>
      <c r="AJ5" s="81">
        <v>0</v>
      </c>
      <c r="AK5" s="81">
        <v>0</v>
      </c>
      <c r="AL5" s="81">
        <v>0</v>
      </c>
      <c r="AM5" s="81">
        <v>1</v>
      </c>
    </row>
    <row r="6" spans="1:39" s="98" customFormat="1" ht="21" customHeight="1" x14ac:dyDescent="0.15">
      <c r="A6" s="92" t="str">
        <f t="shared" ca="1" si="0"/>
        <v>30010_2-1/132&lt;lv53&gt;s3</v>
      </c>
      <c r="B6" s="48">
        <v>30010</v>
      </c>
      <c r="C6" s="49">
        <v>2</v>
      </c>
      <c r="D6" s="93" t="str">
        <f t="shared" si="1"/>
        <v>30010_2</v>
      </c>
      <c r="E6" s="94" t="str">
        <f ca="1">VLOOKUP($B6,OFFSET([1]quests!$A$1,0,0,COUNTA([1]quests!$A:$A),MATCH(E$1,[1]quests!$1:$1,0)-MATCH($B$1,[1]quests!$1:$1,0)+1),MATCH(E$1,[1]quests!$1:$1,0)-MATCH($B$1,[1]quests!$1:$1,0)+1,FALSE)</f>
        <v>最大最凶</v>
      </c>
      <c r="F6" s="94" t="str">
        <f ca="1">VLOOKUP($D6,OFFSET([1]stages!$A$1,0,0,COUNTA([1]stages!$A:$A),MATCH(F$1,[1]stages!$2:$2,0)-MATCH($D$1,[1]stages!$2:$2,0)+1),MATCH(F$1,[1]stages!$2:$2,0)-MATCH($D$1,[1]stages!$2:$2,0)+1,FALSE)</f>
        <v>【超級】最大最凶</v>
      </c>
      <c r="G6" s="49">
        <v>1</v>
      </c>
      <c r="H6" s="93" t="str">
        <f t="shared" ca="1" si="2"/>
        <v>30010_2-1</v>
      </c>
      <c r="I6" s="94">
        <f ca="1">VLOOKUP($H6,OFFSET(floors_multi_3_2!$A$1,0,0,COUNTA(floors_multi_3_2!$A:$A),MATCH(I$1,floors_multi_3_2!$1:$1,0)-MATCH($H$1,floors_multi_3_2!$1:$1,0)+1),MATCH(I$1,floors_multi_3_2!$1:$1,0)-MATCH($H$1,floors_multi_3_2!$1:$1,0)+1,FALSE)</f>
        <v>20</v>
      </c>
      <c r="J6" s="94">
        <f ca="1">VLOOKUP($H6,OFFSET(floors_multi_3_2!$A$1,0,0,COUNTA(floors_multi_3_2!$A:$A),MATCH(J$1,floors_multi_3_2!$1:$1,0)-MATCH($H$1,floors_multi_3_2!$1:$1,0)+1),MATCH(J$1,floors_multi_3_2!$1:$1,0)-MATCH($H$1,floors_multi_3_2!$1:$1,0)+1,FALSE)</f>
        <v>20</v>
      </c>
      <c r="K6" s="95" t="s">
        <v>55</v>
      </c>
      <c r="L6" s="49">
        <v>132</v>
      </c>
      <c r="M6" s="20" t="str">
        <f ca="1">VLOOKUP(L6,[2]enemies!$A:$B,2,FALSE)</f>
        <v>鳥人ハヤト</v>
      </c>
      <c r="N6" s="79" t="str">
        <f ca="1">VLOOKUP(L6,[2]enemies!$A:$D,4,FALSE)</f>
        <v>yellow</v>
      </c>
      <c r="O6" s="79" t="str">
        <f ca="1">VLOOKUP(L6,[3]characters!$A:$J,10,FALSE)</f>
        <v>PremiumW</v>
      </c>
      <c r="P6" s="21" t="str">
        <f ca="1">VLOOKUP(L6,[3]characters!$A:$M,13,FALSE)</f>
        <v>human</v>
      </c>
      <c r="Q6" s="4">
        <f ca="1">VLOOKUP(L6,[2]enemies!$A:$X,24,FALSE)</f>
        <v>20</v>
      </c>
      <c r="R6" s="63">
        <v>53</v>
      </c>
      <c r="S6" s="64">
        <v>0.5</v>
      </c>
      <c r="T6" s="64">
        <v>0.7</v>
      </c>
      <c r="U6" s="63">
        <v>0</v>
      </c>
      <c r="V6" s="94" t="str">
        <f ca="1">VLOOKUP($W6,OFFSET([4]enemy_skill_sets!$B$1,0,0,COUNTA([4]enemy_skill_sets!$B:$B),MATCH(M$1,[4]enemy_skill_sets!$1:$1,0)-MATCH($W$1,[4]enemy_skill_sets!$1:$1,0)+2),MATCH(M$1,[4]enemy_skill_sets!$1:$1,0)-MATCH($W$1,[4]enemy_skill_sets!$1:$1,0)+2,FALSE)</f>
        <v>種族マシンのユニットに大ダメージ</v>
      </c>
      <c r="W6" s="74">
        <v>13202</v>
      </c>
      <c r="X6" s="75">
        <v>1</v>
      </c>
      <c r="Y6" s="75">
        <v>100</v>
      </c>
      <c r="Z6" s="75">
        <v>0</v>
      </c>
      <c r="AA6" s="4">
        <f ca="1">VLOOKUP(L6,[2]enemies!$A:$V,22,FALSE)</f>
        <v>3</v>
      </c>
      <c r="AB6" s="49">
        <v>132</v>
      </c>
      <c r="AC6" s="4" t="str">
        <f ca="1">VLOOKUP(L6,[2]enemies!$A:$B,2,FALSE)</f>
        <v>鳥人ハヤト</v>
      </c>
      <c r="AD6" s="4">
        <f ca="1">VLOOKUP(L6,[2]enemies!$A:$E,3,FALSE)</f>
        <v>3</v>
      </c>
      <c r="AE6" s="4" t="str">
        <f ca="1">VLOOKUP(L6,[3]characters!$A:$J,10,FALSE)</f>
        <v>PremiumW</v>
      </c>
      <c r="AF6" s="96">
        <v>1</v>
      </c>
      <c r="AG6" s="97">
        <f t="shared" ca="1" si="3"/>
        <v>3</v>
      </c>
      <c r="AH6" s="75">
        <v>0</v>
      </c>
      <c r="AI6" s="75">
        <v>0</v>
      </c>
      <c r="AJ6" s="75">
        <v>0</v>
      </c>
      <c r="AK6" s="75">
        <v>0</v>
      </c>
      <c r="AL6" s="75">
        <v>0</v>
      </c>
      <c r="AM6" s="75">
        <v>1</v>
      </c>
    </row>
    <row r="7" spans="1:39" s="101" customFormat="1" ht="21" customHeight="1" x14ac:dyDescent="0.15">
      <c r="A7" s="99" t="str">
        <f t="shared" ca="1" si="0"/>
        <v>30010_2-2/130&lt;lv53&gt;s3</v>
      </c>
      <c r="B7" s="50">
        <v>30010</v>
      </c>
      <c r="C7" s="51">
        <v>2</v>
      </c>
      <c r="D7" s="16" t="str">
        <f t="shared" si="1"/>
        <v>30010_2</v>
      </c>
      <c r="E7" s="4" t="str">
        <f ca="1">VLOOKUP($B7,OFFSET([1]quests!$A$1,0,0,COUNTA([1]quests!$A:$A),MATCH(E$1,[1]quests!$1:$1,0)-MATCH($B$1,[1]quests!$1:$1,0)+1),MATCH(E$1,[1]quests!$1:$1,0)-MATCH($B$1,[1]quests!$1:$1,0)+1,FALSE)</f>
        <v>最大最凶</v>
      </c>
      <c r="F7" s="4" t="str">
        <f ca="1">VLOOKUP($D7,OFFSET([1]stages!$A$1,0,0,COUNTA([1]stages!$A:$A),MATCH(F$1,[1]stages!$2:$2,0)-MATCH($D$1,[1]stages!$2:$2,0)+1),MATCH(F$1,[1]stages!$2:$2,0)-MATCH($D$1,[1]stages!$2:$2,0)+1,FALSE)</f>
        <v>【超級】最大最凶</v>
      </c>
      <c r="G7" s="51">
        <v>2</v>
      </c>
      <c r="H7" s="16" t="str">
        <f t="shared" ca="1" si="2"/>
        <v>30010_2-2</v>
      </c>
      <c r="I7" s="4">
        <f ca="1">VLOOKUP($H7,OFFSET(floors_multi_3_2!$A$1,0,0,COUNTA(floors_multi_3_2!$A:$A),MATCH(I$1,floors_multi_3_2!$1:$1,0)-MATCH($H$1,floors_multi_3_2!$1:$1,0)+1),MATCH(I$1,floors_multi_3_2!$1:$1,0)-MATCH($H$1,floors_multi_3_2!$1:$1,0)+1,FALSE)</f>
        <v>20</v>
      </c>
      <c r="J7" s="4">
        <f ca="1">VLOOKUP($H7,OFFSET(floors_multi_3_2!$A$1,0,0,COUNTA(floors_multi_3_2!$A:$A),MATCH(J$1,floors_multi_3_2!$1:$1,0)-MATCH($H$1,floors_multi_3_2!$1:$1,0)+1),MATCH(J$1,floors_multi_3_2!$1:$1,0)-MATCH($H$1,floors_multi_3_2!$1:$1,0)+1,FALSE)</f>
        <v>20</v>
      </c>
      <c r="K7" s="42" t="s">
        <v>55</v>
      </c>
      <c r="L7" s="51">
        <v>130</v>
      </c>
      <c r="M7" s="20" t="str">
        <f ca="1">VLOOKUP(L7,[2]enemies!$A:$B,2,FALSE)</f>
        <v>狼男 ローレンス</v>
      </c>
      <c r="N7" s="22" t="str">
        <f ca="1">VLOOKUP(L7,[2]enemies!$A:$D,4,FALSE)</f>
        <v>blue</v>
      </c>
      <c r="O7" s="22" t="str">
        <f ca="1">VLOOKUP(L7,[3]characters!$A:$J,10,FALSE)</f>
        <v>PremiumW</v>
      </c>
      <c r="P7" s="21" t="str">
        <f ca="1">VLOOKUP(L7,[3]characters!$A:$M,13,FALSE)</f>
        <v>animal</v>
      </c>
      <c r="Q7" s="4">
        <f ca="1">VLOOKUP(L7,[2]enemies!$A:$X,24,FALSE)</f>
        <v>20</v>
      </c>
      <c r="R7" s="65">
        <v>53</v>
      </c>
      <c r="S7" s="66">
        <v>0.8</v>
      </c>
      <c r="T7" s="66">
        <v>0.8</v>
      </c>
      <c r="U7" s="65">
        <v>0</v>
      </c>
      <c r="V7" s="4" t="str">
        <f ca="1">VLOOKUP($W7,OFFSET([4]enemy_skill_sets!$B$1,0,0,COUNTA([4]enemy_skill_sets!$B:$B),MATCH(M$1,[4]enemy_skill_sets!$1:$1,0)-MATCH($W$1,[4]enemy_skill_sets!$1:$1,0)+2),MATCH(M$1,[4]enemy_skill_sets!$1:$1,0)-MATCH($W$1,[4]enemy_skill_sets!$1:$1,0)+2,FALSE)</f>
        <v>ランダムでハートパネルに変換</v>
      </c>
      <c r="W7" s="22">
        <v>13003</v>
      </c>
      <c r="X7" s="76">
        <v>1</v>
      </c>
      <c r="Y7" s="76">
        <v>100</v>
      </c>
      <c r="Z7" s="76">
        <v>0</v>
      </c>
      <c r="AA7" s="4">
        <f ca="1">VLOOKUP(L7,[2]enemies!$A:$V,22,FALSE)</f>
        <v>3</v>
      </c>
      <c r="AB7" s="51">
        <v>130</v>
      </c>
      <c r="AC7" s="4" t="str">
        <f ca="1">VLOOKUP(L7,[2]enemies!$A:$B,2,FALSE)</f>
        <v>狼男 ローレンス</v>
      </c>
      <c r="AD7" s="4">
        <f ca="1">VLOOKUP(L7,[2]enemies!$A:$E,3,FALSE)</f>
        <v>3</v>
      </c>
      <c r="AE7" s="4" t="str">
        <f ca="1">VLOOKUP(L7,[3]characters!$A:$J,10,FALSE)</f>
        <v>PremiumW</v>
      </c>
      <c r="AF7" s="43">
        <v>1</v>
      </c>
      <c r="AG7" s="100">
        <f t="shared" ca="1" si="3"/>
        <v>3</v>
      </c>
      <c r="AH7" s="76">
        <v>0</v>
      </c>
      <c r="AI7" s="76">
        <v>0</v>
      </c>
      <c r="AJ7" s="76">
        <v>0</v>
      </c>
      <c r="AK7" s="76">
        <v>0</v>
      </c>
      <c r="AL7" s="76">
        <v>0</v>
      </c>
      <c r="AM7" s="76">
        <v>1</v>
      </c>
    </row>
    <row r="8" spans="1:39" s="101" customFormat="1" ht="21" customHeight="1" x14ac:dyDescent="0.15">
      <c r="A8" s="99" t="str">
        <f t="shared" ca="1" si="0"/>
        <v>30010_2-3/152&lt;lv57&gt;s1</v>
      </c>
      <c r="B8" s="50">
        <v>30010</v>
      </c>
      <c r="C8" s="51">
        <v>2</v>
      </c>
      <c r="D8" s="16" t="str">
        <f t="shared" si="1"/>
        <v>30010_2</v>
      </c>
      <c r="E8" s="4" t="str">
        <f ca="1">VLOOKUP($B8,OFFSET([1]quests!$A$1,0,0,COUNTA([1]quests!$A:$A),MATCH(E$1,[1]quests!$1:$1,0)-MATCH($B$1,[1]quests!$1:$1,0)+1),MATCH(E$1,[1]quests!$1:$1,0)-MATCH($B$1,[1]quests!$1:$1,0)+1,FALSE)</f>
        <v>最大最凶</v>
      </c>
      <c r="F8" s="4" t="str">
        <f ca="1">VLOOKUP($D8,OFFSET([1]stages!$A$1,0,0,COUNTA([1]stages!$A:$A),MATCH(F$1,[1]stages!$2:$2,0)-MATCH($D$1,[1]stages!$2:$2,0)+1),MATCH(F$1,[1]stages!$2:$2,0)-MATCH($D$1,[1]stages!$2:$2,0)+1,FALSE)</f>
        <v>【超級】最大最凶</v>
      </c>
      <c r="G8" s="51">
        <v>3</v>
      </c>
      <c r="H8" s="16" t="str">
        <f t="shared" ca="1" si="2"/>
        <v>30010_2-3</v>
      </c>
      <c r="I8" s="4">
        <f ca="1">VLOOKUP($H8,OFFSET(floors_multi_3_2!$A$1,0,0,COUNTA(floors_multi_3_2!$A:$A),MATCH(I$1,floors_multi_3_2!$1:$1,0)-MATCH($H$1,floors_multi_3_2!$1:$1,0)+1),MATCH(I$1,floors_multi_3_2!$1:$1,0)-MATCH($H$1,floors_multi_3_2!$1:$1,0)+1,FALSE)</f>
        <v>20</v>
      </c>
      <c r="J8" s="4">
        <f ca="1">VLOOKUP($H8,OFFSET(floors_multi_3_2!$A$1,0,0,COUNTA(floors_multi_3_2!$A:$A),MATCH(J$1,floors_multi_3_2!$1:$1,0)-MATCH($H$1,floors_multi_3_2!$1:$1,0)+1),MATCH(J$1,floors_multi_3_2!$1:$1,0)-MATCH($H$1,floors_multi_3_2!$1:$1,0)+1,FALSE)</f>
        <v>20</v>
      </c>
      <c r="K8" s="42" t="s">
        <v>55</v>
      </c>
      <c r="L8" s="51">
        <v>152</v>
      </c>
      <c r="M8" s="20" t="str">
        <f ca="1">VLOOKUP(L8,[2]enemies!$A:$B,2,FALSE)</f>
        <v>功夫少女ランラン</v>
      </c>
      <c r="N8" s="22" t="str">
        <f ca="1">VLOOKUP(L8,[2]enemies!$A:$D,4,FALSE)</f>
        <v>green</v>
      </c>
      <c r="O8" s="22" t="str">
        <f ca="1">VLOOKUP(L8,[3]characters!$A:$J,10,FALSE)</f>
        <v>PremiumW</v>
      </c>
      <c r="P8" s="21" t="str">
        <f ca="1">VLOOKUP(L8,[3]characters!$A:$M,13,FALSE)</f>
        <v>human</v>
      </c>
      <c r="Q8" s="4">
        <f ca="1">VLOOKUP(L8,[2]enemies!$A:$X,24,FALSE)</f>
        <v>20</v>
      </c>
      <c r="R8" s="65">
        <v>57</v>
      </c>
      <c r="S8" s="66">
        <v>1</v>
      </c>
      <c r="T8" s="66">
        <v>0.9</v>
      </c>
      <c r="U8" s="65">
        <v>0</v>
      </c>
      <c r="V8" s="4" t="str">
        <f ca="1">VLOOKUP($W8,OFFSET([4]enemy_skill_sets!$B$1,0,0,COUNTA([4]enemy_skill_sets!$B:$B),MATCH(M$1,[4]enemy_skill_sets!$1:$1,0)-MATCH($W$1,[4]enemy_skill_sets!$1:$1,0)+2),MATCH(M$1,[4]enemy_skill_sets!$1:$1,0)-MATCH($W$1,[4]enemy_skill_sets!$1:$1,0)+2,FALSE)</f>
        <v>ランダムでハートパネルに変換</v>
      </c>
      <c r="W8" s="22">
        <v>15202</v>
      </c>
      <c r="X8" s="76">
        <v>1</v>
      </c>
      <c r="Y8" s="76">
        <v>100</v>
      </c>
      <c r="Z8" s="76">
        <v>0</v>
      </c>
      <c r="AA8" s="4">
        <f ca="1">VLOOKUP(L8,[2]enemies!$A:$V,22,FALSE)</f>
        <v>1</v>
      </c>
      <c r="AB8" s="51">
        <v>152</v>
      </c>
      <c r="AC8" s="4" t="str">
        <f ca="1">VLOOKUP(L8,[2]enemies!$A:$B,2,FALSE)</f>
        <v>功夫少女ランラン</v>
      </c>
      <c r="AD8" s="4">
        <f ca="1">VLOOKUP(L8,[2]enemies!$A:$E,3,FALSE)</f>
        <v>3</v>
      </c>
      <c r="AE8" s="4" t="str">
        <f ca="1">VLOOKUP(L8,[3]characters!$A:$J,10,FALSE)</f>
        <v>PremiumW</v>
      </c>
      <c r="AF8" s="43">
        <v>1</v>
      </c>
      <c r="AG8" s="100">
        <f t="shared" ca="1" si="3"/>
        <v>3</v>
      </c>
      <c r="AH8" s="76">
        <v>0</v>
      </c>
      <c r="AI8" s="76">
        <v>0</v>
      </c>
      <c r="AJ8" s="76">
        <v>0</v>
      </c>
      <c r="AK8" s="76">
        <v>0</v>
      </c>
      <c r="AL8" s="76">
        <v>0</v>
      </c>
      <c r="AM8" s="76">
        <v>1</v>
      </c>
    </row>
    <row r="9" spans="1:39" s="109" customFormat="1" ht="21" customHeight="1" thickBot="1" x14ac:dyDescent="0.2">
      <c r="A9" s="102" t="str">
        <f t="shared" ca="1" si="0"/>
        <v>30010_2-4/306&lt;lv60&gt;s2</v>
      </c>
      <c r="B9" s="52">
        <v>30010</v>
      </c>
      <c r="C9" s="53">
        <v>2</v>
      </c>
      <c r="D9" s="103" t="str">
        <f t="shared" si="1"/>
        <v>30010_2</v>
      </c>
      <c r="E9" s="104" t="str">
        <f ca="1">VLOOKUP($B9,OFFSET([1]quests!$A$1,0,0,COUNTA([1]quests!$A:$A),MATCH(E$1,[1]quests!$1:$1,0)-MATCH($B$1,[1]quests!$1:$1,0)+1),MATCH(E$1,[1]quests!$1:$1,0)-MATCH($B$1,[1]quests!$1:$1,0)+1,FALSE)</f>
        <v>最大最凶</v>
      </c>
      <c r="F9" s="104" t="str">
        <f ca="1">VLOOKUP($D9,OFFSET([1]stages!$A$1,0,0,COUNTA([1]stages!$A:$A),MATCH(F$1,[1]stages!$2:$2,0)-MATCH($D$1,[1]stages!$2:$2,0)+1),MATCH(F$1,[1]stages!$2:$2,0)-MATCH($D$1,[1]stages!$2:$2,0)+1,FALSE)</f>
        <v>【超級】最大最凶</v>
      </c>
      <c r="G9" s="53">
        <v>4</v>
      </c>
      <c r="H9" s="103" t="str">
        <f t="shared" ca="1" si="2"/>
        <v>30010_2-4</v>
      </c>
      <c r="I9" s="104">
        <f ca="1">VLOOKUP($H9,OFFSET(floors_multi_3_2!$A$1,0,0,COUNTA(floors_multi_3_2!$A:$A),MATCH(I$1,floors_multi_3_2!$1:$1,0)-MATCH($H$1,floors_multi_3_2!$1:$1,0)+1),MATCH(I$1,floors_multi_3_2!$1:$1,0)-MATCH($H$1,floors_multi_3_2!$1:$1,0)+1,FALSE)</f>
        <v>30</v>
      </c>
      <c r="J9" s="104">
        <f ca="1">VLOOKUP($H9,OFFSET(floors_multi_3_2!$A$1,0,0,COUNTA(floors_multi_3_2!$A:$A),MATCH(J$1,floors_multi_3_2!$1:$1,0)-MATCH($H$1,floors_multi_3_2!$1:$1,0)+1),MATCH(J$1,floors_multi_3_2!$1:$1,0)-MATCH($H$1,floors_multi_3_2!$1:$1,0)+1,FALSE)</f>
        <v>30</v>
      </c>
      <c r="K9" s="105" t="s">
        <v>55</v>
      </c>
      <c r="L9" s="53">
        <v>306</v>
      </c>
      <c r="M9" s="110" t="str">
        <f ca="1">VLOOKUP(L9,[2]enemies!$A:$B,2,FALSE)</f>
        <v>メガロドン</v>
      </c>
      <c r="N9" s="77" t="str">
        <f ca="1">VLOOKUP(L9,[2]enemies!$A:$D,4,FALSE)</f>
        <v>red</v>
      </c>
      <c r="O9" s="77" t="str">
        <f ca="1">VLOOKUP(L9,[3]characters!$A:$J,10,FALSE)</f>
        <v>Drop2N</v>
      </c>
      <c r="P9" s="106" t="str">
        <f ca="1">VLOOKUP(L9,[3]characters!$A:$M,13,FALSE)</f>
        <v>animal</v>
      </c>
      <c r="Q9" s="111">
        <f ca="1">VLOOKUP(L9,[2]enemies!$A:$X,24,FALSE)</f>
        <v>30</v>
      </c>
      <c r="R9" s="67">
        <v>60</v>
      </c>
      <c r="S9" s="68">
        <v>3</v>
      </c>
      <c r="T9" s="68">
        <v>1</v>
      </c>
      <c r="U9" s="67">
        <v>0</v>
      </c>
      <c r="V9" s="104" t="str">
        <f ca="1">VLOOKUP($W9,OFFSET([4]enemy_skill_sets!$B$1,0,0,COUNTA([4]enemy_skill_sets!$B:$B),MATCH(M$1,[4]enemy_skill_sets!$1:$1,0)-MATCH($W$1,[4]enemy_skill_sets!$1:$1,0)+2),MATCH(M$1,[4]enemy_skill_sets!$1:$1,0)-MATCH($W$1,[4]enemy_skill_sets!$1:$1,0)+2,FALSE)</f>
        <v>赤パネルをハートパネルに大量変換</v>
      </c>
      <c r="W9" s="77">
        <v>30601</v>
      </c>
      <c r="X9" s="78">
        <v>1</v>
      </c>
      <c r="Y9" s="78">
        <v>100</v>
      </c>
      <c r="Z9" s="78">
        <v>0</v>
      </c>
      <c r="AA9" s="112">
        <f ca="1">VLOOKUP(L9,[2]enemies!$A:$V,22,FALSE)</f>
        <v>2</v>
      </c>
      <c r="AB9" s="53">
        <v>306</v>
      </c>
      <c r="AC9" s="113" t="str">
        <f ca="1">VLOOKUP(L9,[2]enemies!$A:$B,2,FALSE)</f>
        <v>メガロドン</v>
      </c>
      <c r="AD9" s="114">
        <f ca="1">VLOOKUP(L9,[2]enemies!$A:$E,3,FALSE)</f>
        <v>4</v>
      </c>
      <c r="AE9" s="115" t="str">
        <f ca="1">VLOOKUP(L9,[3]characters!$A:$J,10,FALSE)</f>
        <v>Drop2N</v>
      </c>
      <c r="AF9" s="107">
        <v>1</v>
      </c>
      <c r="AG9" s="108">
        <f t="shared" ca="1" si="3"/>
        <v>4</v>
      </c>
      <c r="AH9" s="78">
        <v>50</v>
      </c>
      <c r="AI9" s="78">
        <v>0</v>
      </c>
      <c r="AJ9" s="78">
        <v>0</v>
      </c>
      <c r="AK9" s="78">
        <v>0</v>
      </c>
      <c r="AL9" s="78">
        <v>0</v>
      </c>
      <c r="AM9" s="78">
        <v>1</v>
      </c>
    </row>
    <row r="10" spans="1:39" ht="21" customHeight="1" x14ac:dyDescent="0.15">
      <c r="A10" s="17" t="str">
        <f t="shared" ca="1" si="0"/>
        <v>30010_3-1/133&lt;lv60&gt;s3</v>
      </c>
      <c r="B10" s="54">
        <v>30010</v>
      </c>
      <c r="C10" s="55">
        <v>3</v>
      </c>
      <c r="D10" s="89" t="str">
        <f t="shared" si="1"/>
        <v>30010_3</v>
      </c>
      <c r="E10" s="4" t="str">
        <f ca="1">VLOOKUP($B10,OFFSET([1]quests!$A$1,0,0,COUNTA([1]quests!$A:$A),MATCH(E$1,[1]quests!$1:$1,0)-MATCH($B$1,[1]quests!$1:$1,0)+1),MATCH(E$1,[1]quests!$1:$1,0)-MATCH($B$1,[1]quests!$1:$1,0)+1,FALSE)</f>
        <v>最大最凶</v>
      </c>
      <c r="F10" s="4" t="str">
        <f ca="1">VLOOKUP($D10,OFFSET([1]stages!$A$1,0,0,COUNTA([1]stages!$A:$A),MATCH(F$1,[1]stages!$2:$2,0)-MATCH($D$1,[1]stages!$2:$2,0)+1),MATCH(F$1,[1]stages!$2:$2,0)-MATCH($D$1,[1]stages!$2:$2,0)+1,FALSE)</f>
        <v>【超絶級】最大最凶</v>
      </c>
      <c r="G10" s="55">
        <v>1</v>
      </c>
      <c r="H10" s="89" t="str">
        <f t="shared" ca="1" si="2"/>
        <v>30010_3-1</v>
      </c>
      <c r="I10" s="4">
        <f ca="1">VLOOKUP($H10,OFFSET(floors_multi_3_2!$A$1,0,0,COUNTA(floors_multi_3_2!$A:$A),MATCH(I$1,floors_multi_3_2!$1:$1,0)-MATCH($H$1,floors_multi_3_2!$1:$1,0)+1),MATCH(I$1,floors_multi_3_2!$1:$1,0)-MATCH($H$1,floors_multi_3_2!$1:$1,0)+1,FALSE)</f>
        <v>30</v>
      </c>
      <c r="J10" s="4">
        <f ca="1">VLOOKUP($H10,OFFSET(floors_multi_3_2!$A$1,0,0,COUNTA(floors_multi_3_2!$A:$A),MATCH(J$1,floors_multi_3_2!$1:$1,0)-MATCH($H$1,floors_multi_3_2!$1:$1,0)+1),MATCH(J$1,floors_multi_3_2!$1:$1,0)-MATCH($H$1,floors_multi_3_2!$1:$1,0)+1,FALSE)</f>
        <v>30</v>
      </c>
      <c r="K10" s="90" t="s">
        <v>55</v>
      </c>
      <c r="L10" s="58">
        <v>133</v>
      </c>
      <c r="M10" s="20" t="str">
        <f ca="1">VLOOKUP(L10,[2]enemies!$A:$B,2,FALSE)</f>
        <v>迅雷の刀剣 ハヤト</v>
      </c>
      <c r="N10" s="79" t="str">
        <f ca="1">VLOOKUP(L10,[2]enemies!$A:$D,4,FALSE)</f>
        <v>yellow</v>
      </c>
      <c r="O10" s="79" t="str">
        <f ca="1">VLOOKUP(L10,[3]characters!$A:$J,10,FALSE)</f>
        <v>PremiumW</v>
      </c>
      <c r="P10" s="21" t="str">
        <f ca="1">VLOOKUP(L10,[3]characters!$A:$M,13,FALSE)</f>
        <v>human</v>
      </c>
      <c r="Q10" s="4">
        <f ca="1">VLOOKUP(L10,[2]enemies!$A:$X,24,FALSE)</f>
        <v>30</v>
      </c>
      <c r="R10" s="69">
        <v>60</v>
      </c>
      <c r="S10" s="70">
        <v>0.5</v>
      </c>
      <c r="T10" s="70">
        <v>0.7</v>
      </c>
      <c r="U10" s="69">
        <v>0</v>
      </c>
      <c r="V10" s="4" t="str">
        <f ca="1">VLOOKUP($W10,OFFSET([4]enemy_skill_sets!$B$1,0,0,COUNTA([4]enemy_skill_sets!$B:$B),MATCH(M$1,[4]enemy_skill_sets!$1:$1,0)-MATCH($W$1,[4]enemy_skill_sets!$1:$1,0)+2),MATCH(M$1,[4]enemy_skill_sets!$1:$1,0)-MATCH($W$1,[4]enemy_skill_sets!$1:$1,0)+2,FALSE)</f>
        <v>種族マシンのユニットに大ダメージ</v>
      </c>
      <c r="W10" s="79">
        <v>13202</v>
      </c>
      <c r="X10" s="80">
        <v>1</v>
      </c>
      <c r="Y10" s="80">
        <v>100</v>
      </c>
      <c r="Z10" s="80">
        <v>0</v>
      </c>
      <c r="AA10" s="4">
        <f ca="1">VLOOKUP(L10,[2]enemies!$A:$V,22,FALSE)</f>
        <v>3</v>
      </c>
      <c r="AB10" s="58">
        <v>133</v>
      </c>
      <c r="AC10" s="4" t="str">
        <f ca="1">VLOOKUP(L10,[2]enemies!$A:$B,2,FALSE)</f>
        <v>迅雷の刀剣 ハヤト</v>
      </c>
      <c r="AD10" s="4">
        <f ca="1">VLOOKUP(L10,[2]enemies!$A:$E,3,FALSE)</f>
        <v>4</v>
      </c>
      <c r="AE10" s="4" t="str">
        <f ca="1">VLOOKUP(L10,[3]characters!$A:$J,10,FALSE)</f>
        <v>PremiumW</v>
      </c>
      <c r="AF10" s="82">
        <v>1</v>
      </c>
      <c r="AG10" s="91">
        <f t="shared" ca="1" si="3"/>
        <v>4</v>
      </c>
      <c r="AH10" s="80">
        <v>0</v>
      </c>
      <c r="AI10" s="82">
        <v>0</v>
      </c>
      <c r="AJ10" s="82">
        <v>0</v>
      </c>
      <c r="AK10" s="82">
        <v>0</v>
      </c>
      <c r="AL10" s="82">
        <v>0</v>
      </c>
      <c r="AM10" s="82">
        <v>1</v>
      </c>
    </row>
    <row r="11" spans="1:39" ht="21" customHeight="1" x14ac:dyDescent="0.15">
      <c r="A11" s="17" t="str">
        <f t="shared" ca="1" si="0"/>
        <v>30010_3-2/131&lt;lv60&gt;s3</v>
      </c>
      <c r="B11" s="45">
        <v>30010</v>
      </c>
      <c r="C11" s="44">
        <v>3</v>
      </c>
      <c r="D11" s="2" t="str">
        <f t="shared" si="1"/>
        <v>30010_3</v>
      </c>
      <c r="E11" s="4" t="str">
        <f ca="1">VLOOKUP($B11,OFFSET([1]quests!$A$1,0,0,COUNTA([1]quests!$A:$A),MATCH(E$1,[1]quests!$1:$1,0)-MATCH($B$1,[1]quests!$1:$1,0)+1),MATCH(E$1,[1]quests!$1:$1,0)-MATCH($B$1,[1]quests!$1:$1,0)+1,FALSE)</f>
        <v>最大最凶</v>
      </c>
      <c r="F11" s="4" t="str">
        <f ca="1">VLOOKUP($D11,OFFSET([1]stages!$A$1,0,0,COUNTA([1]stages!$A:$A),MATCH(F$1,[1]stages!$2:$2,0)-MATCH($D$1,[1]stages!$2:$2,0)+1),MATCH(F$1,[1]stages!$2:$2,0)-MATCH($D$1,[1]stages!$2:$2,0)+1,FALSE)</f>
        <v>【超絶級】最大最凶</v>
      </c>
      <c r="G11" s="44">
        <v>2</v>
      </c>
      <c r="H11" s="16" t="str">
        <f t="shared" ca="1" si="2"/>
        <v>30010_3-2</v>
      </c>
      <c r="I11" s="4">
        <f ca="1">VLOOKUP($H11,OFFSET(floors_multi_3_2!$A$1,0,0,COUNTA(floors_multi_3_2!$A:$A),MATCH(I$1,floors_multi_3_2!$1:$1,0)-MATCH($H$1,floors_multi_3_2!$1:$1,0)+1),MATCH(I$1,floors_multi_3_2!$1:$1,0)-MATCH($H$1,floors_multi_3_2!$1:$1,0)+1,FALSE)</f>
        <v>30</v>
      </c>
      <c r="J11" s="4">
        <f ca="1">VLOOKUP($H11,OFFSET(floors_multi_3_2!$A$1,0,0,COUNTA(floors_multi_3_2!$A:$A),MATCH(J$1,floors_multi_3_2!$1:$1,0)-MATCH($H$1,floors_multi_3_2!$1:$1,0)+1),MATCH(J$1,floors_multi_3_2!$1:$1,0)-MATCH($H$1,floors_multi_3_2!$1:$1,0)+1,FALSE)</f>
        <v>30</v>
      </c>
      <c r="K11" s="42" t="s">
        <v>55</v>
      </c>
      <c r="L11" s="56">
        <v>131</v>
      </c>
      <c r="M11" s="20" t="str">
        <f ca="1">VLOOKUP(L11,[2]enemies!$A:$B,2,FALSE)</f>
        <v>月下の人狼 ローレンス</v>
      </c>
      <c r="N11" s="22" t="str">
        <f ca="1">VLOOKUP(L11,[2]enemies!$A:$D,4,FALSE)</f>
        <v>blue</v>
      </c>
      <c r="O11" s="22" t="str">
        <f ca="1">VLOOKUP(L11,[3]characters!$A:$J,10,FALSE)</f>
        <v>PremiumW</v>
      </c>
      <c r="P11" s="21" t="str">
        <f ca="1">VLOOKUP(L11,[3]characters!$A:$M,13,FALSE)</f>
        <v>animal</v>
      </c>
      <c r="Q11" s="4">
        <f ca="1">VLOOKUP(L11,[2]enemies!$A:$X,24,FALSE)</f>
        <v>30</v>
      </c>
      <c r="R11" s="59">
        <v>60</v>
      </c>
      <c r="S11" s="60">
        <v>0.8</v>
      </c>
      <c r="T11" s="60">
        <v>0.8</v>
      </c>
      <c r="U11" s="59">
        <v>0</v>
      </c>
      <c r="V11" s="4" t="str">
        <f ca="1">VLOOKUP($W11,OFFSET([4]enemy_skill_sets!$B$1,0,0,COUNTA([4]enemy_skill_sets!$B:$B),MATCH(M$1,[4]enemy_skill_sets!$1:$1,0)-MATCH($W$1,[4]enemy_skill_sets!$1:$1,0)+2),MATCH(M$1,[4]enemy_skill_sets!$1:$1,0)-MATCH($W$1,[4]enemy_skill_sets!$1:$1,0)+2,FALSE)</f>
        <v>ランダムでハートパネルに変換</v>
      </c>
      <c r="W11" s="22">
        <v>13003</v>
      </c>
      <c r="X11" s="71">
        <v>1</v>
      </c>
      <c r="Y11" s="71">
        <v>100</v>
      </c>
      <c r="Z11" s="71">
        <v>0</v>
      </c>
      <c r="AA11" s="4">
        <f ca="1">VLOOKUP(L11,[2]enemies!$A:$V,22,FALSE)</f>
        <v>3</v>
      </c>
      <c r="AB11" s="56">
        <v>131</v>
      </c>
      <c r="AC11" s="4" t="str">
        <f ca="1">VLOOKUP(L11,[2]enemies!$A:$B,2,FALSE)</f>
        <v>月下の人狼 ローレンス</v>
      </c>
      <c r="AD11" s="4">
        <f ca="1">VLOOKUP(L11,[2]enemies!$A:$E,3,FALSE)</f>
        <v>4</v>
      </c>
      <c r="AE11" s="4" t="str">
        <f ca="1">VLOOKUP(L11,[3]characters!$A:$J,10,FALSE)</f>
        <v>PremiumW</v>
      </c>
      <c r="AF11" s="6">
        <v>1</v>
      </c>
      <c r="AG11" s="28">
        <f t="shared" ca="1" si="3"/>
        <v>4</v>
      </c>
      <c r="AH11" s="71">
        <v>0</v>
      </c>
      <c r="AI11" s="43">
        <v>0</v>
      </c>
      <c r="AJ11" s="43">
        <v>0</v>
      </c>
      <c r="AK11" s="43">
        <v>0</v>
      </c>
      <c r="AL11" s="43">
        <v>0</v>
      </c>
      <c r="AM11" s="43">
        <v>1</v>
      </c>
    </row>
    <row r="12" spans="1:39" ht="21" customHeight="1" x14ac:dyDescent="0.15">
      <c r="A12" s="17" t="str">
        <f t="shared" ca="1" si="0"/>
        <v>30010_3-3/153&lt;lv65&gt;s1</v>
      </c>
      <c r="B12" s="45">
        <v>30010</v>
      </c>
      <c r="C12" s="44">
        <v>3</v>
      </c>
      <c r="D12" s="2" t="str">
        <f t="shared" si="1"/>
        <v>30010_3</v>
      </c>
      <c r="E12" s="4" t="str">
        <f ca="1">VLOOKUP($B12,OFFSET([1]quests!$A$1,0,0,COUNTA([1]quests!$A:$A),MATCH(E$1,[1]quests!$1:$1,0)-MATCH($B$1,[1]quests!$1:$1,0)+1),MATCH(E$1,[1]quests!$1:$1,0)-MATCH($B$1,[1]quests!$1:$1,0)+1,FALSE)</f>
        <v>最大最凶</v>
      </c>
      <c r="F12" s="4" t="str">
        <f ca="1">VLOOKUP($D12,OFFSET([1]stages!$A$1,0,0,COUNTA([1]stages!$A:$A),MATCH(F$1,[1]stages!$2:$2,0)-MATCH($D$1,[1]stages!$2:$2,0)+1),MATCH(F$1,[1]stages!$2:$2,0)-MATCH($D$1,[1]stages!$2:$2,0)+1,FALSE)</f>
        <v>【超絶級】最大最凶</v>
      </c>
      <c r="G12" s="44">
        <v>3</v>
      </c>
      <c r="H12" s="16" t="str">
        <f t="shared" ca="1" si="2"/>
        <v>30010_3-3</v>
      </c>
      <c r="I12" s="4">
        <f ca="1">VLOOKUP($H12,OFFSET(floors_multi_3_2!$A$1,0,0,COUNTA(floors_multi_3_2!$A:$A),MATCH(I$1,floors_multi_3_2!$1:$1,0)-MATCH($H$1,floors_multi_3_2!$1:$1,0)+1),MATCH(I$1,floors_multi_3_2!$1:$1,0)-MATCH($H$1,floors_multi_3_2!$1:$1,0)+1,FALSE)</f>
        <v>30</v>
      </c>
      <c r="J12" s="4">
        <f ca="1">VLOOKUP($H12,OFFSET(floors_multi_3_2!$A$1,0,0,COUNTA(floors_multi_3_2!$A:$A),MATCH(J$1,floors_multi_3_2!$1:$1,0)-MATCH($H$1,floors_multi_3_2!$1:$1,0)+1),MATCH(J$1,floors_multi_3_2!$1:$1,0)-MATCH($H$1,floors_multi_3_2!$1:$1,0)+1,FALSE)</f>
        <v>30</v>
      </c>
      <c r="K12" s="42" t="s">
        <v>55</v>
      </c>
      <c r="L12" s="56">
        <v>153</v>
      </c>
      <c r="M12" s="20" t="str">
        <f ca="1">VLOOKUP(L12,[2]enemies!$A:$B,2,FALSE)</f>
        <v>拳聖ランラン</v>
      </c>
      <c r="N12" s="22" t="str">
        <f ca="1">VLOOKUP(L12,[2]enemies!$A:$D,4,FALSE)</f>
        <v>green</v>
      </c>
      <c r="O12" s="22" t="str">
        <f ca="1">VLOOKUP(L12,[3]characters!$A:$J,10,FALSE)</f>
        <v>PremiumW</v>
      </c>
      <c r="P12" s="21" t="str">
        <f ca="1">VLOOKUP(L12,[3]characters!$A:$M,13,FALSE)</f>
        <v>human</v>
      </c>
      <c r="Q12" s="4">
        <f ca="1">VLOOKUP(L12,[2]enemies!$A:$X,24,FALSE)</f>
        <v>30</v>
      </c>
      <c r="R12" s="59">
        <v>65</v>
      </c>
      <c r="S12" s="60">
        <v>1</v>
      </c>
      <c r="T12" s="60">
        <v>1</v>
      </c>
      <c r="U12" s="59">
        <v>0</v>
      </c>
      <c r="V12" s="4" t="str">
        <f ca="1">VLOOKUP($W12,OFFSET([4]enemy_skill_sets!$B$1,0,0,COUNTA([4]enemy_skill_sets!$B:$B),MATCH(M$1,[4]enemy_skill_sets!$1:$1,0)-MATCH($W$1,[4]enemy_skill_sets!$1:$1,0)+2),MATCH(M$1,[4]enemy_skill_sets!$1:$1,0)-MATCH($W$1,[4]enemy_skill_sets!$1:$1,0)+2,FALSE)</f>
        <v>ランダムでハートパネルに変換</v>
      </c>
      <c r="W12" s="22">
        <v>15202</v>
      </c>
      <c r="X12" s="71">
        <v>1</v>
      </c>
      <c r="Y12" s="71">
        <v>100</v>
      </c>
      <c r="Z12" s="71">
        <v>0</v>
      </c>
      <c r="AA12" s="4">
        <f ca="1">VLOOKUP(L12,[2]enemies!$A:$V,22,FALSE)</f>
        <v>1</v>
      </c>
      <c r="AB12" s="56">
        <v>153</v>
      </c>
      <c r="AC12" s="4" t="str">
        <f ca="1">VLOOKUP(L12,[2]enemies!$A:$B,2,FALSE)</f>
        <v>拳聖ランラン</v>
      </c>
      <c r="AD12" s="4">
        <f ca="1">VLOOKUP(L12,[2]enemies!$A:$E,3,FALSE)</f>
        <v>4</v>
      </c>
      <c r="AE12" s="4" t="str">
        <f ca="1">VLOOKUP(L12,[3]characters!$A:$J,10,FALSE)</f>
        <v>PremiumW</v>
      </c>
      <c r="AF12" s="6">
        <v>1</v>
      </c>
      <c r="AG12" s="28">
        <f t="shared" ca="1" si="3"/>
        <v>4</v>
      </c>
      <c r="AH12" s="71">
        <v>0</v>
      </c>
      <c r="AI12" s="43">
        <v>0</v>
      </c>
      <c r="AJ12" s="43">
        <v>0</v>
      </c>
      <c r="AK12" s="43">
        <v>0</v>
      </c>
      <c r="AL12" s="43">
        <v>0</v>
      </c>
      <c r="AM12" s="43">
        <v>1</v>
      </c>
    </row>
    <row r="13" spans="1:39" ht="21" customHeight="1" x14ac:dyDescent="0.15">
      <c r="A13" s="17" t="str">
        <f t="shared" ca="1" si="0"/>
        <v>30010_3-4/306&lt;lv78&gt;s2</v>
      </c>
      <c r="B13" s="45">
        <v>30010</v>
      </c>
      <c r="C13" s="44">
        <v>3</v>
      </c>
      <c r="D13" s="2" t="str">
        <f t="shared" si="1"/>
        <v>30010_3</v>
      </c>
      <c r="E13" s="4" t="str">
        <f ca="1">VLOOKUP($B13,OFFSET([1]quests!$A$1,0,0,COUNTA([1]quests!$A:$A),MATCH(E$1,[1]quests!$1:$1,0)-MATCH($B$1,[1]quests!$1:$1,0)+1),MATCH(E$1,[1]quests!$1:$1,0)-MATCH($B$1,[1]quests!$1:$1,0)+1,FALSE)</f>
        <v>最大最凶</v>
      </c>
      <c r="F13" s="4" t="str">
        <f ca="1">VLOOKUP($D13,OFFSET([1]stages!$A$1,0,0,COUNTA([1]stages!$A:$A),MATCH(F$1,[1]stages!$2:$2,0)-MATCH($D$1,[1]stages!$2:$2,0)+1),MATCH(F$1,[1]stages!$2:$2,0)-MATCH($D$1,[1]stages!$2:$2,0)+1,FALSE)</f>
        <v>【超絶級】最大最凶</v>
      </c>
      <c r="G13" s="44">
        <v>4</v>
      </c>
      <c r="H13" s="16" t="str">
        <f t="shared" ca="1" si="2"/>
        <v>30010_3-4</v>
      </c>
      <c r="I13" s="4">
        <f ca="1">VLOOKUP($H13,OFFSET(floors_multi_3_2!$A$1,0,0,COUNTA(floors_multi_3_2!$A:$A),MATCH(I$1,floors_multi_3_2!$1:$1,0)-MATCH($H$1,floors_multi_3_2!$1:$1,0)+1),MATCH(I$1,floors_multi_3_2!$1:$1,0)-MATCH($H$1,floors_multi_3_2!$1:$1,0)+1,FALSE)</f>
        <v>30</v>
      </c>
      <c r="J13" s="4">
        <f ca="1">VLOOKUP($H13,OFFSET(floors_multi_3_2!$A$1,0,0,COUNTA(floors_multi_3_2!$A:$A),MATCH(J$1,floors_multi_3_2!$1:$1,0)-MATCH($H$1,floors_multi_3_2!$1:$1,0)+1),MATCH(J$1,floors_multi_3_2!$1:$1,0)-MATCH($H$1,floors_multi_3_2!$1:$1,0)+1,FALSE)</f>
        <v>30</v>
      </c>
      <c r="K13" s="42">
        <v>1</v>
      </c>
      <c r="L13" s="56">
        <v>306</v>
      </c>
      <c r="M13" s="20" t="str">
        <f ca="1">VLOOKUP(L13,[2]enemies!$A:$B,2,FALSE)</f>
        <v>メガロドン</v>
      </c>
      <c r="N13" s="22" t="str">
        <f ca="1">VLOOKUP(L13,[2]enemies!$A:$D,4,FALSE)</f>
        <v>red</v>
      </c>
      <c r="O13" s="22" t="str">
        <f ca="1">VLOOKUP(L13,[3]characters!$A:$J,10,FALSE)</f>
        <v>Drop2N</v>
      </c>
      <c r="P13" s="21" t="str">
        <f ca="1">VLOOKUP(L13,[3]characters!$A:$M,13,FALSE)</f>
        <v>animal</v>
      </c>
      <c r="Q13" s="4">
        <f ca="1">VLOOKUP(L13,[2]enemies!$A:$X,24,FALSE)</f>
        <v>30</v>
      </c>
      <c r="R13" s="59">
        <v>78</v>
      </c>
      <c r="S13" s="60">
        <v>1.4</v>
      </c>
      <c r="T13" s="60">
        <v>1</v>
      </c>
      <c r="U13" s="59">
        <v>0</v>
      </c>
      <c r="V13" s="4" t="str">
        <f ca="1">VLOOKUP($W13,OFFSET([4]enemy_skill_sets!$B$1,0,0,COUNTA([4]enemy_skill_sets!$B:$B),MATCH(M$1,[4]enemy_skill_sets!$1:$1,0)-MATCH($W$1,[4]enemy_skill_sets!$1:$1,0)+2),MATCH(M$1,[4]enemy_skill_sets!$1:$1,0)-MATCH($W$1,[4]enemy_skill_sets!$1:$1,0)+2,FALSE)</f>
        <v>赤パネルをハートパネルに大量変換</v>
      </c>
      <c r="W13" s="22">
        <v>30601</v>
      </c>
      <c r="X13" s="71">
        <v>1</v>
      </c>
      <c r="Y13" s="71">
        <v>100</v>
      </c>
      <c r="Z13" s="71">
        <v>0</v>
      </c>
      <c r="AA13" s="4">
        <f ca="1">VLOOKUP(L13,[2]enemies!$A:$V,22,FALSE)</f>
        <v>2</v>
      </c>
      <c r="AB13" s="56">
        <v>306</v>
      </c>
      <c r="AC13" s="4" t="str">
        <f ca="1">VLOOKUP(L13,[2]enemies!$A:$B,2,FALSE)</f>
        <v>メガロドン</v>
      </c>
      <c r="AD13" s="4">
        <f ca="1">VLOOKUP(L13,[2]enemies!$A:$E,3,FALSE)</f>
        <v>4</v>
      </c>
      <c r="AE13" s="4" t="str">
        <f ca="1">VLOOKUP(L13,[3]characters!$A:$J,10,FALSE)</f>
        <v>Drop2N</v>
      </c>
      <c r="AF13" s="6">
        <v>1</v>
      </c>
      <c r="AG13" s="28">
        <f t="shared" ca="1" si="3"/>
        <v>4</v>
      </c>
      <c r="AH13" s="71">
        <v>100</v>
      </c>
      <c r="AI13" s="43">
        <v>0</v>
      </c>
      <c r="AJ13" s="43">
        <v>0</v>
      </c>
      <c r="AK13" s="43">
        <v>0</v>
      </c>
      <c r="AL13" s="43">
        <v>0</v>
      </c>
      <c r="AM13" s="43">
        <v>1</v>
      </c>
    </row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Y2" sqref="Y2"/>
    </sheetView>
  </sheetViews>
  <sheetFormatPr baseColWidth="12" defaultColWidth="13" defaultRowHeight="21" customHeight="1" outlineLevelCol="1" x14ac:dyDescent="0.15"/>
  <cols>
    <col min="1" max="1" width="17" style="23" bestFit="1" customWidth="1"/>
    <col min="2" max="2" width="10.83203125" style="3" bestFit="1" customWidth="1"/>
    <col min="3" max="3" width="10.6640625" style="3" bestFit="1" customWidth="1"/>
    <col min="4" max="4" width="13" style="11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7" bestFit="1" customWidth="1"/>
    <col min="14" max="14" width="8.83203125" style="3" bestFit="1" customWidth="1" outlineLevel="1"/>
    <col min="15" max="15" width="8.6640625" style="3" bestFit="1" customWidth="1" outlineLevel="1"/>
    <col min="16" max="16" width="12" style="3" bestFit="1" customWidth="1" outlineLevel="1"/>
    <col min="17" max="17" width="21" style="3" bestFit="1" customWidth="1" outlineLevel="1"/>
    <col min="18" max="18" width="8" style="3" bestFit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39" customFormat="1" ht="21" customHeight="1" x14ac:dyDescent="0.15">
      <c r="A1" s="31" t="s">
        <v>29</v>
      </c>
      <c r="B1" s="32" t="s">
        <v>0</v>
      </c>
      <c r="C1" s="32" t="s">
        <v>1</v>
      </c>
      <c r="D1" s="33" t="s">
        <v>28</v>
      </c>
      <c r="E1" s="34" t="s">
        <v>16</v>
      </c>
      <c r="F1" s="34" t="s">
        <v>16</v>
      </c>
      <c r="G1" s="32" t="s">
        <v>19</v>
      </c>
      <c r="H1" s="33" t="s">
        <v>31</v>
      </c>
      <c r="I1" s="33" t="s">
        <v>14</v>
      </c>
      <c r="J1" s="33" t="s">
        <v>15</v>
      </c>
      <c r="K1" s="40" t="s">
        <v>56</v>
      </c>
      <c r="L1" s="40" t="s">
        <v>58</v>
      </c>
      <c r="M1" s="41" t="s">
        <v>2</v>
      </c>
      <c r="N1" s="35" t="s">
        <v>16</v>
      </c>
      <c r="O1" s="33" t="s">
        <v>24</v>
      </c>
      <c r="P1" s="33" t="s">
        <v>23</v>
      </c>
      <c r="Q1" s="36" t="s">
        <v>26</v>
      </c>
      <c r="R1" s="34" t="s">
        <v>25</v>
      </c>
      <c r="S1" s="32" t="s">
        <v>3</v>
      </c>
      <c r="T1" s="30" t="s">
        <v>50</v>
      </c>
      <c r="U1" s="30" t="s">
        <v>52</v>
      </c>
      <c r="V1" s="30" t="s">
        <v>54</v>
      </c>
      <c r="W1" s="33" t="s">
        <v>33</v>
      </c>
      <c r="X1" s="32" t="s">
        <v>4</v>
      </c>
      <c r="Y1" s="32" t="s">
        <v>8</v>
      </c>
    </row>
    <row r="2" spans="1:25" ht="21" customHeight="1" x14ac:dyDescent="0.15">
      <c r="A2" s="17" t="str">
        <f>B2&amp;"_"&amp;C2&amp;"-"&amp;G2&amp;"/"&amp;M2&amp;"&lt;lv"&amp;S2&amp;"&gt;sq"&amp;K2&amp;"st"&amp;L2</f>
        <v>30010_3-4/306&lt;lv78&gt;sq1st2</v>
      </c>
      <c r="B2" s="26">
        <v>30010</v>
      </c>
      <c r="C2" s="25">
        <v>3</v>
      </c>
      <c r="D2" s="2" t="str">
        <f>B2&amp;"_"&amp;C2</f>
        <v>30010_3</v>
      </c>
      <c r="E2" s="4" t="str">
        <f ca="1">VLOOKUP($B2,OFFSET([1]quests!$A$1,0,0,COUNTA([1]quests!$A:$A),MATCH(E$1,[1]quests!$1:$1,0)-MATCH($B$1,[1]quests!$1:$1,0)+1),MATCH(E$1,[1]quests!$1:$1,0)-MATCH($B$1,[1]quests!$1:$1,0)+1,FALSE)</f>
        <v>最大最凶</v>
      </c>
      <c r="F2" s="4" t="str">
        <f ca="1">VLOOKUP($D2,OFFSET([1]stages!$A$1,0,0,COUNTA([1]stages!$A:$A),MATCH(F$1,[1]stages!$2:$2,0)-MATCH($D$1,[1]stages!$2:$2,0)+1),MATCH(F$1,[1]stages!$2:$2,0)-MATCH($D$1,[1]stages!$2:$2,0)+1,FALSE)</f>
        <v>【超絶級】最大最凶</v>
      </c>
      <c r="G2" s="25">
        <v>4</v>
      </c>
      <c r="H2" s="16" t="str">
        <f ca="1">B2&amp;"_"&amp;C2&amp;"-"&amp;G2</f>
        <v>30010_3-4</v>
      </c>
      <c r="I2" s="4">
        <f ca="1">VLOOKUP($H2,OFFSET(floors_multi_3_2!$A$1,0,0,COUNTA(floors_multi_3_2!$A:$A),MATCH(I$1,floors_multi_3_2!$1:$1,0)-MATCH($H$1,floors_multi_3_2!$1:$1,0)+1),MATCH(I$1,floors_multi_3_2!$1:$1,0)-MATCH($H$1,floors_multi_3_2!$1:$1,0)+1,FALSE)</f>
        <v>30</v>
      </c>
      <c r="J2" s="4">
        <f ca="1">VLOOKUP($H2,OFFSET(floors_multi_3_2!$A$1,0,0,COUNTA(floors_multi_3_2!$A:$A),MATCH(J$1,floors_multi_3_2!$1:$1,0)-MATCH($H$1,floors_multi_3_2!$1:$1,0)+1),MATCH(J$1,floors_multi_3_2!$1:$1,0)-MATCH($H$1,floors_multi_3_2!$1:$1,0)+1,FALSE)</f>
        <v>30</v>
      </c>
      <c r="K2" s="42">
        <v>1</v>
      </c>
      <c r="L2" s="42">
        <v>2</v>
      </c>
      <c r="M2" s="24">
        <v>306</v>
      </c>
      <c r="N2" s="20" t="str">
        <f ca="1">VLOOKUP(M2,[2]enemies!$A:$B,2,FALSE)</f>
        <v>メガロドン</v>
      </c>
      <c r="O2" s="22" t="str">
        <f ca="1">VLOOKUP(M2,[2]enemies!$A:$D,4,FALSE)</f>
        <v>red</v>
      </c>
      <c r="P2" s="22" t="str">
        <f ca="1">VLOOKUP(M2,[3]characters!$A:$J,10,FALSE)</f>
        <v>Drop2N</v>
      </c>
      <c r="Q2" s="21" t="str">
        <f ca="1">VLOOKUP(M2,[3]characters!$A:$M,13,FALSE)</f>
        <v>animal</v>
      </c>
      <c r="R2" s="4">
        <f ca="1">VLOOKUP(M2,[2]enemies!$A:$X,24,FALSE)</f>
        <v>30</v>
      </c>
      <c r="S2" s="5">
        <v>78</v>
      </c>
      <c r="T2" s="29">
        <v>1.2</v>
      </c>
      <c r="U2" s="29">
        <v>1</v>
      </c>
      <c r="V2" s="5">
        <v>0</v>
      </c>
      <c r="W2" s="4" t="str">
        <f ca="1">VLOOKUP($X2,OFFSET([4]enemy_skill_sets!$B$1,0,0,COUNTA([4]enemy_skill_sets!$B:$B),MATCH(N$1,[4]enemy_skill_sets!$1:$1,0)-MATCH($X$1,[4]enemy_skill_sets!$1:$1,0)+2),MATCH(N$1,[4]enemy_skill_sets!$1:$1,0)-MATCH($X$1,[4]enemy_skill_sets!$1:$1,0)+2,FALSE)</f>
        <v>種族ゴッドのユニットに大ダメージ</v>
      </c>
      <c r="X2" s="4">
        <v>30603</v>
      </c>
      <c r="Y2" s="4">
        <f ca="1">VLOOKUP(J2,[2]enemies!$A:$V,22,FALSE)</f>
        <v>2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5" x14ac:dyDescent="0.15"/>
  <cols>
    <col min="1" max="1" width="10.1640625" style="18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2" customFormat="1" x14ac:dyDescent="0.15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floors_multi_3_2</v>
      </c>
    </row>
    <row r="2" spans="1:6" s="14" customFormat="1" x14ac:dyDescent="0.15">
      <c r="A2" s="18" t="s">
        <v>32</v>
      </c>
      <c r="B2" s="14" t="s">
        <v>0</v>
      </c>
      <c r="C2" s="14" t="s">
        <v>1</v>
      </c>
      <c r="D2" s="14" t="s">
        <v>13</v>
      </c>
      <c r="E2" s="14" t="s">
        <v>14</v>
      </c>
      <c r="F2" s="14" t="s">
        <v>15</v>
      </c>
    </row>
    <row r="3" spans="1:6" x14ac:dyDescent="0.15">
      <c r="A3" s="19" t="str">
        <f t="shared" ref="A3:A14" si="0">INDIRECT(ADDRESS(ROW()+$A$1,COLUMN(),1,TRUE,$C$1))</f>
        <v>30010_1-1</v>
      </c>
      <c r="B3" s="15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30010</v>
      </c>
      <c r="C3" s="15">
        <f t="shared" si="1"/>
        <v>1</v>
      </c>
      <c r="D3" s="15">
        <f t="shared" si="1"/>
        <v>1</v>
      </c>
      <c r="E3" s="15">
        <f t="shared" si="1"/>
        <v>20</v>
      </c>
      <c r="F3" s="15">
        <f t="shared" si="1"/>
        <v>20</v>
      </c>
    </row>
    <row r="4" spans="1:6" x14ac:dyDescent="0.15">
      <c r="A4" s="19" t="str">
        <f t="shared" si="0"/>
        <v>30010_1-2</v>
      </c>
      <c r="B4" s="15">
        <f t="shared" si="1"/>
        <v>30010</v>
      </c>
      <c r="C4" s="15">
        <f t="shared" si="1"/>
        <v>1</v>
      </c>
      <c r="D4" s="15">
        <f t="shared" si="1"/>
        <v>2</v>
      </c>
      <c r="E4" s="15">
        <f t="shared" si="1"/>
        <v>20</v>
      </c>
      <c r="F4" s="15">
        <f t="shared" si="1"/>
        <v>20</v>
      </c>
    </row>
    <row r="5" spans="1:6" x14ac:dyDescent="0.15">
      <c r="A5" s="19" t="str">
        <f t="shared" si="0"/>
        <v>30010_1-3</v>
      </c>
      <c r="B5" s="15">
        <f t="shared" si="1"/>
        <v>30010</v>
      </c>
      <c r="C5" s="15">
        <f t="shared" si="1"/>
        <v>1</v>
      </c>
      <c r="D5" s="15">
        <f t="shared" si="1"/>
        <v>3</v>
      </c>
      <c r="E5" s="15">
        <f t="shared" si="1"/>
        <v>20</v>
      </c>
      <c r="F5" s="15">
        <f t="shared" si="1"/>
        <v>20</v>
      </c>
    </row>
    <row r="6" spans="1:6" x14ac:dyDescent="0.15">
      <c r="A6" s="19" t="str">
        <f t="shared" si="0"/>
        <v>30010_1-4</v>
      </c>
      <c r="B6" s="15">
        <f t="shared" si="1"/>
        <v>30010</v>
      </c>
      <c r="C6" s="15">
        <f t="shared" si="1"/>
        <v>1</v>
      </c>
      <c r="D6" s="15">
        <f t="shared" si="1"/>
        <v>4</v>
      </c>
      <c r="E6" s="15">
        <f t="shared" si="1"/>
        <v>30</v>
      </c>
      <c r="F6" s="15">
        <f t="shared" si="1"/>
        <v>30</v>
      </c>
    </row>
    <row r="7" spans="1:6" x14ac:dyDescent="0.15">
      <c r="A7" s="19" t="str">
        <f t="shared" si="0"/>
        <v>30010_2-1</v>
      </c>
      <c r="B7" s="15">
        <f t="shared" si="1"/>
        <v>30010</v>
      </c>
      <c r="C7" s="15">
        <f t="shared" si="1"/>
        <v>2</v>
      </c>
      <c r="D7" s="15">
        <f t="shared" si="1"/>
        <v>1</v>
      </c>
      <c r="E7" s="15">
        <f t="shared" si="1"/>
        <v>20</v>
      </c>
      <c r="F7" s="15">
        <f t="shared" si="1"/>
        <v>20</v>
      </c>
    </row>
    <row r="8" spans="1:6" x14ac:dyDescent="0.15">
      <c r="A8" s="19" t="str">
        <f t="shared" si="0"/>
        <v>30010_2-2</v>
      </c>
      <c r="B8" s="15">
        <f t="shared" si="1"/>
        <v>30010</v>
      </c>
      <c r="C8" s="15">
        <f t="shared" si="1"/>
        <v>2</v>
      </c>
      <c r="D8" s="15">
        <f t="shared" si="1"/>
        <v>2</v>
      </c>
      <c r="E8" s="15">
        <f t="shared" si="1"/>
        <v>20</v>
      </c>
      <c r="F8" s="15">
        <f t="shared" si="1"/>
        <v>20</v>
      </c>
    </row>
    <row r="9" spans="1:6" x14ac:dyDescent="0.15">
      <c r="A9" s="19" t="str">
        <f t="shared" si="0"/>
        <v>30010_2-3</v>
      </c>
      <c r="B9" s="15">
        <f t="shared" si="1"/>
        <v>30010</v>
      </c>
      <c r="C9" s="15">
        <f t="shared" si="1"/>
        <v>2</v>
      </c>
      <c r="D9" s="15">
        <f t="shared" si="1"/>
        <v>3</v>
      </c>
      <c r="E9" s="15">
        <f t="shared" si="1"/>
        <v>20</v>
      </c>
      <c r="F9" s="15">
        <f t="shared" si="1"/>
        <v>20</v>
      </c>
    </row>
    <row r="10" spans="1:6" x14ac:dyDescent="0.15">
      <c r="A10" s="19" t="str">
        <f t="shared" si="0"/>
        <v>30010_2-4</v>
      </c>
      <c r="B10" s="15">
        <f t="shared" si="1"/>
        <v>30010</v>
      </c>
      <c r="C10" s="15">
        <f t="shared" si="1"/>
        <v>2</v>
      </c>
      <c r="D10" s="15">
        <f t="shared" si="1"/>
        <v>4</v>
      </c>
      <c r="E10" s="15">
        <f t="shared" si="1"/>
        <v>30</v>
      </c>
      <c r="F10" s="15">
        <f t="shared" si="1"/>
        <v>30</v>
      </c>
    </row>
    <row r="11" spans="1:6" x14ac:dyDescent="0.15">
      <c r="A11" s="19" t="str">
        <f t="shared" si="0"/>
        <v>30010_3-1</v>
      </c>
      <c r="B11" s="15">
        <f t="shared" si="1"/>
        <v>30010</v>
      </c>
      <c r="C11" s="15">
        <f t="shared" si="1"/>
        <v>3</v>
      </c>
      <c r="D11" s="15">
        <f t="shared" si="1"/>
        <v>1</v>
      </c>
      <c r="E11" s="15">
        <f t="shared" si="1"/>
        <v>30</v>
      </c>
      <c r="F11" s="15">
        <f t="shared" si="1"/>
        <v>30</v>
      </c>
    </row>
    <row r="12" spans="1:6" x14ac:dyDescent="0.15">
      <c r="A12" s="19" t="str">
        <f t="shared" si="0"/>
        <v>30010_3-2</v>
      </c>
      <c r="B12" s="15">
        <f t="shared" si="1"/>
        <v>30010</v>
      </c>
      <c r="C12" s="15">
        <f t="shared" si="1"/>
        <v>3</v>
      </c>
      <c r="D12" s="15">
        <f t="shared" si="1"/>
        <v>2</v>
      </c>
      <c r="E12" s="15">
        <f t="shared" si="1"/>
        <v>30</v>
      </c>
      <c r="F12" s="15">
        <f t="shared" si="1"/>
        <v>30</v>
      </c>
    </row>
    <row r="13" spans="1:6" x14ac:dyDescent="0.15">
      <c r="A13" s="19" t="str">
        <f t="shared" si="0"/>
        <v>30010_3-3</v>
      </c>
      <c r="B13" s="15">
        <f t="shared" si="1"/>
        <v>30010</v>
      </c>
      <c r="C13" s="15">
        <f t="shared" si="1"/>
        <v>3</v>
      </c>
      <c r="D13" s="15">
        <f t="shared" si="1"/>
        <v>3</v>
      </c>
      <c r="E13" s="15">
        <f t="shared" si="1"/>
        <v>30</v>
      </c>
      <c r="F13" s="15">
        <f t="shared" si="1"/>
        <v>30</v>
      </c>
    </row>
    <row r="14" spans="1:6" x14ac:dyDescent="0.15">
      <c r="A14" s="19" t="str">
        <f t="shared" si="0"/>
        <v>30010_3-4</v>
      </c>
      <c r="B14" s="15">
        <f t="shared" si="1"/>
        <v>30010</v>
      </c>
      <c r="C14" s="15">
        <f t="shared" si="1"/>
        <v>3</v>
      </c>
      <c r="D14" s="15">
        <f t="shared" si="1"/>
        <v>4</v>
      </c>
      <c r="E14" s="15">
        <f t="shared" si="1"/>
        <v>30</v>
      </c>
      <c r="F14" s="15">
        <f t="shared" si="1"/>
        <v>30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X14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29" sqref="M29"/>
    </sheetView>
  </sheetViews>
  <sheetFormatPr baseColWidth="12" defaultRowHeight="15" x14ac:dyDescent="0.15"/>
  <cols>
    <col min="1" max="1" width="13.5" style="18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  <col min="24" max="24" width="7.5" bestFit="1" customWidth="1"/>
  </cols>
  <sheetData>
    <row r="1" spans="1:24" s="12" customFormat="1" x14ac:dyDescent="0.15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enemy_habitats_multi_3_2</v>
      </c>
    </row>
    <row r="2" spans="1:24" s="14" customFormat="1" x14ac:dyDescent="0.15">
      <c r="A2" s="18" t="s">
        <v>30</v>
      </c>
      <c r="B2" s="14" t="s">
        <v>0</v>
      </c>
      <c r="C2" s="14" t="s">
        <v>1</v>
      </c>
      <c r="D2" s="14" t="s">
        <v>13</v>
      </c>
      <c r="E2" s="14" t="s">
        <v>2</v>
      </c>
      <c r="F2" s="14" t="s">
        <v>3</v>
      </c>
      <c r="G2" s="14" t="s">
        <v>49</v>
      </c>
      <c r="H2" s="14" t="s">
        <v>51</v>
      </c>
      <c r="I2" s="14" t="s">
        <v>53</v>
      </c>
      <c r="J2" s="14" t="s">
        <v>22</v>
      </c>
      <c r="K2" s="14" t="s">
        <v>5</v>
      </c>
      <c r="L2" s="14" t="s">
        <v>6</v>
      </c>
      <c r="M2" s="14" t="s">
        <v>7</v>
      </c>
      <c r="N2" s="14" t="s">
        <v>8</v>
      </c>
      <c r="O2" s="14" t="s">
        <v>9</v>
      </c>
      <c r="P2" s="14" t="s">
        <v>10</v>
      </c>
      <c r="Q2" s="14" t="s">
        <v>11</v>
      </c>
      <c r="R2" s="14" t="s">
        <v>12</v>
      </c>
      <c r="S2" s="14" t="s">
        <v>39</v>
      </c>
      <c r="T2" s="14" t="s">
        <v>41</v>
      </c>
      <c r="U2" s="14" t="s">
        <v>43</v>
      </c>
      <c r="V2" s="14" t="s">
        <v>45</v>
      </c>
      <c r="W2" s="14" t="s">
        <v>47</v>
      </c>
      <c r="X2" s="14" t="s">
        <v>57</v>
      </c>
    </row>
    <row r="3" spans="1:24" x14ac:dyDescent="0.15">
      <c r="A3" s="19" t="str">
        <f>INDIRECT(ADDRESS(ROW()+$A$1,COLUMN(),1,TRUE,$C$1))</f>
        <v>30010_1-1/132&lt;lv42&gt;s3</v>
      </c>
      <c r="B3" s="15">
        <f t="shared" ref="B3:X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30010</v>
      </c>
      <c r="C3" s="15">
        <f t="shared" si="0"/>
        <v>1</v>
      </c>
      <c r="D3" s="15">
        <f t="shared" si="0"/>
        <v>1</v>
      </c>
      <c r="E3" s="15">
        <f t="shared" si="0"/>
        <v>132</v>
      </c>
      <c r="F3" s="15">
        <f t="shared" si="0"/>
        <v>42</v>
      </c>
      <c r="G3" s="15">
        <f t="shared" si="0"/>
        <v>0.5</v>
      </c>
      <c r="H3" s="15">
        <f t="shared" si="0"/>
        <v>0.7</v>
      </c>
      <c r="I3" s="15">
        <f t="shared" si="0"/>
        <v>0</v>
      </c>
      <c r="J3" s="15">
        <f t="shared" si="0"/>
        <v>13202</v>
      </c>
      <c r="K3" s="15">
        <f t="shared" si="0"/>
        <v>1</v>
      </c>
      <c r="L3" s="15">
        <f t="shared" si="0"/>
        <v>100</v>
      </c>
      <c r="M3" s="15">
        <f t="shared" si="0"/>
        <v>0</v>
      </c>
      <c r="N3" s="15">
        <f t="shared" si="0"/>
        <v>3</v>
      </c>
      <c r="O3" s="15">
        <f t="shared" si="0"/>
        <v>132</v>
      </c>
      <c r="P3" s="15">
        <f t="shared" si="0"/>
        <v>1</v>
      </c>
      <c r="Q3" s="15">
        <f t="shared" si="0"/>
        <v>3</v>
      </c>
      <c r="R3" s="15">
        <f t="shared" si="0"/>
        <v>0</v>
      </c>
      <c r="S3" s="15">
        <f t="shared" si="0"/>
        <v>0</v>
      </c>
      <c r="T3" s="15">
        <f t="shared" si="0"/>
        <v>0</v>
      </c>
      <c r="U3" s="15">
        <f t="shared" si="0"/>
        <v>0</v>
      </c>
      <c r="V3" s="15">
        <f t="shared" si="0"/>
        <v>0</v>
      </c>
      <c r="W3" s="15">
        <f t="shared" si="0"/>
        <v>1</v>
      </c>
      <c r="X3" s="15" t="str">
        <f t="shared" si="0"/>
        <v>null</v>
      </c>
    </row>
    <row r="4" spans="1:24" x14ac:dyDescent="0.15">
      <c r="A4" s="19" t="str">
        <f t="shared" ref="A4:A14" si="1">INDIRECT(ADDRESS(ROW()+$A$1,COLUMN(),1,TRUE,$C$1))</f>
        <v>30010_1-2/130&lt;lv42&gt;s3</v>
      </c>
      <c r="B4" s="15">
        <f t="shared" si="0"/>
        <v>30010</v>
      </c>
      <c r="C4" s="15">
        <f t="shared" si="0"/>
        <v>1</v>
      </c>
      <c r="D4" s="15">
        <f t="shared" si="0"/>
        <v>2</v>
      </c>
      <c r="E4" s="15">
        <f t="shared" si="0"/>
        <v>130</v>
      </c>
      <c r="F4" s="15">
        <f t="shared" si="0"/>
        <v>42</v>
      </c>
      <c r="G4" s="15">
        <f t="shared" si="0"/>
        <v>0.9</v>
      </c>
      <c r="H4" s="15">
        <f t="shared" si="0"/>
        <v>0.8</v>
      </c>
      <c r="I4" s="15">
        <f t="shared" si="0"/>
        <v>0</v>
      </c>
      <c r="J4" s="15">
        <f t="shared" si="0"/>
        <v>13003</v>
      </c>
      <c r="K4" s="15">
        <f t="shared" si="0"/>
        <v>1</v>
      </c>
      <c r="L4" s="15">
        <f t="shared" si="0"/>
        <v>100</v>
      </c>
      <c r="M4" s="15">
        <f t="shared" si="0"/>
        <v>0</v>
      </c>
      <c r="N4" s="15">
        <f t="shared" si="0"/>
        <v>3</v>
      </c>
      <c r="O4" s="15">
        <f t="shared" si="0"/>
        <v>130</v>
      </c>
      <c r="P4" s="15">
        <f t="shared" si="0"/>
        <v>1</v>
      </c>
      <c r="Q4" s="15">
        <f t="shared" si="0"/>
        <v>3</v>
      </c>
      <c r="R4" s="15">
        <f t="shared" si="0"/>
        <v>0</v>
      </c>
      <c r="S4" s="15">
        <f t="shared" si="0"/>
        <v>0</v>
      </c>
      <c r="T4" s="15">
        <f t="shared" si="0"/>
        <v>0</v>
      </c>
      <c r="U4" s="15">
        <f t="shared" si="0"/>
        <v>0</v>
      </c>
      <c r="V4" s="15">
        <f t="shared" si="0"/>
        <v>0</v>
      </c>
      <c r="W4" s="15">
        <f t="shared" si="0"/>
        <v>1</v>
      </c>
      <c r="X4" s="15" t="str">
        <f t="shared" si="0"/>
        <v>null</v>
      </c>
    </row>
    <row r="5" spans="1:24" x14ac:dyDescent="0.15">
      <c r="A5" s="19" t="str">
        <f t="shared" si="1"/>
        <v>30010_1-3/152&lt;lv45&gt;s1</v>
      </c>
      <c r="B5" s="15">
        <f t="shared" si="0"/>
        <v>30010</v>
      </c>
      <c r="C5" s="15">
        <f t="shared" si="0"/>
        <v>1</v>
      </c>
      <c r="D5" s="15">
        <f t="shared" si="0"/>
        <v>3</v>
      </c>
      <c r="E5" s="15">
        <f t="shared" si="0"/>
        <v>152</v>
      </c>
      <c r="F5" s="15">
        <f t="shared" si="0"/>
        <v>45</v>
      </c>
      <c r="G5" s="15">
        <f t="shared" si="0"/>
        <v>1.1000000000000001</v>
      </c>
      <c r="H5" s="15">
        <f t="shared" si="0"/>
        <v>0.9</v>
      </c>
      <c r="I5" s="15">
        <f t="shared" si="0"/>
        <v>0</v>
      </c>
      <c r="J5" s="15">
        <f t="shared" si="0"/>
        <v>15202</v>
      </c>
      <c r="K5" s="15">
        <f t="shared" si="0"/>
        <v>1</v>
      </c>
      <c r="L5" s="15">
        <f t="shared" si="0"/>
        <v>100</v>
      </c>
      <c r="M5" s="15">
        <f t="shared" si="0"/>
        <v>0</v>
      </c>
      <c r="N5" s="15">
        <f t="shared" si="0"/>
        <v>1</v>
      </c>
      <c r="O5" s="15">
        <f t="shared" si="0"/>
        <v>152</v>
      </c>
      <c r="P5" s="15">
        <f t="shared" si="0"/>
        <v>1</v>
      </c>
      <c r="Q5" s="15">
        <f t="shared" si="0"/>
        <v>3</v>
      </c>
      <c r="R5" s="15">
        <f t="shared" si="0"/>
        <v>0</v>
      </c>
      <c r="S5" s="15">
        <f t="shared" si="0"/>
        <v>0</v>
      </c>
      <c r="T5" s="15">
        <f t="shared" si="0"/>
        <v>0</v>
      </c>
      <c r="U5" s="15">
        <f t="shared" si="0"/>
        <v>0</v>
      </c>
      <c r="V5" s="15">
        <f t="shared" si="0"/>
        <v>0</v>
      </c>
      <c r="W5" s="15">
        <f t="shared" si="0"/>
        <v>1</v>
      </c>
      <c r="X5" s="15" t="str">
        <f t="shared" si="0"/>
        <v>null</v>
      </c>
    </row>
    <row r="6" spans="1:24" x14ac:dyDescent="0.15">
      <c r="A6" s="19" t="str">
        <f t="shared" si="1"/>
        <v>30010_1-4/306&lt;lv48&gt;s2</v>
      </c>
      <c r="B6" s="15">
        <f t="shared" si="0"/>
        <v>30010</v>
      </c>
      <c r="C6" s="15">
        <f t="shared" si="0"/>
        <v>1</v>
      </c>
      <c r="D6" s="15">
        <f t="shared" si="0"/>
        <v>4</v>
      </c>
      <c r="E6" s="15">
        <f t="shared" si="0"/>
        <v>306</v>
      </c>
      <c r="F6" s="15">
        <f t="shared" si="0"/>
        <v>48</v>
      </c>
      <c r="G6" s="15">
        <f t="shared" si="0"/>
        <v>3</v>
      </c>
      <c r="H6" s="15">
        <f t="shared" si="0"/>
        <v>1.2</v>
      </c>
      <c r="I6" s="15">
        <f t="shared" si="0"/>
        <v>0</v>
      </c>
      <c r="J6" s="15">
        <f t="shared" si="0"/>
        <v>30602</v>
      </c>
      <c r="K6" s="15">
        <f t="shared" si="0"/>
        <v>1</v>
      </c>
      <c r="L6" s="15">
        <f t="shared" si="0"/>
        <v>100</v>
      </c>
      <c r="M6" s="15">
        <f t="shared" si="0"/>
        <v>0</v>
      </c>
      <c r="N6" s="15">
        <f t="shared" si="0"/>
        <v>2</v>
      </c>
      <c r="O6" s="15">
        <f t="shared" si="0"/>
        <v>306</v>
      </c>
      <c r="P6" s="15">
        <f t="shared" si="0"/>
        <v>1</v>
      </c>
      <c r="Q6" s="15">
        <f t="shared" si="0"/>
        <v>4</v>
      </c>
      <c r="R6" s="15">
        <f t="shared" si="0"/>
        <v>20</v>
      </c>
      <c r="S6" s="15">
        <f t="shared" si="0"/>
        <v>0</v>
      </c>
      <c r="T6" s="15">
        <f t="shared" si="0"/>
        <v>0</v>
      </c>
      <c r="U6" s="15">
        <f t="shared" si="0"/>
        <v>0</v>
      </c>
      <c r="V6" s="15">
        <f t="shared" si="0"/>
        <v>0</v>
      </c>
      <c r="W6" s="15">
        <f t="shared" si="0"/>
        <v>1</v>
      </c>
      <c r="X6" s="15" t="str">
        <f t="shared" si="0"/>
        <v>null</v>
      </c>
    </row>
    <row r="7" spans="1:24" x14ac:dyDescent="0.15">
      <c r="A7" s="19" t="str">
        <f t="shared" si="1"/>
        <v>30010_2-1/132&lt;lv53&gt;s3</v>
      </c>
      <c r="B7" s="15">
        <f t="shared" si="0"/>
        <v>30010</v>
      </c>
      <c r="C7" s="15">
        <f t="shared" si="0"/>
        <v>2</v>
      </c>
      <c r="D7" s="15">
        <f t="shared" si="0"/>
        <v>1</v>
      </c>
      <c r="E7" s="15">
        <f t="shared" si="0"/>
        <v>132</v>
      </c>
      <c r="F7" s="15">
        <f t="shared" si="0"/>
        <v>53</v>
      </c>
      <c r="G7" s="15">
        <f t="shared" si="0"/>
        <v>0.5</v>
      </c>
      <c r="H7" s="15">
        <f t="shared" si="0"/>
        <v>0.7</v>
      </c>
      <c r="I7" s="15">
        <f t="shared" si="0"/>
        <v>0</v>
      </c>
      <c r="J7" s="15">
        <f t="shared" si="0"/>
        <v>13202</v>
      </c>
      <c r="K7" s="15">
        <f t="shared" si="0"/>
        <v>1</v>
      </c>
      <c r="L7" s="15">
        <f t="shared" si="0"/>
        <v>100</v>
      </c>
      <c r="M7" s="15">
        <f t="shared" si="0"/>
        <v>0</v>
      </c>
      <c r="N7" s="15">
        <f t="shared" si="0"/>
        <v>3</v>
      </c>
      <c r="O7" s="15">
        <f t="shared" si="0"/>
        <v>132</v>
      </c>
      <c r="P7" s="15">
        <f t="shared" si="0"/>
        <v>1</v>
      </c>
      <c r="Q7" s="15">
        <f t="shared" si="0"/>
        <v>3</v>
      </c>
      <c r="R7" s="15">
        <f t="shared" si="0"/>
        <v>0</v>
      </c>
      <c r="S7" s="15">
        <f t="shared" si="0"/>
        <v>0</v>
      </c>
      <c r="T7" s="15">
        <f t="shared" si="0"/>
        <v>0</v>
      </c>
      <c r="U7" s="15">
        <f t="shared" si="0"/>
        <v>0</v>
      </c>
      <c r="V7" s="15">
        <f t="shared" si="0"/>
        <v>0</v>
      </c>
      <c r="W7" s="15">
        <f t="shared" si="0"/>
        <v>1</v>
      </c>
      <c r="X7" s="15" t="str">
        <f t="shared" si="0"/>
        <v>null</v>
      </c>
    </row>
    <row r="8" spans="1:24" x14ac:dyDescent="0.15">
      <c r="A8" s="19" t="str">
        <f t="shared" si="1"/>
        <v>30010_2-2/130&lt;lv53&gt;s3</v>
      </c>
      <c r="B8" s="15">
        <f t="shared" si="0"/>
        <v>30010</v>
      </c>
      <c r="C8" s="15">
        <f t="shared" si="0"/>
        <v>2</v>
      </c>
      <c r="D8" s="15">
        <f t="shared" si="0"/>
        <v>2</v>
      </c>
      <c r="E8" s="15">
        <f t="shared" si="0"/>
        <v>130</v>
      </c>
      <c r="F8" s="15">
        <f t="shared" si="0"/>
        <v>53</v>
      </c>
      <c r="G8" s="15">
        <f t="shared" si="0"/>
        <v>0.8</v>
      </c>
      <c r="H8" s="15">
        <f t="shared" si="0"/>
        <v>0.8</v>
      </c>
      <c r="I8" s="15">
        <f t="shared" si="0"/>
        <v>0</v>
      </c>
      <c r="J8" s="15">
        <f t="shared" si="0"/>
        <v>13003</v>
      </c>
      <c r="K8" s="15">
        <f t="shared" si="0"/>
        <v>1</v>
      </c>
      <c r="L8" s="15">
        <f t="shared" si="0"/>
        <v>100</v>
      </c>
      <c r="M8" s="15">
        <f t="shared" si="0"/>
        <v>0</v>
      </c>
      <c r="N8" s="15">
        <f t="shared" si="0"/>
        <v>3</v>
      </c>
      <c r="O8" s="15">
        <f t="shared" si="0"/>
        <v>130</v>
      </c>
      <c r="P8" s="15">
        <f t="shared" si="0"/>
        <v>1</v>
      </c>
      <c r="Q8" s="15">
        <f t="shared" si="0"/>
        <v>3</v>
      </c>
      <c r="R8" s="15">
        <f t="shared" si="0"/>
        <v>0</v>
      </c>
      <c r="S8" s="15">
        <f t="shared" si="0"/>
        <v>0</v>
      </c>
      <c r="T8" s="15">
        <f t="shared" si="0"/>
        <v>0</v>
      </c>
      <c r="U8" s="15">
        <f t="shared" si="0"/>
        <v>0</v>
      </c>
      <c r="V8" s="15">
        <f t="shared" si="0"/>
        <v>0</v>
      </c>
      <c r="W8" s="15">
        <f t="shared" si="0"/>
        <v>1</v>
      </c>
      <c r="X8" s="15" t="str">
        <f t="shared" si="0"/>
        <v>null</v>
      </c>
    </row>
    <row r="9" spans="1:24" x14ac:dyDescent="0.15">
      <c r="A9" s="19" t="str">
        <f t="shared" si="1"/>
        <v>30010_2-3/152&lt;lv57&gt;s1</v>
      </c>
      <c r="B9" s="15">
        <f t="shared" si="0"/>
        <v>30010</v>
      </c>
      <c r="C9" s="15">
        <f t="shared" si="0"/>
        <v>2</v>
      </c>
      <c r="D9" s="15">
        <f t="shared" si="0"/>
        <v>3</v>
      </c>
      <c r="E9" s="15">
        <f t="shared" si="0"/>
        <v>152</v>
      </c>
      <c r="F9" s="15">
        <f t="shared" si="0"/>
        <v>57</v>
      </c>
      <c r="G9" s="15">
        <f t="shared" si="0"/>
        <v>1</v>
      </c>
      <c r="H9" s="15">
        <f t="shared" si="0"/>
        <v>0.9</v>
      </c>
      <c r="I9" s="15">
        <f t="shared" si="0"/>
        <v>0</v>
      </c>
      <c r="J9" s="15">
        <f t="shared" si="0"/>
        <v>15202</v>
      </c>
      <c r="K9" s="15">
        <f t="shared" si="0"/>
        <v>1</v>
      </c>
      <c r="L9" s="15">
        <f t="shared" si="0"/>
        <v>100</v>
      </c>
      <c r="M9" s="15">
        <f t="shared" si="0"/>
        <v>0</v>
      </c>
      <c r="N9" s="15">
        <f t="shared" si="0"/>
        <v>1</v>
      </c>
      <c r="O9" s="15">
        <f t="shared" si="0"/>
        <v>152</v>
      </c>
      <c r="P9" s="15">
        <f t="shared" si="0"/>
        <v>1</v>
      </c>
      <c r="Q9" s="15">
        <f t="shared" si="0"/>
        <v>3</v>
      </c>
      <c r="R9" s="15">
        <f t="shared" si="0"/>
        <v>0</v>
      </c>
      <c r="S9" s="15">
        <f t="shared" si="0"/>
        <v>0</v>
      </c>
      <c r="T9" s="15">
        <f t="shared" si="0"/>
        <v>0</v>
      </c>
      <c r="U9" s="15">
        <f t="shared" si="0"/>
        <v>0</v>
      </c>
      <c r="V9" s="15">
        <f t="shared" si="0"/>
        <v>0</v>
      </c>
      <c r="W9" s="15">
        <f t="shared" si="0"/>
        <v>1</v>
      </c>
      <c r="X9" s="15" t="str">
        <f t="shared" si="0"/>
        <v>null</v>
      </c>
    </row>
    <row r="10" spans="1:24" x14ac:dyDescent="0.15">
      <c r="A10" s="19" t="str">
        <f t="shared" si="1"/>
        <v>30010_2-4/306&lt;lv60&gt;s2</v>
      </c>
      <c r="B10" s="15">
        <f t="shared" si="0"/>
        <v>30010</v>
      </c>
      <c r="C10" s="15">
        <f t="shared" si="0"/>
        <v>2</v>
      </c>
      <c r="D10" s="15">
        <f t="shared" si="0"/>
        <v>4</v>
      </c>
      <c r="E10" s="15">
        <f t="shared" si="0"/>
        <v>306</v>
      </c>
      <c r="F10" s="15">
        <f t="shared" si="0"/>
        <v>60</v>
      </c>
      <c r="G10" s="15">
        <f t="shared" si="0"/>
        <v>3</v>
      </c>
      <c r="H10" s="15">
        <f t="shared" si="0"/>
        <v>1</v>
      </c>
      <c r="I10" s="15">
        <f t="shared" si="0"/>
        <v>0</v>
      </c>
      <c r="J10" s="15">
        <f t="shared" si="0"/>
        <v>30601</v>
      </c>
      <c r="K10" s="15">
        <f t="shared" si="0"/>
        <v>1</v>
      </c>
      <c r="L10" s="15">
        <f t="shared" si="0"/>
        <v>100</v>
      </c>
      <c r="M10" s="15">
        <f t="shared" si="0"/>
        <v>0</v>
      </c>
      <c r="N10" s="15">
        <f t="shared" si="0"/>
        <v>2</v>
      </c>
      <c r="O10" s="15">
        <f t="shared" si="0"/>
        <v>306</v>
      </c>
      <c r="P10" s="15">
        <f t="shared" si="0"/>
        <v>1</v>
      </c>
      <c r="Q10" s="15">
        <f t="shared" si="0"/>
        <v>4</v>
      </c>
      <c r="R10" s="15">
        <f ca="1">VLOOKUP($A10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10" s="15">
        <f t="shared" si="0"/>
        <v>0</v>
      </c>
      <c r="T10" s="15">
        <f t="shared" si="0"/>
        <v>0</v>
      </c>
      <c r="U10" s="15">
        <f t="shared" si="0"/>
        <v>0</v>
      </c>
      <c r="V10" s="15">
        <f t="shared" si="0"/>
        <v>0</v>
      </c>
      <c r="W10" s="15">
        <f t="shared" si="0"/>
        <v>1</v>
      </c>
      <c r="X10" s="15" t="str">
        <f t="shared" si="0"/>
        <v>null</v>
      </c>
    </row>
    <row r="11" spans="1:24" x14ac:dyDescent="0.15">
      <c r="A11" s="19" t="str">
        <f t="shared" si="1"/>
        <v>30010_3-1/133&lt;lv60&gt;s3</v>
      </c>
      <c r="B11" s="15">
        <f t="shared" si="0"/>
        <v>30010</v>
      </c>
      <c r="C11" s="15">
        <f t="shared" si="0"/>
        <v>3</v>
      </c>
      <c r="D11" s="15">
        <f t="shared" si="0"/>
        <v>1</v>
      </c>
      <c r="E11" s="15">
        <f t="shared" si="0"/>
        <v>133</v>
      </c>
      <c r="F11" s="15">
        <f t="shared" si="0"/>
        <v>60</v>
      </c>
      <c r="G11" s="15">
        <f t="shared" si="0"/>
        <v>0.5</v>
      </c>
      <c r="H11" s="15">
        <f t="shared" si="0"/>
        <v>0.7</v>
      </c>
      <c r="I11" s="15">
        <f t="shared" si="0"/>
        <v>0</v>
      </c>
      <c r="J11" s="15">
        <f t="shared" si="0"/>
        <v>13202</v>
      </c>
      <c r="K11" s="15">
        <f t="shared" si="0"/>
        <v>1</v>
      </c>
      <c r="L11" s="15">
        <f t="shared" si="0"/>
        <v>100</v>
      </c>
      <c r="M11" s="15">
        <f t="shared" si="0"/>
        <v>0</v>
      </c>
      <c r="N11" s="15">
        <f t="shared" si="0"/>
        <v>3</v>
      </c>
      <c r="O11" s="15">
        <f t="shared" si="0"/>
        <v>133</v>
      </c>
      <c r="P11" s="15">
        <f t="shared" si="0"/>
        <v>1</v>
      </c>
      <c r="Q11" s="15">
        <f t="shared" si="0"/>
        <v>4</v>
      </c>
      <c r="R11" s="15">
        <f t="shared" si="0"/>
        <v>0</v>
      </c>
      <c r="S11" s="15">
        <f t="shared" si="0"/>
        <v>0</v>
      </c>
      <c r="T11" s="15">
        <f t="shared" si="0"/>
        <v>0</v>
      </c>
      <c r="U11" s="15">
        <f t="shared" si="0"/>
        <v>0</v>
      </c>
      <c r="V11" s="15">
        <f t="shared" si="0"/>
        <v>0</v>
      </c>
      <c r="W11" s="15">
        <f t="shared" si="0"/>
        <v>1</v>
      </c>
      <c r="X11" s="15" t="str">
        <f t="shared" si="0"/>
        <v>null</v>
      </c>
    </row>
    <row r="12" spans="1:24" x14ac:dyDescent="0.15">
      <c r="A12" s="19" t="str">
        <f t="shared" si="1"/>
        <v>30010_3-2/131&lt;lv60&gt;s3</v>
      </c>
      <c r="B12" s="15">
        <f t="shared" si="0"/>
        <v>30010</v>
      </c>
      <c r="C12" s="15">
        <f t="shared" si="0"/>
        <v>3</v>
      </c>
      <c r="D12" s="15">
        <f t="shared" si="0"/>
        <v>2</v>
      </c>
      <c r="E12" s="15">
        <f t="shared" si="0"/>
        <v>131</v>
      </c>
      <c r="F12" s="15">
        <f t="shared" si="0"/>
        <v>60</v>
      </c>
      <c r="G12" s="15">
        <f t="shared" si="0"/>
        <v>0.8</v>
      </c>
      <c r="H12" s="15">
        <f t="shared" si="0"/>
        <v>0.8</v>
      </c>
      <c r="I12" s="15">
        <f t="shared" si="0"/>
        <v>0</v>
      </c>
      <c r="J12" s="15">
        <f t="shared" si="0"/>
        <v>13003</v>
      </c>
      <c r="K12" s="15">
        <f t="shared" si="0"/>
        <v>1</v>
      </c>
      <c r="L12" s="15">
        <f t="shared" si="0"/>
        <v>100</v>
      </c>
      <c r="M12" s="15">
        <f t="shared" si="0"/>
        <v>0</v>
      </c>
      <c r="N12" s="15">
        <f t="shared" si="0"/>
        <v>3</v>
      </c>
      <c r="O12" s="15">
        <f t="shared" si="0"/>
        <v>131</v>
      </c>
      <c r="P12" s="15">
        <f t="shared" si="0"/>
        <v>1</v>
      </c>
      <c r="Q12" s="15">
        <f t="shared" si="0"/>
        <v>4</v>
      </c>
      <c r="R12" s="15">
        <f t="shared" si="0"/>
        <v>0</v>
      </c>
      <c r="S12" s="15">
        <f t="shared" si="0"/>
        <v>0</v>
      </c>
      <c r="T12" s="15">
        <f t="shared" si="0"/>
        <v>0</v>
      </c>
      <c r="U12" s="15">
        <f t="shared" si="0"/>
        <v>0</v>
      </c>
      <c r="V12" s="15">
        <f t="shared" si="0"/>
        <v>0</v>
      </c>
      <c r="W12" s="15">
        <f t="shared" si="0"/>
        <v>1</v>
      </c>
      <c r="X12" s="15" t="str">
        <f t="shared" si="0"/>
        <v>null</v>
      </c>
    </row>
    <row r="13" spans="1:24" x14ac:dyDescent="0.15">
      <c r="A13" s="19" t="str">
        <f t="shared" si="1"/>
        <v>30010_3-3/153&lt;lv65&gt;s1</v>
      </c>
      <c r="B13" s="15">
        <f t="shared" si="0"/>
        <v>30010</v>
      </c>
      <c r="C13" s="15">
        <f t="shared" si="0"/>
        <v>3</v>
      </c>
      <c r="D13" s="15">
        <f t="shared" si="0"/>
        <v>3</v>
      </c>
      <c r="E13" s="15">
        <f t="shared" si="0"/>
        <v>153</v>
      </c>
      <c r="F13" s="15">
        <f t="shared" si="0"/>
        <v>65</v>
      </c>
      <c r="G13" s="15">
        <f t="shared" si="0"/>
        <v>1</v>
      </c>
      <c r="H13" s="15">
        <f t="shared" si="0"/>
        <v>1</v>
      </c>
      <c r="I13" s="15">
        <f t="shared" si="0"/>
        <v>0</v>
      </c>
      <c r="J13" s="15">
        <f t="shared" si="0"/>
        <v>15202</v>
      </c>
      <c r="K13" s="15">
        <f t="shared" si="0"/>
        <v>1</v>
      </c>
      <c r="L13" s="15">
        <f t="shared" si="0"/>
        <v>100</v>
      </c>
      <c r="M13" s="15">
        <f t="shared" si="0"/>
        <v>0</v>
      </c>
      <c r="N13" s="15">
        <f t="shared" si="0"/>
        <v>1</v>
      </c>
      <c r="O13" s="15">
        <f t="shared" si="0"/>
        <v>153</v>
      </c>
      <c r="P13" s="15">
        <f t="shared" si="0"/>
        <v>1</v>
      </c>
      <c r="Q13" s="15">
        <f t="shared" si="0"/>
        <v>4</v>
      </c>
      <c r="R13" s="15">
        <f t="shared" si="0"/>
        <v>0</v>
      </c>
      <c r="S13" s="15">
        <f t="shared" si="0"/>
        <v>0</v>
      </c>
      <c r="T13" s="15">
        <f t="shared" si="0"/>
        <v>0</v>
      </c>
      <c r="U13" s="15">
        <f t="shared" si="0"/>
        <v>0</v>
      </c>
      <c r="V13" s="15">
        <f t="shared" si="0"/>
        <v>0</v>
      </c>
      <c r="W13" s="15">
        <f t="shared" si="0"/>
        <v>1</v>
      </c>
      <c r="X13" s="15" t="str">
        <f t="shared" si="0"/>
        <v>null</v>
      </c>
    </row>
    <row r="14" spans="1:24" x14ac:dyDescent="0.15">
      <c r="A14" s="19" t="str">
        <f t="shared" si="1"/>
        <v>30010_3-4/306&lt;lv78&gt;s2</v>
      </c>
      <c r="B14" s="15">
        <f t="shared" si="0"/>
        <v>30010</v>
      </c>
      <c r="C14" s="15">
        <f t="shared" si="0"/>
        <v>3</v>
      </c>
      <c r="D14" s="15">
        <f t="shared" ref="D14:X14" si="2">VLOOKUP($A14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4</v>
      </c>
      <c r="E14" s="15">
        <f t="shared" si="2"/>
        <v>306</v>
      </c>
      <c r="F14" s="15">
        <f t="shared" si="2"/>
        <v>78</v>
      </c>
      <c r="G14" s="15">
        <f t="shared" si="2"/>
        <v>1.4</v>
      </c>
      <c r="H14" s="15">
        <f t="shared" si="2"/>
        <v>1</v>
      </c>
      <c r="I14" s="15">
        <f t="shared" si="2"/>
        <v>0</v>
      </c>
      <c r="J14" s="15">
        <f t="shared" si="2"/>
        <v>30601</v>
      </c>
      <c r="K14" s="15">
        <f t="shared" si="2"/>
        <v>1</v>
      </c>
      <c r="L14" s="15">
        <f t="shared" si="2"/>
        <v>100</v>
      </c>
      <c r="M14" s="15">
        <f t="shared" si="2"/>
        <v>0</v>
      </c>
      <c r="N14" s="15">
        <f t="shared" si="2"/>
        <v>2</v>
      </c>
      <c r="O14" s="15">
        <f t="shared" si="2"/>
        <v>306</v>
      </c>
      <c r="P14" s="15">
        <f t="shared" si="2"/>
        <v>1</v>
      </c>
      <c r="Q14" s="15">
        <f t="shared" si="2"/>
        <v>4</v>
      </c>
      <c r="R14" s="15">
        <f ca="1">VLOOKUP($A14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14" s="15">
        <f t="shared" si="2"/>
        <v>0</v>
      </c>
      <c r="T14" s="15">
        <f t="shared" si="2"/>
        <v>0</v>
      </c>
      <c r="U14" s="15">
        <f t="shared" si="2"/>
        <v>0</v>
      </c>
      <c r="V14" s="15">
        <f t="shared" si="2"/>
        <v>0</v>
      </c>
      <c r="W14" s="15">
        <f t="shared" si="2"/>
        <v>1</v>
      </c>
      <c r="X14" s="15">
        <f t="shared" si="2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3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16" sqref="N16"/>
    </sheetView>
  </sheetViews>
  <sheetFormatPr baseColWidth="12" defaultRowHeight="15" x14ac:dyDescent="0.15"/>
  <cols>
    <col min="1" max="1" width="15.5" style="18" bestFit="1" customWidth="1"/>
    <col min="2" max="2" width="8.6640625" bestFit="1" customWidth="1"/>
    <col min="3" max="3" width="20.1640625" bestFit="1" customWidth="1"/>
    <col min="4" max="4" width="8" bestFit="1" customWidth="1"/>
    <col min="5" max="5" width="7.5" bestFit="1" customWidth="1"/>
    <col min="6" max="6" width="8.83203125" bestFit="1" customWidth="1"/>
    <col min="7" max="7" width="12.1640625" bestFit="1" customWidth="1"/>
    <col min="8" max="8" width="6" bestFit="1" customWidth="1"/>
    <col min="9" max="9" width="7" bestFit="1" customWidth="1"/>
    <col min="10" max="10" width="10.33203125" bestFit="1" customWidth="1"/>
    <col min="11" max="11" width="13.5" bestFit="1" customWidth="1"/>
    <col min="12" max="12" width="16.6640625" bestFit="1" customWidth="1"/>
    <col min="13" max="13" width="17.6640625" bestFit="1" customWidth="1"/>
  </cols>
  <sheetData>
    <row r="1" spans="1:13" s="12" customFormat="1" x14ac:dyDescent="0.15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enemy_habitat_S_multi_3_2</v>
      </c>
    </row>
    <row r="2" spans="1:13" s="14" customFormat="1" x14ac:dyDescent="0.15">
      <c r="A2" s="18" t="s">
        <v>29</v>
      </c>
      <c r="B2" s="14" t="s">
        <v>0</v>
      </c>
      <c r="C2" s="14" t="s">
        <v>1</v>
      </c>
      <c r="D2" s="14" t="s">
        <v>13</v>
      </c>
      <c r="E2" s="14" t="s">
        <v>59</v>
      </c>
      <c r="F2" s="14" t="s">
        <v>60</v>
      </c>
      <c r="G2" s="14" t="s">
        <v>61</v>
      </c>
      <c r="H2" s="14" t="s">
        <v>62</v>
      </c>
      <c r="I2" s="14" t="s">
        <v>63</v>
      </c>
      <c r="J2" s="14" t="s">
        <v>64</v>
      </c>
      <c r="K2" s="14" t="s">
        <v>65</v>
      </c>
      <c r="L2" s="14" t="s">
        <v>66</v>
      </c>
      <c r="M2" s="14" t="s">
        <v>67</v>
      </c>
    </row>
    <row r="3" spans="1:13" x14ac:dyDescent="0.15">
      <c r="A3" s="19" t="str">
        <f>INDIRECT(ADDRESS(ROW()+$A$1,COLUMN(),1,TRUE,$C$1))</f>
        <v>30010_3-4/306&lt;lv78&gt;sq1st2</v>
      </c>
      <c r="B3" s="15">
        <f t="shared" ref="B3:M3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30010</v>
      </c>
      <c r="C3" s="15">
        <f t="shared" si="0"/>
        <v>3</v>
      </c>
      <c r="D3" s="15">
        <f t="shared" si="0"/>
        <v>4</v>
      </c>
      <c r="E3" s="15">
        <f t="shared" si="0"/>
        <v>1</v>
      </c>
      <c r="F3" s="15">
        <f t="shared" si="0"/>
        <v>2</v>
      </c>
      <c r="G3" s="15">
        <f t="shared" si="0"/>
        <v>306</v>
      </c>
      <c r="H3" s="15">
        <f t="shared" si="0"/>
        <v>78</v>
      </c>
      <c r="I3" s="15">
        <f t="shared" si="0"/>
        <v>2</v>
      </c>
      <c r="J3" s="15">
        <f t="shared" si="0"/>
        <v>30603</v>
      </c>
      <c r="K3" s="15">
        <f t="shared" si="0"/>
        <v>1.2</v>
      </c>
      <c r="L3" s="15">
        <f t="shared" si="0"/>
        <v>1</v>
      </c>
      <c r="M3" s="15">
        <f t="shared" si="0"/>
        <v>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floors_multi_3_2</vt:lpstr>
      <vt:lpstr>enemy_habitats_multi_3_2</vt:lpstr>
      <vt:lpstr>enemy_habitat_S_multi_3_2</vt:lpstr>
      <vt:lpstr>floors_multi_3_2.tmp</vt:lpstr>
      <vt:lpstr>enemy_habitats_multi_3_2.tmp</vt:lpstr>
      <vt:lpstr>enemy_habitat_S_multi_3_2.tmp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2017-03-08T03:20:58Z</dcterms:modified>
</cp:coreProperties>
</file>