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106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kamei/Documents/BULL_data/master_excel/"/>
    </mc:Choice>
  </mc:AlternateContent>
  <bookViews>
    <workbookView xWindow="2280" yWindow="460" windowWidth="25140" windowHeight="14640" tabRatio="943" activeTab="5"/>
  </bookViews>
  <sheets>
    <sheet name="確率の考え方" sheetId="110" r:id="rId1"/>
    <sheet name="Sheet1" sheetId="107" r:id="rId2"/>
    <sheet name="output" sheetId="103" r:id="rId3"/>
    <sheet name="input_356010" sheetId="106" r:id="rId4"/>
    <sheet name="tables_356010" sheetId="82" r:id="rId5"/>
    <sheet name="input_356100" sheetId="119" r:id="rId6"/>
    <sheet name="tables_356100" sheetId="120" r:id="rId7"/>
    <sheet name="tables_settle_356100" sheetId="118" r:id="rId8"/>
    <sheet name="gacha_bonus_tables" sheetId="98" r:id="rId9"/>
    <sheet name="R6追加前" sheetId="111" r:id="rId10"/>
    <sheet name="R6開放" sheetId="112" r:id="rId11"/>
  </sheets>
  <externalReferences>
    <externalReference r:id="rId12"/>
  </externalReferences>
  <definedNames>
    <definedName name="_xlnm._FilterDatabase" localSheetId="8" hidden="1">gacha_bonus_tables!$A$1:$F$1</definedName>
    <definedName name="_xlnm._FilterDatabase" localSheetId="4" hidden="1">tables_356010!$A$1:$V$285</definedName>
    <definedName name="_xlnm._FilterDatabase" localSheetId="6" hidden="1">tables_356100!$A$1:$V$285</definedName>
    <definedName name="_xlnm._FilterDatabase" localSheetId="7" hidden="1">tables_settle_356100!$A$1:$V$51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F6" i="119" l="1"/>
  <c r="F8" i="119"/>
  <c r="F7" i="119"/>
  <c r="I285" i="120"/>
  <c r="D285" i="120"/>
  <c r="J285" i="120"/>
  <c r="E285" i="120"/>
  <c r="F285" i="120"/>
  <c r="C285" i="120"/>
  <c r="A2" i="119"/>
  <c r="I2" i="120"/>
  <c r="D2" i="120"/>
  <c r="J2" i="120"/>
  <c r="E2" i="120"/>
  <c r="F2" i="120"/>
  <c r="C2" i="120"/>
  <c r="I3" i="120"/>
  <c r="D3" i="120"/>
  <c r="J3" i="120"/>
  <c r="E3" i="120"/>
  <c r="F3" i="120"/>
  <c r="C3" i="120"/>
  <c r="I4" i="120"/>
  <c r="D4" i="120"/>
  <c r="J4" i="120"/>
  <c r="E4" i="120"/>
  <c r="F4" i="120"/>
  <c r="C4" i="120"/>
  <c r="I5" i="120"/>
  <c r="D5" i="120"/>
  <c r="J5" i="120"/>
  <c r="E5" i="120"/>
  <c r="F5" i="120"/>
  <c r="C5" i="120"/>
  <c r="I6" i="120"/>
  <c r="D6" i="120"/>
  <c r="J6" i="120"/>
  <c r="E6" i="120"/>
  <c r="F6" i="120"/>
  <c r="C6" i="120"/>
  <c r="I7" i="120"/>
  <c r="D7" i="120"/>
  <c r="J7" i="120"/>
  <c r="E7" i="120"/>
  <c r="F7" i="120"/>
  <c r="C7" i="120"/>
  <c r="I8" i="120"/>
  <c r="D8" i="120"/>
  <c r="J8" i="120"/>
  <c r="E8" i="120"/>
  <c r="F8" i="120"/>
  <c r="C8" i="120"/>
  <c r="I9" i="120"/>
  <c r="D9" i="120"/>
  <c r="J9" i="120"/>
  <c r="E9" i="120"/>
  <c r="F9" i="120"/>
  <c r="C9" i="120"/>
  <c r="I10" i="120"/>
  <c r="D10" i="120"/>
  <c r="J10" i="120"/>
  <c r="E10" i="120"/>
  <c r="F10" i="120"/>
  <c r="C10" i="120"/>
  <c r="I11" i="120"/>
  <c r="D11" i="120"/>
  <c r="J11" i="120"/>
  <c r="E11" i="120"/>
  <c r="F11" i="120"/>
  <c r="C11" i="120"/>
  <c r="I12" i="120"/>
  <c r="D12" i="120"/>
  <c r="J12" i="120"/>
  <c r="E12" i="120"/>
  <c r="F12" i="120"/>
  <c r="C12" i="120"/>
  <c r="I13" i="120"/>
  <c r="D13" i="120"/>
  <c r="J13" i="120"/>
  <c r="E13" i="120"/>
  <c r="F13" i="120"/>
  <c r="C13" i="120"/>
  <c r="I14" i="120"/>
  <c r="D14" i="120"/>
  <c r="J14" i="120"/>
  <c r="E14" i="120"/>
  <c r="F14" i="120"/>
  <c r="C14" i="120"/>
  <c r="I15" i="120"/>
  <c r="D15" i="120"/>
  <c r="J15" i="120"/>
  <c r="E15" i="120"/>
  <c r="F15" i="120"/>
  <c r="C15" i="120"/>
  <c r="I16" i="120"/>
  <c r="D16" i="120"/>
  <c r="J16" i="120"/>
  <c r="E16" i="120"/>
  <c r="F16" i="120"/>
  <c r="C16" i="120"/>
  <c r="I17" i="120"/>
  <c r="D17" i="120"/>
  <c r="J17" i="120"/>
  <c r="E17" i="120"/>
  <c r="F17" i="120"/>
  <c r="C17" i="120"/>
  <c r="I18" i="120"/>
  <c r="D18" i="120"/>
  <c r="J18" i="120"/>
  <c r="E18" i="120"/>
  <c r="F18" i="120"/>
  <c r="C18" i="120"/>
  <c r="I19" i="120"/>
  <c r="D19" i="120"/>
  <c r="J19" i="120"/>
  <c r="E19" i="120"/>
  <c r="F19" i="120"/>
  <c r="C19" i="120"/>
  <c r="I20" i="120"/>
  <c r="D20" i="120"/>
  <c r="J20" i="120"/>
  <c r="E20" i="120"/>
  <c r="F20" i="120"/>
  <c r="C20" i="120"/>
  <c r="I21" i="120"/>
  <c r="D21" i="120"/>
  <c r="J21" i="120"/>
  <c r="E21" i="120"/>
  <c r="F21" i="120"/>
  <c r="C21" i="120"/>
  <c r="I22" i="120"/>
  <c r="D22" i="120"/>
  <c r="J22" i="120"/>
  <c r="E22" i="120"/>
  <c r="F22" i="120"/>
  <c r="C22" i="120"/>
  <c r="I23" i="120"/>
  <c r="D23" i="120"/>
  <c r="J23" i="120"/>
  <c r="E23" i="120"/>
  <c r="F23" i="120"/>
  <c r="C23" i="120"/>
  <c r="I24" i="120"/>
  <c r="D24" i="120"/>
  <c r="J24" i="120"/>
  <c r="E24" i="120"/>
  <c r="F24" i="120"/>
  <c r="C24" i="120"/>
  <c r="I25" i="120"/>
  <c r="D25" i="120"/>
  <c r="J25" i="120"/>
  <c r="E25" i="120"/>
  <c r="F25" i="120"/>
  <c r="C25" i="120"/>
  <c r="I26" i="120"/>
  <c r="D26" i="120"/>
  <c r="J26" i="120"/>
  <c r="E26" i="120"/>
  <c r="F26" i="120"/>
  <c r="C26" i="120"/>
  <c r="I27" i="120"/>
  <c r="D27" i="120"/>
  <c r="J27" i="120"/>
  <c r="E27" i="120"/>
  <c r="F27" i="120"/>
  <c r="C27" i="120"/>
  <c r="I28" i="120"/>
  <c r="D28" i="120"/>
  <c r="J28" i="120"/>
  <c r="E28" i="120"/>
  <c r="F28" i="120"/>
  <c r="C28" i="120"/>
  <c r="I29" i="120"/>
  <c r="D29" i="120"/>
  <c r="J29" i="120"/>
  <c r="E29" i="120"/>
  <c r="F29" i="120"/>
  <c r="C29" i="120"/>
  <c r="I30" i="120"/>
  <c r="D30" i="120"/>
  <c r="J30" i="120"/>
  <c r="E30" i="120"/>
  <c r="F30" i="120"/>
  <c r="C30" i="120"/>
  <c r="I31" i="120"/>
  <c r="D31" i="120"/>
  <c r="J31" i="120"/>
  <c r="E31" i="120"/>
  <c r="F31" i="120"/>
  <c r="C31" i="120"/>
  <c r="I32" i="120"/>
  <c r="D32" i="120"/>
  <c r="J32" i="120"/>
  <c r="E32" i="120"/>
  <c r="F32" i="120"/>
  <c r="C32" i="120"/>
  <c r="I33" i="120"/>
  <c r="D33" i="120"/>
  <c r="J33" i="120"/>
  <c r="E33" i="120"/>
  <c r="F33" i="120"/>
  <c r="C33" i="120"/>
  <c r="I34" i="120"/>
  <c r="D34" i="120"/>
  <c r="J34" i="120"/>
  <c r="E34" i="120"/>
  <c r="F34" i="120"/>
  <c r="C34" i="120"/>
  <c r="I35" i="120"/>
  <c r="D35" i="120"/>
  <c r="J35" i="120"/>
  <c r="E35" i="120"/>
  <c r="F35" i="120"/>
  <c r="C35" i="120"/>
  <c r="I36" i="120"/>
  <c r="D36" i="120"/>
  <c r="J36" i="120"/>
  <c r="E36" i="120"/>
  <c r="F36" i="120"/>
  <c r="C36" i="120"/>
  <c r="I37" i="120"/>
  <c r="D37" i="120"/>
  <c r="J37" i="120"/>
  <c r="E37" i="120"/>
  <c r="F37" i="120"/>
  <c r="C37" i="120"/>
  <c r="I38" i="120"/>
  <c r="D38" i="120"/>
  <c r="J38" i="120"/>
  <c r="E38" i="120"/>
  <c r="F38" i="120"/>
  <c r="C38" i="120"/>
  <c r="I39" i="120"/>
  <c r="D39" i="120"/>
  <c r="J39" i="120"/>
  <c r="E39" i="120"/>
  <c r="F39" i="120"/>
  <c r="C39" i="120"/>
  <c r="I40" i="120"/>
  <c r="D40" i="120"/>
  <c r="J40" i="120"/>
  <c r="E40" i="120"/>
  <c r="F40" i="120"/>
  <c r="C40" i="120"/>
  <c r="I41" i="120"/>
  <c r="D41" i="120"/>
  <c r="J41" i="120"/>
  <c r="E41" i="120"/>
  <c r="F41" i="120"/>
  <c r="C41" i="120"/>
  <c r="I42" i="120"/>
  <c r="D42" i="120"/>
  <c r="J42" i="120"/>
  <c r="E42" i="120"/>
  <c r="F42" i="120"/>
  <c r="C42" i="120"/>
  <c r="I43" i="120"/>
  <c r="D43" i="120"/>
  <c r="J43" i="120"/>
  <c r="E43" i="120"/>
  <c r="F43" i="120"/>
  <c r="C43" i="120"/>
  <c r="I44" i="120"/>
  <c r="D44" i="120"/>
  <c r="J44" i="120"/>
  <c r="E44" i="120"/>
  <c r="F44" i="120"/>
  <c r="C44" i="120"/>
  <c r="I45" i="120"/>
  <c r="D45" i="120"/>
  <c r="J45" i="120"/>
  <c r="E45" i="120"/>
  <c r="F45" i="120"/>
  <c r="C45" i="120"/>
  <c r="I46" i="120"/>
  <c r="D46" i="120"/>
  <c r="J46" i="120"/>
  <c r="E46" i="120"/>
  <c r="F46" i="120"/>
  <c r="C46" i="120"/>
  <c r="I47" i="120"/>
  <c r="D47" i="120"/>
  <c r="J47" i="120"/>
  <c r="E47" i="120"/>
  <c r="F47" i="120"/>
  <c r="C47" i="120"/>
  <c r="I48" i="120"/>
  <c r="D48" i="120"/>
  <c r="J48" i="120"/>
  <c r="E48" i="120"/>
  <c r="F48" i="120"/>
  <c r="C48" i="120"/>
  <c r="I49" i="120"/>
  <c r="D49" i="120"/>
  <c r="J49" i="120"/>
  <c r="E49" i="120"/>
  <c r="F49" i="120"/>
  <c r="C49" i="120"/>
  <c r="I50" i="120"/>
  <c r="D50" i="120"/>
  <c r="J50" i="120"/>
  <c r="E50" i="120"/>
  <c r="F50" i="120"/>
  <c r="C50" i="120"/>
  <c r="I51" i="120"/>
  <c r="D51" i="120"/>
  <c r="J51" i="120"/>
  <c r="E51" i="120"/>
  <c r="F51" i="120"/>
  <c r="C51" i="120"/>
  <c r="I52" i="120"/>
  <c r="D52" i="120"/>
  <c r="J52" i="120"/>
  <c r="E52" i="120"/>
  <c r="F52" i="120"/>
  <c r="C52" i="120"/>
  <c r="I53" i="120"/>
  <c r="D53" i="120"/>
  <c r="J53" i="120"/>
  <c r="E53" i="120"/>
  <c r="F53" i="120"/>
  <c r="C53" i="120"/>
  <c r="I54" i="120"/>
  <c r="D54" i="120"/>
  <c r="J54" i="120"/>
  <c r="E54" i="120"/>
  <c r="F54" i="120"/>
  <c r="C54" i="120"/>
  <c r="I55" i="120"/>
  <c r="D55" i="120"/>
  <c r="J55" i="120"/>
  <c r="E55" i="120"/>
  <c r="F55" i="120"/>
  <c r="C55" i="120"/>
  <c r="I56" i="120"/>
  <c r="D56" i="120"/>
  <c r="J56" i="120"/>
  <c r="E56" i="120"/>
  <c r="F56" i="120"/>
  <c r="C56" i="120"/>
  <c r="I57" i="120"/>
  <c r="D57" i="120"/>
  <c r="J57" i="120"/>
  <c r="E57" i="120"/>
  <c r="F57" i="120"/>
  <c r="C57" i="120"/>
  <c r="I58" i="120"/>
  <c r="D58" i="120"/>
  <c r="J58" i="120"/>
  <c r="E58" i="120"/>
  <c r="F58" i="120"/>
  <c r="C58" i="120"/>
  <c r="I59" i="120"/>
  <c r="D59" i="120"/>
  <c r="J59" i="120"/>
  <c r="E59" i="120"/>
  <c r="F59" i="120"/>
  <c r="C59" i="120"/>
  <c r="I60" i="120"/>
  <c r="D60" i="120"/>
  <c r="J60" i="120"/>
  <c r="E60" i="120"/>
  <c r="F60" i="120"/>
  <c r="C60" i="120"/>
  <c r="I61" i="120"/>
  <c r="D61" i="120"/>
  <c r="J61" i="120"/>
  <c r="E61" i="120"/>
  <c r="F61" i="120"/>
  <c r="C61" i="120"/>
  <c r="I62" i="120"/>
  <c r="D62" i="120"/>
  <c r="J62" i="120"/>
  <c r="E62" i="120"/>
  <c r="F62" i="120"/>
  <c r="C62" i="120"/>
  <c r="I63" i="120"/>
  <c r="D63" i="120"/>
  <c r="J63" i="120"/>
  <c r="E63" i="120"/>
  <c r="F63" i="120"/>
  <c r="C63" i="120"/>
  <c r="I64" i="120"/>
  <c r="D64" i="120"/>
  <c r="J64" i="120"/>
  <c r="E64" i="120"/>
  <c r="F64" i="120"/>
  <c r="C64" i="120"/>
  <c r="I65" i="120"/>
  <c r="D65" i="120"/>
  <c r="J65" i="120"/>
  <c r="E65" i="120"/>
  <c r="F65" i="120"/>
  <c r="C65" i="120"/>
  <c r="I66" i="120"/>
  <c r="D66" i="120"/>
  <c r="J66" i="120"/>
  <c r="E66" i="120"/>
  <c r="F66" i="120"/>
  <c r="C66" i="120"/>
  <c r="I67" i="120"/>
  <c r="D67" i="120"/>
  <c r="J67" i="120"/>
  <c r="E67" i="120"/>
  <c r="F67" i="120"/>
  <c r="C67" i="120"/>
  <c r="I68" i="120"/>
  <c r="D68" i="120"/>
  <c r="J68" i="120"/>
  <c r="E68" i="120"/>
  <c r="F68" i="120"/>
  <c r="C68" i="120"/>
  <c r="I69" i="120"/>
  <c r="D69" i="120"/>
  <c r="J69" i="120"/>
  <c r="E69" i="120"/>
  <c r="F69" i="120"/>
  <c r="C69" i="120"/>
  <c r="I70" i="120"/>
  <c r="D70" i="120"/>
  <c r="J70" i="120"/>
  <c r="E70" i="120"/>
  <c r="F70" i="120"/>
  <c r="C70" i="120"/>
  <c r="I71" i="120"/>
  <c r="D71" i="120"/>
  <c r="J71" i="120"/>
  <c r="E71" i="120"/>
  <c r="F71" i="120"/>
  <c r="C71" i="120"/>
  <c r="I72" i="120"/>
  <c r="D72" i="120"/>
  <c r="J72" i="120"/>
  <c r="E72" i="120"/>
  <c r="F72" i="120"/>
  <c r="C72" i="120"/>
  <c r="I73" i="120"/>
  <c r="D73" i="120"/>
  <c r="J73" i="120"/>
  <c r="E73" i="120"/>
  <c r="F73" i="120"/>
  <c r="C73" i="120"/>
  <c r="I74" i="120"/>
  <c r="D74" i="120"/>
  <c r="J74" i="120"/>
  <c r="E74" i="120"/>
  <c r="F74" i="120"/>
  <c r="C74" i="120"/>
  <c r="I75" i="120"/>
  <c r="D75" i="120"/>
  <c r="J75" i="120"/>
  <c r="E75" i="120"/>
  <c r="F75" i="120"/>
  <c r="C75" i="120"/>
  <c r="I76" i="120"/>
  <c r="D76" i="120"/>
  <c r="J76" i="120"/>
  <c r="E76" i="120"/>
  <c r="F76" i="120"/>
  <c r="C76" i="120"/>
  <c r="I77" i="120"/>
  <c r="D77" i="120"/>
  <c r="J77" i="120"/>
  <c r="E77" i="120"/>
  <c r="F77" i="120"/>
  <c r="C77" i="120"/>
  <c r="I78" i="120"/>
  <c r="D78" i="120"/>
  <c r="J78" i="120"/>
  <c r="E78" i="120"/>
  <c r="F78" i="120"/>
  <c r="C78" i="120"/>
  <c r="I79" i="120"/>
  <c r="D79" i="120"/>
  <c r="J79" i="120"/>
  <c r="E79" i="120"/>
  <c r="F79" i="120"/>
  <c r="C79" i="120"/>
  <c r="I80" i="120"/>
  <c r="D80" i="120"/>
  <c r="J80" i="120"/>
  <c r="E80" i="120"/>
  <c r="F80" i="120"/>
  <c r="C80" i="120"/>
  <c r="I81" i="120"/>
  <c r="D81" i="120"/>
  <c r="J81" i="120"/>
  <c r="E81" i="120"/>
  <c r="F81" i="120"/>
  <c r="C81" i="120"/>
  <c r="I82" i="120"/>
  <c r="D82" i="120"/>
  <c r="J82" i="120"/>
  <c r="E82" i="120"/>
  <c r="F82" i="120"/>
  <c r="C82" i="120"/>
  <c r="I83" i="120"/>
  <c r="D83" i="120"/>
  <c r="J83" i="120"/>
  <c r="E83" i="120"/>
  <c r="F83" i="120"/>
  <c r="C83" i="120"/>
  <c r="I84" i="120"/>
  <c r="D84" i="120"/>
  <c r="J84" i="120"/>
  <c r="E84" i="120"/>
  <c r="F84" i="120"/>
  <c r="C84" i="120"/>
  <c r="I85" i="120"/>
  <c r="D85" i="120"/>
  <c r="J85" i="120"/>
  <c r="E85" i="120"/>
  <c r="F85" i="120"/>
  <c r="C85" i="120"/>
  <c r="I86" i="120"/>
  <c r="D86" i="120"/>
  <c r="J86" i="120"/>
  <c r="E86" i="120"/>
  <c r="F86" i="120"/>
  <c r="C86" i="120"/>
  <c r="I87" i="120"/>
  <c r="D87" i="120"/>
  <c r="J87" i="120"/>
  <c r="E87" i="120"/>
  <c r="F87" i="120"/>
  <c r="C87" i="120"/>
  <c r="I88" i="120"/>
  <c r="D88" i="120"/>
  <c r="J88" i="120"/>
  <c r="E88" i="120"/>
  <c r="F88" i="120"/>
  <c r="C88" i="120"/>
  <c r="I89" i="120"/>
  <c r="D89" i="120"/>
  <c r="J89" i="120"/>
  <c r="E89" i="120"/>
  <c r="F89" i="120"/>
  <c r="C89" i="120"/>
  <c r="I90" i="120"/>
  <c r="D90" i="120"/>
  <c r="J90" i="120"/>
  <c r="E90" i="120"/>
  <c r="F90" i="120"/>
  <c r="C90" i="120"/>
  <c r="I91" i="120"/>
  <c r="D91" i="120"/>
  <c r="J91" i="120"/>
  <c r="E91" i="120"/>
  <c r="F91" i="120"/>
  <c r="C91" i="120"/>
  <c r="I92" i="120"/>
  <c r="D92" i="120"/>
  <c r="J92" i="120"/>
  <c r="E92" i="120"/>
  <c r="F92" i="120"/>
  <c r="C92" i="120"/>
  <c r="I93" i="120"/>
  <c r="D93" i="120"/>
  <c r="J93" i="120"/>
  <c r="E93" i="120"/>
  <c r="F93" i="120"/>
  <c r="C93" i="120"/>
  <c r="I94" i="120"/>
  <c r="D94" i="120"/>
  <c r="J94" i="120"/>
  <c r="E94" i="120"/>
  <c r="F94" i="120"/>
  <c r="C94" i="120"/>
  <c r="I95" i="120"/>
  <c r="D95" i="120"/>
  <c r="J95" i="120"/>
  <c r="E95" i="120"/>
  <c r="F95" i="120"/>
  <c r="C95" i="120"/>
  <c r="I96" i="120"/>
  <c r="D96" i="120"/>
  <c r="J96" i="120"/>
  <c r="E96" i="120"/>
  <c r="F96" i="120"/>
  <c r="C96" i="120"/>
  <c r="I97" i="120"/>
  <c r="D97" i="120"/>
  <c r="J97" i="120"/>
  <c r="E97" i="120"/>
  <c r="F97" i="120"/>
  <c r="C97" i="120"/>
  <c r="I98" i="120"/>
  <c r="D98" i="120"/>
  <c r="J98" i="120"/>
  <c r="E98" i="120"/>
  <c r="F98" i="120"/>
  <c r="C98" i="120"/>
  <c r="I99" i="120"/>
  <c r="D99" i="120"/>
  <c r="J99" i="120"/>
  <c r="E99" i="120"/>
  <c r="F99" i="120"/>
  <c r="C99" i="120"/>
  <c r="I100" i="120"/>
  <c r="D100" i="120"/>
  <c r="J100" i="120"/>
  <c r="E100" i="120"/>
  <c r="F100" i="120"/>
  <c r="C100" i="120"/>
  <c r="I101" i="120"/>
  <c r="D101" i="120"/>
  <c r="J101" i="120"/>
  <c r="E101" i="120"/>
  <c r="F101" i="120"/>
  <c r="C101" i="120"/>
  <c r="I102" i="120"/>
  <c r="D102" i="120"/>
  <c r="J102" i="120"/>
  <c r="E102" i="120"/>
  <c r="F102" i="120"/>
  <c r="C102" i="120"/>
  <c r="I103" i="120"/>
  <c r="D103" i="120"/>
  <c r="J103" i="120"/>
  <c r="E103" i="120"/>
  <c r="F103" i="120"/>
  <c r="C103" i="120"/>
  <c r="I104" i="120"/>
  <c r="D104" i="120"/>
  <c r="J104" i="120"/>
  <c r="E104" i="120"/>
  <c r="F104" i="120"/>
  <c r="C104" i="120"/>
  <c r="I105" i="120"/>
  <c r="D105" i="120"/>
  <c r="J105" i="120"/>
  <c r="E105" i="120"/>
  <c r="F105" i="120"/>
  <c r="C105" i="120"/>
  <c r="I106" i="120"/>
  <c r="D106" i="120"/>
  <c r="J106" i="120"/>
  <c r="E106" i="120"/>
  <c r="F106" i="120"/>
  <c r="C106" i="120"/>
  <c r="I107" i="120"/>
  <c r="D107" i="120"/>
  <c r="J107" i="120"/>
  <c r="E107" i="120"/>
  <c r="F107" i="120"/>
  <c r="C107" i="120"/>
  <c r="I108" i="120"/>
  <c r="D108" i="120"/>
  <c r="J108" i="120"/>
  <c r="E108" i="120"/>
  <c r="F108" i="120"/>
  <c r="C108" i="120"/>
  <c r="I109" i="120"/>
  <c r="D109" i="120"/>
  <c r="J109" i="120"/>
  <c r="E109" i="120"/>
  <c r="F109" i="120"/>
  <c r="C109" i="120"/>
  <c r="I110" i="120"/>
  <c r="D110" i="120"/>
  <c r="J110" i="120"/>
  <c r="E110" i="120"/>
  <c r="F110" i="120"/>
  <c r="C110" i="120"/>
  <c r="I111" i="120"/>
  <c r="D111" i="120"/>
  <c r="J111" i="120"/>
  <c r="E111" i="120"/>
  <c r="F111" i="120"/>
  <c r="C111" i="120"/>
  <c r="I112" i="120"/>
  <c r="D112" i="120"/>
  <c r="J112" i="120"/>
  <c r="E112" i="120"/>
  <c r="F112" i="120"/>
  <c r="C112" i="120"/>
  <c r="I113" i="120"/>
  <c r="D113" i="120"/>
  <c r="J113" i="120"/>
  <c r="E113" i="120"/>
  <c r="F113" i="120"/>
  <c r="C113" i="120"/>
  <c r="I114" i="120"/>
  <c r="D114" i="120"/>
  <c r="J114" i="120"/>
  <c r="E114" i="120"/>
  <c r="F114" i="120"/>
  <c r="C114" i="120"/>
  <c r="I115" i="120"/>
  <c r="D115" i="120"/>
  <c r="J115" i="120"/>
  <c r="E115" i="120"/>
  <c r="F115" i="120"/>
  <c r="C115" i="120"/>
  <c r="I116" i="120"/>
  <c r="D116" i="120"/>
  <c r="J116" i="120"/>
  <c r="E116" i="120"/>
  <c r="F116" i="120"/>
  <c r="C116" i="120"/>
  <c r="I117" i="120"/>
  <c r="D117" i="120"/>
  <c r="J117" i="120"/>
  <c r="E117" i="120"/>
  <c r="F117" i="120"/>
  <c r="C117" i="120"/>
  <c r="I118" i="120"/>
  <c r="D118" i="120"/>
  <c r="J118" i="120"/>
  <c r="E118" i="120"/>
  <c r="F118" i="120"/>
  <c r="C118" i="120"/>
  <c r="I119" i="120"/>
  <c r="D119" i="120"/>
  <c r="J119" i="120"/>
  <c r="E119" i="120"/>
  <c r="F119" i="120"/>
  <c r="C119" i="120"/>
  <c r="I120" i="120"/>
  <c r="D120" i="120"/>
  <c r="J120" i="120"/>
  <c r="E120" i="120"/>
  <c r="F120" i="120"/>
  <c r="C120" i="120"/>
  <c r="I121" i="120"/>
  <c r="D121" i="120"/>
  <c r="J121" i="120"/>
  <c r="E121" i="120"/>
  <c r="F121" i="120"/>
  <c r="C121" i="120"/>
  <c r="I122" i="120"/>
  <c r="D122" i="120"/>
  <c r="J122" i="120"/>
  <c r="E122" i="120"/>
  <c r="F122" i="120"/>
  <c r="C122" i="120"/>
  <c r="I123" i="120"/>
  <c r="D123" i="120"/>
  <c r="J123" i="120"/>
  <c r="E123" i="120"/>
  <c r="F123" i="120"/>
  <c r="C123" i="120"/>
  <c r="I124" i="120"/>
  <c r="D124" i="120"/>
  <c r="J124" i="120"/>
  <c r="E124" i="120"/>
  <c r="F124" i="120"/>
  <c r="C124" i="120"/>
  <c r="I125" i="120"/>
  <c r="D125" i="120"/>
  <c r="J125" i="120"/>
  <c r="E125" i="120"/>
  <c r="F125" i="120"/>
  <c r="C125" i="120"/>
  <c r="I126" i="120"/>
  <c r="D126" i="120"/>
  <c r="J126" i="120"/>
  <c r="E126" i="120"/>
  <c r="F126" i="120"/>
  <c r="C126" i="120"/>
  <c r="I127" i="120"/>
  <c r="D127" i="120"/>
  <c r="J127" i="120"/>
  <c r="E127" i="120"/>
  <c r="F127" i="120"/>
  <c r="C127" i="120"/>
  <c r="I128" i="120"/>
  <c r="D128" i="120"/>
  <c r="J128" i="120"/>
  <c r="E128" i="120"/>
  <c r="F128" i="120"/>
  <c r="C128" i="120"/>
  <c r="I129" i="120"/>
  <c r="D129" i="120"/>
  <c r="J129" i="120"/>
  <c r="E129" i="120"/>
  <c r="F129" i="120"/>
  <c r="C129" i="120"/>
  <c r="I130" i="120"/>
  <c r="D130" i="120"/>
  <c r="J130" i="120"/>
  <c r="E130" i="120"/>
  <c r="F130" i="120"/>
  <c r="C130" i="120"/>
  <c r="I131" i="120"/>
  <c r="D131" i="120"/>
  <c r="J131" i="120"/>
  <c r="E131" i="120"/>
  <c r="F131" i="120"/>
  <c r="C131" i="120"/>
  <c r="I132" i="120"/>
  <c r="D132" i="120"/>
  <c r="J132" i="120"/>
  <c r="E132" i="120"/>
  <c r="F132" i="120"/>
  <c r="C132" i="120"/>
  <c r="I133" i="120"/>
  <c r="D133" i="120"/>
  <c r="J133" i="120"/>
  <c r="E133" i="120"/>
  <c r="F133" i="120"/>
  <c r="C133" i="120"/>
  <c r="I134" i="120"/>
  <c r="D134" i="120"/>
  <c r="J134" i="120"/>
  <c r="E134" i="120"/>
  <c r="F134" i="120"/>
  <c r="C134" i="120"/>
  <c r="I135" i="120"/>
  <c r="D135" i="120"/>
  <c r="J135" i="120"/>
  <c r="E135" i="120"/>
  <c r="F135" i="120"/>
  <c r="C135" i="120"/>
  <c r="I136" i="120"/>
  <c r="D136" i="120"/>
  <c r="J136" i="120"/>
  <c r="E136" i="120"/>
  <c r="F136" i="120"/>
  <c r="C136" i="120"/>
  <c r="I137" i="120"/>
  <c r="D137" i="120"/>
  <c r="J137" i="120"/>
  <c r="E137" i="120"/>
  <c r="F137" i="120"/>
  <c r="C137" i="120"/>
  <c r="I138" i="120"/>
  <c r="D138" i="120"/>
  <c r="J138" i="120"/>
  <c r="E138" i="120"/>
  <c r="F138" i="120"/>
  <c r="C138" i="120"/>
  <c r="I139" i="120"/>
  <c r="D139" i="120"/>
  <c r="J139" i="120"/>
  <c r="E139" i="120"/>
  <c r="F139" i="120"/>
  <c r="C139" i="120"/>
  <c r="I140" i="120"/>
  <c r="D140" i="120"/>
  <c r="J140" i="120"/>
  <c r="E140" i="120"/>
  <c r="F140" i="120"/>
  <c r="C140" i="120"/>
  <c r="I141" i="120"/>
  <c r="D141" i="120"/>
  <c r="J141" i="120"/>
  <c r="E141" i="120"/>
  <c r="F141" i="120"/>
  <c r="C141" i="120"/>
  <c r="I142" i="120"/>
  <c r="D142" i="120"/>
  <c r="J142" i="120"/>
  <c r="E142" i="120"/>
  <c r="F142" i="120"/>
  <c r="C142" i="120"/>
  <c r="I143" i="120"/>
  <c r="D143" i="120"/>
  <c r="J143" i="120"/>
  <c r="E143" i="120"/>
  <c r="F143" i="120"/>
  <c r="C143" i="120"/>
  <c r="I144" i="120"/>
  <c r="D144" i="120"/>
  <c r="J144" i="120"/>
  <c r="E144" i="120"/>
  <c r="F144" i="120"/>
  <c r="C144" i="120"/>
  <c r="I145" i="120"/>
  <c r="D145" i="120"/>
  <c r="J145" i="120"/>
  <c r="E145" i="120"/>
  <c r="F145" i="120"/>
  <c r="C145" i="120"/>
  <c r="I146" i="120"/>
  <c r="D146" i="120"/>
  <c r="J146" i="120"/>
  <c r="E146" i="120"/>
  <c r="F146" i="120"/>
  <c r="C146" i="120"/>
  <c r="I147" i="120"/>
  <c r="D147" i="120"/>
  <c r="J147" i="120"/>
  <c r="E147" i="120"/>
  <c r="F147" i="120"/>
  <c r="C147" i="120"/>
  <c r="I148" i="120"/>
  <c r="D148" i="120"/>
  <c r="J148" i="120"/>
  <c r="E148" i="120"/>
  <c r="F148" i="120"/>
  <c r="C148" i="120"/>
  <c r="I149" i="120"/>
  <c r="D149" i="120"/>
  <c r="J149" i="120"/>
  <c r="E149" i="120"/>
  <c r="F149" i="120"/>
  <c r="C149" i="120"/>
  <c r="I150" i="120"/>
  <c r="D150" i="120"/>
  <c r="J150" i="120"/>
  <c r="E150" i="120"/>
  <c r="F150" i="120"/>
  <c r="C150" i="120"/>
  <c r="I151" i="120"/>
  <c r="D151" i="120"/>
  <c r="J151" i="120"/>
  <c r="E151" i="120"/>
  <c r="F151" i="120"/>
  <c r="C151" i="120"/>
  <c r="I152" i="120"/>
  <c r="D152" i="120"/>
  <c r="J152" i="120"/>
  <c r="E152" i="120"/>
  <c r="F152" i="120"/>
  <c r="C152" i="120"/>
  <c r="I153" i="120"/>
  <c r="D153" i="120"/>
  <c r="J153" i="120"/>
  <c r="E153" i="120"/>
  <c r="F153" i="120"/>
  <c r="C153" i="120"/>
  <c r="I154" i="120"/>
  <c r="D154" i="120"/>
  <c r="J154" i="120"/>
  <c r="E154" i="120"/>
  <c r="F154" i="120"/>
  <c r="C154" i="120"/>
  <c r="I155" i="120"/>
  <c r="D155" i="120"/>
  <c r="J155" i="120"/>
  <c r="E155" i="120"/>
  <c r="F155" i="120"/>
  <c r="C155" i="120"/>
  <c r="I156" i="120"/>
  <c r="D156" i="120"/>
  <c r="J156" i="120"/>
  <c r="E156" i="120"/>
  <c r="F156" i="120"/>
  <c r="C156" i="120"/>
  <c r="I157" i="120"/>
  <c r="D157" i="120"/>
  <c r="J157" i="120"/>
  <c r="E157" i="120"/>
  <c r="F157" i="120"/>
  <c r="C157" i="120"/>
  <c r="I158" i="120"/>
  <c r="D158" i="120"/>
  <c r="J158" i="120"/>
  <c r="E158" i="120"/>
  <c r="F158" i="120"/>
  <c r="C158" i="120"/>
  <c r="I159" i="120"/>
  <c r="D159" i="120"/>
  <c r="J159" i="120"/>
  <c r="E159" i="120"/>
  <c r="F159" i="120"/>
  <c r="C159" i="120"/>
  <c r="I160" i="120"/>
  <c r="D160" i="120"/>
  <c r="J160" i="120"/>
  <c r="E160" i="120"/>
  <c r="F160" i="120"/>
  <c r="C160" i="120"/>
  <c r="I161" i="120"/>
  <c r="D161" i="120"/>
  <c r="J161" i="120"/>
  <c r="E161" i="120"/>
  <c r="F161" i="120"/>
  <c r="C161" i="120"/>
  <c r="I162" i="120"/>
  <c r="D162" i="120"/>
  <c r="J162" i="120"/>
  <c r="E162" i="120"/>
  <c r="F162" i="120"/>
  <c r="C162" i="120"/>
  <c r="I163" i="120"/>
  <c r="D163" i="120"/>
  <c r="J163" i="120"/>
  <c r="E163" i="120"/>
  <c r="F163" i="120"/>
  <c r="C163" i="120"/>
  <c r="I164" i="120"/>
  <c r="D164" i="120"/>
  <c r="J164" i="120"/>
  <c r="E164" i="120"/>
  <c r="F164" i="120"/>
  <c r="C164" i="120"/>
  <c r="I165" i="120"/>
  <c r="D165" i="120"/>
  <c r="J165" i="120"/>
  <c r="E165" i="120"/>
  <c r="F165" i="120"/>
  <c r="C165" i="120"/>
  <c r="I166" i="120"/>
  <c r="D166" i="120"/>
  <c r="J166" i="120"/>
  <c r="E166" i="120"/>
  <c r="F166" i="120"/>
  <c r="C166" i="120"/>
  <c r="I167" i="120"/>
  <c r="D167" i="120"/>
  <c r="J167" i="120"/>
  <c r="E167" i="120"/>
  <c r="F167" i="120"/>
  <c r="C167" i="120"/>
  <c r="I168" i="120"/>
  <c r="D168" i="120"/>
  <c r="J168" i="120"/>
  <c r="E168" i="120"/>
  <c r="F168" i="120"/>
  <c r="C168" i="120"/>
  <c r="I169" i="120"/>
  <c r="D169" i="120"/>
  <c r="J169" i="120"/>
  <c r="E169" i="120"/>
  <c r="F169" i="120"/>
  <c r="C169" i="120"/>
  <c r="I170" i="120"/>
  <c r="D170" i="120"/>
  <c r="J170" i="120"/>
  <c r="E170" i="120"/>
  <c r="F170" i="120"/>
  <c r="C170" i="120"/>
  <c r="I171" i="120"/>
  <c r="D171" i="120"/>
  <c r="J171" i="120"/>
  <c r="E171" i="120"/>
  <c r="F171" i="120"/>
  <c r="C171" i="120"/>
  <c r="I172" i="120"/>
  <c r="D172" i="120"/>
  <c r="J172" i="120"/>
  <c r="E172" i="120"/>
  <c r="F172" i="120"/>
  <c r="C172" i="120"/>
  <c r="I173" i="120"/>
  <c r="D173" i="120"/>
  <c r="J173" i="120"/>
  <c r="E173" i="120"/>
  <c r="F173" i="120"/>
  <c r="C173" i="120"/>
  <c r="I174" i="120"/>
  <c r="D174" i="120"/>
  <c r="J174" i="120"/>
  <c r="E174" i="120"/>
  <c r="F174" i="120"/>
  <c r="C174" i="120"/>
  <c r="I175" i="120"/>
  <c r="D175" i="120"/>
  <c r="J175" i="120"/>
  <c r="E175" i="120"/>
  <c r="F175" i="120"/>
  <c r="C175" i="120"/>
  <c r="I176" i="120"/>
  <c r="D176" i="120"/>
  <c r="J176" i="120"/>
  <c r="E176" i="120"/>
  <c r="F176" i="120"/>
  <c r="C176" i="120"/>
  <c r="I177" i="120"/>
  <c r="D177" i="120"/>
  <c r="J177" i="120"/>
  <c r="E177" i="120"/>
  <c r="F177" i="120"/>
  <c r="C177" i="120"/>
  <c r="I178" i="120"/>
  <c r="D178" i="120"/>
  <c r="J178" i="120"/>
  <c r="E178" i="120"/>
  <c r="F178" i="120"/>
  <c r="C178" i="120"/>
  <c r="I179" i="120"/>
  <c r="D179" i="120"/>
  <c r="J179" i="120"/>
  <c r="E179" i="120"/>
  <c r="F179" i="120"/>
  <c r="C179" i="120"/>
  <c r="I180" i="120"/>
  <c r="D180" i="120"/>
  <c r="J180" i="120"/>
  <c r="E180" i="120"/>
  <c r="F180" i="120"/>
  <c r="C180" i="120"/>
  <c r="I181" i="120"/>
  <c r="D181" i="120"/>
  <c r="J181" i="120"/>
  <c r="E181" i="120"/>
  <c r="F181" i="120"/>
  <c r="C181" i="120"/>
  <c r="I182" i="120"/>
  <c r="D182" i="120"/>
  <c r="J182" i="120"/>
  <c r="E182" i="120"/>
  <c r="F182" i="120"/>
  <c r="C182" i="120"/>
  <c r="I183" i="120"/>
  <c r="D183" i="120"/>
  <c r="J183" i="120"/>
  <c r="E183" i="120"/>
  <c r="F183" i="120"/>
  <c r="C183" i="120"/>
  <c r="I184" i="120"/>
  <c r="D184" i="120"/>
  <c r="J184" i="120"/>
  <c r="E184" i="120"/>
  <c r="F184" i="120"/>
  <c r="C184" i="120"/>
  <c r="I185" i="120"/>
  <c r="D185" i="120"/>
  <c r="J185" i="120"/>
  <c r="E185" i="120"/>
  <c r="F185" i="120"/>
  <c r="C185" i="120"/>
  <c r="I186" i="120"/>
  <c r="D186" i="120"/>
  <c r="J186" i="120"/>
  <c r="E186" i="120"/>
  <c r="F186" i="120"/>
  <c r="C186" i="120"/>
  <c r="I187" i="120"/>
  <c r="D187" i="120"/>
  <c r="J187" i="120"/>
  <c r="E187" i="120"/>
  <c r="F187" i="120"/>
  <c r="C187" i="120"/>
  <c r="I188" i="120"/>
  <c r="D188" i="120"/>
  <c r="J188" i="120"/>
  <c r="E188" i="120"/>
  <c r="F188" i="120"/>
  <c r="C188" i="120"/>
  <c r="I189" i="120"/>
  <c r="D189" i="120"/>
  <c r="J189" i="120"/>
  <c r="E189" i="120"/>
  <c r="F189" i="120"/>
  <c r="C189" i="120"/>
  <c r="I190" i="120"/>
  <c r="D190" i="120"/>
  <c r="J190" i="120"/>
  <c r="E190" i="120"/>
  <c r="F190" i="120"/>
  <c r="C190" i="120"/>
  <c r="I191" i="120"/>
  <c r="D191" i="120"/>
  <c r="J191" i="120"/>
  <c r="E191" i="120"/>
  <c r="F191" i="120"/>
  <c r="C191" i="120"/>
  <c r="I192" i="120"/>
  <c r="D192" i="120"/>
  <c r="J192" i="120"/>
  <c r="E192" i="120"/>
  <c r="F192" i="120"/>
  <c r="C192" i="120"/>
  <c r="I193" i="120"/>
  <c r="D193" i="120"/>
  <c r="J193" i="120"/>
  <c r="E193" i="120"/>
  <c r="F193" i="120"/>
  <c r="C193" i="120"/>
  <c r="I194" i="120"/>
  <c r="D194" i="120"/>
  <c r="J194" i="120"/>
  <c r="E194" i="120"/>
  <c r="F194" i="120"/>
  <c r="C194" i="120"/>
  <c r="I195" i="120"/>
  <c r="D195" i="120"/>
  <c r="J195" i="120"/>
  <c r="E195" i="120"/>
  <c r="F195" i="120"/>
  <c r="C195" i="120"/>
  <c r="I196" i="120"/>
  <c r="D196" i="120"/>
  <c r="J196" i="120"/>
  <c r="E196" i="120"/>
  <c r="F196" i="120"/>
  <c r="C196" i="120"/>
  <c r="I197" i="120"/>
  <c r="D197" i="120"/>
  <c r="J197" i="120"/>
  <c r="E197" i="120"/>
  <c r="F197" i="120"/>
  <c r="C197" i="120"/>
  <c r="I198" i="120"/>
  <c r="D198" i="120"/>
  <c r="J198" i="120"/>
  <c r="E198" i="120"/>
  <c r="F198" i="120"/>
  <c r="C198" i="120"/>
  <c r="I199" i="120"/>
  <c r="D199" i="120"/>
  <c r="J199" i="120"/>
  <c r="E199" i="120"/>
  <c r="F199" i="120"/>
  <c r="C199" i="120"/>
  <c r="I200" i="120"/>
  <c r="D200" i="120"/>
  <c r="J200" i="120"/>
  <c r="E200" i="120"/>
  <c r="F200" i="120"/>
  <c r="C200" i="120"/>
  <c r="I201" i="120"/>
  <c r="D201" i="120"/>
  <c r="J201" i="120"/>
  <c r="E201" i="120"/>
  <c r="F201" i="120"/>
  <c r="C201" i="120"/>
  <c r="I202" i="120"/>
  <c r="D202" i="120"/>
  <c r="J202" i="120"/>
  <c r="E202" i="120"/>
  <c r="F202" i="120"/>
  <c r="C202" i="120"/>
  <c r="I203" i="120"/>
  <c r="D203" i="120"/>
  <c r="J203" i="120"/>
  <c r="E203" i="120"/>
  <c r="F203" i="120"/>
  <c r="C203" i="120"/>
  <c r="I204" i="120"/>
  <c r="D204" i="120"/>
  <c r="J204" i="120"/>
  <c r="E204" i="120"/>
  <c r="F204" i="120"/>
  <c r="C204" i="120"/>
  <c r="I205" i="120"/>
  <c r="D205" i="120"/>
  <c r="J205" i="120"/>
  <c r="E205" i="120"/>
  <c r="F205" i="120"/>
  <c r="C205" i="120"/>
  <c r="I206" i="120"/>
  <c r="D206" i="120"/>
  <c r="J206" i="120"/>
  <c r="E206" i="120"/>
  <c r="F206" i="120"/>
  <c r="C206" i="120"/>
  <c r="I207" i="120"/>
  <c r="D207" i="120"/>
  <c r="J207" i="120"/>
  <c r="E207" i="120"/>
  <c r="F207" i="120"/>
  <c r="C207" i="120"/>
  <c r="I208" i="120"/>
  <c r="D208" i="120"/>
  <c r="J208" i="120"/>
  <c r="E208" i="120"/>
  <c r="F208" i="120"/>
  <c r="C208" i="120"/>
  <c r="I209" i="120"/>
  <c r="D209" i="120"/>
  <c r="J209" i="120"/>
  <c r="E209" i="120"/>
  <c r="F209" i="120"/>
  <c r="C209" i="120"/>
  <c r="I210" i="120"/>
  <c r="D210" i="120"/>
  <c r="J210" i="120"/>
  <c r="E210" i="120"/>
  <c r="F210" i="120"/>
  <c r="C210" i="120"/>
  <c r="I211" i="120"/>
  <c r="D211" i="120"/>
  <c r="J211" i="120"/>
  <c r="E211" i="120"/>
  <c r="F211" i="120"/>
  <c r="C211" i="120"/>
  <c r="I212" i="120"/>
  <c r="D212" i="120"/>
  <c r="J212" i="120"/>
  <c r="E212" i="120"/>
  <c r="F212" i="120"/>
  <c r="C212" i="120"/>
  <c r="I213" i="120"/>
  <c r="D213" i="120"/>
  <c r="J213" i="120"/>
  <c r="E213" i="120"/>
  <c r="F213" i="120"/>
  <c r="C213" i="120"/>
  <c r="I214" i="120"/>
  <c r="D214" i="120"/>
  <c r="J214" i="120"/>
  <c r="E214" i="120"/>
  <c r="F214" i="120"/>
  <c r="C214" i="120"/>
  <c r="I215" i="120"/>
  <c r="D215" i="120"/>
  <c r="J215" i="120"/>
  <c r="E215" i="120"/>
  <c r="F215" i="120"/>
  <c r="C215" i="120"/>
  <c r="I216" i="120"/>
  <c r="D216" i="120"/>
  <c r="J216" i="120"/>
  <c r="E216" i="120"/>
  <c r="F216" i="120"/>
  <c r="C216" i="120"/>
  <c r="I217" i="120"/>
  <c r="D217" i="120"/>
  <c r="J217" i="120"/>
  <c r="E217" i="120"/>
  <c r="F217" i="120"/>
  <c r="C217" i="120"/>
  <c r="I218" i="120"/>
  <c r="D218" i="120"/>
  <c r="J218" i="120"/>
  <c r="E218" i="120"/>
  <c r="F218" i="120"/>
  <c r="C218" i="120"/>
  <c r="I219" i="120"/>
  <c r="D219" i="120"/>
  <c r="J219" i="120"/>
  <c r="E219" i="120"/>
  <c r="F219" i="120"/>
  <c r="C219" i="120"/>
  <c r="I220" i="120"/>
  <c r="D220" i="120"/>
  <c r="J220" i="120"/>
  <c r="E220" i="120"/>
  <c r="F220" i="120"/>
  <c r="C220" i="120"/>
  <c r="I221" i="120"/>
  <c r="D221" i="120"/>
  <c r="J221" i="120"/>
  <c r="E221" i="120"/>
  <c r="F221" i="120"/>
  <c r="C221" i="120"/>
  <c r="I222" i="120"/>
  <c r="D222" i="120"/>
  <c r="J222" i="120"/>
  <c r="E222" i="120"/>
  <c r="F222" i="120"/>
  <c r="C222" i="120"/>
  <c r="I223" i="120"/>
  <c r="D223" i="120"/>
  <c r="J223" i="120"/>
  <c r="E223" i="120"/>
  <c r="F223" i="120"/>
  <c r="C223" i="120"/>
  <c r="I224" i="120"/>
  <c r="D224" i="120"/>
  <c r="J224" i="120"/>
  <c r="E224" i="120"/>
  <c r="F224" i="120"/>
  <c r="C224" i="120"/>
  <c r="I225" i="120"/>
  <c r="D225" i="120"/>
  <c r="J225" i="120"/>
  <c r="E225" i="120"/>
  <c r="F225" i="120"/>
  <c r="C225" i="120"/>
  <c r="I226" i="120"/>
  <c r="D226" i="120"/>
  <c r="J226" i="120"/>
  <c r="E226" i="120"/>
  <c r="F226" i="120"/>
  <c r="C226" i="120"/>
  <c r="I227" i="120"/>
  <c r="D227" i="120"/>
  <c r="J227" i="120"/>
  <c r="E227" i="120"/>
  <c r="F227" i="120"/>
  <c r="C227" i="120"/>
  <c r="I228" i="120"/>
  <c r="D228" i="120"/>
  <c r="J228" i="120"/>
  <c r="E228" i="120"/>
  <c r="F228" i="120"/>
  <c r="C228" i="120"/>
  <c r="I229" i="120"/>
  <c r="D229" i="120"/>
  <c r="J229" i="120"/>
  <c r="E229" i="120"/>
  <c r="F229" i="120"/>
  <c r="C229" i="120"/>
  <c r="I230" i="120"/>
  <c r="D230" i="120"/>
  <c r="J230" i="120"/>
  <c r="E230" i="120"/>
  <c r="F230" i="120"/>
  <c r="C230" i="120"/>
  <c r="I231" i="120"/>
  <c r="D231" i="120"/>
  <c r="J231" i="120"/>
  <c r="E231" i="120"/>
  <c r="F231" i="120"/>
  <c r="C231" i="120"/>
  <c r="I232" i="120"/>
  <c r="D232" i="120"/>
  <c r="J232" i="120"/>
  <c r="E232" i="120"/>
  <c r="F232" i="120"/>
  <c r="C232" i="120"/>
  <c r="I233" i="120"/>
  <c r="D233" i="120"/>
  <c r="J233" i="120"/>
  <c r="E233" i="120"/>
  <c r="F233" i="120"/>
  <c r="C233" i="120"/>
  <c r="I234" i="120"/>
  <c r="D234" i="120"/>
  <c r="J234" i="120"/>
  <c r="E234" i="120"/>
  <c r="F234" i="120"/>
  <c r="C234" i="120"/>
  <c r="I235" i="120"/>
  <c r="D235" i="120"/>
  <c r="J235" i="120"/>
  <c r="E235" i="120"/>
  <c r="F235" i="120"/>
  <c r="C235" i="120"/>
  <c r="I236" i="120"/>
  <c r="D236" i="120"/>
  <c r="J236" i="120"/>
  <c r="E236" i="120"/>
  <c r="F236" i="120"/>
  <c r="C236" i="120"/>
  <c r="I237" i="120"/>
  <c r="D237" i="120"/>
  <c r="J237" i="120"/>
  <c r="E237" i="120"/>
  <c r="F237" i="120"/>
  <c r="C237" i="120"/>
  <c r="I238" i="120"/>
  <c r="D238" i="120"/>
  <c r="J238" i="120"/>
  <c r="E238" i="120"/>
  <c r="F238" i="120"/>
  <c r="C238" i="120"/>
  <c r="I239" i="120"/>
  <c r="D239" i="120"/>
  <c r="J239" i="120"/>
  <c r="E239" i="120"/>
  <c r="F239" i="120"/>
  <c r="C239" i="120"/>
  <c r="I240" i="120"/>
  <c r="D240" i="120"/>
  <c r="J240" i="120"/>
  <c r="E240" i="120"/>
  <c r="F240" i="120"/>
  <c r="C240" i="120"/>
  <c r="I241" i="120"/>
  <c r="D241" i="120"/>
  <c r="J241" i="120"/>
  <c r="E241" i="120"/>
  <c r="F241" i="120"/>
  <c r="C241" i="120"/>
  <c r="I242" i="120"/>
  <c r="D242" i="120"/>
  <c r="J242" i="120"/>
  <c r="E242" i="120"/>
  <c r="F242" i="120"/>
  <c r="C242" i="120"/>
  <c r="I243" i="120"/>
  <c r="D243" i="120"/>
  <c r="J243" i="120"/>
  <c r="E243" i="120"/>
  <c r="F243" i="120"/>
  <c r="C243" i="120"/>
  <c r="I244" i="120"/>
  <c r="D244" i="120"/>
  <c r="J244" i="120"/>
  <c r="E244" i="120"/>
  <c r="F244" i="120"/>
  <c r="C244" i="120"/>
  <c r="I245" i="120"/>
  <c r="D245" i="120"/>
  <c r="J245" i="120"/>
  <c r="E245" i="120"/>
  <c r="F245" i="120"/>
  <c r="C245" i="120"/>
  <c r="I246" i="120"/>
  <c r="D246" i="120"/>
  <c r="J246" i="120"/>
  <c r="E246" i="120"/>
  <c r="F246" i="120"/>
  <c r="C246" i="120"/>
  <c r="I247" i="120"/>
  <c r="D247" i="120"/>
  <c r="J247" i="120"/>
  <c r="E247" i="120"/>
  <c r="F247" i="120"/>
  <c r="C247" i="120"/>
  <c r="I248" i="120"/>
  <c r="D248" i="120"/>
  <c r="J248" i="120"/>
  <c r="E248" i="120"/>
  <c r="F248" i="120"/>
  <c r="C248" i="120"/>
  <c r="I249" i="120"/>
  <c r="D249" i="120"/>
  <c r="J249" i="120"/>
  <c r="E249" i="120"/>
  <c r="F249" i="120"/>
  <c r="C249" i="120"/>
  <c r="I250" i="120"/>
  <c r="D250" i="120"/>
  <c r="J250" i="120"/>
  <c r="E250" i="120"/>
  <c r="F250" i="120"/>
  <c r="C250" i="120"/>
  <c r="I251" i="120"/>
  <c r="D251" i="120"/>
  <c r="J251" i="120"/>
  <c r="E251" i="120"/>
  <c r="F251" i="120"/>
  <c r="C251" i="120"/>
  <c r="I252" i="120"/>
  <c r="D252" i="120"/>
  <c r="J252" i="120"/>
  <c r="E252" i="120"/>
  <c r="F252" i="120"/>
  <c r="C252" i="120"/>
  <c r="I253" i="120"/>
  <c r="D253" i="120"/>
  <c r="J253" i="120"/>
  <c r="E253" i="120"/>
  <c r="F253" i="120"/>
  <c r="C253" i="120"/>
  <c r="I254" i="120"/>
  <c r="D254" i="120"/>
  <c r="J254" i="120"/>
  <c r="E254" i="120"/>
  <c r="F254" i="120"/>
  <c r="C254" i="120"/>
  <c r="I255" i="120"/>
  <c r="D255" i="120"/>
  <c r="J255" i="120"/>
  <c r="E255" i="120"/>
  <c r="F255" i="120"/>
  <c r="C255" i="120"/>
  <c r="I256" i="120"/>
  <c r="D256" i="120"/>
  <c r="J256" i="120"/>
  <c r="E256" i="120"/>
  <c r="F256" i="120"/>
  <c r="C256" i="120"/>
  <c r="I257" i="120"/>
  <c r="D257" i="120"/>
  <c r="J257" i="120"/>
  <c r="E257" i="120"/>
  <c r="F257" i="120"/>
  <c r="C257" i="120"/>
  <c r="I258" i="120"/>
  <c r="D258" i="120"/>
  <c r="J258" i="120"/>
  <c r="E258" i="120"/>
  <c r="F258" i="120"/>
  <c r="C258" i="120"/>
  <c r="I259" i="120"/>
  <c r="D259" i="120"/>
  <c r="J259" i="120"/>
  <c r="E259" i="120"/>
  <c r="F259" i="120"/>
  <c r="C259" i="120"/>
  <c r="I260" i="120"/>
  <c r="D260" i="120"/>
  <c r="J260" i="120"/>
  <c r="E260" i="120"/>
  <c r="F260" i="120"/>
  <c r="C260" i="120"/>
  <c r="I261" i="120"/>
  <c r="D261" i="120"/>
  <c r="J261" i="120"/>
  <c r="E261" i="120"/>
  <c r="F261" i="120"/>
  <c r="C261" i="120"/>
  <c r="I262" i="120"/>
  <c r="D262" i="120"/>
  <c r="J262" i="120"/>
  <c r="E262" i="120"/>
  <c r="F262" i="120"/>
  <c r="C262" i="120"/>
  <c r="I263" i="120"/>
  <c r="D263" i="120"/>
  <c r="J263" i="120"/>
  <c r="E263" i="120"/>
  <c r="F263" i="120"/>
  <c r="C263" i="120"/>
  <c r="I264" i="120"/>
  <c r="D264" i="120"/>
  <c r="J264" i="120"/>
  <c r="E264" i="120"/>
  <c r="F264" i="120"/>
  <c r="C264" i="120"/>
  <c r="I265" i="120"/>
  <c r="D265" i="120"/>
  <c r="J265" i="120"/>
  <c r="E265" i="120"/>
  <c r="F265" i="120"/>
  <c r="C265" i="120"/>
  <c r="I266" i="120"/>
  <c r="D266" i="120"/>
  <c r="J266" i="120"/>
  <c r="E266" i="120"/>
  <c r="F266" i="120"/>
  <c r="C266" i="120"/>
  <c r="I267" i="120"/>
  <c r="D267" i="120"/>
  <c r="J267" i="120"/>
  <c r="E267" i="120"/>
  <c r="F267" i="120"/>
  <c r="C267" i="120"/>
  <c r="I268" i="120"/>
  <c r="D268" i="120"/>
  <c r="J268" i="120"/>
  <c r="E268" i="120"/>
  <c r="F268" i="120"/>
  <c r="C268" i="120"/>
  <c r="I269" i="120"/>
  <c r="D269" i="120"/>
  <c r="J269" i="120"/>
  <c r="E269" i="120"/>
  <c r="F269" i="120"/>
  <c r="C269" i="120"/>
  <c r="I270" i="120"/>
  <c r="D270" i="120"/>
  <c r="J270" i="120"/>
  <c r="E270" i="120"/>
  <c r="F270" i="120"/>
  <c r="C270" i="120"/>
  <c r="I271" i="120"/>
  <c r="D271" i="120"/>
  <c r="J271" i="120"/>
  <c r="E271" i="120"/>
  <c r="F271" i="120"/>
  <c r="C271" i="120"/>
  <c r="I272" i="120"/>
  <c r="D272" i="120"/>
  <c r="J272" i="120"/>
  <c r="E272" i="120"/>
  <c r="F272" i="120"/>
  <c r="C272" i="120"/>
  <c r="I273" i="120"/>
  <c r="D273" i="120"/>
  <c r="J273" i="120"/>
  <c r="E273" i="120"/>
  <c r="F273" i="120"/>
  <c r="C273" i="120"/>
  <c r="I274" i="120"/>
  <c r="D274" i="120"/>
  <c r="J274" i="120"/>
  <c r="E274" i="120"/>
  <c r="F274" i="120"/>
  <c r="C274" i="120"/>
  <c r="I275" i="120"/>
  <c r="D275" i="120"/>
  <c r="J275" i="120"/>
  <c r="E275" i="120"/>
  <c r="F275" i="120"/>
  <c r="C275" i="120"/>
  <c r="I276" i="120"/>
  <c r="D276" i="120"/>
  <c r="J276" i="120"/>
  <c r="E276" i="120"/>
  <c r="F276" i="120"/>
  <c r="C276" i="120"/>
  <c r="I277" i="120"/>
  <c r="D277" i="120"/>
  <c r="J277" i="120"/>
  <c r="E277" i="120"/>
  <c r="F277" i="120"/>
  <c r="C277" i="120"/>
  <c r="I278" i="120"/>
  <c r="D278" i="120"/>
  <c r="J278" i="120"/>
  <c r="E278" i="120"/>
  <c r="F278" i="120"/>
  <c r="C278" i="120"/>
  <c r="I279" i="120"/>
  <c r="D279" i="120"/>
  <c r="J279" i="120"/>
  <c r="E279" i="120"/>
  <c r="F279" i="120"/>
  <c r="C279" i="120"/>
  <c r="I280" i="120"/>
  <c r="D280" i="120"/>
  <c r="J280" i="120"/>
  <c r="E280" i="120"/>
  <c r="F280" i="120"/>
  <c r="C280" i="120"/>
  <c r="I281" i="120"/>
  <c r="D281" i="120"/>
  <c r="J281" i="120"/>
  <c r="E281" i="120"/>
  <c r="F281" i="120"/>
  <c r="C281" i="120"/>
  <c r="I282" i="120"/>
  <c r="D282" i="120"/>
  <c r="J282" i="120"/>
  <c r="E282" i="120"/>
  <c r="F282" i="120"/>
  <c r="C282" i="120"/>
  <c r="I283" i="120"/>
  <c r="D283" i="120"/>
  <c r="J283" i="120"/>
  <c r="E283" i="120"/>
  <c r="F283" i="120"/>
  <c r="C283" i="120"/>
  <c r="I284" i="120"/>
  <c r="D284" i="120"/>
  <c r="J284" i="120"/>
  <c r="E284" i="120"/>
  <c r="F284" i="120"/>
  <c r="C284" i="120"/>
  <c r="F5" i="119"/>
  <c r="A51" i="119"/>
  <c r="G46" i="119"/>
  <c r="Q3" i="119"/>
  <c r="Q4" i="119"/>
  <c r="Q5" i="119"/>
  <c r="Q6" i="119"/>
  <c r="E46" i="119"/>
  <c r="H46" i="119"/>
  <c r="O285" i="120"/>
  <c r="B10" i="119"/>
  <c r="E8" i="119"/>
  <c r="E34" i="119"/>
  <c r="B34" i="119"/>
  <c r="E6" i="119"/>
  <c r="E39" i="119"/>
  <c r="B39" i="119"/>
  <c r="B32" i="119"/>
  <c r="G32" i="119"/>
  <c r="E32" i="119"/>
  <c r="H32" i="119"/>
  <c r="O2" i="120"/>
  <c r="E33" i="119"/>
  <c r="B33" i="119"/>
  <c r="G33" i="119"/>
  <c r="H33" i="119"/>
  <c r="O3" i="120"/>
  <c r="O4" i="120"/>
  <c r="O5" i="120"/>
  <c r="E7" i="119"/>
  <c r="E19" i="119"/>
  <c r="B19" i="119"/>
  <c r="E5" i="119"/>
  <c r="E24" i="119"/>
  <c r="B24" i="119"/>
  <c r="B17" i="119"/>
  <c r="G17" i="119"/>
  <c r="E17" i="119"/>
  <c r="H17" i="119"/>
  <c r="O6" i="120"/>
  <c r="E18" i="119"/>
  <c r="B18" i="119"/>
  <c r="G18" i="119"/>
  <c r="H18" i="119"/>
  <c r="O7" i="120"/>
  <c r="O8" i="120"/>
  <c r="O9" i="120"/>
  <c r="O10" i="120"/>
  <c r="O11" i="120"/>
  <c r="O12" i="120"/>
  <c r="O13" i="120"/>
  <c r="O14" i="120"/>
  <c r="O15" i="120"/>
  <c r="O16" i="120"/>
  <c r="O17" i="120"/>
  <c r="O18" i="120"/>
  <c r="O19" i="120"/>
  <c r="O20" i="120"/>
  <c r="O21" i="120"/>
  <c r="O22" i="120"/>
  <c r="O23" i="120"/>
  <c r="O24" i="120"/>
  <c r="O25" i="120"/>
  <c r="O26" i="120"/>
  <c r="O27" i="120"/>
  <c r="O28" i="120"/>
  <c r="O29" i="120"/>
  <c r="O30" i="120"/>
  <c r="O31" i="120"/>
  <c r="O32" i="120"/>
  <c r="O33" i="120"/>
  <c r="O34" i="120"/>
  <c r="O35" i="120"/>
  <c r="O36" i="120"/>
  <c r="O37" i="120"/>
  <c r="O38" i="120"/>
  <c r="O39" i="120"/>
  <c r="O40" i="120"/>
  <c r="O41" i="120"/>
  <c r="G39" i="119"/>
  <c r="H39" i="119"/>
  <c r="O42" i="120"/>
  <c r="E40" i="119"/>
  <c r="B40" i="119"/>
  <c r="G40" i="119"/>
  <c r="H40" i="119"/>
  <c r="O43" i="120"/>
  <c r="E41" i="119"/>
  <c r="B41" i="119"/>
  <c r="G41" i="119"/>
  <c r="H41" i="119"/>
  <c r="O44" i="120"/>
  <c r="O45" i="120"/>
  <c r="O46" i="120"/>
  <c r="O47" i="120"/>
  <c r="G24" i="119"/>
  <c r="H24" i="119"/>
  <c r="O48" i="120"/>
  <c r="E25" i="119"/>
  <c r="B25" i="119"/>
  <c r="G25" i="119"/>
  <c r="H25" i="119"/>
  <c r="O49" i="120"/>
  <c r="E26" i="119"/>
  <c r="B26" i="119"/>
  <c r="G26" i="119"/>
  <c r="H26" i="119"/>
  <c r="O50" i="120"/>
  <c r="G19" i="119"/>
  <c r="H19" i="119"/>
  <c r="O51" i="120"/>
  <c r="E20" i="119"/>
  <c r="B20" i="119"/>
  <c r="G20" i="119"/>
  <c r="H20" i="119"/>
  <c r="O52" i="120"/>
  <c r="E21" i="119"/>
  <c r="B21" i="119"/>
  <c r="G21" i="119"/>
  <c r="H21" i="119"/>
  <c r="O53" i="120"/>
  <c r="G34" i="119"/>
  <c r="H34" i="119"/>
  <c r="O54" i="120"/>
  <c r="E35" i="119"/>
  <c r="B35" i="119"/>
  <c r="G35" i="119"/>
  <c r="H35" i="119"/>
  <c r="O55" i="120"/>
  <c r="E36" i="119"/>
  <c r="B36" i="119"/>
  <c r="G36" i="119"/>
  <c r="H36" i="119"/>
  <c r="O56" i="120"/>
  <c r="O57" i="120"/>
  <c r="O58" i="120"/>
  <c r="O59" i="120"/>
  <c r="O60" i="120"/>
  <c r="O61" i="120"/>
  <c r="O62" i="120"/>
  <c r="O63" i="120"/>
  <c r="O64" i="120"/>
  <c r="O65" i="120"/>
  <c r="O66" i="120"/>
  <c r="O67" i="120"/>
  <c r="O68" i="120"/>
  <c r="O69" i="120"/>
  <c r="O70" i="120"/>
  <c r="O71" i="120"/>
  <c r="O72" i="120"/>
  <c r="O73" i="120"/>
  <c r="O74" i="120"/>
  <c r="O75" i="120"/>
  <c r="O76" i="120"/>
  <c r="O77" i="120"/>
  <c r="O78" i="120"/>
  <c r="O79" i="120"/>
  <c r="O80" i="120"/>
  <c r="O81" i="120"/>
  <c r="O82" i="120"/>
  <c r="O83" i="120"/>
  <c r="O84" i="120"/>
  <c r="O85" i="120"/>
  <c r="O86" i="120"/>
  <c r="O87" i="120"/>
  <c r="O88" i="120"/>
  <c r="O89" i="120"/>
  <c r="O90" i="120"/>
  <c r="O91" i="120"/>
  <c r="O92" i="120"/>
  <c r="O93" i="120"/>
  <c r="O94" i="120"/>
  <c r="O95" i="120"/>
  <c r="O96" i="120"/>
  <c r="O97" i="120"/>
  <c r="O98" i="120"/>
  <c r="O99" i="120"/>
  <c r="O100" i="120"/>
  <c r="O101" i="120"/>
  <c r="O102" i="120"/>
  <c r="O103" i="120"/>
  <c r="O104" i="120"/>
  <c r="O105" i="120"/>
  <c r="O106" i="120"/>
  <c r="O107" i="120"/>
  <c r="O108" i="120"/>
  <c r="O109" i="120"/>
  <c r="O110" i="120"/>
  <c r="O111" i="120"/>
  <c r="O112" i="120"/>
  <c r="O113" i="120"/>
  <c r="O114" i="120"/>
  <c r="O115" i="120"/>
  <c r="O116" i="120"/>
  <c r="O117" i="120"/>
  <c r="O118" i="120"/>
  <c r="O119" i="120"/>
  <c r="O120" i="120"/>
  <c r="O121" i="120"/>
  <c r="O122" i="120"/>
  <c r="O123" i="120"/>
  <c r="O124" i="120"/>
  <c r="O125" i="120"/>
  <c r="O126" i="120"/>
  <c r="O127" i="120"/>
  <c r="O128" i="120"/>
  <c r="O129" i="120"/>
  <c r="O130" i="120"/>
  <c r="O131" i="120"/>
  <c r="O132" i="120"/>
  <c r="O133" i="120"/>
  <c r="O134" i="120"/>
  <c r="O135" i="120"/>
  <c r="O136" i="120"/>
  <c r="O137" i="120"/>
  <c r="E42" i="119"/>
  <c r="B42" i="119"/>
  <c r="G42" i="119"/>
  <c r="H42" i="119"/>
  <c r="O138" i="120"/>
  <c r="E43" i="119"/>
  <c r="B43" i="119"/>
  <c r="G43" i="119"/>
  <c r="H43" i="119"/>
  <c r="O139" i="120"/>
  <c r="O140" i="120"/>
  <c r="O141" i="120"/>
  <c r="E27" i="119"/>
  <c r="B27" i="119"/>
  <c r="G27" i="119"/>
  <c r="H27" i="119"/>
  <c r="O142" i="120"/>
  <c r="E28" i="119"/>
  <c r="B28" i="119"/>
  <c r="G28" i="119"/>
  <c r="H28" i="119"/>
  <c r="O143" i="120"/>
  <c r="O144" i="120"/>
  <c r="O145" i="120"/>
  <c r="O146" i="120"/>
  <c r="O147" i="120"/>
  <c r="O148" i="120"/>
  <c r="O149" i="120"/>
  <c r="O150" i="120"/>
  <c r="O151" i="120"/>
  <c r="O152" i="120"/>
  <c r="O153" i="120"/>
  <c r="O154" i="120"/>
  <c r="O155" i="120"/>
  <c r="O156" i="120"/>
  <c r="O157" i="120"/>
  <c r="O158" i="120"/>
  <c r="O159" i="120"/>
  <c r="O160" i="120"/>
  <c r="O161" i="120"/>
  <c r="O162" i="120"/>
  <c r="O163" i="120"/>
  <c r="O164" i="120"/>
  <c r="O165" i="120"/>
  <c r="O166" i="120"/>
  <c r="O167" i="120"/>
  <c r="O168" i="120"/>
  <c r="O169" i="120"/>
  <c r="O170" i="120"/>
  <c r="O171" i="120"/>
  <c r="O172" i="120"/>
  <c r="O173" i="120"/>
  <c r="O174" i="120"/>
  <c r="O175" i="120"/>
  <c r="O176" i="120"/>
  <c r="O177" i="120"/>
  <c r="O178" i="120"/>
  <c r="O179" i="120"/>
  <c r="O180" i="120"/>
  <c r="O181" i="120"/>
  <c r="O182" i="120"/>
  <c r="O183" i="120"/>
  <c r="O184" i="120"/>
  <c r="O185" i="120"/>
  <c r="O186" i="120"/>
  <c r="O187" i="120"/>
  <c r="O188" i="120"/>
  <c r="O189" i="120"/>
  <c r="O190" i="120"/>
  <c r="O191" i="120"/>
  <c r="O192" i="120"/>
  <c r="O193" i="120"/>
  <c r="O194" i="120"/>
  <c r="O195" i="120"/>
  <c r="O196" i="120"/>
  <c r="O197" i="120"/>
  <c r="O198" i="120"/>
  <c r="O199" i="120"/>
  <c r="O200" i="120"/>
  <c r="O201" i="120"/>
  <c r="O202" i="120"/>
  <c r="O203" i="120"/>
  <c r="O204" i="120"/>
  <c r="O205" i="120"/>
  <c r="O206" i="120"/>
  <c r="O207" i="120"/>
  <c r="O208" i="120"/>
  <c r="O209" i="120"/>
  <c r="O210" i="120"/>
  <c r="O211" i="120"/>
  <c r="O212" i="120"/>
  <c r="O213" i="120"/>
  <c r="O214" i="120"/>
  <c r="O215" i="120"/>
  <c r="O216" i="120"/>
  <c r="O217" i="120"/>
  <c r="O218" i="120"/>
  <c r="O219" i="120"/>
  <c r="O220" i="120"/>
  <c r="O221" i="120"/>
  <c r="O222" i="120"/>
  <c r="O223" i="120"/>
  <c r="O224" i="120"/>
  <c r="O225" i="120"/>
  <c r="O226" i="120"/>
  <c r="O227" i="120"/>
  <c r="O228" i="120"/>
  <c r="O229" i="120"/>
  <c r="O230" i="120"/>
  <c r="O231" i="120"/>
  <c r="O232" i="120"/>
  <c r="O233" i="120"/>
  <c r="O234" i="120"/>
  <c r="O235" i="120"/>
  <c r="O236" i="120"/>
  <c r="O237" i="120"/>
  <c r="O238" i="120"/>
  <c r="O239" i="120"/>
  <c r="O240" i="120"/>
  <c r="O241" i="120"/>
  <c r="O242" i="120"/>
  <c r="O243" i="120"/>
  <c r="O244" i="120"/>
  <c r="O245" i="120"/>
  <c r="O246" i="120"/>
  <c r="O247" i="120"/>
  <c r="O248" i="120"/>
  <c r="O249" i="120"/>
  <c r="O250" i="120"/>
  <c r="O251" i="120"/>
  <c r="O252" i="120"/>
  <c r="O253" i="120"/>
  <c r="O254" i="120"/>
  <c r="O255" i="120"/>
  <c r="O256" i="120"/>
  <c r="O257" i="120"/>
  <c r="O258" i="120"/>
  <c r="O259" i="120"/>
  <c r="O260" i="120"/>
  <c r="O261" i="120"/>
  <c r="O262" i="120"/>
  <c r="O263" i="120"/>
  <c r="O264" i="120"/>
  <c r="O265" i="120"/>
  <c r="B44" i="119"/>
  <c r="B38" i="119"/>
  <c r="B37" i="119"/>
  <c r="G37" i="119"/>
  <c r="E37" i="119"/>
  <c r="H37" i="119"/>
  <c r="O266" i="120"/>
  <c r="G38" i="119"/>
  <c r="E38" i="119"/>
  <c r="H38" i="119"/>
  <c r="O267" i="120"/>
  <c r="O268" i="120"/>
  <c r="O269" i="120"/>
  <c r="B29" i="119"/>
  <c r="G29" i="119"/>
  <c r="E29" i="119"/>
  <c r="H29" i="119"/>
  <c r="O270" i="120"/>
  <c r="O271" i="120"/>
  <c r="G44" i="119"/>
  <c r="E44" i="119"/>
  <c r="H44" i="119"/>
  <c r="O272" i="120"/>
  <c r="O273" i="120"/>
  <c r="V6" i="119"/>
  <c r="B23" i="119"/>
  <c r="B22" i="119"/>
  <c r="G22" i="119"/>
  <c r="E22" i="119"/>
  <c r="H22" i="119"/>
  <c r="O274" i="120"/>
  <c r="G23" i="119"/>
  <c r="E23" i="119"/>
  <c r="H23" i="119"/>
  <c r="O275" i="120"/>
  <c r="O276" i="120"/>
  <c r="O277" i="120"/>
  <c r="O278" i="120"/>
  <c r="O279" i="120"/>
  <c r="O280" i="120"/>
  <c r="O281" i="120"/>
  <c r="O282" i="120"/>
  <c r="O283" i="120"/>
  <c r="O284" i="120"/>
  <c r="P285" i="120"/>
  <c r="N285" i="120"/>
  <c r="M285" i="120"/>
  <c r="L285" i="120"/>
  <c r="K285" i="120"/>
  <c r="H285" i="120"/>
  <c r="A285" i="120"/>
  <c r="P284" i="120"/>
  <c r="N284" i="120"/>
  <c r="M284" i="120"/>
  <c r="L284" i="120"/>
  <c r="K284" i="120"/>
  <c r="H284" i="120"/>
  <c r="A284" i="120"/>
  <c r="P283" i="120"/>
  <c r="N283" i="120"/>
  <c r="M283" i="120"/>
  <c r="L283" i="120"/>
  <c r="K283" i="120"/>
  <c r="H283" i="120"/>
  <c r="A283" i="120"/>
  <c r="P282" i="120"/>
  <c r="N282" i="120"/>
  <c r="M282" i="120"/>
  <c r="L282" i="120"/>
  <c r="K282" i="120"/>
  <c r="H282" i="120"/>
  <c r="A282" i="120"/>
  <c r="P281" i="120"/>
  <c r="N281" i="120"/>
  <c r="M281" i="120"/>
  <c r="L281" i="120"/>
  <c r="K281" i="120"/>
  <c r="H281" i="120"/>
  <c r="A281" i="120"/>
  <c r="P280" i="120"/>
  <c r="N280" i="120"/>
  <c r="M280" i="120"/>
  <c r="L280" i="120"/>
  <c r="K280" i="120"/>
  <c r="H280" i="120"/>
  <c r="A280" i="120"/>
  <c r="P279" i="120"/>
  <c r="N279" i="120"/>
  <c r="M279" i="120"/>
  <c r="L279" i="120"/>
  <c r="K279" i="120"/>
  <c r="H279" i="120"/>
  <c r="A279" i="120"/>
  <c r="P278" i="120"/>
  <c r="N278" i="120"/>
  <c r="M278" i="120"/>
  <c r="L278" i="120"/>
  <c r="K278" i="120"/>
  <c r="H278" i="120"/>
  <c r="A278" i="120"/>
  <c r="P277" i="120"/>
  <c r="N277" i="120"/>
  <c r="M277" i="120"/>
  <c r="L277" i="120"/>
  <c r="K277" i="120"/>
  <c r="H277" i="120"/>
  <c r="A277" i="120"/>
  <c r="P276" i="120"/>
  <c r="N276" i="120"/>
  <c r="M276" i="120"/>
  <c r="L276" i="120"/>
  <c r="K276" i="120"/>
  <c r="H276" i="120"/>
  <c r="A276" i="120"/>
  <c r="P275" i="120"/>
  <c r="N275" i="120"/>
  <c r="M275" i="120"/>
  <c r="L275" i="120"/>
  <c r="K275" i="120"/>
  <c r="H275" i="120"/>
  <c r="A275" i="120"/>
  <c r="P274" i="120"/>
  <c r="N274" i="120"/>
  <c r="M274" i="120"/>
  <c r="L274" i="120"/>
  <c r="K274" i="120"/>
  <c r="H274" i="120"/>
  <c r="A274" i="120"/>
  <c r="P273" i="120"/>
  <c r="N273" i="120"/>
  <c r="M273" i="120"/>
  <c r="L273" i="120"/>
  <c r="K273" i="120"/>
  <c r="H273" i="120"/>
  <c r="A273" i="120"/>
  <c r="P272" i="120"/>
  <c r="N272" i="120"/>
  <c r="M272" i="120"/>
  <c r="L272" i="120"/>
  <c r="K272" i="120"/>
  <c r="H272" i="120"/>
  <c r="A272" i="120"/>
  <c r="P271" i="120"/>
  <c r="N271" i="120"/>
  <c r="M271" i="120"/>
  <c r="L271" i="120"/>
  <c r="K271" i="120"/>
  <c r="H271" i="120"/>
  <c r="A271" i="120"/>
  <c r="P270" i="120"/>
  <c r="N270" i="120"/>
  <c r="M270" i="120"/>
  <c r="L270" i="120"/>
  <c r="K270" i="120"/>
  <c r="H270" i="120"/>
  <c r="A270" i="120"/>
  <c r="P269" i="120"/>
  <c r="N269" i="120"/>
  <c r="M269" i="120"/>
  <c r="L269" i="120"/>
  <c r="K269" i="120"/>
  <c r="H269" i="120"/>
  <c r="A269" i="120"/>
  <c r="P268" i="120"/>
  <c r="N268" i="120"/>
  <c r="M268" i="120"/>
  <c r="L268" i="120"/>
  <c r="K268" i="120"/>
  <c r="H268" i="120"/>
  <c r="A268" i="120"/>
  <c r="P267" i="120"/>
  <c r="N267" i="120"/>
  <c r="M267" i="120"/>
  <c r="L267" i="120"/>
  <c r="K267" i="120"/>
  <c r="H267" i="120"/>
  <c r="A267" i="120"/>
  <c r="P266" i="120"/>
  <c r="N266" i="120"/>
  <c r="M266" i="120"/>
  <c r="L266" i="120"/>
  <c r="K266" i="120"/>
  <c r="H266" i="120"/>
  <c r="A266" i="120"/>
  <c r="P265" i="120"/>
  <c r="N265" i="120"/>
  <c r="M265" i="120"/>
  <c r="L265" i="120"/>
  <c r="K265" i="120"/>
  <c r="H265" i="120"/>
  <c r="A265" i="120"/>
  <c r="P264" i="120"/>
  <c r="N264" i="120"/>
  <c r="M264" i="120"/>
  <c r="L264" i="120"/>
  <c r="K264" i="120"/>
  <c r="H264" i="120"/>
  <c r="A264" i="120"/>
  <c r="P263" i="120"/>
  <c r="N263" i="120"/>
  <c r="M263" i="120"/>
  <c r="L263" i="120"/>
  <c r="K263" i="120"/>
  <c r="H263" i="120"/>
  <c r="A263" i="120"/>
  <c r="P262" i="120"/>
  <c r="N262" i="120"/>
  <c r="M262" i="120"/>
  <c r="L262" i="120"/>
  <c r="K262" i="120"/>
  <c r="H262" i="120"/>
  <c r="A262" i="120"/>
  <c r="P261" i="120"/>
  <c r="N261" i="120"/>
  <c r="M261" i="120"/>
  <c r="L261" i="120"/>
  <c r="K261" i="120"/>
  <c r="H261" i="120"/>
  <c r="A261" i="120"/>
  <c r="P260" i="120"/>
  <c r="N260" i="120"/>
  <c r="M260" i="120"/>
  <c r="L260" i="120"/>
  <c r="K260" i="120"/>
  <c r="H260" i="120"/>
  <c r="A260" i="120"/>
  <c r="P259" i="120"/>
  <c r="N259" i="120"/>
  <c r="M259" i="120"/>
  <c r="L259" i="120"/>
  <c r="K259" i="120"/>
  <c r="H259" i="120"/>
  <c r="A259" i="120"/>
  <c r="P258" i="120"/>
  <c r="N258" i="120"/>
  <c r="M258" i="120"/>
  <c r="L258" i="120"/>
  <c r="K258" i="120"/>
  <c r="H258" i="120"/>
  <c r="A258" i="120"/>
  <c r="P257" i="120"/>
  <c r="N257" i="120"/>
  <c r="M257" i="120"/>
  <c r="L257" i="120"/>
  <c r="K257" i="120"/>
  <c r="H257" i="120"/>
  <c r="A257" i="120"/>
  <c r="P256" i="120"/>
  <c r="N256" i="120"/>
  <c r="M256" i="120"/>
  <c r="L256" i="120"/>
  <c r="K256" i="120"/>
  <c r="H256" i="120"/>
  <c r="A256" i="120"/>
  <c r="P255" i="120"/>
  <c r="N255" i="120"/>
  <c r="M255" i="120"/>
  <c r="L255" i="120"/>
  <c r="K255" i="120"/>
  <c r="H255" i="120"/>
  <c r="A255" i="120"/>
  <c r="P254" i="120"/>
  <c r="N254" i="120"/>
  <c r="M254" i="120"/>
  <c r="L254" i="120"/>
  <c r="K254" i="120"/>
  <c r="H254" i="120"/>
  <c r="A254" i="120"/>
  <c r="P253" i="120"/>
  <c r="N253" i="120"/>
  <c r="M253" i="120"/>
  <c r="L253" i="120"/>
  <c r="K253" i="120"/>
  <c r="H253" i="120"/>
  <c r="A253" i="120"/>
  <c r="P252" i="120"/>
  <c r="N252" i="120"/>
  <c r="M252" i="120"/>
  <c r="L252" i="120"/>
  <c r="K252" i="120"/>
  <c r="H252" i="120"/>
  <c r="A252" i="120"/>
  <c r="P251" i="120"/>
  <c r="N251" i="120"/>
  <c r="M251" i="120"/>
  <c r="L251" i="120"/>
  <c r="K251" i="120"/>
  <c r="H251" i="120"/>
  <c r="A251" i="120"/>
  <c r="P250" i="120"/>
  <c r="N250" i="120"/>
  <c r="M250" i="120"/>
  <c r="L250" i="120"/>
  <c r="K250" i="120"/>
  <c r="H250" i="120"/>
  <c r="A250" i="120"/>
  <c r="P249" i="120"/>
  <c r="N249" i="120"/>
  <c r="M249" i="120"/>
  <c r="L249" i="120"/>
  <c r="K249" i="120"/>
  <c r="H249" i="120"/>
  <c r="A249" i="120"/>
  <c r="P248" i="120"/>
  <c r="N248" i="120"/>
  <c r="M248" i="120"/>
  <c r="L248" i="120"/>
  <c r="K248" i="120"/>
  <c r="H248" i="120"/>
  <c r="A248" i="120"/>
  <c r="P247" i="120"/>
  <c r="N247" i="120"/>
  <c r="M247" i="120"/>
  <c r="L247" i="120"/>
  <c r="K247" i="120"/>
  <c r="H247" i="120"/>
  <c r="A247" i="120"/>
  <c r="P246" i="120"/>
  <c r="N246" i="120"/>
  <c r="M246" i="120"/>
  <c r="L246" i="120"/>
  <c r="K246" i="120"/>
  <c r="H246" i="120"/>
  <c r="A246" i="120"/>
  <c r="P245" i="120"/>
  <c r="N245" i="120"/>
  <c r="M245" i="120"/>
  <c r="L245" i="120"/>
  <c r="K245" i="120"/>
  <c r="H245" i="120"/>
  <c r="A245" i="120"/>
  <c r="P244" i="120"/>
  <c r="N244" i="120"/>
  <c r="M244" i="120"/>
  <c r="L244" i="120"/>
  <c r="K244" i="120"/>
  <c r="H244" i="120"/>
  <c r="A244" i="120"/>
  <c r="P243" i="120"/>
  <c r="N243" i="120"/>
  <c r="M243" i="120"/>
  <c r="L243" i="120"/>
  <c r="K243" i="120"/>
  <c r="H243" i="120"/>
  <c r="A243" i="120"/>
  <c r="P242" i="120"/>
  <c r="N242" i="120"/>
  <c r="M242" i="120"/>
  <c r="L242" i="120"/>
  <c r="K242" i="120"/>
  <c r="H242" i="120"/>
  <c r="A242" i="120"/>
  <c r="P241" i="120"/>
  <c r="N241" i="120"/>
  <c r="M241" i="120"/>
  <c r="L241" i="120"/>
  <c r="K241" i="120"/>
  <c r="H241" i="120"/>
  <c r="A241" i="120"/>
  <c r="P240" i="120"/>
  <c r="N240" i="120"/>
  <c r="M240" i="120"/>
  <c r="L240" i="120"/>
  <c r="K240" i="120"/>
  <c r="H240" i="120"/>
  <c r="A240" i="120"/>
  <c r="P239" i="120"/>
  <c r="N239" i="120"/>
  <c r="M239" i="120"/>
  <c r="L239" i="120"/>
  <c r="K239" i="120"/>
  <c r="H239" i="120"/>
  <c r="A239" i="120"/>
  <c r="P238" i="120"/>
  <c r="N238" i="120"/>
  <c r="M238" i="120"/>
  <c r="L238" i="120"/>
  <c r="K238" i="120"/>
  <c r="H238" i="120"/>
  <c r="A238" i="120"/>
  <c r="P237" i="120"/>
  <c r="N237" i="120"/>
  <c r="M237" i="120"/>
  <c r="L237" i="120"/>
  <c r="K237" i="120"/>
  <c r="H237" i="120"/>
  <c r="A237" i="120"/>
  <c r="P236" i="120"/>
  <c r="N236" i="120"/>
  <c r="M236" i="120"/>
  <c r="L236" i="120"/>
  <c r="K236" i="120"/>
  <c r="H236" i="120"/>
  <c r="A236" i="120"/>
  <c r="P235" i="120"/>
  <c r="N235" i="120"/>
  <c r="M235" i="120"/>
  <c r="L235" i="120"/>
  <c r="K235" i="120"/>
  <c r="H235" i="120"/>
  <c r="A235" i="120"/>
  <c r="P234" i="120"/>
  <c r="N234" i="120"/>
  <c r="M234" i="120"/>
  <c r="L234" i="120"/>
  <c r="K234" i="120"/>
  <c r="H234" i="120"/>
  <c r="A234" i="120"/>
  <c r="P233" i="120"/>
  <c r="N233" i="120"/>
  <c r="M233" i="120"/>
  <c r="L233" i="120"/>
  <c r="K233" i="120"/>
  <c r="H233" i="120"/>
  <c r="A233" i="120"/>
  <c r="P232" i="120"/>
  <c r="N232" i="120"/>
  <c r="M232" i="120"/>
  <c r="L232" i="120"/>
  <c r="K232" i="120"/>
  <c r="H232" i="120"/>
  <c r="A232" i="120"/>
  <c r="P231" i="120"/>
  <c r="N231" i="120"/>
  <c r="M231" i="120"/>
  <c r="L231" i="120"/>
  <c r="K231" i="120"/>
  <c r="H231" i="120"/>
  <c r="A231" i="120"/>
  <c r="P230" i="120"/>
  <c r="N230" i="120"/>
  <c r="M230" i="120"/>
  <c r="L230" i="120"/>
  <c r="K230" i="120"/>
  <c r="H230" i="120"/>
  <c r="A230" i="120"/>
  <c r="P229" i="120"/>
  <c r="N229" i="120"/>
  <c r="M229" i="120"/>
  <c r="L229" i="120"/>
  <c r="K229" i="120"/>
  <c r="H229" i="120"/>
  <c r="A229" i="120"/>
  <c r="P228" i="120"/>
  <c r="N228" i="120"/>
  <c r="M228" i="120"/>
  <c r="L228" i="120"/>
  <c r="K228" i="120"/>
  <c r="H228" i="120"/>
  <c r="A228" i="120"/>
  <c r="P227" i="120"/>
  <c r="N227" i="120"/>
  <c r="M227" i="120"/>
  <c r="L227" i="120"/>
  <c r="K227" i="120"/>
  <c r="H227" i="120"/>
  <c r="A227" i="120"/>
  <c r="P226" i="120"/>
  <c r="N226" i="120"/>
  <c r="M226" i="120"/>
  <c r="L226" i="120"/>
  <c r="K226" i="120"/>
  <c r="H226" i="120"/>
  <c r="A226" i="120"/>
  <c r="P225" i="120"/>
  <c r="N225" i="120"/>
  <c r="M225" i="120"/>
  <c r="L225" i="120"/>
  <c r="K225" i="120"/>
  <c r="H225" i="120"/>
  <c r="A225" i="120"/>
  <c r="P224" i="120"/>
  <c r="N224" i="120"/>
  <c r="M224" i="120"/>
  <c r="L224" i="120"/>
  <c r="K224" i="120"/>
  <c r="H224" i="120"/>
  <c r="A224" i="120"/>
  <c r="P223" i="120"/>
  <c r="N223" i="120"/>
  <c r="M223" i="120"/>
  <c r="L223" i="120"/>
  <c r="K223" i="120"/>
  <c r="H223" i="120"/>
  <c r="A223" i="120"/>
  <c r="P222" i="120"/>
  <c r="N222" i="120"/>
  <c r="M222" i="120"/>
  <c r="L222" i="120"/>
  <c r="K222" i="120"/>
  <c r="H222" i="120"/>
  <c r="A222" i="120"/>
  <c r="P221" i="120"/>
  <c r="N221" i="120"/>
  <c r="M221" i="120"/>
  <c r="L221" i="120"/>
  <c r="K221" i="120"/>
  <c r="H221" i="120"/>
  <c r="A221" i="120"/>
  <c r="P220" i="120"/>
  <c r="N220" i="120"/>
  <c r="M220" i="120"/>
  <c r="L220" i="120"/>
  <c r="K220" i="120"/>
  <c r="H220" i="120"/>
  <c r="A220" i="120"/>
  <c r="P219" i="120"/>
  <c r="N219" i="120"/>
  <c r="M219" i="120"/>
  <c r="L219" i="120"/>
  <c r="K219" i="120"/>
  <c r="H219" i="120"/>
  <c r="A219" i="120"/>
  <c r="P218" i="120"/>
  <c r="N218" i="120"/>
  <c r="M218" i="120"/>
  <c r="L218" i="120"/>
  <c r="K218" i="120"/>
  <c r="H218" i="120"/>
  <c r="A218" i="120"/>
  <c r="P217" i="120"/>
  <c r="N217" i="120"/>
  <c r="M217" i="120"/>
  <c r="L217" i="120"/>
  <c r="K217" i="120"/>
  <c r="H217" i="120"/>
  <c r="A217" i="120"/>
  <c r="P216" i="120"/>
  <c r="N216" i="120"/>
  <c r="M216" i="120"/>
  <c r="L216" i="120"/>
  <c r="K216" i="120"/>
  <c r="H216" i="120"/>
  <c r="A216" i="120"/>
  <c r="P215" i="120"/>
  <c r="N215" i="120"/>
  <c r="M215" i="120"/>
  <c r="L215" i="120"/>
  <c r="K215" i="120"/>
  <c r="H215" i="120"/>
  <c r="A215" i="120"/>
  <c r="P214" i="120"/>
  <c r="N214" i="120"/>
  <c r="M214" i="120"/>
  <c r="L214" i="120"/>
  <c r="K214" i="120"/>
  <c r="H214" i="120"/>
  <c r="A214" i="120"/>
  <c r="P213" i="120"/>
  <c r="N213" i="120"/>
  <c r="M213" i="120"/>
  <c r="L213" i="120"/>
  <c r="K213" i="120"/>
  <c r="H213" i="120"/>
  <c r="A213" i="120"/>
  <c r="P212" i="120"/>
  <c r="N212" i="120"/>
  <c r="M212" i="120"/>
  <c r="L212" i="120"/>
  <c r="K212" i="120"/>
  <c r="H212" i="120"/>
  <c r="A212" i="120"/>
  <c r="P211" i="120"/>
  <c r="N211" i="120"/>
  <c r="M211" i="120"/>
  <c r="L211" i="120"/>
  <c r="K211" i="120"/>
  <c r="H211" i="120"/>
  <c r="A211" i="120"/>
  <c r="P210" i="120"/>
  <c r="N210" i="120"/>
  <c r="M210" i="120"/>
  <c r="L210" i="120"/>
  <c r="K210" i="120"/>
  <c r="H210" i="120"/>
  <c r="A210" i="120"/>
  <c r="P209" i="120"/>
  <c r="N209" i="120"/>
  <c r="M209" i="120"/>
  <c r="L209" i="120"/>
  <c r="K209" i="120"/>
  <c r="H209" i="120"/>
  <c r="A209" i="120"/>
  <c r="P208" i="120"/>
  <c r="N208" i="120"/>
  <c r="M208" i="120"/>
  <c r="L208" i="120"/>
  <c r="K208" i="120"/>
  <c r="H208" i="120"/>
  <c r="A208" i="120"/>
  <c r="P207" i="120"/>
  <c r="N207" i="120"/>
  <c r="M207" i="120"/>
  <c r="L207" i="120"/>
  <c r="K207" i="120"/>
  <c r="H207" i="120"/>
  <c r="A207" i="120"/>
  <c r="P206" i="120"/>
  <c r="N206" i="120"/>
  <c r="M206" i="120"/>
  <c r="L206" i="120"/>
  <c r="K206" i="120"/>
  <c r="H206" i="120"/>
  <c r="A206" i="120"/>
  <c r="P205" i="120"/>
  <c r="N205" i="120"/>
  <c r="M205" i="120"/>
  <c r="L205" i="120"/>
  <c r="K205" i="120"/>
  <c r="H205" i="120"/>
  <c r="A205" i="120"/>
  <c r="P204" i="120"/>
  <c r="N204" i="120"/>
  <c r="M204" i="120"/>
  <c r="L204" i="120"/>
  <c r="K204" i="120"/>
  <c r="H204" i="120"/>
  <c r="A204" i="120"/>
  <c r="P203" i="120"/>
  <c r="N203" i="120"/>
  <c r="M203" i="120"/>
  <c r="L203" i="120"/>
  <c r="K203" i="120"/>
  <c r="H203" i="120"/>
  <c r="A203" i="120"/>
  <c r="P202" i="120"/>
  <c r="N202" i="120"/>
  <c r="M202" i="120"/>
  <c r="L202" i="120"/>
  <c r="K202" i="120"/>
  <c r="H202" i="120"/>
  <c r="A202" i="120"/>
  <c r="P201" i="120"/>
  <c r="N201" i="120"/>
  <c r="M201" i="120"/>
  <c r="L201" i="120"/>
  <c r="K201" i="120"/>
  <c r="H201" i="120"/>
  <c r="A201" i="120"/>
  <c r="P200" i="120"/>
  <c r="N200" i="120"/>
  <c r="M200" i="120"/>
  <c r="L200" i="120"/>
  <c r="K200" i="120"/>
  <c r="H200" i="120"/>
  <c r="A200" i="120"/>
  <c r="P199" i="120"/>
  <c r="N199" i="120"/>
  <c r="M199" i="120"/>
  <c r="L199" i="120"/>
  <c r="K199" i="120"/>
  <c r="H199" i="120"/>
  <c r="A199" i="120"/>
  <c r="P198" i="120"/>
  <c r="N198" i="120"/>
  <c r="M198" i="120"/>
  <c r="L198" i="120"/>
  <c r="K198" i="120"/>
  <c r="H198" i="120"/>
  <c r="A198" i="120"/>
  <c r="P197" i="120"/>
  <c r="N197" i="120"/>
  <c r="M197" i="120"/>
  <c r="L197" i="120"/>
  <c r="K197" i="120"/>
  <c r="H197" i="120"/>
  <c r="A197" i="120"/>
  <c r="P196" i="120"/>
  <c r="N196" i="120"/>
  <c r="M196" i="120"/>
  <c r="L196" i="120"/>
  <c r="K196" i="120"/>
  <c r="H196" i="120"/>
  <c r="A196" i="120"/>
  <c r="P195" i="120"/>
  <c r="N195" i="120"/>
  <c r="M195" i="120"/>
  <c r="L195" i="120"/>
  <c r="K195" i="120"/>
  <c r="H195" i="120"/>
  <c r="A195" i="120"/>
  <c r="P194" i="120"/>
  <c r="N194" i="120"/>
  <c r="M194" i="120"/>
  <c r="L194" i="120"/>
  <c r="K194" i="120"/>
  <c r="H194" i="120"/>
  <c r="A194" i="120"/>
  <c r="P193" i="120"/>
  <c r="N193" i="120"/>
  <c r="M193" i="120"/>
  <c r="L193" i="120"/>
  <c r="K193" i="120"/>
  <c r="H193" i="120"/>
  <c r="A193" i="120"/>
  <c r="P192" i="120"/>
  <c r="N192" i="120"/>
  <c r="M192" i="120"/>
  <c r="L192" i="120"/>
  <c r="K192" i="120"/>
  <c r="H192" i="120"/>
  <c r="A192" i="120"/>
  <c r="P191" i="120"/>
  <c r="N191" i="120"/>
  <c r="M191" i="120"/>
  <c r="L191" i="120"/>
  <c r="K191" i="120"/>
  <c r="H191" i="120"/>
  <c r="A191" i="120"/>
  <c r="P190" i="120"/>
  <c r="N190" i="120"/>
  <c r="M190" i="120"/>
  <c r="L190" i="120"/>
  <c r="K190" i="120"/>
  <c r="H190" i="120"/>
  <c r="A190" i="120"/>
  <c r="P189" i="120"/>
  <c r="N189" i="120"/>
  <c r="M189" i="120"/>
  <c r="L189" i="120"/>
  <c r="K189" i="120"/>
  <c r="H189" i="120"/>
  <c r="A189" i="120"/>
  <c r="P188" i="120"/>
  <c r="N188" i="120"/>
  <c r="M188" i="120"/>
  <c r="L188" i="120"/>
  <c r="K188" i="120"/>
  <c r="H188" i="120"/>
  <c r="A188" i="120"/>
  <c r="P187" i="120"/>
  <c r="N187" i="120"/>
  <c r="M187" i="120"/>
  <c r="L187" i="120"/>
  <c r="K187" i="120"/>
  <c r="H187" i="120"/>
  <c r="A187" i="120"/>
  <c r="P186" i="120"/>
  <c r="N186" i="120"/>
  <c r="M186" i="120"/>
  <c r="L186" i="120"/>
  <c r="K186" i="120"/>
  <c r="H186" i="120"/>
  <c r="A186" i="120"/>
  <c r="P185" i="120"/>
  <c r="N185" i="120"/>
  <c r="M185" i="120"/>
  <c r="L185" i="120"/>
  <c r="K185" i="120"/>
  <c r="H185" i="120"/>
  <c r="A185" i="120"/>
  <c r="P184" i="120"/>
  <c r="N184" i="120"/>
  <c r="M184" i="120"/>
  <c r="L184" i="120"/>
  <c r="K184" i="120"/>
  <c r="H184" i="120"/>
  <c r="A184" i="120"/>
  <c r="P183" i="120"/>
  <c r="N183" i="120"/>
  <c r="M183" i="120"/>
  <c r="L183" i="120"/>
  <c r="K183" i="120"/>
  <c r="H183" i="120"/>
  <c r="A183" i="120"/>
  <c r="P182" i="120"/>
  <c r="N182" i="120"/>
  <c r="M182" i="120"/>
  <c r="L182" i="120"/>
  <c r="K182" i="120"/>
  <c r="H182" i="120"/>
  <c r="A182" i="120"/>
  <c r="P181" i="120"/>
  <c r="N181" i="120"/>
  <c r="M181" i="120"/>
  <c r="L181" i="120"/>
  <c r="K181" i="120"/>
  <c r="H181" i="120"/>
  <c r="A181" i="120"/>
  <c r="P180" i="120"/>
  <c r="N180" i="120"/>
  <c r="M180" i="120"/>
  <c r="L180" i="120"/>
  <c r="K180" i="120"/>
  <c r="H180" i="120"/>
  <c r="A180" i="120"/>
  <c r="P179" i="120"/>
  <c r="N179" i="120"/>
  <c r="M179" i="120"/>
  <c r="L179" i="120"/>
  <c r="K179" i="120"/>
  <c r="H179" i="120"/>
  <c r="A179" i="120"/>
  <c r="P178" i="120"/>
  <c r="N178" i="120"/>
  <c r="M178" i="120"/>
  <c r="L178" i="120"/>
  <c r="K178" i="120"/>
  <c r="H178" i="120"/>
  <c r="A178" i="120"/>
  <c r="P177" i="120"/>
  <c r="N177" i="120"/>
  <c r="M177" i="120"/>
  <c r="L177" i="120"/>
  <c r="K177" i="120"/>
  <c r="H177" i="120"/>
  <c r="A177" i="120"/>
  <c r="P176" i="120"/>
  <c r="N176" i="120"/>
  <c r="M176" i="120"/>
  <c r="L176" i="120"/>
  <c r="K176" i="120"/>
  <c r="H176" i="120"/>
  <c r="A176" i="120"/>
  <c r="P175" i="120"/>
  <c r="N175" i="120"/>
  <c r="M175" i="120"/>
  <c r="L175" i="120"/>
  <c r="K175" i="120"/>
  <c r="H175" i="120"/>
  <c r="A175" i="120"/>
  <c r="P174" i="120"/>
  <c r="N174" i="120"/>
  <c r="M174" i="120"/>
  <c r="L174" i="120"/>
  <c r="K174" i="120"/>
  <c r="H174" i="120"/>
  <c r="A174" i="120"/>
  <c r="P173" i="120"/>
  <c r="N173" i="120"/>
  <c r="M173" i="120"/>
  <c r="L173" i="120"/>
  <c r="K173" i="120"/>
  <c r="H173" i="120"/>
  <c r="A173" i="120"/>
  <c r="P172" i="120"/>
  <c r="N172" i="120"/>
  <c r="M172" i="120"/>
  <c r="L172" i="120"/>
  <c r="K172" i="120"/>
  <c r="H172" i="120"/>
  <c r="A172" i="120"/>
  <c r="P171" i="120"/>
  <c r="N171" i="120"/>
  <c r="M171" i="120"/>
  <c r="L171" i="120"/>
  <c r="K171" i="120"/>
  <c r="H171" i="120"/>
  <c r="A171" i="120"/>
  <c r="P170" i="120"/>
  <c r="N170" i="120"/>
  <c r="M170" i="120"/>
  <c r="L170" i="120"/>
  <c r="K170" i="120"/>
  <c r="H170" i="120"/>
  <c r="A170" i="120"/>
  <c r="P169" i="120"/>
  <c r="N169" i="120"/>
  <c r="M169" i="120"/>
  <c r="L169" i="120"/>
  <c r="K169" i="120"/>
  <c r="H169" i="120"/>
  <c r="A169" i="120"/>
  <c r="P168" i="120"/>
  <c r="N168" i="120"/>
  <c r="M168" i="120"/>
  <c r="L168" i="120"/>
  <c r="K168" i="120"/>
  <c r="H168" i="120"/>
  <c r="A168" i="120"/>
  <c r="P167" i="120"/>
  <c r="N167" i="120"/>
  <c r="M167" i="120"/>
  <c r="L167" i="120"/>
  <c r="K167" i="120"/>
  <c r="H167" i="120"/>
  <c r="A167" i="120"/>
  <c r="P166" i="120"/>
  <c r="N166" i="120"/>
  <c r="M166" i="120"/>
  <c r="L166" i="120"/>
  <c r="K166" i="120"/>
  <c r="H166" i="120"/>
  <c r="A166" i="120"/>
  <c r="P165" i="120"/>
  <c r="N165" i="120"/>
  <c r="M165" i="120"/>
  <c r="L165" i="120"/>
  <c r="K165" i="120"/>
  <c r="H165" i="120"/>
  <c r="A165" i="120"/>
  <c r="P164" i="120"/>
  <c r="N164" i="120"/>
  <c r="M164" i="120"/>
  <c r="L164" i="120"/>
  <c r="K164" i="120"/>
  <c r="H164" i="120"/>
  <c r="A164" i="120"/>
  <c r="P163" i="120"/>
  <c r="N163" i="120"/>
  <c r="M163" i="120"/>
  <c r="L163" i="120"/>
  <c r="K163" i="120"/>
  <c r="H163" i="120"/>
  <c r="A163" i="120"/>
  <c r="P162" i="120"/>
  <c r="N162" i="120"/>
  <c r="M162" i="120"/>
  <c r="L162" i="120"/>
  <c r="K162" i="120"/>
  <c r="H162" i="120"/>
  <c r="A162" i="120"/>
  <c r="P161" i="120"/>
  <c r="N161" i="120"/>
  <c r="M161" i="120"/>
  <c r="L161" i="120"/>
  <c r="K161" i="120"/>
  <c r="H161" i="120"/>
  <c r="A161" i="120"/>
  <c r="P160" i="120"/>
  <c r="N160" i="120"/>
  <c r="M160" i="120"/>
  <c r="L160" i="120"/>
  <c r="K160" i="120"/>
  <c r="H160" i="120"/>
  <c r="A160" i="120"/>
  <c r="P159" i="120"/>
  <c r="N159" i="120"/>
  <c r="M159" i="120"/>
  <c r="L159" i="120"/>
  <c r="K159" i="120"/>
  <c r="H159" i="120"/>
  <c r="A159" i="120"/>
  <c r="P158" i="120"/>
  <c r="N158" i="120"/>
  <c r="M158" i="120"/>
  <c r="L158" i="120"/>
  <c r="K158" i="120"/>
  <c r="H158" i="120"/>
  <c r="A158" i="120"/>
  <c r="P157" i="120"/>
  <c r="N157" i="120"/>
  <c r="M157" i="120"/>
  <c r="L157" i="120"/>
  <c r="K157" i="120"/>
  <c r="H157" i="120"/>
  <c r="A157" i="120"/>
  <c r="P156" i="120"/>
  <c r="N156" i="120"/>
  <c r="M156" i="120"/>
  <c r="L156" i="120"/>
  <c r="K156" i="120"/>
  <c r="H156" i="120"/>
  <c r="A156" i="120"/>
  <c r="P155" i="120"/>
  <c r="N155" i="120"/>
  <c r="M155" i="120"/>
  <c r="L155" i="120"/>
  <c r="K155" i="120"/>
  <c r="H155" i="120"/>
  <c r="A155" i="120"/>
  <c r="P154" i="120"/>
  <c r="N154" i="120"/>
  <c r="M154" i="120"/>
  <c r="L154" i="120"/>
  <c r="K154" i="120"/>
  <c r="H154" i="120"/>
  <c r="A154" i="120"/>
  <c r="P153" i="120"/>
  <c r="N153" i="120"/>
  <c r="M153" i="120"/>
  <c r="L153" i="120"/>
  <c r="K153" i="120"/>
  <c r="H153" i="120"/>
  <c r="A153" i="120"/>
  <c r="P152" i="120"/>
  <c r="N152" i="120"/>
  <c r="M152" i="120"/>
  <c r="L152" i="120"/>
  <c r="K152" i="120"/>
  <c r="H152" i="120"/>
  <c r="A152" i="120"/>
  <c r="P151" i="120"/>
  <c r="N151" i="120"/>
  <c r="M151" i="120"/>
  <c r="L151" i="120"/>
  <c r="K151" i="120"/>
  <c r="H151" i="120"/>
  <c r="A151" i="120"/>
  <c r="P150" i="120"/>
  <c r="N150" i="120"/>
  <c r="M150" i="120"/>
  <c r="L150" i="120"/>
  <c r="K150" i="120"/>
  <c r="H150" i="120"/>
  <c r="A150" i="120"/>
  <c r="P149" i="120"/>
  <c r="N149" i="120"/>
  <c r="M149" i="120"/>
  <c r="L149" i="120"/>
  <c r="K149" i="120"/>
  <c r="H149" i="120"/>
  <c r="A149" i="120"/>
  <c r="P148" i="120"/>
  <c r="N148" i="120"/>
  <c r="M148" i="120"/>
  <c r="L148" i="120"/>
  <c r="K148" i="120"/>
  <c r="H148" i="120"/>
  <c r="A148" i="120"/>
  <c r="P147" i="120"/>
  <c r="N147" i="120"/>
  <c r="M147" i="120"/>
  <c r="L147" i="120"/>
  <c r="K147" i="120"/>
  <c r="H147" i="120"/>
  <c r="A147" i="120"/>
  <c r="P146" i="120"/>
  <c r="N146" i="120"/>
  <c r="M146" i="120"/>
  <c r="L146" i="120"/>
  <c r="K146" i="120"/>
  <c r="H146" i="120"/>
  <c r="A146" i="120"/>
  <c r="P145" i="120"/>
  <c r="N145" i="120"/>
  <c r="M145" i="120"/>
  <c r="L145" i="120"/>
  <c r="K145" i="120"/>
  <c r="H145" i="120"/>
  <c r="A145" i="120"/>
  <c r="P144" i="120"/>
  <c r="N144" i="120"/>
  <c r="M144" i="120"/>
  <c r="L144" i="120"/>
  <c r="K144" i="120"/>
  <c r="H144" i="120"/>
  <c r="A144" i="120"/>
  <c r="P143" i="120"/>
  <c r="N143" i="120"/>
  <c r="M143" i="120"/>
  <c r="L143" i="120"/>
  <c r="K143" i="120"/>
  <c r="H143" i="120"/>
  <c r="A143" i="120"/>
  <c r="P142" i="120"/>
  <c r="N142" i="120"/>
  <c r="M142" i="120"/>
  <c r="L142" i="120"/>
  <c r="K142" i="120"/>
  <c r="H142" i="120"/>
  <c r="A142" i="120"/>
  <c r="P141" i="120"/>
  <c r="N141" i="120"/>
  <c r="M141" i="120"/>
  <c r="L141" i="120"/>
  <c r="K141" i="120"/>
  <c r="H141" i="120"/>
  <c r="A141" i="120"/>
  <c r="P140" i="120"/>
  <c r="N140" i="120"/>
  <c r="M140" i="120"/>
  <c r="L140" i="120"/>
  <c r="K140" i="120"/>
  <c r="H140" i="120"/>
  <c r="A140" i="120"/>
  <c r="P139" i="120"/>
  <c r="N139" i="120"/>
  <c r="M139" i="120"/>
  <c r="L139" i="120"/>
  <c r="K139" i="120"/>
  <c r="H139" i="120"/>
  <c r="A139" i="120"/>
  <c r="P138" i="120"/>
  <c r="N138" i="120"/>
  <c r="M138" i="120"/>
  <c r="L138" i="120"/>
  <c r="K138" i="120"/>
  <c r="H138" i="120"/>
  <c r="A138" i="120"/>
  <c r="P137" i="120"/>
  <c r="N137" i="120"/>
  <c r="M137" i="120"/>
  <c r="L137" i="120"/>
  <c r="K137" i="120"/>
  <c r="H137" i="120"/>
  <c r="A137" i="120"/>
  <c r="P136" i="120"/>
  <c r="N136" i="120"/>
  <c r="M136" i="120"/>
  <c r="L136" i="120"/>
  <c r="K136" i="120"/>
  <c r="H136" i="120"/>
  <c r="A136" i="120"/>
  <c r="P135" i="120"/>
  <c r="N135" i="120"/>
  <c r="M135" i="120"/>
  <c r="L135" i="120"/>
  <c r="K135" i="120"/>
  <c r="H135" i="120"/>
  <c r="A135" i="120"/>
  <c r="P134" i="120"/>
  <c r="N134" i="120"/>
  <c r="M134" i="120"/>
  <c r="L134" i="120"/>
  <c r="K134" i="120"/>
  <c r="H134" i="120"/>
  <c r="A134" i="120"/>
  <c r="P133" i="120"/>
  <c r="N133" i="120"/>
  <c r="M133" i="120"/>
  <c r="L133" i="120"/>
  <c r="K133" i="120"/>
  <c r="H133" i="120"/>
  <c r="A133" i="120"/>
  <c r="P132" i="120"/>
  <c r="N132" i="120"/>
  <c r="M132" i="120"/>
  <c r="L132" i="120"/>
  <c r="K132" i="120"/>
  <c r="H132" i="120"/>
  <c r="A132" i="120"/>
  <c r="P131" i="120"/>
  <c r="N131" i="120"/>
  <c r="M131" i="120"/>
  <c r="L131" i="120"/>
  <c r="K131" i="120"/>
  <c r="H131" i="120"/>
  <c r="A131" i="120"/>
  <c r="P130" i="120"/>
  <c r="N130" i="120"/>
  <c r="M130" i="120"/>
  <c r="L130" i="120"/>
  <c r="K130" i="120"/>
  <c r="H130" i="120"/>
  <c r="A130" i="120"/>
  <c r="P129" i="120"/>
  <c r="N129" i="120"/>
  <c r="M129" i="120"/>
  <c r="L129" i="120"/>
  <c r="K129" i="120"/>
  <c r="H129" i="120"/>
  <c r="A129" i="120"/>
  <c r="P128" i="120"/>
  <c r="N128" i="120"/>
  <c r="M128" i="120"/>
  <c r="L128" i="120"/>
  <c r="K128" i="120"/>
  <c r="H128" i="120"/>
  <c r="A128" i="120"/>
  <c r="P127" i="120"/>
  <c r="N127" i="120"/>
  <c r="M127" i="120"/>
  <c r="L127" i="120"/>
  <c r="K127" i="120"/>
  <c r="H127" i="120"/>
  <c r="A127" i="120"/>
  <c r="P126" i="120"/>
  <c r="N126" i="120"/>
  <c r="M126" i="120"/>
  <c r="L126" i="120"/>
  <c r="K126" i="120"/>
  <c r="H126" i="120"/>
  <c r="A126" i="120"/>
  <c r="P125" i="120"/>
  <c r="N125" i="120"/>
  <c r="M125" i="120"/>
  <c r="L125" i="120"/>
  <c r="K125" i="120"/>
  <c r="H125" i="120"/>
  <c r="A125" i="120"/>
  <c r="P124" i="120"/>
  <c r="N124" i="120"/>
  <c r="M124" i="120"/>
  <c r="L124" i="120"/>
  <c r="K124" i="120"/>
  <c r="H124" i="120"/>
  <c r="A124" i="120"/>
  <c r="P123" i="120"/>
  <c r="N123" i="120"/>
  <c r="M123" i="120"/>
  <c r="L123" i="120"/>
  <c r="K123" i="120"/>
  <c r="H123" i="120"/>
  <c r="A123" i="120"/>
  <c r="P122" i="120"/>
  <c r="N122" i="120"/>
  <c r="M122" i="120"/>
  <c r="L122" i="120"/>
  <c r="K122" i="120"/>
  <c r="H122" i="120"/>
  <c r="A122" i="120"/>
  <c r="P121" i="120"/>
  <c r="N121" i="120"/>
  <c r="M121" i="120"/>
  <c r="L121" i="120"/>
  <c r="K121" i="120"/>
  <c r="H121" i="120"/>
  <c r="A121" i="120"/>
  <c r="P120" i="120"/>
  <c r="N120" i="120"/>
  <c r="M120" i="120"/>
  <c r="L120" i="120"/>
  <c r="K120" i="120"/>
  <c r="H120" i="120"/>
  <c r="A120" i="120"/>
  <c r="P119" i="120"/>
  <c r="N119" i="120"/>
  <c r="M119" i="120"/>
  <c r="L119" i="120"/>
  <c r="K119" i="120"/>
  <c r="H119" i="120"/>
  <c r="A119" i="120"/>
  <c r="P118" i="120"/>
  <c r="N118" i="120"/>
  <c r="M118" i="120"/>
  <c r="L118" i="120"/>
  <c r="K118" i="120"/>
  <c r="H118" i="120"/>
  <c r="A118" i="120"/>
  <c r="P117" i="120"/>
  <c r="N117" i="120"/>
  <c r="M117" i="120"/>
  <c r="L117" i="120"/>
  <c r="K117" i="120"/>
  <c r="H117" i="120"/>
  <c r="A117" i="120"/>
  <c r="P116" i="120"/>
  <c r="N116" i="120"/>
  <c r="M116" i="120"/>
  <c r="L116" i="120"/>
  <c r="K116" i="120"/>
  <c r="H116" i="120"/>
  <c r="A116" i="120"/>
  <c r="P115" i="120"/>
  <c r="N115" i="120"/>
  <c r="M115" i="120"/>
  <c r="L115" i="120"/>
  <c r="K115" i="120"/>
  <c r="H115" i="120"/>
  <c r="A115" i="120"/>
  <c r="P114" i="120"/>
  <c r="N114" i="120"/>
  <c r="M114" i="120"/>
  <c r="L114" i="120"/>
  <c r="K114" i="120"/>
  <c r="H114" i="120"/>
  <c r="A114" i="120"/>
  <c r="P113" i="120"/>
  <c r="N113" i="120"/>
  <c r="M113" i="120"/>
  <c r="L113" i="120"/>
  <c r="K113" i="120"/>
  <c r="H113" i="120"/>
  <c r="A113" i="120"/>
  <c r="P112" i="120"/>
  <c r="N112" i="120"/>
  <c r="M112" i="120"/>
  <c r="L112" i="120"/>
  <c r="K112" i="120"/>
  <c r="H112" i="120"/>
  <c r="A112" i="120"/>
  <c r="P111" i="120"/>
  <c r="N111" i="120"/>
  <c r="M111" i="120"/>
  <c r="L111" i="120"/>
  <c r="K111" i="120"/>
  <c r="H111" i="120"/>
  <c r="A111" i="120"/>
  <c r="P110" i="120"/>
  <c r="N110" i="120"/>
  <c r="M110" i="120"/>
  <c r="L110" i="120"/>
  <c r="K110" i="120"/>
  <c r="H110" i="120"/>
  <c r="A110" i="120"/>
  <c r="P109" i="120"/>
  <c r="N109" i="120"/>
  <c r="M109" i="120"/>
  <c r="L109" i="120"/>
  <c r="K109" i="120"/>
  <c r="H109" i="120"/>
  <c r="A109" i="120"/>
  <c r="P108" i="120"/>
  <c r="N108" i="120"/>
  <c r="M108" i="120"/>
  <c r="L108" i="120"/>
  <c r="K108" i="120"/>
  <c r="H108" i="120"/>
  <c r="A108" i="120"/>
  <c r="P107" i="120"/>
  <c r="N107" i="120"/>
  <c r="M107" i="120"/>
  <c r="L107" i="120"/>
  <c r="K107" i="120"/>
  <c r="H107" i="120"/>
  <c r="A107" i="120"/>
  <c r="P106" i="120"/>
  <c r="N106" i="120"/>
  <c r="M106" i="120"/>
  <c r="L106" i="120"/>
  <c r="K106" i="120"/>
  <c r="H106" i="120"/>
  <c r="A106" i="120"/>
  <c r="P105" i="120"/>
  <c r="N105" i="120"/>
  <c r="M105" i="120"/>
  <c r="L105" i="120"/>
  <c r="K105" i="120"/>
  <c r="H105" i="120"/>
  <c r="A105" i="120"/>
  <c r="P104" i="120"/>
  <c r="N104" i="120"/>
  <c r="M104" i="120"/>
  <c r="L104" i="120"/>
  <c r="K104" i="120"/>
  <c r="H104" i="120"/>
  <c r="A104" i="120"/>
  <c r="P103" i="120"/>
  <c r="N103" i="120"/>
  <c r="M103" i="120"/>
  <c r="L103" i="120"/>
  <c r="K103" i="120"/>
  <c r="H103" i="120"/>
  <c r="A103" i="120"/>
  <c r="P102" i="120"/>
  <c r="N102" i="120"/>
  <c r="M102" i="120"/>
  <c r="L102" i="120"/>
  <c r="K102" i="120"/>
  <c r="H102" i="120"/>
  <c r="A102" i="120"/>
  <c r="P101" i="120"/>
  <c r="N101" i="120"/>
  <c r="M101" i="120"/>
  <c r="L101" i="120"/>
  <c r="K101" i="120"/>
  <c r="H101" i="120"/>
  <c r="A101" i="120"/>
  <c r="P100" i="120"/>
  <c r="N100" i="120"/>
  <c r="M100" i="120"/>
  <c r="L100" i="120"/>
  <c r="K100" i="120"/>
  <c r="H100" i="120"/>
  <c r="A100" i="120"/>
  <c r="P99" i="120"/>
  <c r="N99" i="120"/>
  <c r="M99" i="120"/>
  <c r="L99" i="120"/>
  <c r="K99" i="120"/>
  <c r="H99" i="120"/>
  <c r="A99" i="120"/>
  <c r="P98" i="120"/>
  <c r="N98" i="120"/>
  <c r="M98" i="120"/>
  <c r="L98" i="120"/>
  <c r="K98" i="120"/>
  <c r="H98" i="120"/>
  <c r="A98" i="120"/>
  <c r="P97" i="120"/>
  <c r="N97" i="120"/>
  <c r="M97" i="120"/>
  <c r="L97" i="120"/>
  <c r="K97" i="120"/>
  <c r="H97" i="120"/>
  <c r="A97" i="120"/>
  <c r="P96" i="120"/>
  <c r="N96" i="120"/>
  <c r="M96" i="120"/>
  <c r="L96" i="120"/>
  <c r="K96" i="120"/>
  <c r="H96" i="120"/>
  <c r="A96" i="120"/>
  <c r="P95" i="120"/>
  <c r="N95" i="120"/>
  <c r="M95" i="120"/>
  <c r="L95" i="120"/>
  <c r="K95" i="120"/>
  <c r="H95" i="120"/>
  <c r="A95" i="120"/>
  <c r="P94" i="120"/>
  <c r="N94" i="120"/>
  <c r="M94" i="120"/>
  <c r="L94" i="120"/>
  <c r="K94" i="120"/>
  <c r="H94" i="120"/>
  <c r="A94" i="120"/>
  <c r="P93" i="120"/>
  <c r="N93" i="120"/>
  <c r="M93" i="120"/>
  <c r="L93" i="120"/>
  <c r="K93" i="120"/>
  <c r="H93" i="120"/>
  <c r="A93" i="120"/>
  <c r="P92" i="120"/>
  <c r="N92" i="120"/>
  <c r="M92" i="120"/>
  <c r="L92" i="120"/>
  <c r="K92" i="120"/>
  <c r="H92" i="120"/>
  <c r="A92" i="120"/>
  <c r="P91" i="120"/>
  <c r="N91" i="120"/>
  <c r="M91" i="120"/>
  <c r="L91" i="120"/>
  <c r="K91" i="120"/>
  <c r="H91" i="120"/>
  <c r="A91" i="120"/>
  <c r="P90" i="120"/>
  <c r="N90" i="120"/>
  <c r="M90" i="120"/>
  <c r="L90" i="120"/>
  <c r="K90" i="120"/>
  <c r="H90" i="120"/>
  <c r="A90" i="120"/>
  <c r="P89" i="120"/>
  <c r="N89" i="120"/>
  <c r="M89" i="120"/>
  <c r="L89" i="120"/>
  <c r="K89" i="120"/>
  <c r="H89" i="120"/>
  <c r="A89" i="120"/>
  <c r="P88" i="120"/>
  <c r="N88" i="120"/>
  <c r="M88" i="120"/>
  <c r="L88" i="120"/>
  <c r="K88" i="120"/>
  <c r="H88" i="120"/>
  <c r="A88" i="120"/>
  <c r="P87" i="120"/>
  <c r="N87" i="120"/>
  <c r="M87" i="120"/>
  <c r="L87" i="120"/>
  <c r="K87" i="120"/>
  <c r="H87" i="120"/>
  <c r="A87" i="120"/>
  <c r="P86" i="120"/>
  <c r="N86" i="120"/>
  <c r="M86" i="120"/>
  <c r="L86" i="120"/>
  <c r="K86" i="120"/>
  <c r="H86" i="120"/>
  <c r="A86" i="120"/>
  <c r="P85" i="120"/>
  <c r="N85" i="120"/>
  <c r="M85" i="120"/>
  <c r="L85" i="120"/>
  <c r="K85" i="120"/>
  <c r="H85" i="120"/>
  <c r="A85" i="120"/>
  <c r="P84" i="120"/>
  <c r="N84" i="120"/>
  <c r="M84" i="120"/>
  <c r="L84" i="120"/>
  <c r="K84" i="120"/>
  <c r="H84" i="120"/>
  <c r="A84" i="120"/>
  <c r="P83" i="120"/>
  <c r="N83" i="120"/>
  <c r="M83" i="120"/>
  <c r="L83" i="120"/>
  <c r="K83" i="120"/>
  <c r="H83" i="120"/>
  <c r="A83" i="120"/>
  <c r="P82" i="120"/>
  <c r="N82" i="120"/>
  <c r="M82" i="120"/>
  <c r="L82" i="120"/>
  <c r="K82" i="120"/>
  <c r="H82" i="120"/>
  <c r="A82" i="120"/>
  <c r="P81" i="120"/>
  <c r="N81" i="120"/>
  <c r="M81" i="120"/>
  <c r="L81" i="120"/>
  <c r="K81" i="120"/>
  <c r="H81" i="120"/>
  <c r="A81" i="120"/>
  <c r="P80" i="120"/>
  <c r="N80" i="120"/>
  <c r="M80" i="120"/>
  <c r="L80" i="120"/>
  <c r="K80" i="120"/>
  <c r="H80" i="120"/>
  <c r="A80" i="120"/>
  <c r="P79" i="120"/>
  <c r="N79" i="120"/>
  <c r="M79" i="120"/>
  <c r="L79" i="120"/>
  <c r="K79" i="120"/>
  <c r="H79" i="120"/>
  <c r="A79" i="120"/>
  <c r="P78" i="120"/>
  <c r="N78" i="120"/>
  <c r="M78" i="120"/>
  <c r="L78" i="120"/>
  <c r="K78" i="120"/>
  <c r="H78" i="120"/>
  <c r="A78" i="120"/>
  <c r="P77" i="120"/>
  <c r="N77" i="120"/>
  <c r="M77" i="120"/>
  <c r="L77" i="120"/>
  <c r="K77" i="120"/>
  <c r="H77" i="120"/>
  <c r="A77" i="120"/>
  <c r="P76" i="120"/>
  <c r="N76" i="120"/>
  <c r="M76" i="120"/>
  <c r="L76" i="120"/>
  <c r="K76" i="120"/>
  <c r="H76" i="120"/>
  <c r="A76" i="120"/>
  <c r="P75" i="120"/>
  <c r="N75" i="120"/>
  <c r="M75" i="120"/>
  <c r="L75" i="120"/>
  <c r="K75" i="120"/>
  <c r="H75" i="120"/>
  <c r="A75" i="120"/>
  <c r="P74" i="120"/>
  <c r="N74" i="120"/>
  <c r="M74" i="120"/>
  <c r="L74" i="120"/>
  <c r="K74" i="120"/>
  <c r="H74" i="120"/>
  <c r="A74" i="120"/>
  <c r="P73" i="120"/>
  <c r="N73" i="120"/>
  <c r="M73" i="120"/>
  <c r="L73" i="120"/>
  <c r="K73" i="120"/>
  <c r="H73" i="120"/>
  <c r="A73" i="120"/>
  <c r="P72" i="120"/>
  <c r="N72" i="120"/>
  <c r="M72" i="120"/>
  <c r="L72" i="120"/>
  <c r="K72" i="120"/>
  <c r="H72" i="120"/>
  <c r="A72" i="120"/>
  <c r="P71" i="120"/>
  <c r="N71" i="120"/>
  <c r="M71" i="120"/>
  <c r="L71" i="120"/>
  <c r="K71" i="120"/>
  <c r="H71" i="120"/>
  <c r="A71" i="120"/>
  <c r="P70" i="120"/>
  <c r="N70" i="120"/>
  <c r="M70" i="120"/>
  <c r="L70" i="120"/>
  <c r="K70" i="120"/>
  <c r="H70" i="120"/>
  <c r="A70" i="120"/>
  <c r="P69" i="120"/>
  <c r="N69" i="120"/>
  <c r="M69" i="120"/>
  <c r="L69" i="120"/>
  <c r="K69" i="120"/>
  <c r="H69" i="120"/>
  <c r="A69" i="120"/>
  <c r="P68" i="120"/>
  <c r="N68" i="120"/>
  <c r="M68" i="120"/>
  <c r="L68" i="120"/>
  <c r="K68" i="120"/>
  <c r="H68" i="120"/>
  <c r="A68" i="120"/>
  <c r="P67" i="120"/>
  <c r="N67" i="120"/>
  <c r="M67" i="120"/>
  <c r="L67" i="120"/>
  <c r="K67" i="120"/>
  <c r="H67" i="120"/>
  <c r="A67" i="120"/>
  <c r="P66" i="120"/>
  <c r="N66" i="120"/>
  <c r="M66" i="120"/>
  <c r="L66" i="120"/>
  <c r="K66" i="120"/>
  <c r="H66" i="120"/>
  <c r="A66" i="120"/>
  <c r="P65" i="120"/>
  <c r="N65" i="120"/>
  <c r="M65" i="120"/>
  <c r="L65" i="120"/>
  <c r="K65" i="120"/>
  <c r="H65" i="120"/>
  <c r="A65" i="120"/>
  <c r="P64" i="120"/>
  <c r="N64" i="120"/>
  <c r="M64" i="120"/>
  <c r="L64" i="120"/>
  <c r="K64" i="120"/>
  <c r="H64" i="120"/>
  <c r="A64" i="120"/>
  <c r="P63" i="120"/>
  <c r="N63" i="120"/>
  <c r="M63" i="120"/>
  <c r="L63" i="120"/>
  <c r="K63" i="120"/>
  <c r="H63" i="120"/>
  <c r="A63" i="120"/>
  <c r="P62" i="120"/>
  <c r="N62" i="120"/>
  <c r="M62" i="120"/>
  <c r="L62" i="120"/>
  <c r="K62" i="120"/>
  <c r="H62" i="120"/>
  <c r="A62" i="120"/>
  <c r="P61" i="120"/>
  <c r="N61" i="120"/>
  <c r="M61" i="120"/>
  <c r="L61" i="120"/>
  <c r="K61" i="120"/>
  <c r="H61" i="120"/>
  <c r="A61" i="120"/>
  <c r="P60" i="120"/>
  <c r="N60" i="120"/>
  <c r="M60" i="120"/>
  <c r="L60" i="120"/>
  <c r="K60" i="120"/>
  <c r="H60" i="120"/>
  <c r="A60" i="120"/>
  <c r="P59" i="120"/>
  <c r="N59" i="120"/>
  <c r="M59" i="120"/>
  <c r="L59" i="120"/>
  <c r="K59" i="120"/>
  <c r="H59" i="120"/>
  <c r="A59" i="120"/>
  <c r="P58" i="120"/>
  <c r="N58" i="120"/>
  <c r="M58" i="120"/>
  <c r="L58" i="120"/>
  <c r="K58" i="120"/>
  <c r="H58" i="120"/>
  <c r="A58" i="120"/>
  <c r="P57" i="120"/>
  <c r="N57" i="120"/>
  <c r="M57" i="120"/>
  <c r="L57" i="120"/>
  <c r="K57" i="120"/>
  <c r="H57" i="120"/>
  <c r="A57" i="120"/>
  <c r="P56" i="120"/>
  <c r="N56" i="120"/>
  <c r="M56" i="120"/>
  <c r="L56" i="120"/>
  <c r="K56" i="120"/>
  <c r="H56" i="120"/>
  <c r="A56" i="120"/>
  <c r="P55" i="120"/>
  <c r="N55" i="120"/>
  <c r="M55" i="120"/>
  <c r="L55" i="120"/>
  <c r="K55" i="120"/>
  <c r="H55" i="120"/>
  <c r="A55" i="120"/>
  <c r="P54" i="120"/>
  <c r="N54" i="120"/>
  <c r="M54" i="120"/>
  <c r="L54" i="120"/>
  <c r="K54" i="120"/>
  <c r="H54" i="120"/>
  <c r="A54" i="120"/>
  <c r="P53" i="120"/>
  <c r="N53" i="120"/>
  <c r="M53" i="120"/>
  <c r="L53" i="120"/>
  <c r="K53" i="120"/>
  <c r="H53" i="120"/>
  <c r="A53" i="120"/>
  <c r="P52" i="120"/>
  <c r="N52" i="120"/>
  <c r="M52" i="120"/>
  <c r="L52" i="120"/>
  <c r="K52" i="120"/>
  <c r="H52" i="120"/>
  <c r="A52" i="120"/>
  <c r="P51" i="120"/>
  <c r="N51" i="120"/>
  <c r="M51" i="120"/>
  <c r="L51" i="120"/>
  <c r="K51" i="120"/>
  <c r="H51" i="120"/>
  <c r="A51" i="120"/>
  <c r="P50" i="120"/>
  <c r="N50" i="120"/>
  <c r="M50" i="120"/>
  <c r="L50" i="120"/>
  <c r="K50" i="120"/>
  <c r="H50" i="120"/>
  <c r="A50" i="120"/>
  <c r="P49" i="120"/>
  <c r="N49" i="120"/>
  <c r="M49" i="120"/>
  <c r="L49" i="120"/>
  <c r="K49" i="120"/>
  <c r="H49" i="120"/>
  <c r="A49" i="120"/>
  <c r="P48" i="120"/>
  <c r="N48" i="120"/>
  <c r="M48" i="120"/>
  <c r="L48" i="120"/>
  <c r="K48" i="120"/>
  <c r="H48" i="120"/>
  <c r="A48" i="120"/>
  <c r="P47" i="120"/>
  <c r="N47" i="120"/>
  <c r="M47" i="120"/>
  <c r="L47" i="120"/>
  <c r="K47" i="120"/>
  <c r="H47" i="120"/>
  <c r="A47" i="120"/>
  <c r="P46" i="120"/>
  <c r="N46" i="120"/>
  <c r="M46" i="120"/>
  <c r="L46" i="120"/>
  <c r="K46" i="120"/>
  <c r="H46" i="120"/>
  <c r="A46" i="120"/>
  <c r="P45" i="120"/>
  <c r="N45" i="120"/>
  <c r="M45" i="120"/>
  <c r="L45" i="120"/>
  <c r="K45" i="120"/>
  <c r="H45" i="120"/>
  <c r="A45" i="120"/>
  <c r="P44" i="120"/>
  <c r="N44" i="120"/>
  <c r="M44" i="120"/>
  <c r="L44" i="120"/>
  <c r="K44" i="120"/>
  <c r="H44" i="120"/>
  <c r="A44" i="120"/>
  <c r="P43" i="120"/>
  <c r="N43" i="120"/>
  <c r="M43" i="120"/>
  <c r="L43" i="120"/>
  <c r="K43" i="120"/>
  <c r="H43" i="120"/>
  <c r="A43" i="120"/>
  <c r="P42" i="120"/>
  <c r="N42" i="120"/>
  <c r="M42" i="120"/>
  <c r="L42" i="120"/>
  <c r="K42" i="120"/>
  <c r="H42" i="120"/>
  <c r="A42" i="120"/>
  <c r="P41" i="120"/>
  <c r="N41" i="120"/>
  <c r="M41" i="120"/>
  <c r="L41" i="120"/>
  <c r="K41" i="120"/>
  <c r="H41" i="120"/>
  <c r="A41" i="120"/>
  <c r="P40" i="120"/>
  <c r="N40" i="120"/>
  <c r="M40" i="120"/>
  <c r="L40" i="120"/>
  <c r="K40" i="120"/>
  <c r="H40" i="120"/>
  <c r="A40" i="120"/>
  <c r="P39" i="120"/>
  <c r="N39" i="120"/>
  <c r="M39" i="120"/>
  <c r="L39" i="120"/>
  <c r="K39" i="120"/>
  <c r="H39" i="120"/>
  <c r="A39" i="120"/>
  <c r="P38" i="120"/>
  <c r="N38" i="120"/>
  <c r="M38" i="120"/>
  <c r="L38" i="120"/>
  <c r="K38" i="120"/>
  <c r="H38" i="120"/>
  <c r="A38" i="120"/>
  <c r="P37" i="120"/>
  <c r="N37" i="120"/>
  <c r="M37" i="120"/>
  <c r="L37" i="120"/>
  <c r="K37" i="120"/>
  <c r="H37" i="120"/>
  <c r="A37" i="120"/>
  <c r="P36" i="120"/>
  <c r="N36" i="120"/>
  <c r="M36" i="120"/>
  <c r="L36" i="120"/>
  <c r="K36" i="120"/>
  <c r="H36" i="120"/>
  <c r="A36" i="120"/>
  <c r="P35" i="120"/>
  <c r="N35" i="120"/>
  <c r="M35" i="120"/>
  <c r="L35" i="120"/>
  <c r="K35" i="120"/>
  <c r="H35" i="120"/>
  <c r="A35" i="120"/>
  <c r="P34" i="120"/>
  <c r="N34" i="120"/>
  <c r="M34" i="120"/>
  <c r="L34" i="120"/>
  <c r="K34" i="120"/>
  <c r="H34" i="120"/>
  <c r="A34" i="120"/>
  <c r="P33" i="120"/>
  <c r="N33" i="120"/>
  <c r="M33" i="120"/>
  <c r="L33" i="120"/>
  <c r="K33" i="120"/>
  <c r="H33" i="120"/>
  <c r="A33" i="120"/>
  <c r="P32" i="120"/>
  <c r="N32" i="120"/>
  <c r="M32" i="120"/>
  <c r="L32" i="120"/>
  <c r="K32" i="120"/>
  <c r="H32" i="120"/>
  <c r="A32" i="120"/>
  <c r="P31" i="120"/>
  <c r="N31" i="120"/>
  <c r="M31" i="120"/>
  <c r="L31" i="120"/>
  <c r="K31" i="120"/>
  <c r="H31" i="120"/>
  <c r="A31" i="120"/>
  <c r="P30" i="120"/>
  <c r="N30" i="120"/>
  <c r="M30" i="120"/>
  <c r="L30" i="120"/>
  <c r="K30" i="120"/>
  <c r="H30" i="120"/>
  <c r="A30" i="120"/>
  <c r="P29" i="120"/>
  <c r="N29" i="120"/>
  <c r="M29" i="120"/>
  <c r="L29" i="120"/>
  <c r="K29" i="120"/>
  <c r="H29" i="120"/>
  <c r="A29" i="120"/>
  <c r="P28" i="120"/>
  <c r="N28" i="120"/>
  <c r="M28" i="120"/>
  <c r="L28" i="120"/>
  <c r="K28" i="120"/>
  <c r="H28" i="120"/>
  <c r="A28" i="120"/>
  <c r="P27" i="120"/>
  <c r="N27" i="120"/>
  <c r="M27" i="120"/>
  <c r="L27" i="120"/>
  <c r="K27" i="120"/>
  <c r="H27" i="120"/>
  <c r="A27" i="120"/>
  <c r="P26" i="120"/>
  <c r="N26" i="120"/>
  <c r="M26" i="120"/>
  <c r="L26" i="120"/>
  <c r="K26" i="120"/>
  <c r="H26" i="120"/>
  <c r="A26" i="120"/>
  <c r="P25" i="120"/>
  <c r="N25" i="120"/>
  <c r="M25" i="120"/>
  <c r="L25" i="120"/>
  <c r="K25" i="120"/>
  <c r="H25" i="120"/>
  <c r="A25" i="120"/>
  <c r="P24" i="120"/>
  <c r="N24" i="120"/>
  <c r="M24" i="120"/>
  <c r="L24" i="120"/>
  <c r="K24" i="120"/>
  <c r="H24" i="120"/>
  <c r="A24" i="120"/>
  <c r="P23" i="120"/>
  <c r="N23" i="120"/>
  <c r="M23" i="120"/>
  <c r="L23" i="120"/>
  <c r="K23" i="120"/>
  <c r="H23" i="120"/>
  <c r="A23" i="120"/>
  <c r="P22" i="120"/>
  <c r="N22" i="120"/>
  <c r="M22" i="120"/>
  <c r="L22" i="120"/>
  <c r="K22" i="120"/>
  <c r="H22" i="120"/>
  <c r="A22" i="120"/>
  <c r="P21" i="120"/>
  <c r="N21" i="120"/>
  <c r="M21" i="120"/>
  <c r="L21" i="120"/>
  <c r="K21" i="120"/>
  <c r="H21" i="120"/>
  <c r="A21" i="120"/>
  <c r="P20" i="120"/>
  <c r="N20" i="120"/>
  <c r="M20" i="120"/>
  <c r="L20" i="120"/>
  <c r="K20" i="120"/>
  <c r="H20" i="120"/>
  <c r="A20" i="120"/>
  <c r="P19" i="120"/>
  <c r="N19" i="120"/>
  <c r="M19" i="120"/>
  <c r="L19" i="120"/>
  <c r="K19" i="120"/>
  <c r="H19" i="120"/>
  <c r="A19" i="120"/>
  <c r="P18" i="120"/>
  <c r="N18" i="120"/>
  <c r="M18" i="120"/>
  <c r="L18" i="120"/>
  <c r="K18" i="120"/>
  <c r="H18" i="120"/>
  <c r="A18" i="120"/>
  <c r="P17" i="120"/>
  <c r="N17" i="120"/>
  <c r="M17" i="120"/>
  <c r="L17" i="120"/>
  <c r="K17" i="120"/>
  <c r="H17" i="120"/>
  <c r="A17" i="120"/>
  <c r="P16" i="120"/>
  <c r="N16" i="120"/>
  <c r="M16" i="120"/>
  <c r="L16" i="120"/>
  <c r="K16" i="120"/>
  <c r="H16" i="120"/>
  <c r="A16" i="120"/>
  <c r="P15" i="120"/>
  <c r="N15" i="120"/>
  <c r="M15" i="120"/>
  <c r="L15" i="120"/>
  <c r="K15" i="120"/>
  <c r="H15" i="120"/>
  <c r="A15" i="120"/>
  <c r="N14" i="120"/>
  <c r="M14" i="120"/>
  <c r="L14" i="120"/>
  <c r="K14" i="120"/>
  <c r="H14" i="120"/>
  <c r="A14" i="120"/>
  <c r="N13" i="120"/>
  <c r="M13" i="120"/>
  <c r="L13" i="120"/>
  <c r="K13" i="120"/>
  <c r="H13" i="120"/>
  <c r="A13" i="120"/>
  <c r="N12" i="120"/>
  <c r="M12" i="120"/>
  <c r="L12" i="120"/>
  <c r="K12" i="120"/>
  <c r="H12" i="120"/>
  <c r="A12" i="120"/>
  <c r="N11" i="120"/>
  <c r="M11" i="120"/>
  <c r="L11" i="120"/>
  <c r="K11" i="120"/>
  <c r="H11" i="120"/>
  <c r="A11" i="120"/>
  <c r="N10" i="120"/>
  <c r="M10" i="120"/>
  <c r="L10" i="120"/>
  <c r="K10" i="120"/>
  <c r="H10" i="120"/>
  <c r="A10" i="120"/>
  <c r="N9" i="120"/>
  <c r="M9" i="120"/>
  <c r="L9" i="120"/>
  <c r="K9" i="120"/>
  <c r="H9" i="120"/>
  <c r="A9" i="120"/>
  <c r="N8" i="120"/>
  <c r="M8" i="120"/>
  <c r="L8" i="120"/>
  <c r="K8" i="120"/>
  <c r="H8" i="120"/>
  <c r="A8" i="120"/>
  <c r="N7" i="120"/>
  <c r="M7" i="120"/>
  <c r="L7" i="120"/>
  <c r="K7" i="120"/>
  <c r="H7" i="120"/>
  <c r="A7" i="120"/>
  <c r="N6" i="120"/>
  <c r="M6" i="120"/>
  <c r="L6" i="120"/>
  <c r="K6" i="120"/>
  <c r="H6" i="120"/>
  <c r="A6" i="120"/>
  <c r="N5" i="120"/>
  <c r="M5" i="120"/>
  <c r="L5" i="120"/>
  <c r="K5" i="120"/>
  <c r="H5" i="120"/>
  <c r="A5" i="120"/>
  <c r="N4" i="120"/>
  <c r="M4" i="120"/>
  <c r="L4" i="120"/>
  <c r="K4" i="120"/>
  <c r="H4" i="120"/>
  <c r="A4" i="120"/>
  <c r="N3" i="120"/>
  <c r="M3" i="120"/>
  <c r="L3" i="120"/>
  <c r="K3" i="120"/>
  <c r="H3" i="120"/>
  <c r="A3" i="120"/>
  <c r="N2" i="120"/>
  <c r="M2" i="120"/>
  <c r="L2" i="120"/>
  <c r="K2" i="120"/>
  <c r="H2" i="120"/>
  <c r="A2" i="120"/>
  <c r="F63" i="119"/>
  <c r="F62" i="119"/>
  <c r="B55" i="119"/>
  <c r="B56" i="119"/>
  <c r="B57" i="119"/>
  <c r="B58" i="119"/>
  <c r="B59" i="119"/>
  <c r="B60" i="119"/>
  <c r="B61" i="119"/>
  <c r="B62" i="119"/>
  <c r="C55" i="119"/>
  <c r="C56" i="119"/>
  <c r="C57" i="119"/>
  <c r="C58" i="119"/>
  <c r="C59" i="119"/>
  <c r="C60" i="119"/>
  <c r="C61" i="119"/>
  <c r="C62" i="119"/>
  <c r="F61" i="119"/>
  <c r="F60" i="119"/>
  <c r="F57" i="119"/>
  <c r="G57" i="119"/>
  <c r="F56" i="119"/>
  <c r="G56" i="119"/>
  <c r="F55" i="119"/>
  <c r="G55" i="119"/>
  <c r="E30" i="119"/>
  <c r="B30" i="119"/>
  <c r="E45" i="119"/>
  <c r="B45" i="119"/>
  <c r="B47" i="119"/>
  <c r="C19" i="119"/>
  <c r="C20" i="119"/>
  <c r="C21" i="119"/>
  <c r="C22" i="119"/>
  <c r="C23" i="119"/>
  <c r="C24" i="119"/>
  <c r="C25" i="119"/>
  <c r="C26" i="119"/>
  <c r="C27" i="119"/>
  <c r="C28" i="119"/>
  <c r="C29" i="119"/>
  <c r="C30" i="119"/>
  <c r="C31" i="119"/>
  <c r="C47" i="119"/>
  <c r="D47" i="119"/>
  <c r="I46" i="119"/>
  <c r="J46" i="119"/>
  <c r="F46" i="119"/>
  <c r="C46" i="119"/>
  <c r="D46" i="119"/>
  <c r="G45" i="119"/>
  <c r="H45" i="119"/>
  <c r="I45" i="119"/>
  <c r="J45" i="119"/>
  <c r="F45" i="119"/>
  <c r="C45" i="119"/>
  <c r="D45" i="119"/>
  <c r="I44" i="119"/>
  <c r="J44" i="119"/>
  <c r="F44" i="119"/>
  <c r="C44" i="119"/>
  <c r="D44" i="119"/>
  <c r="I43" i="119"/>
  <c r="J43" i="119"/>
  <c r="F43" i="119"/>
  <c r="C43" i="119"/>
  <c r="D43" i="119"/>
  <c r="I42" i="119"/>
  <c r="J42" i="119"/>
  <c r="F42" i="119"/>
  <c r="C42" i="119"/>
  <c r="D42" i="119"/>
  <c r="I41" i="119"/>
  <c r="J41" i="119"/>
  <c r="F41" i="119"/>
  <c r="C41" i="119"/>
  <c r="D41" i="119"/>
  <c r="I40" i="119"/>
  <c r="J40" i="119"/>
  <c r="F40" i="119"/>
  <c r="C40" i="119"/>
  <c r="D40" i="119"/>
  <c r="I39" i="119"/>
  <c r="J39" i="119"/>
  <c r="F39" i="119"/>
  <c r="C39" i="119"/>
  <c r="D39" i="119"/>
  <c r="I38" i="119"/>
  <c r="J38" i="119"/>
  <c r="F38" i="119"/>
  <c r="C38" i="119"/>
  <c r="D38" i="119"/>
  <c r="I37" i="119"/>
  <c r="J37" i="119"/>
  <c r="F37" i="119"/>
  <c r="C37" i="119"/>
  <c r="D37" i="119"/>
  <c r="I36" i="119"/>
  <c r="J36" i="119"/>
  <c r="F36" i="119"/>
  <c r="C36" i="119"/>
  <c r="D36" i="119"/>
  <c r="I35" i="119"/>
  <c r="J35" i="119"/>
  <c r="F35" i="119"/>
  <c r="C35" i="119"/>
  <c r="D35" i="119"/>
  <c r="I34" i="119"/>
  <c r="J34" i="119"/>
  <c r="F34" i="119"/>
  <c r="C34" i="119"/>
  <c r="D34" i="119"/>
  <c r="I33" i="119"/>
  <c r="J33" i="119"/>
  <c r="F33" i="119"/>
  <c r="C33" i="119"/>
  <c r="D33" i="119"/>
  <c r="I32" i="119"/>
  <c r="J32" i="119"/>
  <c r="F32" i="119"/>
  <c r="C32" i="119"/>
  <c r="D32" i="119"/>
  <c r="G31" i="119"/>
  <c r="E31" i="119"/>
  <c r="H31" i="119"/>
  <c r="I31" i="119"/>
  <c r="J31" i="119"/>
  <c r="F31" i="119"/>
  <c r="D31" i="119"/>
  <c r="G30" i="119"/>
  <c r="H30" i="119"/>
  <c r="I30" i="119"/>
  <c r="J30" i="119"/>
  <c r="F30" i="119"/>
  <c r="D30" i="119"/>
  <c r="I29" i="119"/>
  <c r="J29" i="119"/>
  <c r="F29" i="119"/>
  <c r="D29" i="119"/>
  <c r="I28" i="119"/>
  <c r="J28" i="119"/>
  <c r="F28" i="119"/>
  <c r="D28" i="119"/>
  <c r="I27" i="119"/>
  <c r="J27" i="119"/>
  <c r="F27" i="119"/>
  <c r="D27" i="119"/>
  <c r="I26" i="119"/>
  <c r="J26" i="119"/>
  <c r="F26" i="119"/>
  <c r="D26" i="119"/>
  <c r="I25" i="119"/>
  <c r="J25" i="119"/>
  <c r="F25" i="119"/>
  <c r="D25" i="119"/>
  <c r="I24" i="119"/>
  <c r="J24" i="119"/>
  <c r="F24" i="119"/>
  <c r="D24" i="119"/>
  <c r="I23" i="119"/>
  <c r="J23" i="119"/>
  <c r="F23" i="119"/>
  <c r="D23" i="119"/>
  <c r="I22" i="119"/>
  <c r="J22" i="119"/>
  <c r="F22" i="119"/>
  <c r="D22" i="119"/>
  <c r="I21" i="119"/>
  <c r="J21" i="119"/>
  <c r="F21" i="119"/>
  <c r="D21" i="119"/>
  <c r="I20" i="119"/>
  <c r="J20" i="119"/>
  <c r="F20" i="119"/>
  <c r="D20" i="119"/>
  <c r="I19" i="119"/>
  <c r="J19" i="119"/>
  <c r="F19" i="119"/>
  <c r="D19" i="119"/>
  <c r="I18" i="119"/>
  <c r="J18" i="119"/>
  <c r="F18" i="119"/>
  <c r="C18" i="119"/>
  <c r="D18" i="119"/>
  <c r="I17" i="119"/>
  <c r="J17" i="119"/>
  <c r="F17" i="119"/>
  <c r="C17" i="119"/>
  <c r="D17" i="119"/>
  <c r="R6" i="119"/>
  <c r="P6" i="119"/>
  <c r="O6" i="119"/>
  <c r="M6" i="119"/>
  <c r="V5" i="119"/>
  <c r="R5" i="119"/>
  <c r="P5" i="119"/>
  <c r="O5" i="119"/>
  <c r="M5" i="119"/>
  <c r="V4" i="119"/>
  <c r="R4" i="119"/>
  <c r="P4" i="119"/>
  <c r="O4" i="119"/>
  <c r="M4" i="119"/>
  <c r="V3" i="119"/>
  <c r="R3" i="119"/>
  <c r="P3" i="119"/>
  <c r="O3" i="119"/>
  <c r="M3" i="119"/>
  <c r="V2" i="119"/>
  <c r="F6" i="106"/>
  <c r="F5" i="106"/>
  <c r="Q3" i="106"/>
  <c r="Q4" i="106"/>
  <c r="I2" i="82"/>
  <c r="D2" i="82"/>
  <c r="J2" i="82"/>
  <c r="E2" i="82"/>
  <c r="F2" i="82"/>
  <c r="C2" i="82"/>
  <c r="I3" i="82"/>
  <c r="D3" i="82"/>
  <c r="J3" i="82"/>
  <c r="E3" i="82"/>
  <c r="F3" i="82"/>
  <c r="C3" i="82"/>
  <c r="I4" i="82"/>
  <c r="D4" i="82"/>
  <c r="J4" i="82"/>
  <c r="E4" i="82"/>
  <c r="F4" i="82"/>
  <c r="C4" i="82"/>
  <c r="I5" i="82"/>
  <c r="D5" i="82"/>
  <c r="J5" i="82"/>
  <c r="E5" i="82"/>
  <c r="F5" i="82"/>
  <c r="C5" i="82"/>
  <c r="I6" i="82"/>
  <c r="D6" i="82"/>
  <c r="J6" i="82"/>
  <c r="E6" i="82"/>
  <c r="F6" i="82"/>
  <c r="C6" i="82"/>
  <c r="I7" i="82"/>
  <c r="D7" i="82"/>
  <c r="J7" i="82"/>
  <c r="E7" i="82"/>
  <c r="F7" i="82"/>
  <c r="C7" i="82"/>
  <c r="I8" i="82"/>
  <c r="D8" i="82"/>
  <c r="J8" i="82"/>
  <c r="E8" i="82"/>
  <c r="F8" i="82"/>
  <c r="C8" i="82"/>
  <c r="I9" i="82"/>
  <c r="D9" i="82"/>
  <c r="J9" i="82"/>
  <c r="E9" i="82"/>
  <c r="F9" i="82"/>
  <c r="C9" i="82"/>
  <c r="I10" i="82"/>
  <c r="D10" i="82"/>
  <c r="J10" i="82"/>
  <c r="E10" i="82"/>
  <c r="F10" i="82"/>
  <c r="C10" i="82"/>
  <c r="I11" i="82"/>
  <c r="D11" i="82"/>
  <c r="J11" i="82"/>
  <c r="E11" i="82"/>
  <c r="F11" i="82"/>
  <c r="C11" i="82"/>
  <c r="I12" i="82"/>
  <c r="D12" i="82"/>
  <c r="J12" i="82"/>
  <c r="E12" i="82"/>
  <c r="F12" i="82"/>
  <c r="C12" i="82"/>
  <c r="I13" i="82"/>
  <c r="D13" i="82"/>
  <c r="J13" i="82"/>
  <c r="E13" i="82"/>
  <c r="F13" i="82"/>
  <c r="C13" i="82"/>
  <c r="I14" i="82"/>
  <c r="D14" i="82"/>
  <c r="J14" i="82"/>
  <c r="E14" i="82"/>
  <c r="F14" i="82"/>
  <c r="C14" i="82"/>
  <c r="I15" i="82"/>
  <c r="D15" i="82"/>
  <c r="J15" i="82"/>
  <c r="E15" i="82"/>
  <c r="F15" i="82"/>
  <c r="C15" i="82"/>
  <c r="I16" i="82"/>
  <c r="D16" i="82"/>
  <c r="J16" i="82"/>
  <c r="E16" i="82"/>
  <c r="F16" i="82"/>
  <c r="C16" i="82"/>
  <c r="I17" i="82"/>
  <c r="D17" i="82"/>
  <c r="J17" i="82"/>
  <c r="E17" i="82"/>
  <c r="F17" i="82"/>
  <c r="C17" i="82"/>
  <c r="I18" i="82"/>
  <c r="D18" i="82"/>
  <c r="J18" i="82"/>
  <c r="E18" i="82"/>
  <c r="F18" i="82"/>
  <c r="C18" i="82"/>
  <c r="I19" i="82"/>
  <c r="D19" i="82"/>
  <c r="J19" i="82"/>
  <c r="E19" i="82"/>
  <c r="F19" i="82"/>
  <c r="C19" i="82"/>
  <c r="I20" i="82"/>
  <c r="D20" i="82"/>
  <c r="J20" i="82"/>
  <c r="E20" i="82"/>
  <c r="F20" i="82"/>
  <c r="C20" i="82"/>
  <c r="I21" i="82"/>
  <c r="D21" i="82"/>
  <c r="J21" i="82"/>
  <c r="E21" i="82"/>
  <c r="F21" i="82"/>
  <c r="C21" i="82"/>
  <c r="I22" i="82"/>
  <c r="D22" i="82"/>
  <c r="J22" i="82"/>
  <c r="E22" i="82"/>
  <c r="F22" i="82"/>
  <c r="C22" i="82"/>
  <c r="I23" i="82"/>
  <c r="D23" i="82"/>
  <c r="J23" i="82"/>
  <c r="E23" i="82"/>
  <c r="F23" i="82"/>
  <c r="C23" i="82"/>
  <c r="I24" i="82"/>
  <c r="D24" i="82"/>
  <c r="J24" i="82"/>
  <c r="E24" i="82"/>
  <c r="F24" i="82"/>
  <c r="C24" i="82"/>
  <c r="I25" i="82"/>
  <c r="D25" i="82"/>
  <c r="J25" i="82"/>
  <c r="E25" i="82"/>
  <c r="F25" i="82"/>
  <c r="C25" i="82"/>
  <c r="I26" i="82"/>
  <c r="D26" i="82"/>
  <c r="J26" i="82"/>
  <c r="E26" i="82"/>
  <c r="F26" i="82"/>
  <c r="C26" i="82"/>
  <c r="I27" i="82"/>
  <c r="D27" i="82"/>
  <c r="J27" i="82"/>
  <c r="E27" i="82"/>
  <c r="F27" i="82"/>
  <c r="C27" i="82"/>
  <c r="I28" i="82"/>
  <c r="D28" i="82"/>
  <c r="J28" i="82"/>
  <c r="E28" i="82"/>
  <c r="F28" i="82"/>
  <c r="C28" i="82"/>
  <c r="I29" i="82"/>
  <c r="D29" i="82"/>
  <c r="J29" i="82"/>
  <c r="E29" i="82"/>
  <c r="F29" i="82"/>
  <c r="C29" i="82"/>
  <c r="I30" i="82"/>
  <c r="D30" i="82"/>
  <c r="J30" i="82"/>
  <c r="E30" i="82"/>
  <c r="F30" i="82"/>
  <c r="C30" i="82"/>
  <c r="I31" i="82"/>
  <c r="D31" i="82"/>
  <c r="J31" i="82"/>
  <c r="E31" i="82"/>
  <c r="F31" i="82"/>
  <c r="C31" i="82"/>
  <c r="I32" i="82"/>
  <c r="D32" i="82"/>
  <c r="J32" i="82"/>
  <c r="E32" i="82"/>
  <c r="F32" i="82"/>
  <c r="C32" i="82"/>
  <c r="I33" i="82"/>
  <c r="D33" i="82"/>
  <c r="J33" i="82"/>
  <c r="E33" i="82"/>
  <c r="F33" i="82"/>
  <c r="C33" i="82"/>
  <c r="I34" i="82"/>
  <c r="D34" i="82"/>
  <c r="J34" i="82"/>
  <c r="E34" i="82"/>
  <c r="F34" i="82"/>
  <c r="C34" i="82"/>
  <c r="I35" i="82"/>
  <c r="D35" i="82"/>
  <c r="J35" i="82"/>
  <c r="E35" i="82"/>
  <c r="F35" i="82"/>
  <c r="C35" i="82"/>
  <c r="I36" i="82"/>
  <c r="D36" i="82"/>
  <c r="J36" i="82"/>
  <c r="E36" i="82"/>
  <c r="F36" i="82"/>
  <c r="C36" i="82"/>
  <c r="I37" i="82"/>
  <c r="D37" i="82"/>
  <c r="J37" i="82"/>
  <c r="E37" i="82"/>
  <c r="F37" i="82"/>
  <c r="C37" i="82"/>
  <c r="I38" i="82"/>
  <c r="D38" i="82"/>
  <c r="J38" i="82"/>
  <c r="E38" i="82"/>
  <c r="F38" i="82"/>
  <c r="C38" i="82"/>
  <c r="I39" i="82"/>
  <c r="D39" i="82"/>
  <c r="J39" i="82"/>
  <c r="E39" i="82"/>
  <c r="F39" i="82"/>
  <c r="C39" i="82"/>
  <c r="I40" i="82"/>
  <c r="D40" i="82"/>
  <c r="J40" i="82"/>
  <c r="E40" i="82"/>
  <c r="F40" i="82"/>
  <c r="C40" i="82"/>
  <c r="I41" i="82"/>
  <c r="D41" i="82"/>
  <c r="J41" i="82"/>
  <c r="E41" i="82"/>
  <c r="F41" i="82"/>
  <c r="C41" i="82"/>
  <c r="I42" i="82"/>
  <c r="D42" i="82"/>
  <c r="J42" i="82"/>
  <c r="E42" i="82"/>
  <c r="F42" i="82"/>
  <c r="C42" i="82"/>
  <c r="I43" i="82"/>
  <c r="D43" i="82"/>
  <c r="J43" i="82"/>
  <c r="E43" i="82"/>
  <c r="F43" i="82"/>
  <c r="C43" i="82"/>
  <c r="I44" i="82"/>
  <c r="D44" i="82"/>
  <c r="J44" i="82"/>
  <c r="E44" i="82"/>
  <c r="F44" i="82"/>
  <c r="C44" i="82"/>
  <c r="I45" i="82"/>
  <c r="D45" i="82"/>
  <c r="J45" i="82"/>
  <c r="E45" i="82"/>
  <c r="F45" i="82"/>
  <c r="C45" i="82"/>
  <c r="I46" i="82"/>
  <c r="D46" i="82"/>
  <c r="J46" i="82"/>
  <c r="E46" i="82"/>
  <c r="F46" i="82"/>
  <c r="C46" i="82"/>
  <c r="I47" i="82"/>
  <c r="D47" i="82"/>
  <c r="J47" i="82"/>
  <c r="E47" i="82"/>
  <c r="F47" i="82"/>
  <c r="C47" i="82"/>
  <c r="I48" i="82"/>
  <c r="D48" i="82"/>
  <c r="J48" i="82"/>
  <c r="E48" i="82"/>
  <c r="F48" i="82"/>
  <c r="C48" i="82"/>
  <c r="I49" i="82"/>
  <c r="D49" i="82"/>
  <c r="J49" i="82"/>
  <c r="E49" i="82"/>
  <c r="F49" i="82"/>
  <c r="C49" i="82"/>
  <c r="I50" i="82"/>
  <c r="D50" i="82"/>
  <c r="J50" i="82"/>
  <c r="E50" i="82"/>
  <c r="F50" i="82"/>
  <c r="C50" i="82"/>
  <c r="I51" i="82"/>
  <c r="D51" i="82"/>
  <c r="J51" i="82"/>
  <c r="E51" i="82"/>
  <c r="F51" i="82"/>
  <c r="C51" i="82"/>
  <c r="I52" i="82"/>
  <c r="D52" i="82"/>
  <c r="J52" i="82"/>
  <c r="E52" i="82"/>
  <c r="F52" i="82"/>
  <c r="C52" i="82"/>
  <c r="I53" i="82"/>
  <c r="D53" i="82"/>
  <c r="J53" i="82"/>
  <c r="E53" i="82"/>
  <c r="F53" i="82"/>
  <c r="C53" i="82"/>
  <c r="I54" i="82"/>
  <c r="D54" i="82"/>
  <c r="J54" i="82"/>
  <c r="E54" i="82"/>
  <c r="F54" i="82"/>
  <c r="C54" i="82"/>
  <c r="I55" i="82"/>
  <c r="D55" i="82"/>
  <c r="J55" i="82"/>
  <c r="E55" i="82"/>
  <c r="F55" i="82"/>
  <c r="C55" i="82"/>
  <c r="I56" i="82"/>
  <c r="D56" i="82"/>
  <c r="J56" i="82"/>
  <c r="E56" i="82"/>
  <c r="F56" i="82"/>
  <c r="C56" i="82"/>
  <c r="I57" i="82"/>
  <c r="D57" i="82"/>
  <c r="J57" i="82"/>
  <c r="E57" i="82"/>
  <c r="F57" i="82"/>
  <c r="C57" i="82"/>
  <c r="I58" i="82"/>
  <c r="D58" i="82"/>
  <c r="J58" i="82"/>
  <c r="E58" i="82"/>
  <c r="F58" i="82"/>
  <c r="C58" i="82"/>
  <c r="I59" i="82"/>
  <c r="D59" i="82"/>
  <c r="J59" i="82"/>
  <c r="E59" i="82"/>
  <c r="F59" i="82"/>
  <c r="C59" i="82"/>
  <c r="I60" i="82"/>
  <c r="D60" i="82"/>
  <c r="J60" i="82"/>
  <c r="E60" i="82"/>
  <c r="F60" i="82"/>
  <c r="C60" i="82"/>
  <c r="I61" i="82"/>
  <c r="D61" i="82"/>
  <c r="J61" i="82"/>
  <c r="E61" i="82"/>
  <c r="F61" i="82"/>
  <c r="C61" i="82"/>
  <c r="I62" i="82"/>
  <c r="D62" i="82"/>
  <c r="J62" i="82"/>
  <c r="E62" i="82"/>
  <c r="F62" i="82"/>
  <c r="C62" i="82"/>
  <c r="I63" i="82"/>
  <c r="D63" i="82"/>
  <c r="J63" i="82"/>
  <c r="E63" i="82"/>
  <c r="F63" i="82"/>
  <c r="C63" i="82"/>
  <c r="I64" i="82"/>
  <c r="D64" i="82"/>
  <c r="J64" i="82"/>
  <c r="E64" i="82"/>
  <c r="F64" i="82"/>
  <c r="C64" i="82"/>
  <c r="I65" i="82"/>
  <c r="D65" i="82"/>
  <c r="J65" i="82"/>
  <c r="E65" i="82"/>
  <c r="F65" i="82"/>
  <c r="C65" i="82"/>
  <c r="I66" i="82"/>
  <c r="D66" i="82"/>
  <c r="J66" i="82"/>
  <c r="E66" i="82"/>
  <c r="F66" i="82"/>
  <c r="C66" i="82"/>
  <c r="I67" i="82"/>
  <c r="D67" i="82"/>
  <c r="J67" i="82"/>
  <c r="E67" i="82"/>
  <c r="F67" i="82"/>
  <c r="C67" i="82"/>
  <c r="I68" i="82"/>
  <c r="D68" i="82"/>
  <c r="J68" i="82"/>
  <c r="E68" i="82"/>
  <c r="F68" i="82"/>
  <c r="C68" i="82"/>
  <c r="I69" i="82"/>
  <c r="D69" i="82"/>
  <c r="J69" i="82"/>
  <c r="E69" i="82"/>
  <c r="F69" i="82"/>
  <c r="C69" i="82"/>
  <c r="I70" i="82"/>
  <c r="D70" i="82"/>
  <c r="J70" i="82"/>
  <c r="E70" i="82"/>
  <c r="F70" i="82"/>
  <c r="C70" i="82"/>
  <c r="I71" i="82"/>
  <c r="D71" i="82"/>
  <c r="J71" i="82"/>
  <c r="E71" i="82"/>
  <c r="F71" i="82"/>
  <c r="C71" i="82"/>
  <c r="I72" i="82"/>
  <c r="D72" i="82"/>
  <c r="J72" i="82"/>
  <c r="E72" i="82"/>
  <c r="F72" i="82"/>
  <c r="C72" i="82"/>
  <c r="I73" i="82"/>
  <c r="D73" i="82"/>
  <c r="J73" i="82"/>
  <c r="E73" i="82"/>
  <c r="F73" i="82"/>
  <c r="C73" i="82"/>
  <c r="I74" i="82"/>
  <c r="D74" i="82"/>
  <c r="J74" i="82"/>
  <c r="E74" i="82"/>
  <c r="F74" i="82"/>
  <c r="C74" i="82"/>
  <c r="I75" i="82"/>
  <c r="D75" i="82"/>
  <c r="J75" i="82"/>
  <c r="E75" i="82"/>
  <c r="F75" i="82"/>
  <c r="C75" i="82"/>
  <c r="I76" i="82"/>
  <c r="D76" i="82"/>
  <c r="J76" i="82"/>
  <c r="E76" i="82"/>
  <c r="F76" i="82"/>
  <c r="C76" i="82"/>
  <c r="I77" i="82"/>
  <c r="D77" i="82"/>
  <c r="J77" i="82"/>
  <c r="E77" i="82"/>
  <c r="F77" i="82"/>
  <c r="C77" i="82"/>
  <c r="I78" i="82"/>
  <c r="D78" i="82"/>
  <c r="J78" i="82"/>
  <c r="E78" i="82"/>
  <c r="F78" i="82"/>
  <c r="C78" i="82"/>
  <c r="I79" i="82"/>
  <c r="D79" i="82"/>
  <c r="J79" i="82"/>
  <c r="E79" i="82"/>
  <c r="F79" i="82"/>
  <c r="C79" i="82"/>
  <c r="I80" i="82"/>
  <c r="D80" i="82"/>
  <c r="J80" i="82"/>
  <c r="E80" i="82"/>
  <c r="F80" i="82"/>
  <c r="C80" i="82"/>
  <c r="I81" i="82"/>
  <c r="D81" i="82"/>
  <c r="J81" i="82"/>
  <c r="E81" i="82"/>
  <c r="F81" i="82"/>
  <c r="C81" i="82"/>
  <c r="I82" i="82"/>
  <c r="D82" i="82"/>
  <c r="J82" i="82"/>
  <c r="E82" i="82"/>
  <c r="F82" i="82"/>
  <c r="C82" i="82"/>
  <c r="I83" i="82"/>
  <c r="D83" i="82"/>
  <c r="J83" i="82"/>
  <c r="E83" i="82"/>
  <c r="F83" i="82"/>
  <c r="C83" i="82"/>
  <c r="I84" i="82"/>
  <c r="D84" i="82"/>
  <c r="J84" i="82"/>
  <c r="E84" i="82"/>
  <c r="F84" i="82"/>
  <c r="C84" i="82"/>
  <c r="I85" i="82"/>
  <c r="D85" i="82"/>
  <c r="J85" i="82"/>
  <c r="E85" i="82"/>
  <c r="F85" i="82"/>
  <c r="C85" i="82"/>
  <c r="I86" i="82"/>
  <c r="D86" i="82"/>
  <c r="J86" i="82"/>
  <c r="E86" i="82"/>
  <c r="F86" i="82"/>
  <c r="C86" i="82"/>
  <c r="I87" i="82"/>
  <c r="D87" i="82"/>
  <c r="J87" i="82"/>
  <c r="E87" i="82"/>
  <c r="F87" i="82"/>
  <c r="C87" i="82"/>
  <c r="I88" i="82"/>
  <c r="D88" i="82"/>
  <c r="J88" i="82"/>
  <c r="E88" i="82"/>
  <c r="F88" i="82"/>
  <c r="C88" i="82"/>
  <c r="I89" i="82"/>
  <c r="D89" i="82"/>
  <c r="J89" i="82"/>
  <c r="E89" i="82"/>
  <c r="F89" i="82"/>
  <c r="C89" i="82"/>
  <c r="I90" i="82"/>
  <c r="D90" i="82"/>
  <c r="J90" i="82"/>
  <c r="E90" i="82"/>
  <c r="F90" i="82"/>
  <c r="C90" i="82"/>
  <c r="I91" i="82"/>
  <c r="D91" i="82"/>
  <c r="J91" i="82"/>
  <c r="E91" i="82"/>
  <c r="F91" i="82"/>
  <c r="C91" i="82"/>
  <c r="I92" i="82"/>
  <c r="D92" i="82"/>
  <c r="J92" i="82"/>
  <c r="E92" i="82"/>
  <c r="F92" i="82"/>
  <c r="C92" i="82"/>
  <c r="I93" i="82"/>
  <c r="D93" i="82"/>
  <c r="J93" i="82"/>
  <c r="E93" i="82"/>
  <c r="F93" i="82"/>
  <c r="C93" i="82"/>
  <c r="I94" i="82"/>
  <c r="D94" i="82"/>
  <c r="J94" i="82"/>
  <c r="E94" i="82"/>
  <c r="F94" i="82"/>
  <c r="C94" i="82"/>
  <c r="I95" i="82"/>
  <c r="D95" i="82"/>
  <c r="J95" i="82"/>
  <c r="E95" i="82"/>
  <c r="F95" i="82"/>
  <c r="C95" i="82"/>
  <c r="I96" i="82"/>
  <c r="D96" i="82"/>
  <c r="J96" i="82"/>
  <c r="E96" i="82"/>
  <c r="F96" i="82"/>
  <c r="C96" i="82"/>
  <c r="I97" i="82"/>
  <c r="D97" i="82"/>
  <c r="J97" i="82"/>
  <c r="E97" i="82"/>
  <c r="F97" i="82"/>
  <c r="C97" i="82"/>
  <c r="I98" i="82"/>
  <c r="D98" i="82"/>
  <c r="J98" i="82"/>
  <c r="E98" i="82"/>
  <c r="F98" i="82"/>
  <c r="C98" i="82"/>
  <c r="I99" i="82"/>
  <c r="D99" i="82"/>
  <c r="J99" i="82"/>
  <c r="E99" i="82"/>
  <c r="F99" i="82"/>
  <c r="C99" i="82"/>
  <c r="I100" i="82"/>
  <c r="D100" i="82"/>
  <c r="J100" i="82"/>
  <c r="E100" i="82"/>
  <c r="F100" i="82"/>
  <c r="C100" i="82"/>
  <c r="I101" i="82"/>
  <c r="D101" i="82"/>
  <c r="J101" i="82"/>
  <c r="E101" i="82"/>
  <c r="F101" i="82"/>
  <c r="C101" i="82"/>
  <c r="I102" i="82"/>
  <c r="D102" i="82"/>
  <c r="J102" i="82"/>
  <c r="E102" i="82"/>
  <c r="F102" i="82"/>
  <c r="C102" i="82"/>
  <c r="I103" i="82"/>
  <c r="D103" i="82"/>
  <c r="J103" i="82"/>
  <c r="E103" i="82"/>
  <c r="F103" i="82"/>
  <c r="C103" i="82"/>
  <c r="I104" i="82"/>
  <c r="D104" i="82"/>
  <c r="J104" i="82"/>
  <c r="E104" i="82"/>
  <c r="F104" i="82"/>
  <c r="C104" i="82"/>
  <c r="I105" i="82"/>
  <c r="D105" i="82"/>
  <c r="J105" i="82"/>
  <c r="E105" i="82"/>
  <c r="F105" i="82"/>
  <c r="C105" i="82"/>
  <c r="I106" i="82"/>
  <c r="D106" i="82"/>
  <c r="J106" i="82"/>
  <c r="E106" i="82"/>
  <c r="F106" i="82"/>
  <c r="C106" i="82"/>
  <c r="I107" i="82"/>
  <c r="D107" i="82"/>
  <c r="J107" i="82"/>
  <c r="E107" i="82"/>
  <c r="F107" i="82"/>
  <c r="C107" i="82"/>
  <c r="I108" i="82"/>
  <c r="D108" i="82"/>
  <c r="J108" i="82"/>
  <c r="E108" i="82"/>
  <c r="F108" i="82"/>
  <c r="C108" i="82"/>
  <c r="I109" i="82"/>
  <c r="D109" i="82"/>
  <c r="J109" i="82"/>
  <c r="E109" i="82"/>
  <c r="F109" i="82"/>
  <c r="C109" i="82"/>
  <c r="I110" i="82"/>
  <c r="D110" i="82"/>
  <c r="J110" i="82"/>
  <c r="E110" i="82"/>
  <c r="F110" i="82"/>
  <c r="C110" i="82"/>
  <c r="I111" i="82"/>
  <c r="D111" i="82"/>
  <c r="J111" i="82"/>
  <c r="E111" i="82"/>
  <c r="F111" i="82"/>
  <c r="C111" i="82"/>
  <c r="I112" i="82"/>
  <c r="D112" i="82"/>
  <c r="J112" i="82"/>
  <c r="E112" i="82"/>
  <c r="F112" i="82"/>
  <c r="C112" i="82"/>
  <c r="I113" i="82"/>
  <c r="D113" i="82"/>
  <c r="J113" i="82"/>
  <c r="E113" i="82"/>
  <c r="F113" i="82"/>
  <c r="C113" i="82"/>
  <c r="I114" i="82"/>
  <c r="D114" i="82"/>
  <c r="J114" i="82"/>
  <c r="E114" i="82"/>
  <c r="F114" i="82"/>
  <c r="C114" i="82"/>
  <c r="I115" i="82"/>
  <c r="D115" i="82"/>
  <c r="J115" i="82"/>
  <c r="E115" i="82"/>
  <c r="F115" i="82"/>
  <c r="C115" i="82"/>
  <c r="I116" i="82"/>
  <c r="D116" i="82"/>
  <c r="J116" i="82"/>
  <c r="E116" i="82"/>
  <c r="F116" i="82"/>
  <c r="C116" i="82"/>
  <c r="I117" i="82"/>
  <c r="D117" i="82"/>
  <c r="J117" i="82"/>
  <c r="E117" i="82"/>
  <c r="F117" i="82"/>
  <c r="C117" i="82"/>
  <c r="I118" i="82"/>
  <c r="D118" i="82"/>
  <c r="J118" i="82"/>
  <c r="E118" i="82"/>
  <c r="F118" i="82"/>
  <c r="C118" i="82"/>
  <c r="I119" i="82"/>
  <c r="D119" i="82"/>
  <c r="J119" i="82"/>
  <c r="E119" i="82"/>
  <c r="F119" i="82"/>
  <c r="C119" i="82"/>
  <c r="I120" i="82"/>
  <c r="D120" i="82"/>
  <c r="J120" i="82"/>
  <c r="E120" i="82"/>
  <c r="F120" i="82"/>
  <c r="C120" i="82"/>
  <c r="I121" i="82"/>
  <c r="D121" i="82"/>
  <c r="J121" i="82"/>
  <c r="E121" i="82"/>
  <c r="F121" i="82"/>
  <c r="C121" i="82"/>
  <c r="I122" i="82"/>
  <c r="D122" i="82"/>
  <c r="J122" i="82"/>
  <c r="E122" i="82"/>
  <c r="F122" i="82"/>
  <c r="C122" i="82"/>
  <c r="I123" i="82"/>
  <c r="D123" i="82"/>
  <c r="J123" i="82"/>
  <c r="E123" i="82"/>
  <c r="F123" i="82"/>
  <c r="C123" i="82"/>
  <c r="I124" i="82"/>
  <c r="D124" i="82"/>
  <c r="J124" i="82"/>
  <c r="E124" i="82"/>
  <c r="F124" i="82"/>
  <c r="C124" i="82"/>
  <c r="I125" i="82"/>
  <c r="D125" i="82"/>
  <c r="J125" i="82"/>
  <c r="E125" i="82"/>
  <c r="F125" i="82"/>
  <c r="C125" i="82"/>
  <c r="I126" i="82"/>
  <c r="D126" i="82"/>
  <c r="J126" i="82"/>
  <c r="E126" i="82"/>
  <c r="F126" i="82"/>
  <c r="C126" i="82"/>
  <c r="I127" i="82"/>
  <c r="D127" i="82"/>
  <c r="J127" i="82"/>
  <c r="E127" i="82"/>
  <c r="F127" i="82"/>
  <c r="C127" i="82"/>
  <c r="I128" i="82"/>
  <c r="D128" i="82"/>
  <c r="J128" i="82"/>
  <c r="E128" i="82"/>
  <c r="F128" i="82"/>
  <c r="C128" i="82"/>
  <c r="I129" i="82"/>
  <c r="D129" i="82"/>
  <c r="J129" i="82"/>
  <c r="E129" i="82"/>
  <c r="F129" i="82"/>
  <c r="C129" i="82"/>
  <c r="I130" i="82"/>
  <c r="D130" i="82"/>
  <c r="J130" i="82"/>
  <c r="E130" i="82"/>
  <c r="F130" i="82"/>
  <c r="C130" i="82"/>
  <c r="I131" i="82"/>
  <c r="D131" i="82"/>
  <c r="J131" i="82"/>
  <c r="E131" i="82"/>
  <c r="F131" i="82"/>
  <c r="C131" i="82"/>
  <c r="I132" i="82"/>
  <c r="D132" i="82"/>
  <c r="J132" i="82"/>
  <c r="E132" i="82"/>
  <c r="F132" i="82"/>
  <c r="C132" i="82"/>
  <c r="I133" i="82"/>
  <c r="D133" i="82"/>
  <c r="J133" i="82"/>
  <c r="E133" i="82"/>
  <c r="F133" i="82"/>
  <c r="C133" i="82"/>
  <c r="I134" i="82"/>
  <c r="D134" i="82"/>
  <c r="J134" i="82"/>
  <c r="E134" i="82"/>
  <c r="F134" i="82"/>
  <c r="C134" i="82"/>
  <c r="I135" i="82"/>
  <c r="D135" i="82"/>
  <c r="J135" i="82"/>
  <c r="E135" i="82"/>
  <c r="F135" i="82"/>
  <c r="C135" i="82"/>
  <c r="I136" i="82"/>
  <c r="D136" i="82"/>
  <c r="J136" i="82"/>
  <c r="E136" i="82"/>
  <c r="F136" i="82"/>
  <c r="C136" i="82"/>
  <c r="I137" i="82"/>
  <c r="D137" i="82"/>
  <c r="J137" i="82"/>
  <c r="E137" i="82"/>
  <c r="F137" i="82"/>
  <c r="C137" i="82"/>
  <c r="I138" i="82"/>
  <c r="D138" i="82"/>
  <c r="J138" i="82"/>
  <c r="E138" i="82"/>
  <c r="F138" i="82"/>
  <c r="C138" i="82"/>
  <c r="I139" i="82"/>
  <c r="D139" i="82"/>
  <c r="J139" i="82"/>
  <c r="E139" i="82"/>
  <c r="F139" i="82"/>
  <c r="C139" i="82"/>
  <c r="I140" i="82"/>
  <c r="D140" i="82"/>
  <c r="J140" i="82"/>
  <c r="E140" i="82"/>
  <c r="F140" i="82"/>
  <c r="C140" i="82"/>
  <c r="I141" i="82"/>
  <c r="D141" i="82"/>
  <c r="J141" i="82"/>
  <c r="E141" i="82"/>
  <c r="F141" i="82"/>
  <c r="C141" i="82"/>
  <c r="I142" i="82"/>
  <c r="D142" i="82"/>
  <c r="J142" i="82"/>
  <c r="E142" i="82"/>
  <c r="F142" i="82"/>
  <c r="C142" i="82"/>
  <c r="I143" i="82"/>
  <c r="D143" i="82"/>
  <c r="J143" i="82"/>
  <c r="E143" i="82"/>
  <c r="F143" i="82"/>
  <c r="C143" i="82"/>
  <c r="I144" i="82"/>
  <c r="D144" i="82"/>
  <c r="J144" i="82"/>
  <c r="E144" i="82"/>
  <c r="F144" i="82"/>
  <c r="C144" i="82"/>
  <c r="I145" i="82"/>
  <c r="D145" i="82"/>
  <c r="J145" i="82"/>
  <c r="E145" i="82"/>
  <c r="F145" i="82"/>
  <c r="C145" i="82"/>
  <c r="I146" i="82"/>
  <c r="D146" i="82"/>
  <c r="J146" i="82"/>
  <c r="E146" i="82"/>
  <c r="F146" i="82"/>
  <c r="C146" i="82"/>
  <c r="I147" i="82"/>
  <c r="D147" i="82"/>
  <c r="J147" i="82"/>
  <c r="E147" i="82"/>
  <c r="F147" i="82"/>
  <c r="C147" i="82"/>
  <c r="I148" i="82"/>
  <c r="D148" i="82"/>
  <c r="J148" i="82"/>
  <c r="E148" i="82"/>
  <c r="F148" i="82"/>
  <c r="C148" i="82"/>
  <c r="I149" i="82"/>
  <c r="D149" i="82"/>
  <c r="J149" i="82"/>
  <c r="E149" i="82"/>
  <c r="F149" i="82"/>
  <c r="C149" i="82"/>
  <c r="I150" i="82"/>
  <c r="D150" i="82"/>
  <c r="J150" i="82"/>
  <c r="E150" i="82"/>
  <c r="F150" i="82"/>
  <c r="C150" i="82"/>
  <c r="I151" i="82"/>
  <c r="D151" i="82"/>
  <c r="J151" i="82"/>
  <c r="E151" i="82"/>
  <c r="F151" i="82"/>
  <c r="C151" i="82"/>
  <c r="I152" i="82"/>
  <c r="D152" i="82"/>
  <c r="J152" i="82"/>
  <c r="E152" i="82"/>
  <c r="F152" i="82"/>
  <c r="C152" i="82"/>
  <c r="I153" i="82"/>
  <c r="D153" i="82"/>
  <c r="J153" i="82"/>
  <c r="E153" i="82"/>
  <c r="F153" i="82"/>
  <c r="C153" i="82"/>
  <c r="I154" i="82"/>
  <c r="D154" i="82"/>
  <c r="J154" i="82"/>
  <c r="E154" i="82"/>
  <c r="F154" i="82"/>
  <c r="C154" i="82"/>
  <c r="I155" i="82"/>
  <c r="D155" i="82"/>
  <c r="J155" i="82"/>
  <c r="E155" i="82"/>
  <c r="F155" i="82"/>
  <c r="C155" i="82"/>
  <c r="I156" i="82"/>
  <c r="D156" i="82"/>
  <c r="J156" i="82"/>
  <c r="E156" i="82"/>
  <c r="F156" i="82"/>
  <c r="C156" i="82"/>
  <c r="I157" i="82"/>
  <c r="D157" i="82"/>
  <c r="J157" i="82"/>
  <c r="E157" i="82"/>
  <c r="F157" i="82"/>
  <c r="C157" i="82"/>
  <c r="I158" i="82"/>
  <c r="D158" i="82"/>
  <c r="J158" i="82"/>
  <c r="E158" i="82"/>
  <c r="F158" i="82"/>
  <c r="C158" i="82"/>
  <c r="I159" i="82"/>
  <c r="D159" i="82"/>
  <c r="J159" i="82"/>
  <c r="E159" i="82"/>
  <c r="F159" i="82"/>
  <c r="C159" i="82"/>
  <c r="I160" i="82"/>
  <c r="D160" i="82"/>
  <c r="J160" i="82"/>
  <c r="E160" i="82"/>
  <c r="F160" i="82"/>
  <c r="C160" i="82"/>
  <c r="I161" i="82"/>
  <c r="D161" i="82"/>
  <c r="J161" i="82"/>
  <c r="E161" i="82"/>
  <c r="F161" i="82"/>
  <c r="C161" i="82"/>
  <c r="I162" i="82"/>
  <c r="D162" i="82"/>
  <c r="J162" i="82"/>
  <c r="E162" i="82"/>
  <c r="F162" i="82"/>
  <c r="C162" i="82"/>
  <c r="I163" i="82"/>
  <c r="D163" i="82"/>
  <c r="J163" i="82"/>
  <c r="E163" i="82"/>
  <c r="F163" i="82"/>
  <c r="C163" i="82"/>
  <c r="I164" i="82"/>
  <c r="D164" i="82"/>
  <c r="J164" i="82"/>
  <c r="E164" i="82"/>
  <c r="F164" i="82"/>
  <c r="C164" i="82"/>
  <c r="I165" i="82"/>
  <c r="D165" i="82"/>
  <c r="J165" i="82"/>
  <c r="E165" i="82"/>
  <c r="F165" i="82"/>
  <c r="C165" i="82"/>
  <c r="I166" i="82"/>
  <c r="D166" i="82"/>
  <c r="J166" i="82"/>
  <c r="E166" i="82"/>
  <c r="F166" i="82"/>
  <c r="C166" i="82"/>
  <c r="I167" i="82"/>
  <c r="D167" i="82"/>
  <c r="J167" i="82"/>
  <c r="E167" i="82"/>
  <c r="F167" i="82"/>
  <c r="C167" i="82"/>
  <c r="I168" i="82"/>
  <c r="D168" i="82"/>
  <c r="J168" i="82"/>
  <c r="E168" i="82"/>
  <c r="F168" i="82"/>
  <c r="C168" i="82"/>
  <c r="I169" i="82"/>
  <c r="D169" i="82"/>
  <c r="J169" i="82"/>
  <c r="E169" i="82"/>
  <c r="F169" i="82"/>
  <c r="C169" i="82"/>
  <c r="I170" i="82"/>
  <c r="D170" i="82"/>
  <c r="J170" i="82"/>
  <c r="E170" i="82"/>
  <c r="F170" i="82"/>
  <c r="C170" i="82"/>
  <c r="I171" i="82"/>
  <c r="D171" i="82"/>
  <c r="J171" i="82"/>
  <c r="E171" i="82"/>
  <c r="F171" i="82"/>
  <c r="C171" i="82"/>
  <c r="I172" i="82"/>
  <c r="D172" i="82"/>
  <c r="J172" i="82"/>
  <c r="E172" i="82"/>
  <c r="F172" i="82"/>
  <c r="C172" i="82"/>
  <c r="I173" i="82"/>
  <c r="D173" i="82"/>
  <c r="J173" i="82"/>
  <c r="E173" i="82"/>
  <c r="F173" i="82"/>
  <c r="C173" i="82"/>
  <c r="I174" i="82"/>
  <c r="D174" i="82"/>
  <c r="J174" i="82"/>
  <c r="E174" i="82"/>
  <c r="F174" i="82"/>
  <c r="C174" i="82"/>
  <c r="I175" i="82"/>
  <c r="D175" i="82"/>
  <c r="J175" i="82"/>
  <c r="E175" i="82"/>
  <c r="F175" i="82"/>
  <c r="C175" i="82"/>
  <c r="I176" i="82"/>
  <c r="D176" i="82"/>
  <c r="J176" i="82"/>
  <c r="E176" i="82"/>
  <c r="F176" i="82"/>
  <c r="C176" i="82"/>
  <c r="I177" i="82"/>
  <c r="D177" i="82"/>
  <c r="J177" i="82"/>
  <c r="E177" i="82"/>
  <c r="F177" i="82"/>
  <c r="C177" i="82"/>
  <c r="I178" i="82"/>
  <c r="D178" i="82"/>
  <c r="J178" i="82"/>
  <c r="E178" i="82"/>
  <c r="F178" i="82"/>
  <c r="C178" i="82"/>
  <c r="I179" i="82"/>
  <c r="D179" i="82"/>
  <c r="J179" i="82"/>
  <c r="E179" i="82"/>
  <c r="F179" i="82"/>
  <c r="C179" i="82"/>
  <c r="I180" i="82"/>
  <c r="D180" i="82"/>
  <c r="J180" i="82"/>
  <c r="E180" i="82"/>
  <c r="F180" i="82"/>
  <c r="C180" i="82"/>
  <c r="I181" i="82"/>
  <c r="D181" i="82"/>
  <c r="J181" i="82"/>
  <c r="E181" i="82"/>
  <c r="F181" i="82"/>
  <c r="C181" i="82"/>
  <c r="I182" i="82"/>
  <c r="D182" i="82"/>
  <c r="J182" i="82"/>
  <c r="E182" i="82"/>
  <c r="F182" i="82"/>
  <c r="C182" i="82"/>
  <c r="I183" i="82"/>
  <c r="D183" i="82"/>
  <c r="J183" i="82"/>
  <c r="E183" i="82"/>
  <c r="F183" i="82"/>
  <c r="C183" i="82"/>
  <c r="I184" i="82"/>
  <c r="D184" i="82"/>
  <c r="J184" i="82"/>
  <c r="E184" i="82"/>
  <c r="F184" i="82"/>
  <c r="C184" i="82"/>
  <c r="I185" i="82"/>
  <c r="D185" i="82"/>
  <c r="J185" i="82"/>
  <c r="E185" i="82"/>
  <c r="F185" i="82"/>
  <c r="C185" i="82"/>
  <c r="I186" i="82"/>
  <c r="D186" i="82"/>
  <c r="J186" i="82"/>
  <c r="E186" i="82"/>
  <c r="F186" i="82"/>
  <c r="C186" i="82"/>
  <c r="I187" i="82"/>
  <c r="D187" i="82"/>
  <c r="J187" i="82"/>
  <c r="E187" i="82"/>
  <c r="F187" i="82"/>
  <c r="C187" i="82"/>
  <c r="I188" i="82"/>
  <c r="D188" i="82"/>
  <c r="J188" i="82"/>
  <c r="E188" i="82"/>
  <c r="F188" i="82"/>
  <c r="C188" i="82"/>
  <c r="I189" i="82"/>
  <c r="D189" i="82"/>
  <c r="J189" i="82"/>
  <c r="E189" i="82"/>
  <c r="F189" i="82"/>
  <c r="C189" i="82"/>
  <c r="I190" i="82"/>
  <c r="D190" i="82"/>
  <c r="J190" i="82"/>
  <c r="E190" i="82"/>
  <c r="F190" i="82"/>
  <c r="C190" i="82"/>
  <c r="I191" i="82"/>
  <c r="D191" i="82"/>
  <c r="J191" i="82"/>
  <c r="E191" i="82"/>
  <c r="F191" i="82"/>
  <c r="C191" i="82"/>
  <c r="I192" i="82"/>
  <c r="D192" i="82"/>
  <c r="J192" i="82"/>
  <c r="E192" i="82"/>
  <c r="F192" i="82"/>
  <c r="C192" i="82"/>
  <c r="I193" i="82"/>
  <c r="D193" i="82"/>
  <c r="J193" i="82"/>
  <c r="E193" i="82"/>
  <c r="F193" i="82"/>
  <c r="C193" i="82"/>
  <c r="I194" i="82"/>
  <c r="D194" i="82"/>
  <c r="J194" i="82"/>
  <c r="E194" i="82"/>
  <c r="F194" i="82"/>
  <c r="C194" i="82"/>
  <c r="I195" i="82"/>
  <c r="D195" i="82"/>
  <c r="J195" i="82"/>
  <c r="E195" i="82"/>
  <c r="F195" i="82"/>
  <c r="C195" i="82"/>
  <c r="I196" i="82"/>
  <c r="D196" i="82"/>
  <c r="J196" i="82"/>
  <c r="E196" i="82"/>
  <c r="F196" i="82"/>
  <c r="C196" i="82"/>
  <c r="I197" i="82"/>
  <c r="D197" i="82"/>
  <c r="J197" i="82"/>
  <c r="E197" i="82"/>
  <c r="F197" i="82"/>
  <c r="C197" i="82"/>
  <c r="I198" i="82"/>
  <c r="D198" i="82"/>
  <c r="J198" i="82"/>
  <c r="E198" i="82"/>
  <c r="F198" i="82"/>
  <c r="C198" i="82"/>
  <c r="I199" i="82"/>
  <c r="D199" i="82"/>
  <c r="J199" i="82"/>
  <c r="E199" i="82"/>
  <c r="F199" i="82"/>
  <c r="C199" i="82"/>
  <c r="I200" i="82"/>
  <c r="D200" i="82"/>
  <c r="J200" i="82"/>
  <c r="E200" i="82"/>
  <c r="F200" i="82"/>
  <c r="C200" i="82"/>
  <c r="I201" i="82"/>
  <c r="D201" i="82"/>
  <c r="J201" i="82"/>
  <c r="E201" i="82"/>
  <c r="F201" i="82"/>
  <c r="C201" i="82"/>
  <c r="I202" i="82"/>
  <c r="D202" i="82"/>
  <c r="J202" i="82"/>
  <c r="E202" i="82"/>
  <c r="F202" i="82"/>
  <c r="C202" i="82"/>
  <c r="I203" i="82"/>
  <c r="D203" i="82"/>
  <c r="J203" i="82"/>
  <c r="E203" i="82"/>
  <c r="F203" i="82"/>
  <c r="C203" i="82"/>
  <c r="I204" i="82"/>
  <c r="D204" i="82"/>
  <c r="J204" i="82"/>
  <c r="E204" i="82"/>
  <c r="F204" i="82"/>
  <c r="C204" i="82"/>
  <c r="I205" i="82"/>
  <c r="D205" i="82"/>
  <c r="J205" i="82"/>
  <c r="E205" i="82"/>
  <c r="F205" i="82"/>
  <c r="C205" i="82"/>
  <c r="I206" i="82"/>
  <c r="D206" i="82"/>
  <c r="J206" i="82"/>
  <c r="E206" i="82"/>
  <c r="F206" i="82"/>
  <c r="C206" i="82"/>
  <c r="I207" i="82"/>
  <c r="D207" i="82"/>
  <c r="J207" i="82"/>
  <c r="E207" i="82"/>
  <c r="F207" i="82"/>
  <c r="C207" i="82"/>
  <c r="I208" i="82"/>
  <c r="D208" i="82"/>
  <c r="J208" i="82"/>
  <c r="E208" i="82"/>
  <c r="F208" i="82"/>
  <c r="C208" i="82"/>
  <c r="I209" i="82"/>
  <c r="D209" i="82"/>
  <c r="J209" i="82"/>
  <c r="E209" i="82"/>
  <c r="F209" i="82"/>
  <c r="C209" i="82"/>
  <c r="I210" i="82"/>
  <c r="D210" i="82"/>
  <c r="J210" i="82"/>
  <c r="E210" i="82"/>
  <c r="F210" i="82"/>
  <c r="C210" i="82"/>
  <c r="I211" i="82"/>
  <c r="D211" i="82"/>
  <c r="J211" i="82"/>
  <c r="E211" i="82"/>
  <c r="F211" i="82"/>
  <c r="C211" i="82"/>
  <c r="I212" i="82"/>
  <c r="D212" i="82"/>
  <c r="J212" i="82"/>
  <c r="E212" i="82"/>
  <c r="F212" i="82"/>
  <c r="C212" i="82"/>
  <c r="I213" i="82"/>
  <c r="D213" i="82"/>
  <c r="J213" i="82"/>
  <c r="E213" i="82"/>
  <c r="F213" i="82"/>
  <c r="C213" i="82"/>
  <c r="I214" i="82"/>
  <c r="D214" i="82"/>
  <c r="J214" i="82"/>
  <c r="E214" i="82"/>
  <c r="F214" i="82"/>
  <c r="C214" i="82"/>
  <c r="I215" i="82"/>
  <c r="D215" i="82"/>
  <c r="J215" i="82"/>
  <c r="E215" i="82"/>
  <c r="F215" i="82"/>
  <c r="C215" i="82"/>
  <c r="I216" i="82"/>
  <c r="D216" i="82"/>
  <c r="J216" i="82"/>
  <c r="E216" i="82"/>
  <c r="F216" i="82"/>
  <c r="C216" i="82"/>
  <c r="I217" i="82"/>
  <c r="D217" i="82"/>
  <c r="J217" i="82"/>
  <c r="E217" i="82"/>
  <c r="F217" i="82"/>
  <c r="C217" i="82"/>
  <c r="I218" i="82"/>
  <c r="D218" i="82"/>
  <c r="J218" i="82"/>
  <c r="E218" i="82"/>
  <c r="F218" i="82"/>
  <c r="C218" i="82"/>
  <c r="I219" i="82"/>
  <c r="D219" i="82"/>
  <c r="J219" i="82"/>
  <c r="E219" i="82"/>
  <c r="F219" i="82"/>
  <c r="C219" i="82"/>
  <c r="I220" i="82"/>
  <c r="D220" i="82"/>
  <c r="J220" i="82"/>
  <c r="E220" i="82"/>
  <c r="F220" i="82"/>
  <c r="C220" i="82"/>
  <c r="I221" i="82"/>
  <c r="D221" i="82"/>
  <c r="J221" i="82"/>
  <c r="E221" i="82"/>
  <c r="F221" i="82"/>
  <c r="C221" i="82"/>
  <c r="I222" i="82"/>
  <c r="D222" i="82"/>
  <c r="J222" i="82"/>
  <c r="E222" i="82"/>
  <c r="F222" i="82"/>
  <c r="C222" i="82"/>
  <c r="I223" i="82"/>
  <c r="D223" i="82"/>
  <c r="J223" i="82"/>
  <c r="E223" i="82"/>
  <c r="F223" i="82"/>
  <c r="C223" i="82"/>
  <c r="I224" i="82"/>
  <c r="D224" i="82"/>
  <c r="J224" i="82"/>
  <c r="E224" i="82"/>
  <c r="F224" i="82"/>
  <c r="C224" i="82"/>
  <c r="I225" i="82"/>
  <c r="D225" i="82"/>
  <c r="J225" i="82"/>
  <c r="E225" i="82"/>
  <c r="F225" i="82"/>
  <c r="C225" i="82"/>
  <c r="I226" i="82"/>
  <c r="D226" i="82"/>
  <c r="J226" i="82"/>
  <c r="E226" i="82"/>
  <c r="F226" i="82"/>
  <c r="C226" i="82"/>
  <c r="I227" i="82"/>
  <c r="D227" i="82"/>
  <c r="J227" i="82"/>
  <c r="E227" i="82"/>
  <c r="F227" i="82"/>
  <c r="C227" i="82"/>
  <c r="I228" i="82"/>
  <c r="D228" i="82"/>
  <c r="J228" i="82"/>
  <c r="E228" i="82"/>
  <c r="F228" i="82"/>
  <c r="C228" i="82"/>
  <c r="I229" i="82"/>
  <c r="D229" i="82"/>
  <c r="J229" i="82"/>
  <c r="E229" i="82"/>
  <c r="F229" i="82"/>
  <c r="C229" i="82"/>
  <c r="I230" i="82"/>
  <c r="D230" i="82"/>
  <c r="J230" i="82"/>
  <c r="E230" i="82"/>
  <c r="F230" i="82"/>
  <c r="C230" i="82"/>
  <c r="I231" i="82"/>
  <c r="D231" i="82"/>
  <c r="J231" i="82"/>
  <c r="E231" i="82"/>
  <c r="F231" i="82"/>
  <c r="C231" i="82"/>
  <c r="I232" i="82"/>
  <c r="D232" i="82"/>
  <c r="J232" i="82"/>
  <c r="E232" i="82"/>
  <c r="F232" i="82"/>
  <c r="C232" i="82"/>
  <c r="I233" i="82"/>
  <c r="D233" i="82"/>
  <c r="J233" i="82"/>
  <c r="E233" i="82"/>
  <c r="F233" i="82"/>
  <c r="C233" i="82"/>
  <c r="I234" i="82"/>
  <c r="D234" i="82"/>
  <c r="J234" i="82"/>
  <c r="E234" i="82"/>
  <c r="F234" i="82"/>
  <c r="C234" i="82"/>
  <c r="I235" i="82"/>
  <c r="D235" i="82"/>
  <c r="J235" i="82"/>
  <c r="E235" i="82"/>
  <c r="F235" i="82"/>
  <c r="C235" i="82"/>
  <c r="I236" i="82"/>
  <c r="D236" i="82"/>
  <c r="J236" i="82"/>
  <c r="E236" i="82"/>
  <c r="F236" i="82"/>
  <c r="C236" i="82"/>
  <c r="I237" i="82"/>
  <c r="D237" i="82"/>
  <c r="J237" i="82"/>
  <c r="E237" i="82"/>
  <c r="F237" i="82"/>
  <c r="C237" i="82"/>
  <c r="I238" i="82"/>
  <c r="D238" i="82"/>
  <c r="J238" i="82"/>
  <c r="E238" i="82"/>
  <c r="F238" i="82"/>
  <c r="C238" i="82"/>
  <c r="I239" i="82"/>
  <c r="D239" i="82"/>
  <c r="J239" i="82"/>
  <c r="E239" i="82"/>
  <c r="F239" i="82"/>
  <c r="C239" i="82"/>
  <c r="I240" i="82"/>
  <c r="D240" i="82"/>
  <c r="J240" i="82"/>
  <c r="E240" i="82"/>
  <c r="F240" i="82"/>
  <c r="C240" i="82"/>
  <c r="I241" i="82"/>
  <c r="D241" i="82"/>
  <c r="J241" i="82"/>
  <c r="E241" i="82"/>
  <c r="F241" i="82"/>
  <c r="C241" i="82"/>
  <c r="I242" i="82"/>
  <c r="D242" i="82"/>
  <c r="J242" i="82"/>
  <c r="E242" i="82"/>
  <c r="F242" i="82"/>
  <c r="C242" i="82"/>
  <c r="I243" i="82"/>
  <c r="D243" i="82"/>
  <c r="J243" i="82"/>
  <c r="E243" i="82"/>
  <c r="F243" i="82"/>
  <c r="C243" i="82"/>
  <c r="I244" i="82"/>
  <c r="D244" i="82"/>
  <c r="J244" i="82"/>
  <c r="E244" i="82"/>
  <c r="F244" i="82"/>
  <c r="C244" i="82"/>
  <c r="I245" i="82"/>
  <c r="D245" i="82"/>
  <c r="J245" i="82"/>
  <c r="E245" i="82"/>
  <c r="F245" i="82"/>
  <c r="C245" i="82"/>
  <c r="I246" i="82"/>
  <c r="D246" i="82"/>
  <c r="J246" i="82"/>
  <c r="E246" i="82"/>
  <c r="F246" i="82"/>
  <c r="C246" i="82"/>
  <c r="I247" i="82"/>
  <c r="D247" i="82"/>
  <c r="J247" i="82"/>
  <c r="E247" i="82"/>
  <c r="F247" i="82"/>
  <c r="C247" i="82"/>
  <c r="I248" i="82"/>
  <c r="D248" i="82"/>
  <c r="J248" i="82"/>
  <c r="E248" i="82"/>
  <c r="F248" i="82"/>
  <c r="C248" i="82"/>
  <c r="I249" i="82"/>
  <c r="D249" i="82"/>
  <c r="J249" i="82"/>
  <c r="E249" i="82"/>
  <c r="F249" i="82"/>
  <c r="C249" i="82"/>
  <c r="I250" i="82"/>
  <c r="D250" i="82"/>
  <c r="J250" i="82"/>
  <c r="E250" i="82"/>
  <c r="F250" i="82"/>
  <c r="C250" i="82"/>
  <c r="I251" i="82"/>
  <c r="D251" i="82"/>
  <c r="J251" i="82"/>
  <c r="E251" i="82"/>
  <c r="F251" i="82"/>
  <c r="C251" i="82"/>
  <c r="I252" i="82"/>
  <c r="D252" i="82"/>
  <c r="J252" i="82"/>
  <c r="E252" i="82"/>
  <c r="F252" i="82"/>
  <c r="C252" i="82"/>
  <c r="I253" i="82"/>
  <c r="D253" i="82"/>
  <c r="J253" i="82"/>
  <c r="E253" i="82"/>
  <c r="F253" i="82"/>
  <c r="C253" i="82"/>
  <c r="I254" i="82"/>
  <c r="D254" i="82"/>
  <c r="J254" i="82"/>
  <c r="E254" i="82"/>
  <c r="F254" i="82"/>
  <c r="C254" i="82"/>
  <c r="I255" i="82"/>
  <c r="D255" i="82"/>
  <c r="J255" i="82"/>
  <c r="E255" i="82"/>
  <c r="F255" i="82"/>
  <c r="C255" i="82"/>
  <c r="I256" i="82"/>
  <c r="D256" i="82"/>
  <c r="J256" i="82"/>
  <c r="E256" i="82"/>
  <c r="F256" i="82"/>
  <c r="C256" i="82"/>
  <c r="I257" i="82"/>
  <c r="D257" i="82"/>
  <c r="J257" i="82"/>
  <c r="E257" i="82"/>
  <c r="F257" i="82"/>
  <c r="C257" i="82"/>
  <c r="I258" i="82"/>
  <c r="D258" i="82"/>
  <c r="J258" i="82"/>
  <c r="E258" i="82"/>
  <c r="F258" i="82"/>
  <c r="C258" i="82"/>
  <c r="I259" i="82"/>
  <c r="D259" i="82"/>
  <c r="J259" i="82"/>
  <c r="E259" i="82"/>
  <c r="F259" i="82"/>
  <c r="C259" i="82"/>
  <c r="I260" i="82"/>
  <c r="D260" i="82"/>
  <c r="J260" i="82"/>
  <c r="E260" i="82"/>
  <c r="F260" i="82"/>
  <c r="C260" i="82"/>
  <c r="I261" i="82"/>
  <c r="D261" i="82"/>
  <c r="J261" i="82"/>
  <c r="E261" i="82"/>
  <c r="F261" i="82"/>
  <c r="C261" i="82"/>
  <c r="I262" i="82"/>
  <c r="D262" i="82"/>
  <c r="J262" i="82"/>
  <c r="E262" i="82"/>
  <c r="F262" i="82"/>
  <c r="C262" i="82"/>
  <c r="I263" i="82"/>
  <c r="D263" i="82"/>
  <c r="J263" i="82"/>
  <c r="E263" i="82"/>
  <c r="F263" i="82"/>
  <c r="C263" i="82"/>
  <c r="I264" i="82"/>
  <c r="D264" i="82"/>
  <c r="J264" i="82"/>
  <c r="E264" i="82"/>
  <c r="F264" i="82"/>
  <c r="C264" i="82"/>
  <c r="I265" i="82"/>
  <c r="D265" i="82"/>
  <c r="J265" i="82"/>
  <c r="E265" i="82"/>
  <c r="F265" i="82"/>
  <c r="C265" i="82"/>
  <c r="I266" i="82"/>
  <c r="D266" i="82"/>
  <c r="J266" i="82"/>
  <c r="E266" i="82"/>
  <c r="F266" i="82"/>
  <c r="C266" i="82"/>
  <c r="I267" i="82"/>
  <c r="D267" i="82"/>
  <c r="J267" i="82"/>
  <c r="E267" i="82"/>
  <c r="F267" i="82"/>
  <c r="C267" i="82"/>
  <c r="I268" i="82"/>
  <c r="D268" i="82"/>
  <c r="J268" i="82"/>
  <c r="E268" i="82"/>
  <c r="F268" i="82"/>
  <c r="C268" i="82"/>
  <c r="I269" i="82"/>
  <c r="D269" i="82"/>
  <c r="J269" i="82"/>
  <c r="E269" i="82"/>
  <c r="F269" i="82"/>
  <c r="C269" i="82"/>
  <c r="I270" i="82"/>
  <c r="D270" i="82"/>
  <c r="J270" i="82"/>
  <c r="E270" i="82"/>
  <c r="F270" i="82"/>
  <c r="C270" i="82"/>
  <c r="I271" i="82"/>
  <c r="D271" i="82"/>
  <c r="J271" i="82"/>
  <c r="E271" i="82"/>
  <c r="F271" i="82"/>
  <c r="C271" i="82"/>
  <c r="I272" i="82"/>
  <c r="D272" i="82"/>
  <c r="J272" i="82"/>
  <c r="E272" i="82"/>
  <c r="F272" i="82"/>
  <c r="C272" i="82"/>
  <c r="I273" i="82"/>
  <c r="D273" i="82"/>
  <c r="J273" i="82"/>
  <c r="E273" i="82"/>
  <c r="F273" i="82"/>
  <c r="C273" i="82"/>
  <c r="I274" i="82"/>
  <c r="D274" i="82"/>
  <c r="J274" i="82"/>
  <c r="E274" i="82"/>
  <c r="F274" i="82"/>
  <c r="C274" i="82"/>
  <c r="I275" i="82"/>
  <c r="D275" i="82"/>
  <c r="J275" i="82"/>
  <c r="E275" i="82"/>
  <c r="F275" i="82"/>
  <c r="C275" i="82"/>
  <c r="I276" i="82"/>
  <c r="D276" i="82"/>
  <c r="J276" i="82"/>
  <c r="E276" i="82"/>
  <c r="F276" i="82"/>
  <c r="C276" i="82"/>
  <c r="I277" i="82"/>
  <c r="D277" i="82"/>
  <c r="J277" i="82"/>
  <c r="E277" i="82"/>
  <c r="F277" i="82"/>
  <c r="C277" i="82"/>
  <c r="I278" i="82"/>
  <c r="D278" i="82"/>
  <c r="J278" i="82"/>
  <c r="E278" i="82"/>
  <c r="F278" i="82"/>
  <c r="C278" i="82"/>
  <c r="I279" i="82"/>
  <c r="D279" i="82"/>
  <c r="J279" i="82"/>
  <c r="E279" i="82"/>
  <c r="F279" i="82"/>
  <c r="C279" i="82"/>
  <c r="I280" i="82"/>
  <c r="D280" i="82"/>
  <c r="J280" i="82"/>
  <c r="E280" i="82"/>
  <c r="F280" i="82"/>
  <c r="C280" i="82"/>
  <c r="I281" i="82"/>
  <c r="D281" i="82"/>
  <c r="J281" i="82"/>
  <c r="E281" i="82"/>
  <c r="F281" i="82"/>
  <c r="C281" i="82"/>
  <c r="I282" i="82"/>
  <c r="D282" i="82"/>
  <c r="J282" i="82"/>
  <c r="E282" i="82"/>
  <c r="F282" i="82"/>
  <c r="C282" i="82"/>
  <c r="I283" i="82"/>
  <c r="D283" i="82"/>
  <c r="J283" i="82"/>
  <c r="E283" i="82"/>
  <c r="F283" i="82"/>
  <c r="C283" i="82"/>
  <c r="I284" i="82"/>
  <c r="D284" i="82"/>
  <c r="J284" i="82"/>
  <c r="E284" i="82"/>
  <c r="F284" i="82"/>
  <c r="C284" i="82"/>
  <c r="I285" i="82"/>
  <c r="D285" i="82"/>
  <c r="J285" i="82"/>
  <c r="E285" i="82"/>
  <c r="F285" i="82"/>
  <c r="C285" i="82"/>
  <c r="Q5" i="106"/>
  <c r="Q6" i="106"/>
  <c r="E41" i="106"/>
  <c r="E6" i="106"/>
  <c r="B41" i="106"/>
  <c r="E43" i="106"/>
  <c r="B43" i="106"/>
  <c r="E36" i="106"/>
  <c r="F8" i="106"/>
  <c r="E8" i="106"/>
  <c r="B36" i="106"/>
  <c r="B44" i="106"/>
  <c r="B38" i="106"/>
  <c r="B37" i="106"/>
  <c r="E19" i="106"/>
  <c r="F7" i="106"/>
  <c r="E7" i="106"/>
  <c r="B19" i="106"/>
  <c r="E24" i="106"/>
  <c r="E5" i="106"/>
  <c r="B24" i="106"/>
  <c r="B17" i="106"/>
  <c r="E18" i="106"/>
  <c r="B18" i="106"/>
  <c r="E20" i="106"/>
  <c r="B20" i="106"/>
  <c r="E21" i="106"/>
  <c r="B21" i="106"/>
  <c r="E26" i="106"/>
  <c r="B26" i="106"/>
  <c r="E28" i="106"/>
  <c r="B28" i="106"/>
  <c r="V6" i="106"/>
  <c r="B29" i="106"/>
  <c r="B23" i="106"/>
  <c r="B22" i="106"/>
  <c r="E25" i="106"/>
  <c r="B25" i="106"/>
  <c r="E27" i="106"/>
  <c r="B27" i="106"/>
  <c r="E30" i="106"/>
  <c r="B30" i="106"/>
  <c r="E34" i="106"/>
  <c r="B34" i="106"/>
  <c r="E39" i="106"/>
  <c r="B39" i="106"/>
  <c r="B32" i="106"/>
  <c r="E33" i="106"/>
  <c r="B33" i="106"/>
  <c r="E35" i="106"/>
  <c r="B35" i="106"/>
  <c r="E40" i="106"/>
  <c r="B40" i="106"/>
  <c r="E42" i="106"/>
  <c r="B42" i="106"/>
  <c r="E45" i="106"/>
  <c r="B45" i="106"/>
  <c r="B47" i="106"/>
  <c r="A51" i="106"/>
  <c r="G46" i="106"/>
  <c r="E46" i="106"/>
  <c r="H46" i="106"/>
  <c r="I46" i="106"/>
  <c r="J46" i="106"/>
  <c r="F46" i="106"/>
  <c r="C46" i="106"/>
  <c r="D46" i="106"/>
  <c r="G45" i="106"/>
  <c r="H45" i="106"/>
  <c r="I45" i="106"/>
  <c r="J45" i="106"/>
  <c r="F45" i="106"/>
  <c r="C45" i="106"/>
  <c r="D45" i="106"/>
  <c r="G44" i="106"/>
  <c r="E44" i="106"/>
  <c r="H44" i="106"/>
  <c r="I44" i="106"/>
  <c r="J44" i="106"/>
  <c r="F44" i="106"/>
  <c r="C44" i="106"/>
  <c r="D44" i="106"/>
  <c r="G43" i="106"/>
  <c r="H43" i="106"/>
  <c r="I43" i="106"/>
  <c r="J43" i="106"/>
  <c r="F43" i="106"/>
  <c r="C43" i="106"/>
  <c r="D43" i="106"/>
  <c r="G42" i="106"/>
  <c r="H42" i="106"/>
  <c r="I42" i="106"/>
  <c r="J42" i="106"/>
  <c r="F42" i="106"/>
  <c r="C42" i="106"/>
  <c r="D42" i="106"/>
  <c r="G41" i="106"/>
  <c r="H41" i="106"/>
  <c r="I41" i="106"/>
  <c r="J41" i="106"/>
  <c r="F41" i="106"/>
  <c r="C41" i="106"/>
  <c r="D41" i="106"/>
  <c r="G40" i="106"/>
  <c r="H40" i="106"/>
  <c r="I40" i="106"/>
  <c r="J40" i="106"/>
  <c r="F40" i="106"/>
  <c r="C40" i="106"/>
  <c r="D40" i="106"/>
  <c r="G39" i="106"/>
  <c r="H39" i="106"/>
  <c r="I39" i="106"/>
  <c r="J39" i="106"/>
  <c r="F39" i="106"/>
  <c r="C39" i="106"/>
  <c r="D39" i="106"/>
  <c r="G38" i="106"/>
  <c r="E38" i="106"/>
  <c r="H38" i="106"/>
  <c r="I38" i="106"/>
  <c r="J38" i="106"/>
  <c r="F38" i="106"/>
  <c r="C38" i="106"/>
  <c r="D38" i="106"/>
  <c r="G37" i="106"/>
  <c r="E37" i="106"/>
  <c r="H37" i="106"/>
  <c r="I37" i="106"/>
  <c r="J37" i="106"/>
  <c r="F37" i="106"/>
  <c r="C37" i="106"/>
  <c r="D37" i="106"/>
  <c r="G36" i="106"/>
  <c r="H36" i="106"/>
  <c r="I36" i="106"/>
  <c r="J36" i="106"/>
  <c r="F36" i="106"/>
  <c r="C36" i="106"/>
  <c r="D36" i="106"/>
  <c r="G35" i="106"/>
  <c r="H35" i="106"/>
  <c r="I35" i="106"/>
  <c r="J35" i="106"/>
  <c r="F35" i="106"/>
  <c r="C35" i="106"/>
  <c r="D35" i="106"/>
  <c r="G34" i="106"/>
  <c r="H34" i="106"/>
  <c r="I34" i="106"/>
  <c r="J34" i="106"/>
  <c r="F34" i="106"/>
  <c r="C34" i="106"/>
  <c r="D34" i="106"/>
  <c r="G33" i="106"/>
  <c r="H33" i="106"/>
  <c r="I33" i="106"/>
  <c r="J33" i="106"/>
  <c r="F33" i="106"/>
  <c r="C33" i="106"/>
  <c r="D33" i="106"/>
  <c r="G32" i="106"/>
  <c r="E32" i="106"/>
  <c r="H32" i="106"/>
  <c r="I32" i="106"/>
  <c r="J32" i="106"/>
  <c r="F32" i="106"/>
  <c r="C32" i="106"/>
  <c r="D32" i="106"/>
  <c r="C3" i="103"/>
  <c r="E3" i="103"/>
  <c r="I2" i="118"/>
  <c r="D2" i="118"/>
  <c r="I3" i="118"/>
  <c r="D3" i="118"/>
  <c r="I4" i="118"/>
  <c r="D4" i="118"/>
  <c r="I5" i="118"/>
  <c r="D5" i="118"/>
  <c r="I6" i="118"/>
  <c r="D6" i="118"/>
  <c r="I7" i="118"/>
  <c r="D7" i="118"/>
  <c r="I8" i="118"/>
  <c r="D8" i="118"/>
  <c r="I9" i="118"/>
  <c r="D9" i="118"/>
  <c r="I10" i="118"/>
  <c r="D10" i="118"/>
  <c r="I11" i="118"/>
  <c r="D11" i="118"/>
  <c r="I12" i="118"/>
  <c r="D12" i="118"/>
  <c r="I13" i="118"/>
  <c r="D13" i="118"/>
  <c r="I14" i="118"/>
  <c r="D14" i="118"/>
  <c r="I15" i="118"/>
  <c r="D15" i="118"/>
  <c r="I16" i="118"/>
  <c r="D16" i="118"/>
  <c r="I17" i="118"/>
  <c r="D17" i="118"/>
  <c r="I18" i="118"/>
  <c r="D18" i="118"/>
  <c r="I19" i="118"/>
  <c r="D19" i="118"/>
  <c r="I20" i="118"/>
  <c r="D20" i="118"/>
  <c r="I21" i="118"/>
  <c r="D21" i="118"/>
  <c r="I22" i="118"/>
  <c r="D22" i="118"/>
  <c r="I23" i="118"/>
  <c r="D23" i="118"/>
  <c r="I24" i="118"/>
  <c r="D24" i="118"/>
  <c r="I25" i="118"/>
  <c r="D25" i="118"/>
  <c r="I26" i="118"/>
  <c r="D26" i="118"/>
  <c r="I27" i="118"/>
  <c r="D27" i="118"/>
  <c r="I28" i="118"/>
  <c r="D28" i="118"/>
  <c r="I29" i="118"/>
  <c r="D29" i="118"/>
  <c r="I30" i="118"/>
  <c r="D30" i="118"/>
  <c r="I31" i="118"/>
  <c r="D31" i="118"/>
  <c r="I32" i="118"/>
  <c r="D32" i="118"/>
  <c r="I33" i="118"/>
  <c r="D33" i="118"/>
  <c r="I34" i="118"/>
  <c r="D34" i="118"/>
  <c r="I35" i="118"/>
  <c r="D35" i="118"/>
  <c r="I36" i="118"/>
  <c r="D36" i="118"/>
  <c r="I37" i="118"/>
  <c r="D37" i="118"/>
  <c r="I38" i="118"/>
  <c r="D38" i="118"/>
  <c r="I39" i="118"/>
  <c r="D39" i="118"/>
  <c r="I40" i="118"/>
  <c r="D40" i="118"/>
  <c r="I41" i="118"/>
  <c r="D41" i="118"/>
  <c r="I42" i="118"/>
  <c r="D42" i="118"/>
  <c r="I43" i="118"/>
  <c r="D43" i="118"/>
  <c r="I44" i="118"/>
  <c r="D44" i="118"/>
  <c r="I45" i="118"/>
  <c r="D45" i="118"/>
  <c r="I46" i="118"/>
  <c r="D46" i="118"/>
  <c r="I47" i="118"/>
  <c r="D47" i="118"/>
  <c r="I48" i="118"/>
  <c r="D48" i="118"/>
  <c r="I49" i="118"/>
  <c r="D49" i="118"/>
  <c r="I50" i="118"/>
  <c r="D50" i="118"/>
  <c r="I51" i="118"/>
  <c r="D51" i="118"/>
  <c r="O49" i="118"/>
  <c r="O48" i="118"/>
  <c r="O45" i="118"/>
  <c r="O44" i="118"/>
  <c r="O41" i="118"/>
  <c r="O40" i="118"/>
  <c r="O37" i="118"/>
  <c r="O36" i="118"/>
  <c r="O35" i="118"/>
  <c r="O31" i="118"/>
  <c r="O28" i="118"/>
  <c r="O27" i="118"/>
  <c r="O24" i="118"/>
  <c r="O23" i="118"/>
  <c r="O20" i="118"/>
  <c r="O5" i="118"/>
  <c r="O6" i="118"/>
  <c r="O7" i="118"/>
  <c r="O8" i="118"/>
  <c r="O9" i="118"/>
  <c r="O10" i="118"/>
  <c r="O11" i="118"/>
  <c r="O12" i="118"/>
  <c r="O13" i="118"/>
  <c r="O14" i="118"/>
  <c r="O15" i="118"/>
  <c r="O16" i="118"/>
  <c r="O17" i="118"/>
  <c r="O4" i="118"/>
  <c r="O51" i="118"/>
  <c r="O50" i="118"/>
  <c r="F2" i="118"/>
  <c r="F3" i="118"/>
  <c r="F4" i="118"/>
  <c r="F5" i="118"/>
  <c r="F6" i="118"/>
  <c r="F7" i="118"/>
  <c r="F8" i="118"/>
  <c r="F9" i="118"/>
  <c r="F10" i="118"/>
  <c r="F11" i="118"/>
  <c r="F12" i="118"/>
  <c r="F13" i="118"/>
  <c r="F14" i="118"/>
  <c r="F15" i="118"/>
  <c r="F16" i="118"/>
  <c r="F17" i="118"/>
  <c r="F18" i="118"/>
  <c r="F19" i="118"/>
  <c r="F20" i="118"/>
  <c r="F21" i="118"/>
  <c r="F22" i="118"/>
  <c r="F23" i="118"/>
  <c r="F24" i="118"/>
  <c r="F25" i="118"/>
  <c r="F26" i="118"/>
  <c r="F27" i="118"/>
  <c r="F28" i="118"/>
  <c r="F29" i="118"/>
  <c r="F30" i="118"/>
  <c r="F31" i="118"/>
  <c r="F32" i="118"/>
  <c r="F33" i="118"/>
  <c r="F34" i="118"/>
  <c r="F35" i="118"/>
  <c r="F36" i="118"/>
  <c r="F37" i="118"/>
  <c r="F38" i="118"/>
  <c r="F39" i="118"/>
  <c r="F40" i="118"/>
  <c r="F41" i="118"/>
  <c r="F42" i="118"/>
  <c r="F43" i="118"/>
  <c r="F44" i="118"/>
  <c r="F45" i="118"/>
  <c r="F46" i="118"/>
  <c r="F47" i="118"/>
  <c r="F48" i="118"/>
  <c r="F49" i="118"/>
  <c r="F50" i="118"/>
  <c r="F51" i="118"/>
  <c r="O47" i="118"/>
  <c r="O46" i="118"/>
  <c r="O43" i="118"/>
  <c r="O42" i="118"/>
  <c r="O39" i="118"/>
  <c r="O38" i="118"/>
  <c r="O34" i="118"/>
  <c r="O33" i="118"/>
  <c r="O32" i="118"/>
  <c r="O30" i="118"/>
  <c r="O29" i="118"/>
  <c r="O26" i="118"/>
  <c r="O25" i="118"/>
  <c r="O22" i="118"/>
  <c r="O21" i="118"/>
  <c r="O19" i="118"/>
  <c r="O18" i="118"/>
  <c r="O3" i="118"/>
  <c r="O2" i="118"/>
  <c r="J2" i="118"/>
  <c r="E2" i="118"/>
  <c r="C2" i="118"/>
  <c r="J3" i="118"/>
  <c r="E3" i="118"/>
  <c r="C3" i="118"/>
  <c r="J4" i="118"/>
  <c r="E4" i="118"/>
  <c r="C4" i="118"/>
  <c r="J5" i="118"/>
  <c r="E5" i="118"/>
  <c r="C5" i="118"/>
  <c r="J6" i="118"/>
  <c r="E6" i="118"/>
  <c r="C6" i="118"/>
  <c r="J7" i="118"/>
  <c r="E7" i="118"/>
  <c r="C7" i="118"/>
  <c r="J8" i="118"/>
  <c r="E8" i="118"/>
  <c r="C8" i="118"/>
  <c r="J9" i="118"/>
  <c r="E9" i="118"/>
  <c r="C9" i="118"/>
  <c r="J10" i="118"/>
  <c r="E10" i="118"/>
  <c r="C10" i="118"/>
  <c r="J11" i="118"/>
  <c r="E11" i="118"/>
  <c r="C11" i="118"/>
  <c r="J12" i="118"/>
  <c r="E12" i="118"/>
  <c r="C12" i="118"/>
  <c r="J13" i="118"/>
  <c r="E13" i="118"/>
  <c r="C13" i="118"/>
  <c r="J14" i="118"/>
  <c r="E14" i="118"/>
  <c r="C14" i="118"/>
  <c r="J15" i="118"/>
  <c r="E15" i="118"/>
  <c r="C15" i="118"/>
  <c r="J16" i="118"/>
  <c r="E16" i="118"/>
  <c r="C16" i="118"/>
  <c r="J17" i="118"/>
  <c r="E17" i="118"/>
  <c r="C17" i="118"/>
  <c r="J18" i="118"/>
  <c r="E18" i="118"/>
  <c r="C18" i="118"/>
  <c r="J19" i="118"/>
  <c r="E19" i="118"/>
  <c r="C19" i="118"/>
  <c r="J20" i="118"/>
  <c r="E20" i="118"/>
  <c r="C20" i="118"/>
  <c r="J21" i="118"/>
  <c r="E21" i="118"/>
  <c r="C21" i="118"/>
  <c r="J22" i="118"/>
  <c r="E22" i="118"/>
  <c r="C22" i="118"/>
  <c r="J23" i="118"/>
  <c r="E23" i="118"/>
  <c r="C23" i="118"/>
  <c r="J24" i="118"/>
  <c r="E24" i="118"/>
  <c r="C24" i="118"/>
  <c r="J25" i="118"/>
  <c r="E25" i="118"/>
  <c r="C25" i="118"/>
  <c r="J26" i="118"/>
  <c r="E26" i="118"/>
  <c r="C26" i="118"/>
  <c r="J27" i="118"/>
  <c r="E27" i="118"/>
  <c r="C27" i="118"/>
  <c r="J28" i="118"/>
  <c r="E28" i="118"/>
  <c r="C28" i="118"/>
  <c r="J29" i="118"/>
  <c r="E29" i="118"/>
  <c r="C29" i="118"/>
  <c r="J30" i="118"/>
  <c r="E30" i="118"/>
  <c r="C30" i="118"/>
  <c r="J31" i="118"/>
  <c r="E31" i="118"/>
  <c r="C31" i="118"/>
  <c r="J32" i="118"/>
  <c r="E32" i="118"/>
  <c r="C32" i="118"/>
  <c r="J33" i="118"/>
  <c r="E33" i="118"/>
  <c r="C33" i="118"/>
  <c r="J34" i="118"/>
  <c r="E34" i="118"/>
  <c r="C34" i="118"/>
  <c r="J35" i="118"/>
  <c r="E35" i="118"/>
  <c r="C35" i="118"/>
  <c r="J36" i="118"/>
  <c r="E36" i="118"/>
  <c r="C36" i="118"/>
  <c r="J37" i="118"/>
  <c r="E37" i="118"/>
  <c r="C37" i="118"/>
  <c r="J38" i="118"/>
  <c r="E38" i="118"/>
  <c r="C38" i="118"/>
  <c r="J39" i="118"/>
  <c r="E39" i="118"/>
  <c r="C39" i="118"/>
  <c r="J40" i="118"/>
  <c r="E40" i="118"/>
  <c r="C40" i="118"/>
  <c r="J41" i="118"/>
  <c r="E41" i="118"/>
  <c r="C41" i="118"/>
  <c r="J42" i="118"/>
  <c r="E42" i="118"/>
  <c r="C42" i="118"/>
  <c r="J43" i="118"/>
  <c r="E43" i="118"/>
  <c r="C43" i="118"/>
  <c r="J44" i="118"/>
  <c r="E44" i="118"/>
  <c r="C44" i="118"/>
  <c r="J45" i="118"/>
  <c r="E45" i="118"/>
  <c r="C45" i="118"/>
  <c r="J46" i="118"/>
  <c r="E46" i="118"/>
  <c r="C46" i="118"/>
  <c r="J47" i="118"/>
  <c r="E47" i="118"/>
  <c r="C47" i="118"/>
  <c r="J48" i="118"/>
  <c r="E48" i="118"/>
  <c r="C48" i="118"/>
  <c r="J49" i="118"/>
  <c r="E49" i="118"/>
  <c r="C49" i="118"/>
  <c r="P51" i="118"/>
  <c r="N51" i="118"/>
  <c r="M51" i="118"/>
  <c r="L51" i="118"/>
  <c r="K51" i="118"/>
  <c r="J51" i="118"/>
  <c r="H51" i="118"/>
  <c r="E51" i="118"/>
  <c r="C51" i="118"/>
  <c r="P50" i="118"/>
  <c r="N50" i="118"/>
  <c r="M50" i="118"/>
  <c r="L50" i="118"/>
  <c r="K50" i="118"/>
  <c r="J50" i="118"/>
  <c r="H50" i="118"/>
  <c r="E50" i="118"/>
  <c r="C50" i="118"/>
  <c r="P49" i="118"/>
  <c r="N49" i="118"/>
  <c r="M49" i="118"/>
  <c r="L49" i="118"/>
  <c r="K49" i="118"/>
  <c r="H49" i="118"/>
  <c r="P48" i="118"/>
  <c r="N48" i="118"/>
  <c r="M48" i="118"/>
  <c r="L48" i="118"/>
  <c r="K48" i="118"/>
  <c r="H48" i="118"/>
  <c r="P47" i="118"/>
  <c r="N47" i="118"/>
  <c r="M47" i="118"/>
  <c r="L47" i="118"/>
  <c r="K47" i="118"/>
  <c r="H47" i="118"/>
  <c r="P46" i="118"/>
  <c r="N46" i="118"/>
  <c r="M46" i="118"/>
  <c r="L46" i="118"/>
  <c r="K46" i="118"/>
  <c r="H46" i="118"/>
  <c r="P45" i="118"/>
  <c r="N45" i="118"/>
  <c r="M45" i="118"/>
  <c r="L45" i="118"/>
  <c r="K45" i="118"/>
  <c r="H45" i="118"/>
  <c r="P44" i="118"/>
  <c r="N44" i="118"/>
  <c r="M44" i="118"/>
  <c r="L44" i="118"/>
  <c r="K44" i="118"/>
  <c r="H44" i="118"/>
  <c r="P43" i="118"/>
  <c r="N43" i="118"/>
  <c r="M43" i="118"/>
  <c r="L43" i="118"/>
  <c r="K43" i="118"/>
  <c r="H43" i="118"/>
  <c r="P42" i="118"/>
  <c r="N42" i="118"/>
  <c r="M42" i="118"/>
  <c r="L42" i="118"/>
  <c r="K42" i="118"/>
  <c r="H42" i="118"/>
  <c r="P41" i="118"/>
  <c r="N41" i="118"/>
  <c r="M41" i="118"/>
  <c r="L41" i="118"/>
  <c r="K41" i="118"/>
  <c r="H41" i="118"/>
  <c r="P40" i="118"/>
  <c r="N40" i="118"/>
  <c r="M40" i="118"/>
  <c r="L40" i="118"/>
  <c r="K40" i="118"/>
  <c r="H40" i="118"/>
  <c r="P39" i="118"/>
  <c r="N39" i="118"/>
  <c r="M39" i="118"/>
  <c r="L39" i="118"/>
  <c r="K39" i="118"/>
  <c r="H39" i="118"/>
  <c r="P38" i="118"/>
  <c r="N38" i="118"/>
  <c r="M38" i="118"/>
  <c r="L38" i="118"/>
  <c r="K38" i="118"/>
  <c r="H38" i="118"/>
  <c r="P37" i="118"/>
  <c r="N37" i="118"/>
  <c r="M37" i="118"/>
  <c r="L37" i="118"/>
  <c r="K37" i="118"/>
  <c r="H37" i="118"/>
  <c r="P36" i="118"/>
  <c r="N36" i="118"/>
  <c r="M36" i="118"/>
  <c r="L36" i="118"/>
  <c r="K36" i="118"/>
  <c r="H36" i="118"/>
  <c r="P35" i="118"/>
  <c r="N35" i="118"/>
  <c r="M35" i="118"/>
  <c r="L35" i="118"/>
  <c r="K35" i="118"/>
  <c r="H35" i="118"/>
  <c r="P34" i="118"/>
  <c r="N34" i="118"/>
  <c r="M34" i="118"/>
  <c r="L34" i="118"/>
  <c r="K34" i="118"/>
  <c r="H34" i="118"/>
  <c r="P33" i="118"/>
  <c r="N33" i="118"/>
  <c r="M33" i="118"/>
  <c r="L33" i="118"/>
  <c r="K33" i="118"/>
  <c r="H33" i="118"/>
  <c r="P32" i="118"/>
  <c r="N32" i="118"/>
  <c r="M32" i="118"/>
  <c r="L32" i="118"/>
  <c r="K32" i="118"/>
  <c r="H32" i="118"/>
  <c r="P31" i="118"/>
  <c r="N31" i="118"/>
  <c r="M31" i="118"/>
  <c r="L31" i="118"/>
  <c r="K31" i="118"/>
  <c r="H31" i="118"/>
  <c r="P30" i="118"/>
  <c r="N30" i="118"/>
  <c r="M30" i="118"/>
  <c r="L30" i="118"/>
  <c r="K30" i="118"/>
  <c r="H30" i="118"/>
  <c r="P29" i="118"/>
  <c r="N29" i="118"/>
  <c r="M29" i="118"/>
  <c r="L29" i="118"/>
  <c r="K29" i="118"/>
  <c r="H29" i="118"/>
  <c r="P28" i="118"/>
  <c r="N28" i="118"/>
  <c r="M28" i="118"/>
  <c r="L28" i="118"/>
  <c r="K28" i="118"/>
  <c r="H28" i="118"/>
  <c r="P27" i="118"/>
  <c r="N27" i="118"/>
  <c r="M27" i="118"/>
  <c r="L27" i="118"/>
  <c r="K27" i="118"/>
  <c r="H27" i="118"/>
  <c r="P26" i="118"/>
  <c r="N26" i="118"/>
  <c r="M26" i="118"/>
  <c r="L26" i="118"/>
  <c r="K26" i="118"/>
  <c r="H26" i="118"/>
  <c r="P25" i="118"/>
  <c r="N25" i="118"/>
  <c r="M25" i="118"/>
  <c r="L25" i="118"/>
  <c r="K25" i="118"/>
  <c r="H25" i="118"/>
  <c r="P24" i="118"/>
  <c r="N24" i="118"/>
  <c r="M24" i="118"/>
  <c r="L24" i="118"/>
  <c r="K24" i="118"/>
  <c r="H24" i="118"/>
  <c r="P23" i="118"/>
  <c r="N23" i="118"/>
  <c r="M23" i="118"/>
  <c r="L23" i="118"/>
  <c r="K23" i="118"/>
  <c r="H23" i="118"/>
  <c r="P22" i="118"/>
  <c r="N22" i="118"/>
  <c r="M22" i="118"/>
  <c r="L22" i="118"/>
  <c r="K22" i="118"/>
  <c r="H22" i="118"/>
  <c r="P21" i="118"/>
  <c r="N21" i="118"/>
  <c r="M21" i="118"/>
  <c r="L21" i="118"/>
  <c r="K21" i="118"/>
  <c r="H21" i="118"/>
  <c r="P20" i="118"/>
  <c r="N20" i="118"/>
  <c r="M20" i="118"/>
  <c r="L20" i="118"/>
  <c r="K20" i="118"/>
  <c r="H20" i="118"/>
  <c r="P19" i="118"/>
  <c r="N19" i="118"/>
  <c r="M19" i="118"/>
  <c r="L19" i="118"/>
  <c r="K19" i="118"/>
  <c r="H19" i="118"/>
  <c r="P18" i="118"/>
  <c r="N18" i="118"/>
  <c r="M18" i="118"/>
  <c r="L18" i="118"/>
  <c r="K18" i="118"/>
  <c r="H18" i="118"/>
  <c r="P17" i="118"/>
  <c r="N17" i="118"/>
  <c r="M17" i="118"/>
  <c r="L17" i="118"/>
  <c r="K17" i="118"/>
  <c r="H17" i="118"/>
  <c r="P16" i="118"/>
  <c r="N16" i="118"/>
  <c r="M16" i="118"/>
  <c r="L16" i="118"/>
  <c r="K16" i="118"/>
  <c r="H16" i="118"/>
  <c r="P15" i="118"/>
  <c r="N15" i="118"/>
  <c r="M15" i="118"/>
  <c r="L15" i="118"/>
  <c r="K15" i="118"/>
  <c r="H15" i="118"/>
  <c r="P14" i="118"/>
  <c r="N14" i="118"/>
  <c r="M14" i="118"/>
  <c r="L14" i="118"/>
  <c r="K14" i="118"/>
  <c r="H14" i="118"/>
  <c r="P13" i="118"/>
  <c r="N13" i="118"/>
  <c r="M13" i="118"/>
  <c r="L13" i="118"/>
  <c r="K13" i="118"/>
  <c r="H13" i="118"/>
  <c r="P12" i="118"/>
  <c r="N12" i="118"/>
  <c r="M12" i="118"/>
  <c r="L12" i="118"/>
  <c r="K12" i="118"/>
  <c r="H12" i="118"/>
  <c r="P11" i="118"/>
  <c r="N11" i="118"/>
  <c r="M11" i="118"/>
  <c r="L11" i="118"/>
  <c r="K11" i="118"/>
  <c r="H11" i="118"/>
  <c r="P10" i="118"/>
  <c r="N10" i="118"/>
  <c r="M10" i="118"/>
  <c r="L10" i="118"/>
  <c r="K10" i="118"/>
  <c r="H10" i="118"/>
  <c r="P9" i="118"/>
  <c r="N9" i="118"/>
  <c r="M9" i="118"/>
  <c r="L9" i="118"/>
  <c r="K9" i="118"/>
  <c r="H9" i="118"/>
  <c r="P8" i="118"/>
  <c r="N8" i="118"/>
  <c r="M8" i="118"/>
  <c r="L8" i="118"/>
  <c r="K8" i="118"/>
  <c r="H8" i="118"/>
  <c r="P7" i="118"/>
  <c r="N7" i="118"/>
  <c r="M7" i="118"/>
  <c r="L7" i="118"/>
  <c r="K7" i="118"/>
  <c r="H7" i="118"/>
  <c r="P6" i="118"/>
  <c r="N6" i="118"/>
  <c r="M6" i="118"/>
  <c r="L6" i="118"/>
  <c r="K6" i="118"/>
  <c r="H6" i="118"/>
  <c r="P5" i="118"/>
  <c r="N5" i="118"/>
  <c r="M5" i="118"/>
  <c r="L5" i="118"/>
  <c r="K5" i="118"/>
  <c r="H5" i="118"/>
  <c r="P4" i="118"/>
  <c r="N4" i="118"/>
  <c r="M4" i="118"/>
  <c r="L4" i="118"/>
  <c r="K4" i="118"/>
  <c r="H4" i="118"/>
  <c r="P3" i="118"/>
  <c r="N3" i="118"/>
  <c r="M3" i="118"/>
  <c r="L3" i="118"/>
  <c r="K3" i="118"/>
  <c r="H3" i="118"/>
  <c r="P2" i="118"/>
  <c r="N2" i="118"/>
  <c r="M2" i="118"/>
  <c r="L2" i="118"/>
  <c r="K2" i="118"/>
  <c r="H2" i="118"/>
  <c r="A2" i="106"/>
  <c r="G18" i="106"/>
  <c r="H18" i="106"/>
  <c r="O3" i="82"/>
  <c r="G17" i="106"/>
  <c r="E17" i="106"/>
  <c r="H17" i="106"/>
  <c r="O4" i="82"/>
  <c r="O5" i="82"/>
  <c r="O6" i="82"/>
  <c r="O7" i="82"/>
  <c r="O8" i="82"/>
  <c r="O9" i="82"/>
  <c r="O10" i="82"/>
  <c r="O11" i="82"/>
  <c r="O12" i="82"/>
  <c r="O13" i="82"/>
  <c r="O14" i="82"/>
  <c r="O15" i="82"/>
  <c r="O16" i="82"/>
  <c r="O17" i="82"/>
  <c r="O18" i="82"/>
  <c r="O19" i="82"/>
  <c r="O20" i="82"/>
  <c r="O21" i="82"/>
  <c r="O22" i="82"/>
  <c r="O23" i="82"/>
  <c r="O24" i="82"/>
  <c r="O25" i="82"/>
  <c r="O26" i="82"/>
  <c r="O27" i="82"/>
  <c r="O28" i="82"/>
  <c r="O29" i="82"/>
  <c r="O30" i="82"/>
  <c r="O31" i="82"/>
  <c r="O32" i="82"/>
  <c r="O33" i="82"/>
  <c r="O34" i="82"/>
  <c r="O35" i="82"/>
  <c r="O36" i="82"/>
  <c r="O37" i="82"/>
  <c r="O38" i="82"/>
  <c r="O39" i="82"/>
  <c r="O40" i="82"/>
  <c r="O41" i="82"/>
  <c r="G24" i="106"/>
  <c r="H24" i="106"/>
  <c r="O42" i="82"/>
  <c r="G25" i="106"/>
  <c r="H25" i="106"/>
  <c r="O43" i="82"/>
  <c r="G26" i="106"/>
  <c r="H26" i="106"/>
  <c r="O44" i="82"/>
  <c r="O45" i="82"/>
  <c r="O46" i="82"/>
  <c r="O47" i="82"/>
  <c r="O48" i="82"/>
  <c r="O49" i="82"/>
  <c r="O50" i="82"/>
  <c r="G19" i="106"/>
  <c r="H19" i="106"/>
  <c r="O51" i="82"/>
  <c r="G20" i="106"/>
  <c r="H20" i="106"/>
  <c r="O52" i="82"/>
  <c r="G21" i="106"/>
  <c r="H21" i="106"/>
  <c r="O53" i="82"/>
  <c r="O54" i="82"/>
  <c r="O55" i="82"/>
  <c r="O56" i="82"/>
  <c r="O57" i="82"/>
  <c r="O58" i="82"/>
  <c r="O59" i="82"/>
  <c r="O60" i="82"/>
  <c r="O61" i="82"/>
  <c r="O62" i="82"/>
  <c r="O63" i="82"/>
  <c r="O64" i="82"/>
  <c r="O65" i="82"/>
  <c r="O66" i="82"/>
  <c r="O67" i="82"/>
  <c r="O68" i="82"/>
  <c r="O69" i="82"/>
  <c r="O70" i="82"/>
  <c r="O71" i="82"/>
  <c r="O72" i="82"/>
  <c r="O73" i="82"/>
  <c r="O74" i="82"/>
  <c r="O75" i="82"/>
  <c r="O76" i="82"/>
  <c r="O77" i="82"/>
  <c r="O78" i="82"/>
  <c r="O79" i="82"/>
  <c r="O80" i="82"/>
  <c r="O81" i="82"/>
  <c r="O82" i="82"/>
  <c r="O83" i="82"/>
  <c r="O84" i="82"/>
  <c r="O85" i="82"/>
  <c r="O86" i="82"/>
  <c r="O87" i="82"/>
  <c r="O88" i="82"/>
  <c r="O89" i="82"/>
  <c r="O90" i="82"/>
  <c r="O91" i="82"/>
  <c r="O92" i="82"/>
  <c r="O93" i="82"/>
  <c r="O94" i="82"/>
  <c r="O95" i="82"/>
  <c r="O96" i="82"/>
  <c r="O97" i="82"/>
  <c r="O98" i="82"/>
  <c r="O99" i="82"/>
  <c r="O100" i="82"/>
  <c r="O101" i="82"/>
  <c r="O102" i="82"/>
  <c r="O103" i="82"/>
  <c r="O104" i="82"/>
  <c r="O105" i="82"/>
  <c r="O106" i="82"/>
  <c r="O107" i="82"/>
  <c r="O108" i="82"/>
  <c r="O109" i="82"/>
  <c r="O110" i="82"/>
  <c r="O111" i="82"/>
  <c r="O112" i="82"/>
  <c r="O113" i="82"/>
  <c r="O114" i="82"/>
  <c r="O115" i="82"/>
  <c r="O116" i="82"/>
  <c r="O117" i="82"/>
  <c r="O118" i="82"/>
  <c r="O119" i="82"/>
  <c r="O120" i="82"/>
  <c r="O121" i="82"/>
  <c r="O122" i="82"/>
  <c r="O123" i="82"/>
  <c r="O124" i="82"/>
  <c r="O125" i="82"/>
  <c r="O126" i="82"/>
  <c r="O127" i="82"/>
  <c r="O128" i="82"/>
  <c r="O129" i="82"/>
  <c r="O130" i="82"/>
  <c r="O131" i="82"/>
  <c r="O132" i="82"/>
  <c r="O133" i="82"/>
  <c r="O134" i="82"/>
  <c r="O135" i="82"/>
  <c r="O136" i="82"/>
  <c r="O137" i="82"/>
  <c r="G27" i="106"/>
  <c r="H27" i="106"/>
  <c r="O138" i="82"/>
  <c r="G28" i="106"/>
  <c r="H28" i="106"/>
  <c r="O139" i="82"/>
  <c r="O140" i="82"/>
  <c r="O141" i="82"/>
  <c r="O142" i="82"/>
  <c r="O143" i="82"/>
  <c r="O144" i="82"/>
  <c r="O145" i="82"/>
  <c r="O146" i="82"/>
  <c r="O147" i="82"/>
  <c r="O148" i="82"/>
  <c r="O149" i="82"/>
  <c r="O150" i="82"/>
  <c r="O151" i="82"/>
  <c r="O152" i="82"/>
  <c r="O153" i="82"/>
  <c r="O154" i="82"/>
  <c r="O155" i="82"/>
  <c r="O156" i="82"/>
  <c r="O157" i="82"/>
  <c r="O158" i="82"/>
  <c r="O159" i="82"/>
  <c r="O160" i="82"/>
  <c r="O161" i="82"/>
  <c r="O162" i="82"/>
  <c r="O163" i="82"/>
  <c r="O164" i="82"/>
  <c r="O165" i="82"/>
  <c r="O166" i="82"/>
  <c r="O167" i="82"/>
  <c r="O168" i="82"/>
  <c r="O169" i="82"/>
  <c r="O170" i="82"/>
  <c r="O171" i="82"/>
  <c r="O172" i="82"/>
  <c r="O173" i="82"/>
  <c r="O174" i="82"/>
  <c r="O175" i="82"/>
  <c r="O176" i="82"/>
  <c r="O177" i="82"/>
  <c r="O178" i="82"/>
  <c r="O179" i="82"/>
  <c r="O180" i="82"/>
  <c r="O181" i="82"/>
  <c r="O182" i="82"/>
  <c r="O183" i="82"/>
  <c r="O184" i="82"/>
  <c r="O185" i="82"/>
  <c r="O186" i="82"/>
  <c r="O187" i="82"/>
  <c r="O188" i="82"/>
  <c r="O189" i="82"/>
  <c r="O190" i="82"/>
  <c r="O191" i="82"/>
  <c r="O192" i="82"/>
  <c r="O193" i="82"/>
  <c r="O194" i="82"/>
  <c r="O195" i="82"/>
  <c r="O196" i="82"/>
  <c r="O197" i="82"/>
  <c r="O198" i="82"/>
  <c r="O199" i="82"/>
  <c r="O200" i="82"/>
  <c r="O201" i="82"/>
  <c r="O202" i="82"/>
  <c r="O203" i="82"/>
  <c r="O204" i="82"/>
  <c r="O205" i="82"/>
  <c r="O206" i="82"/>
  <c r="O207" i="82"/>
  <c r="O208" i="82"/>
  <c r="O209" i="82"/>
  <c r="O210" i="82"/>
  <c r="O211" i="82"/>
  <c r="O212" i="82"/>
  <c r="O213" i="82"/>
  <c r="O214" i="82"/>
  <c r="O215" i="82"/>
  <c r="O216" i="82"/>
  <c r="O217" i="82"/>
  <c r="O218" i="82"/>
  <c r="O219" i="82"/>
  <c r="O220" i="82"/>
  <c r="O221" i="82"/>
  <c r="O222" i="82"/>
  <c r="O223" i="82"/>
  <c r="O224" i="82"/>
  <c r="O225" i="82"/>
  <c r="O226" i="82"/>
  <c r="O227" i="82"/>
  <c r="O228" i="82"/>
  <c r="O229" i="82"/>
  <c r="O230" i="82"/>
  <c r="O231" i="82"/>
  <c r="O232" i="82"/>
  <c r="O233" i="82"/>
  <c r="O234" i="82"/>
  <c r="O235" i="82"/>
  <c r="O236" i="82"/>
  <c r="O237" i="82"/>
  <c r="O238" i="82"/>
  <c r="O239" i="82"/>
  <c r="O240" i="82"/>
  <c r="O241" i="82"/>
  <c r="O242" i="82"/>
  <c r="O243" i="82"/>
  <c r="O244" i="82"/>
  <c r="O245" i="82"/>
  <c r="O246" i="82"/>
  <c r="O247" i="82"/>
  <c r="O248" i="82"/>
  <c r="O249" i="82"/>
  <c r="O250" i="82"/>
  <c r="O251" i="82"/>
  <c r="O252" i="82"/>
  <c r="O253" i="82"/>
  <c r="O254" i="82"/>
  <c r="O255" i="82"/>
  <c r="O256" i="82"/>
  <c r="O257" i="82"/>
  <c r="O258" i="82"/>
  <c r="O259" i="82"/>
  <c r="O260" i="82"/>
  <c r="O261" i="82"/>
  <c r="O262" i="82"/>
  <c r="O263" i="82"/>
  <c r="O264" i="82"/>
  <c r="O265" i="82"/>
  <c r="G22" i="106"/>
  <c r="E22" i="106"/>
  <c r="H22" i="106"/>
  <c r="O266" i="82"/>
  <c r="G23" i="106"/>
  <c r="E23" i="106"/>
  <c r="H23" i="106"/>
  <c r="O267" i="82"/>
  <c r="O268" i="82"/>
  <c r="O269" i="82"/>
  <c r="G29" i="106"/>
  <c r="E29" i="106"/>
  <c r="H29" i="106"/>
  <c r="O270" i="82"/>
  <c r="O271" i="82"/>
  <c r="O272" i="82"/>
  <c r="O273" i="82"/>
  <c r="O274" i="82"/>
  <c r="O275" i="82"/>
  <c r="O276" i="82"/>
  <c r="O277" i="82"/>
  <c r="O278" i="82"/>
  <c r="O279" i="82"/>
  <c r="O280" i="82"/>
  <c r="O281" i="82"/>
  <c r="O282" i="82"/>
  <c r="O283" i="82"/>
  <c r="R3" i="106"/>
  <c r="O284" i="82"/>
  <c r="R4" i="106"/>
  <c r="O285" i="82"/>
  <c r="B10" i="106"/>
  <c r="A284" i="82"/>
  <c r="H284" i="82"/>
  <c r="K284" i="82"/>
  <c r="L284" i="82"/>
  <c r="M284" i="82"/>
  <c r="N284" i="82"/>
  <c r="O2" i="82"/>
  <c r="P284" i="82"/>
  <c r="A285" i="82"/>
  <c r="H285" i="82"/>
  <c r="K285" i="82"/>
  <c r="L285" i="82"/>
  <c r="M285" i="82"/>
  <c r="N285" i="82"/>
  <c r="P285" i="82"/>
  <c r="A278" i="82"/>
  <c r="A279" i="82"/>
  <c r="A280" i="82"/>
  <c r="A281" i="82"/>
  <c r="A282" i="82"/>
  <c r="A283" i="82"/>
  <c r="B5" i="106"/>
  <c r="R5" i="106"/>
  <c r="R6" i="106"/>
  <c r="P283" i="82"/>
  <c r="N283" i="82"/>
  <c r="M283" i="82"/>
  <c r="L283" i="82"/>
  <c r="K283" i="82"/>
  <c r="H283" i="82"/>
  <c r="P282" i="82"/>
  <c r="N282" i="82"/>
  <c r="M282" i="82"/>
  <c r="L282" i="82"/>
  <c r="K282" i="82"/>
  <c r="H282" i="82"/>
  <c r="P281" i="82"/>
  <c r="N281" i="82"/>
  <c r="M281" i="82"/>
  <c r="L281" i="82"/>
  <c r="K281" i="82"/>
  <c r="H281" i="82"/>
  <c r="P280" i="82"/>
  <c r="N280" i="82"/>
  <c r="M280" i="82"/>
  <c r="L280" i="82"/>
  <c r="K280" i="82"/>
  <c r="H280" i="82"/>
  <c r="P279" i="82"/>
  <c r="N279" i="82"/>
  <c r="M279" i="82"/>
  <c r="L279" i="82"/>
  <c r="K279" i="82"/>
  <c r="H279" i="82"/>
  <c r="P278" i="82"/>
  <c r="N278" i="82"/>
  <c r="M278" i="82"/>
  <c r="L278" i="82"/>
  <c r="K278" i="82"/>
  <c r="H278" i="82"/>
  <c r="A272" i="82"/>
  <c r="H272" i="82"/>
  <c r="K272" i="82"/>
  <c r="L272" i="82"/>
  <c r="M272" i="82"/>
  <c r="N272" i="82"/>
  <c r="P272" i="82"/>
  <c r="A273" i="82"/>
  <c r="H273" i="82"/>
  <c r="K273" i="82"/>
  <c r="L273" i="82"/>
  <c r="M273" i="82"/>
  <c r="N273" i="82"/>
  <c r="P273" i="82"/>
  <c r="A274" i="82"/>
  <c r="H274" i="82"/>
  <c r="K274" i="82"/>
  <c r="L274" i="82"/>
  <c r="M274" i="82"/>
  <c r="N274" i="82"/>
  <c r="P274" i="82"/>
  <c r="A275" i="82"/>
  <c r="H275" i="82"/>
  <c r="K275" i="82"/>
  <c r="L275" i="82"/>
  <c r="M275" i="82"/>
  <c r="N275" i="82"/>
  <c r="P275" i="82"/>
  <c r="A276" i="82"/>
  <c r="H276" i="82"/>
  <c r="K276" i="82"/>
  <c r="L276" i="82"/>
  <c r="M276" i="82"/>
  <c r="N276" i="82"/>
  <c r="P276" i="82"/>
  <c r="A277" i="82"/>
  <c r="H277" i="82"/>
  <c r="K277" i="82"/>
  <c r="L277" i="82"/>
  <c r="M277" i="82"/>
  <c r="N277" i="82"/>
  <c r="P277" i="82"/>
  <c r="F27" i="106"/>
  <c r="G30" i="106"/>
  <c r="G31" i="106"/>
  <c r="V3" i="106"/>
  <c r="V4" i="106"/>
  <c r="V5" i="106"/>
  <c r="V2" i="106"/>
  <c r="C21" i="106"/>
  <c r="D21" i="106"/>
  <c r="C17" i="106"/>
  <c r="D17" i="106"/>
  <c r="C18" i="106"/>
  <c r="D18" i="106"/>
  <c r="C24" i="106"/>
  <c r="D24" i="106"/>
  <c r="C25" i="106"/>
  <c r="D25" i="106"/>
  <c r="C26" i="106"/>
  <c r="D26" i="106"/>
  <c r="C19" i="106"/>
  <c r="D19" i="106"/>
  <c r="C20" i="106"/>
  <c r="D20" i="106"/>
  <c r="C27" i="106"/>
  <c r="D27" i="106"/>
  <c r="C28" i="106"/>
  <c r="D28" i="106"/>
  <c r="C22" i="106"/>
  <c r="D22" i="106"/>
  <c r="C23" i="106"/>
  <c r="D23" i="106"/>
  <c r="C29" i="106"/>
  <c r="D29" i="106"/>
  <c r="F18" i="106"/>
  <c r="F19" i="106"/>
  <c r="F20" i="106"/>
  <c r="F21" i="106"/>
  <c r="F22" i="106"/>
  <c r="F23" i="106"/>
  <c r="F24" i="106"/>
  <c r="F25" i="106"/>
  <c r="F26" i="106"/>
  <c r="F28" i="106"/>
  <c r="F29" i="106"/>
  <c r="F30" i="106"/>
  <c r="E31" i="106"/>
  <c r="F31" i="106"/>
  <c r="F17" i="106"/>
  <c r="F56" i="106"/>
  <c r="G56" i="106"/>
  <c r="F57" i="106"/>
  <c r="G57" i="106"/>
  <c r="F55" i="106"/>
  <c r="G55" i="106"/>
  <c r="P16" i="82"/>
  <c r="P18" i="82"/>
  <c r="P20" i="82"/>
  <c r="P22" i="82"/>
  <c r="P15" i="82"/>
  <c r="P17" i="82"/>
  <c r="P19" i="82"/>
  <c r="P21" i="82"/>
  <c r="P23" i="82"/>
  <c r="P24" i="82"/>
  <c r="P25" i="82"/>
  <c r="P26" i="82"/>
  <c r="P27" i="82"/>
  <c r="P28" i="82"/>
  <c r="P29" i="82"/>
  <c r="P30" i="82"/>
  <c r="P31" i="82"/>
  <c r="P32" i="82"/>
  <c r="P33" i="82"/>
  <c r="P34" i="82"/>
  <c r="P35" i="82"/>
  <c r="P36" i="82"/>
  <c r="P37" i="82"/>
  <c r="P38" i="82"/>
  <c r="P39" i="82"/>
  <c r="P40" i="82"/>
  <c r="P41" i="82"/>
  <c r="P42" i="82"/>
  <c r="P43" i="82"/>
  <c r="P44" i="82"/>
  <c r="P45" i="82"/>
  <c r="P46" i="82"/>
  <c r="P47" i="82"/>
  <c r="P48" i="82"/>
  <c r="P49" i="82"/>
  <c r="P50" i="82"/>
  <c r="P51" i="82"/>
  <c r="P52" i="82"/>
  <c r="P53" i="82"/>
  <c r="P54" i="82"/>
  <c r="P55" i="82"/>
  <c r="P56" i="82"/>
  <c r="P57" i="82"/>
  <c r="P58" i="82"/>
  <c r="P59" i="82"/>
  <c r="P60" i="82"/>
  <c r="P61" i="82"/>
  <c r="P62" i="82"/>
  <c r="P63" i="82"/>
  <c r="P64" i="82"/>
  <c r="P65" i="82"/>
  <c r="P66" i="82"/>
  <c r="P67" i="82"/>
  <c r="P68" i="82"/>
  <c r="P69" i="82"/>
  <c r="P70" i="82"/>
  <c r="P71" i="82"/>
  <c r="P72" i="82"/>
  <c r="P73" i="82"/>
  <c r="P74" i="82"/>
  <c r="P75" i="82"/>
  <c r="P76" i="82"/>
  <c r="P77" i="82"/>
  <c r="P78" i="82"/>
  <c r="P79" i="82"/>
  <c r="P80" i="82"/>
  <c r="P81" i="82"/>
  <c r="P82" i="82"/>
  <c r="P83" i="82"/>
  <c r="P84" i="82"/>
  <c r="P85" i="82"/>
  <c r="P86" i="82"/>
  <c r="P87" i="82"/>
  <c r="P88" i="82"/>
  <c r="P89" i="82"/>
  <c r="P90" i="82"/>
  <c r="P91" i="82"/>
  <c r="P92" i="82"/>
  <c r="P93" i="82"/>
  <c r="P94" i="82"/>
  <c r="P95" i="82"/>
  <c r="P96" i="82"/>
  <c r="P97" i="82"/>
  <c r="P98" i="82"/>
  <c r="P99" i="82"/>
  <c r="P100" i="82"/>
  <c r="P101" i="82"/>
  <c r="P102" i="82"/>
  <c r="P103" i="82"/>
  <c r="P104" i="82"/>
  <c r="P105" i="82"/>
  <c r="P106" i="82"/>
  <c r="P107" i="82"/>
  <c r="P108" i="82"/>
  <c r="P109" i="82"/>
  <c r="P110" i="82"/>
  <c r="P111" i="82"/>
  <c r="P112" i="82"/>
  <c r="P113" i="82"/>
  <c r="P114" i="82"/>
  <c r="P115" i="82"/>
  <c r="P116" i="82"/>
  <c r="P117" i="82"/>
  <c r="P118" i="82"/>
  <c r="P119" i="82"/>
  <c r="P120" i="82"/>
  <c r="P121" i="82"/>
  <c r="P122" i="82"/>
  <c r="P123" i="82"/>
  <c r="P124" i="82"/>
  <c r="P125" i="82"/>
  <c r="P126" i="82"/>
  <c r="P127" i="82"/>
  <c r="P128" i="82"/>
  <c r="P129" i="82"/>
  <c r="P130" i="82"/>
  <c r="P131" i="82"/>
  <c r="P132" i="82"/>
  <c r="P133" i="82"/>
  <c r="P134" i="82"/>
  <c r="P135" i="82"/>
  <c r="P136" i="82"/>
  <c r="P137" i="82"/>
  <c r="P138" i="82"/>
  <c r="P139" i="82"/>
  <c r="P140" i="82"/>
  <c r="P141" i="82"/>
  <c r="P142" i="82"/>
  <c r="P143" i="82"/>
  <c r="P144" i="82"/>
  <c r="P145" i="82"/>
  <c r="P146" i="82"/>
  <c r="P147" i="82"/>
  <c r="P148" i="82"/>
  <c r="P149" i="82"/>
  <c r="P150" i="82"/>
  <c r="P151" i="82"/>
  <c r="P152" i="82"/>
  <c r="P153" i="82"/>
  <c r="P154" i="82"/>
  <c r="P155" i="82"/>
  <c r="P156" i="82"/>
  <c r="P157" i="82"/>
  <c r="P158" i="82"/>
  <c r="P159" i="82"/>
  <c r="P160" i="82"/>
  <c r="P161" i="82"/>
  <c r="P162" i="82"/>
  <c r="P163" i="82"/>
  <c r="P164" i="82"/>
  <c r="P165" i="82"/>
  <c r="P166" i="82"/>
  <c r="P167" i="82"/>
  <c r="P168" i="82"/>
  <c r="P169" i="82"/>
  <c r="P170" i="82"/>
  <c r="P171" i="82"/>
  <c r="P172" i="82"/>
  <c r="P173" i="82"/>
  <c r="P174" i="82"/>
  <c r="P175" i="82"/>
  <c r="P176" i="82"/>
  <c r="P177" i="82"/>
  <c r="P178" i="82"/>
  <c r="P179" i="82"/>
  <c r="P180" i="82"/>
  <c r="P181" i="82"/>
  <c r="P182" i="82"/>
  <c r="P183" i="82"/>
  <c r="P184" i="82"/>
  <c r="P185" i="82"/>
  <c r="P186" i="82"/>
  <c r="P187" i="82"/>
  <c r="P188" i="82"/>
  <c r="P189" i="82"/>
  <c r="P190" i="82"/>
  <c r="P191" i="82"/>
  <c r="P192" i="82"/>
  <c r="P193" i="82"/>
  <c r="P194" i="82"/>
  <c r="P195" i="82"/>
  <c r="P196" i="82"/>
  <c r="P197" i="82"/>
  <c r="P198" i="82"/>
  <c r="P199" i="82"/>
  <c r="P200" i="82"/>
  <c r="P201" i="82"/>
  <c r="P202" i="82"/>
  <c r="P203" i="82"/>
  <c r="P204" i="82"/>
  <c r="P205" i="82"/>
  <c r="P206" i="82"/>
  <c r="P207" i="82"/>
  <c r="P208" i="82"/>
  <c r="P209" i="82"/>
  <c r="P210" i="82"/>
  <c r="P211" i="82"/>
  <c r="P212" i="82"/>
  <c r="P213" i="82"/>
  <c r="P214" i="82"/>
  <c r="P215" i="82"/>
  <c r="P216" i="82"/>
  <c r="P217" i="82"/>
  <c r="P218" i="82"/>
  <c r="P219" i="82"/>
  <c r="P220" i="82"/>
  <c r="P221" i="82"/>
  <c r="P222" i="82"/>
  <c r="P223" i="82"/>
  <c r="P224" i="82"/>
  <c r="P225" i="82"/>
  <c r="P226" i="82"/>
  <c r="P227" i="82"/>
  <c r="P228" i="82"/>
  <c r="P229" i="82"/>
  <c r="P230" i="82"/>
  <c r="P231" i="82"/>
  <c r="P232" i="82"/>
  <c r="P233" i="82"/>
  <c r="P234" i="82"/>
  <c r="P235" i="82"/>
  <c r="P236" i="82"/>
  <c r="P237" i="82"/>
  <c r="P238" i="82"/>
  <c r="P239" i="82"/>
  <c r="P240" i="82"/>
  <c r="P241" i="82"/>
  <c r="P242" i="82"/>
  <c r="P243" i="82"/>
  <c r="P244" i="82"/>
  <c r="P245" i="82"/>
  <c r="P246" i="82"/>
  <c r="P247" i="82"/>
  <c r="P248" i="82"/>
  <c r="P249" i="82"/>
  <c r="P250" i="82"/>
  <c r="P251" i="82"/>
  <c r="P252" i="82"/>
  <c r="P253" i="82"/>
  <c r="P254" i="82"/>
  <c r="P255" i="82"/>
  <c r="P256" i="82"/>
  <c r="P257" i="82"/>
  <c r="P258" i="82"/>
  <c r="P259" i="82"/>
  <c r="P260" i="82"/>
  <c r="P261" i="82"/>
  <c r="P262" i="82"/>
  <c r="P263" i="82"/>
  <c r="P264" i="82"/>
  <c r="P265" i="82"/>
  <c r="P266" i="82"/>
  <c r="P267" i="82"/>
  <c r="P268" i="82"/>
  <c r="P269" i="82"/>
  <c r="P270" i="82"/>
  <c r="P271" i="82"/>
  <c r="F63" i="106"/>
  <c r="F61" i="106"/>
  <c r="F62" i="106"/>
  <c r="F60" i="106"/>
  <c r="I17" i="106"/>
  <c r="J17" i="106"/>
  <c r="I18" i="106"/>
  <c r="J18" i="106"/>
  <c r="I19" i="106"/>
  <c r="J19" i="106"/>
  <c r="I20" i="106"/>
  <c r="J20" i="106"/>
  <c r="I21" i="106"/>
  <c r="J21" i="106"/>
  <c r="I22" i="106"/>
  <c r="J22" i="106"/>
  <c r="I23" i="106"/>
  <c r="J23" i="106"/>
  <c r="I24" i="106"/>
  <c r="J24" i="106"/>
  <c r="I25" i="106"/>
  <c r="J25" i="106"/>
  <c r="I26" i="106"/>
  <c r="J26" i="106"/>
  <c r="I29" i="106"/>
  <c r="J29" i="106"/>
  <c r="I28" i="106"/>
  <c r="J28" i="106"/>
  <c r="I27" i="106"/>
  <c r="J27" i="106"/>
  <c r="B14" i="112"/>
  <c r="B13" i="112"/>
  <c r="B12" i="112"/>
  <c r="B11" i="112"/>
  <c r="B10" i="112"/>
  <c r="B9" i="112"/>
  <c r="B8" i="112"/>
  <c r="B7" i="112"/>
  <c r="B6" i="112"/>
  <c r="B5" i="112"/>
  <c r="B4" i="112"/>
  <c r="B3" i="112"/>
  <c r="B266" i="111"/>
  <c r="B265" i="111"/>
  <c r="B264" i="111"/>
  <c r="B263" i="111"/>
  <c r="B262" i="111"/>
  <c r="B261" i="111"/>
  <c r="B260" i="111"/>
  <c r="B259" i="111"/>
  <c r="B258" i="111"/>
  <c r="B257" i="111"/>
  <c r="B256" i="111"/>
  <c r="B255" i="111"/>
  <c r="B254" i="111"/>
  <c r="B253" i="111"/>
  <c r="B252" i="111"/>
  <c r="B251" i="111"/>
  <c r="B250" i="111"/>
  <c r="B249" i="111"/>
  <c r="B248" i="111"/>
  <c r="B247" i="111"/>
  <c r="B246" i="111"/>
  <c r="B245" i="111"/>
  <c r="B244" i="111"/>
  <c r="B243" i="111"/>
  <c r="B242" i="111"/>
  <c r="B241" i="111"/>
  <c r="B240" i="111"/>
  <c r="B239" i="111"/>
  <c r="B238" i="111"/>
  <c r="B237" i="111"/>
  <c r="B236" i="111"/>
  <c r="B235" i="111"/>
  <c r="B234" i="111"/>
  <c r="B233" i="111"/>
  <c r="B232" i="111"/>
  <c r="B231" i="111"/>
  <c r="B230" i="111"/>
  <c r="B229" i="111"/>
  <c r="B228" i="111"/>
  <c r="B227" i="111"/>
  <c r="B226" i="111"/>
  <c r="B225" i="111"/>
  <c r="B224" i="111"/>
  <c r="B223" i="111"/>
  <c r="B222" i="111"/>
  <c r="B221" i="111"/>
  <c r="B220" i="111"/>
  <c r="B219" i="111"/>
  <c r="B218" i="111"/>
  <c r="B217" i="111"/>
  <c r="B216" i="111"/>
  <c r="B215" i="111"/>
  <c r="B214" i="111"/>
  <c r="B213" i="111"/>
  <c r="B212" i="111"/>
  <c r="B211" i="111"/>
  <c r="B210" i="111"/>
  <c r="B209" i="111"/>
  <c r="B208" i="111"/>
  <c r="B207" i="111"/>
  <c r="B206" i="111"/>
  <c r="B205" i="111"/>
  <c r="B204" i="111"/>
  <c r="B203" i="111"/>
  <c r="B202" i="111"/>
  <c r="B201" i="111"/>
  <c r="B200" i="111"/>
  <c r="B199" i="111"/>
  <c r="B198" i="111"/>
  <c r="B197" i="111"/>
  <c r="B196" i="111"/>
  <c r="B195" i="111"/>
  <c r="B194" i="111"/>
  <c r="B193" i="111"/>
  <c r="B192" i="111"/>
  <c r="B191" i="111"/>
  <c r="B190" i="111"/>
  <c r="B189" i="111"/>
  <c r="B188" i="111"/>
  <c r="B187" i="111"/>
  <c r="B186" i="111"/>
  <c r="B185" i="111"/>
  <c r="B184" i="111"/>
  <c r="B183" i="111"/>
  <c r="B182" i="111"/>
  <c r="B181" i="111"/>
  <c r="B180" i="111"/>
  <c r="B179" i="111"/>
  <c r="B178" i="111"/>
  <c r="B177" i="111"/>
  <c r="B176" i="111"/>
  <c r="B175" i="111"/>
  <c r="B174" i="111"/>
  <c r="B173" i="111"/>
  <c r="B172" i="111"/>
  <c r="B171" i="111"/>
  <c r="B170" i="111"/>
  <c r="B169" i="111"/>
  <c r="B168" i="111"/>
  <c r="B167" i="111"/>
  <c r="B166" i="111"/>
  <c r="B165" i="111"/>
  <c r="B164" i="111"/>
  <c r="B163" i="111"/>
  <c r="B162" i="111"/>
  <c r="B161" i="111"/>
  <c r="B160" i="111"/>
  <c r="B159" i="111"/>
  <c r="B158" i="111"/>
  <c r="B157" i="111"/>
  <c r="B156" i="111"/>
  <c r="B155" i="111"/>
  <c r="B154" i="111"/>
  <c r="B153" i="111"/>
  <c r="B152" i="111"/>
  <c r="B151" i="111"/>
  <c r="B150" i="111"/>
  <c r="B149" i="111"/>
  <c r="B148" i="111"/>
  <c r="B147" i="111"/>
  <c r="B146" i="111"/>
  <c r="B145" i="111"/>
  <c r="B144" i="111"/>
  <c r="B143" i="111"/>
  <c r="B142" i="111"/>
  <c r="B141" i="111"/>
  <c r="B140" i="111"/>
  <c r="B139" i="111"/>
  <c r="B138" i="111"/>
  <c r="B137" i="111"/>
  <c r="B136" i="111"/>
  <c r="B135" i="111"/>
  <c r="B134" i="111"/>
  <c r="B133" i="111"/>
  <c r="B132" i="111"/>
  <c r="B131" i="111"/>
  <c r="B130" i="111"/>
  <c r="B129" i="111"/>
  <c r="B128" i="111"/>
  <c r="B127" i="111"/>
  <c r="B126" i="111"/>
  <c r="B125" i="111"/>
  <c r="B124" i="111"/>
  <c r="B123" i="111"/>
  <c r="B122" i="111"/>
  <c r="B121" i="111"/>
  <c r="B120" i="111"/>
  <c r="B119" i="111"/>
  <c r="B118" i="111"/>
  <c r="B117" i="111"/>
  <c r="B116" i="111"/>
  <c r="B115" i="111"/>
  <c r="B114" i="111"/>
  <c r="B113" i="111"/>
  <c r="B112" i="111"/>
  <c r="B111" i="111"/>
  <c r="B110" i="111"/>
  <c r="B109" i="111"/>
  <c r="B108" i="111"/>
  <c r="B107" i="111"/>
  <c r="B106" i="111"/>
  <c r="B105" i="111"/>
  <c r="B104" i="111"/>
  <c r="B103" i="111"/>
  <c r="B102" i="111"/>
  <c r="B101" i="111"/>
  <c r="B100" i="111"/>
  <c r="B99" i="111"/>
  <c r="B98" i="111"/>
  <c r="B97" i="111"/>
  <c r="B96" i="111"/>
  <c r="B95" i="111"/>
  <c r="B94" i="111"/>
  <c r="B93" i="111"/>
  <c r="B92" i="111"/>
  <c r="B91" i="111"/>
  <c r="B90" i="111"/>
  <c r="B89" i="111"/>
  <c r="B88" i="111"/>
  <c r="B87" i="111"/>
  <c r="B86" i="111"/>
  <c r="B85" i="111"/>
  <c r="B84" i="111"/>
  <c r="B83" i="111"/>
  <c r="B82" i="111"/>
  <c r="B81" i="111"/>
  <c r="B80" i="111"/>
  <c r="B79" i="111"/>
  <c r="B78" i="111"/>
  <c r="B77" i="111"/>
  <c r="B76" i="111"/>
  <c r="B75" i="111"/>
  <c r="B74" i="111"/>
  <c r="B73" i="111"/>
  <c r="B72" i="111"/>
  <c r="B71" i="111"/>
  <c r="B70" i="111"/>
  <c r="B69" i="111"/>
  <c r="B68" i="111"/>
  <c r="B67" i="111"/>
  <c r="B66" i="111"/>
  <c r="B65" i="111"/>
  <c r="B64" i="111"/>
  <c r="B63" i="111"/>
  <c r="B62" i="111"/>
  <c r="B61" i="111"/>
  <c r="B60" i="111"/>
  <c r="B59" i="111"/>
  <c r="B58" i="111"/>
  <c r="B57" i="111"/>
  <c r="B56" i="111"/>
  <c r="B55" i="111"/>
  <c r="B54" i="111"/>
  <c r="B53" i="111"/>
  <c r="B52" i="111"/>
  <c r="B51" i="111"/>
  <c r="B50" i="111"/>
  <c r="B49" i="111"/>
  <c r="B48" i="111"/>
  <c r="B47" i="111"/>
  <c r="B46" i="111"/>
  <c r="B45" i="111"/>
  <c r="B44" i="111"/>
  <c r="B43" i="111"/>
  <c r="B42" i="111"/>
  <c r="B41" i="111"/>
  <c r="B40" i="111"/>
  <c r="B39" i="111"/>
  <c r="B38" i="111"/>
  <c r="B37" i="111"/>
  <c r="B36" i="111"/>
  <c r="B35" i="111"/>
  <c r="B34" i="111"/>
  <c r="B33" i="111"/>
  <c r="B32" i="111"/>
  <c r="B31" i="111"/>
  <c r="B30" i="111"/>
  <c r="B29" i="111"/>
  <c r="B28" i="111"/>
  <c r="B27" i="111"/>
  <c r="B26" i="111"/>
  <c r="B25" i="111"/>
  <c r="B24" i="111"/>
  <c r="B23" i="111"/>
  <c r="B22" i="111"/>
  <c r="B21" i="111"/>
  <c r="B20" i="111"/>
  <c r="B19" i="111"/>
  <c r="B18" i="111"/>
  <c r="B17" i="111"/>
  <c r="B16" i="111"/>
  <c r="B15" i="111"/>
  <c r="B14" i="111"/>
  <c r="B13" i="111"/>
  <c r="B12" i="111"/>
  <c r="B11" i="111"/>
  <c r="B10" i="111"/>
  <c r="B9" i="111"/>
  <c r="B8" i="111"/>
  <c r="B7" i="111"/>
  <c r="B6" i="111"/>
  <c r="B5" i="111"/>
  <c r="B4" i="111"/>
  <c r="B3" i="111"/>
  <c r="B2" i="111"/>
  <c r="P3" i="106"/>
  <c r="O3" i="106"/>
  <c r="P4" i="106"/>
  <c r="O4" i="106"/>
  <c r="P5" i="106"/>
  <c r="O5" i="106"/>
  <c r="P6" i="106"/>
  <c r="O6" i="106"/>
  <c r="C30" i="106"/>
  <c r="D30" i="106"/>
  <c r="H30" i="106"/>
  <c r="A266" i="82"/>
  <c r="H266" i="82"/>
  <c r="K266" i="82"/>
  <c r="L266" i="82"/>
  <c r="M266" i="82"/>
  <c r="N266" i="82"/>
  <c r="A267" i="82"/>
  <c r="H267" i="82"/>
  <c r="K267" i="82"/>
  <c r="L267" i="82"/>
  <c r="M267" i="82"/>
  <c r="N267" i="82"/>
  <c r="A268" i="82"/>
  <c r="H268" i="82"/>
  <c r="K268" i="82"/>
  <c r="L268" i="82"/>
  <c r="M268" i="82"/>
  <c r="N268" i="82"/>
  <c r="A269" i="82"/>
  <c r="H269" i="82"/>
  <c r="K269" i="82"/>
  <c r="L269" i="82"/>
  <c r="M269" i="82"/>
  <c r="N269" i="82"/>
  <c r="A270" i="82"/>
  <c r="H270" i="82"/>
  <c r="K270" i="82"/>
  <c r="L270" i="82"/>
  <c r="M270" i="82"/>
  <c r="N270" i="82"/>
  <c r="A271" i="82"/>
  <c r="H271" i="82"/>
  <c r="K271" i="82"/>
  <c r="L271" i="82"/>
  <c r="M271" i="82"/>
  <c r="N271" i="82"/>
  <c r="C4" i="103"/>
  <c r="A256" i="82"/>
  <c r="A257" i="82"/>
  <c r="A258" i="82"/>
  <c r="A259" i="82"/>
  <c r="A260" i="82"/>
  <c r="A261" i="82"/>
  <c r="A262" i="82"/>
  <c r="A263" i="82"/>
  <c r="A264" i="82"/>
  <c r="A265" i="82"/>
  <c r="H256" i="82"/>
  <c r="K256" i="82"/>
  <c r="L256" i="82"/>
  <c r="M256" i="82"/>
  <c r="N256" i="82"/>
  <c r="H257" i="82"/>
  <c r="K257" i="82"/>
  <c r="L257" i="82"/>
  <c r="M257" i="82"/>
  <c r="N257" i="82"/>
  <c r="H258" i="82"/>
  <c r="K258" i="82"/>
  <c r="L258" i="82"/>
  <c r="M258" i="82"/>
  <c r="N258" i="82"/>
  <c r="H259" i="82"/>
  <c r="K259" i="82"/>
  <c r="L259" i="82"/>
  <c r="M259" i="82"/>
  <c r="N259" i="82"/>
  <c r="H260" i="82"/>
  <c r="K260" i="82"/>
  <c r="L260" i="82"/>
  <c r="M260" i="82"/>
  <c r="N260" i="82"/>
  <c r="H261" i="82"/>
  <c r="K261" i="82"/>
  <c r="L261" i="82"/>
  <c r="M261" i="82"/>
  <c r="N261" i="82"/>
  <c r="H262" i="82"/>
  <c r="K262" i="82"/>
  <c r="L262" i="82"/>
  <c r="M262" i="82"/>
  <c r="N262" i="82"/>
  <c r="H263" i="82"/>
  <c r="K263" i="82"/>
  <c r="L263" i="82"/>
  <c r="M263" i="82"/>
  <c r="N263" i="82"/>
  <c r="H264" i="82"/>
  <c r="K264" i="82"/>
  <c r="L264" i="82"/>
  <c r="M264" i="82"/>
  <c r="N264" i="82"/>
  <c r="H265" i="82"/>
  <c r="K265" i="82"/>
  <c r="L265" i="82"/>
  <c r="M265" i="82"/>
  <c r="N265" i="82"/>
  <c r="B55" i="106"/>
  <c r="B56" i="106"/>
  <c r="B57" i="106"/>
  <c r="B58" i="106"/>
  <c r="B59" i="106"/>
  <c r="B60" i="106"/>
  <c r="B61" i="106"/>
  <c r="B62" i="106"/>
  <c r="C55" i="106"/>
  <c r="C56" i="106"/>
  <c r="C57" i="106"/>
  <c r="C58" i="106"/>
  <c r="C59" i="106"/>
  <c r="C60" i="106"/>
  <c r="C61" i="106"/>
  <c r="C62" i="106"/>
  <c r="C31" i="106"/>
  <c r="D31" i="106"/>
  <c r="H31" i="106"/>
  <c r="A246" i="82"/>
  <c r="H246" i="82"/>
  <c r="K246" i="82"/>
  <c r="L246" i="82"/>
  <c r="M246" i="82"/>
  <c r="N246" i="82"/>
  <c r="A247" i="82"/>
  <c r="H247" i="82"/>
  <c r="K247" i="82"/>
  <c r="L247" i="82"/>
  <c r="M247" i="82"/>
  <c r="N247" i="82"/>
  <c r="A248" i="82"/>
  <c r="H248" i="82"/>
  <c r="K248" i="82"/>
  <c r="L248" i="82"/>
  <c r="M248" i="82"/>
  <c r="N248" i="82"/>
  <c r="A249" i="82"/>
  <c r="H249" i="82"/>
  <c r="K249" i="82"/>
  <c r="L249" i="82"/>
  <c r="M249" i="82"/>
  <c r="N249" i="82"/>
  <c r="A250" i="82"/>
  <c r="H250" i="82"/>
  <c r="K250" i="82"/>
  <c r="L250" i="82"/>
  <c r="M250" i="82"/>
  <c r="N250" i="82"/>
  <c r="A251" i="82"/>
  <c r="H251" i="82"/>
  <c r="K251" i="82"/>
  <c r="L251" i="82"/>
  <c r="M251" i="82"/>
  <c r="N251" i="82"/>
  <c r="A252" i="82"/>
  <c r="H252" i="82"/>
  <c r="K252" i="82"/>
  <c r="L252" i="82"/>
  <c r="M252" i="82"/>
  <c r="N252" i="82"/>
  <c r="A253" i="82"/>
  <c r="H253" i="82"/>
  <c r="K253" i="82"/>
  <c r="L253" i="82"/>
  <c r="M253" i="82"/>
  <c r="N253" i="82"/>
  <c r="A254" i="82"/>
  <c r="H254" i="82"/>
  <c r="K254" i="82"/>
  <c r="L254" i="82"/>
  <c r="M254" i="82"/>
  <c r="N254" i="82"/>
  <c r="A255" i="82"/>
  <c r="H255" i="82"/>
  <c r="K255" i="82"/>
  <c r="L255" i="82"/>
  <c r="M255" i="82"/>
  <c r="N255" i="82"/>
  <c r="C2" i="103"/>
  <c r="M4" i="106"/>
  <c r="M6" i="106"/>
  <c r="M5" i="106"/>
  <c r="M3" i="106"/>
  <c r="K138" i="82"/>
  <c r="K139" i="82"/>
  <c r="K140" i="82"/>
  <c r="K141" i="82"/>
  <c r="K142" i="82"/>
  <c r="K143" i="82"/>
  <c r="K144" i="82"/>
  <c r="K145" i="82"/>
  <c r="K149" i="82"/>
  <c r="K150" i="82"/>
  <c r="K151" i="82"/>
  <c r="K152" i="82"/>
  <c r="K156" i="82"/>
  <c r="K157" i="82"/>
  <c r="K164" i="82"/>
  <c r="K165" i="82"/>
  <c r="K169" i="82"/>
  <c r="K170" i="82"/>
  <c r="K174" i="82"/>
  <c r="K175" i="82"/>
  <c r="K176" i="82"/>
  <c r="K177" i="82"/>
  <c r="K184" i="82"/>
  <c r="K185" i="82"/>
  <c r="K189" i="82"/>
  <c r="K190" i="82"/>
  <c r="K191" i="82"/>
  <c r="K192" i="82"/>
  <c r="K196" i="82"/>
  <c r="K197" i="82"/>
  <c r="K201" i="82"/>
  <c r="K202" i="82"/>
  <c r="K206" i="82"/>
  <c r="K207" i="82"/>
  <c r="K208" i="82"/>
  <c r="K209" i="82"/>
  <c r="K213" i="82"/>
  <c r="K214" i="82"/>
  <c r="K215" i="82"/>
  <c r="K216" i="82"/>
  <c r="K223" i="82"/>
  <c r="K224" i="82"/>
  <c r="K231" i="82"/>
  <c r="K232" i="82"/>
  <c r="K236" i="82"/>
  <c r="K237" i="82"/>
  <c r="K238" i="82"/>
  <c r="K239" i="82"/>
  <c r="I30" i="106"/>
  <c r="J30" i="106"/>
  <c r="I31" i="106"/>
  <c r="J31" i="106"/>
  <c r="K3" i="82"/>
  <c r="K4" i="82"/>
  <c r="K5" i="82"/>
  <c r="K6" i="82"/>
  <c r="K7" i="82"/>
  <c r="K8" i="82"/>
  <c r="K9" i="82"/>
  <c r="K10" i="82"/>
  <c r="K11" i="82"/>
  <c r="K12" i="82"/>
  <c r="K13" i="82"/>
  <c r="K14" i="82"/>
  <c r="K15" i="82"/>
  <c r="K16" i="82"/>
  <c r="K17" i="82"/>
  <c r="K18" i="82"/>
  <c r="K19" i="82"/>
  <c r="K20" i="82"/>
  <c r="K21" i="82"/>
  <c r="K22" i="82"/>
  <c r="K23" i="82"/>
  <c r="K24" i="82"/>
  <c r="K25" i="82"/>
  <c r="K26" i="82"/>
  <c r="K27" i="82"/>
  <c r="K28" i="82"/>
  <c r="K29" i="82"/>
  <c r="K30" i="82"/>
  <c r="K31" i="82"/>
  <c r="K32" i="82"/>
  <c r="K33" i="82"/>
  <c r="K34" i="82"/>
  <c r="K35" i="82"/>
  <c r="K36" i="82"/>
  <c r="K37" i="82"/>
  <c r="K38" i="82"/>
  <c r="K39" i="82"/>
  <c r="K40" i="82"/>
  <c r="K41" i="82"/>
  <c r="K42" i="82"/>
  <c r="K43" i="82"/>
  <c r="K44" i="82"/>
  <c r="K45" i="82"/>
  <c r="K46" i="82"/>
  <c r="K47" i="82"/>
  <c r="K48" i="82"/>
  <c r="K49" i="82"/>
  <c r="K50" i="82"/>
  <c r="K51" i="82"/>
  <c r="K52" i="82"/>
  <c r="K53" i="82"/>
  <c r="K54" i="82"/>
  <c r="K55" i="82"/>
  <c r="K56" i="82"/>
  <c r="K57" i="82"/>
  <c r="K58" i="82"/>
  <c r="K59" i="82"/>
  <c r="K60" i="82"/>
  <c r="K61" i="82"/>
  <c r="K62" i="82"/>
  <c r="K63" i="82"/>
  <c r="K64" i="82"/>
  <c r="K65" i="82"/>
  <c r="K66" i="82"/>
  <c r="K67" i="82"/>
  <c r="K68" i="82"/>
  <c r="K69" i="82"/>
  <c r="K70" i="82"/>
  <c r="K71" i="82"/>
  <c r="K72" i="82"/>
  <c r="K73" i="82"/>
  <c r="K74" i="82"/>
  <c r="K75" i="82"/>
  <c r="K76" i="82"/>
  <c r="K77" i="82"/>
  <c r="K78" i="82"/>
  <c r="K79" i="82"/>
  <c r="K80" i="82"/>
  <c r="K81" i="82"/>
  <c r="K82" i="82"/>
  <c r="K83" i="82"/>
  <c r="K84" i="82"/>
  <c r="K85" i="82"/>
  <c r="K86" i="82"/>
  <c r="K87" i="82"/>
  <c r="K88" i="82"/>
  <c r="K89" i="82"/>
  <c r="K90" i="82"/>
  <c r="K91" i="82"/>
  <c r="K92" i="82"/>
  <c r="K93" i="82"/>
  <c r="K94" i="82"/>
  <c r="K95" i="82"/>
  <c r="K96" i="82"/>
  <c r="K97" i="82"/>
  <c r="K98" i="82"/>
  <c r="K99" i="82"/>
  <c r="K100" i="82"/>
  <c r="K101" i="82"/>
  <c r="K102" i="82"/>
  <c r="K103" i="82"/>
  <c r="K104" i="82"/>
  <c r="K105" i="82"/>
  <c r="K106" i="82"/>
  <c r="K107" i="82"/>
  <c r="K108" i="82"/>
  <c r="K109" i="82"/>
  <c r="K110" i="82"/>
  <c r="K111" i="82"/>
  <c r="K112" i="82"/>
  <c r="K113" i="82"/>
  <c r="K114" i="82"/>
  <c r="K115" i="82"/>
  <c r="K116" i="82"/>
  <c r="K117" i="82"/>
  <c r="K118" i="82"/>
  <c r="K119" i="82"/>
  <c r="K120" i="82"/>
  <c r="K121" i="82"/>
  <c r="K122" i="82"/>
  <c r="K123" i="82"/>
  <c r="K124" i="82"/>
  <c r="K125" i="82"/>
  <c r="K126" i="82"/>
  <c r="K127" i="82"/>
  <c r="K128" i="82"/>
  <c r="K129" i="82"/>
  <c r="K130" i="82"/>
  <c r="K131" i="82"/>
  <c r="K132" i="82"/>
  <c r="K133" i="82"/>
  <c r="K134" i="82"/>
  <c r="K135" i="82"/>
  <c r="K136" i="82"/>
  <c r="K137" i="82"/>
  <c r="K146" i="82"/>
  <c r="K147" i="82"/>
  <c r="K148" i="82"/>
  <c r="K153" i="82"/>
  <c r="K154" i="82"/>
  <c r="K155" i="82"/>
  <c r="K158" i="82"/>
  <c r="K159" i="82"/>
  <c r="K160" i="82"/>
  <c r="K161" i="82"/>
  <c r="K162" i="82"/>
  <c r="K163" i="82"/>
  <c r="K166" i="82"/>
  <c r="K167" i="82"/>
  <c r="K168" i="82"/>
  <c r="K171" i="82"/>
  <c r="K172" i="82"/>
  <c r="K173" i="82"/>
  <c r="K178" i="82"/>
  <c r="K179" i="82"/>
  <c r="K180" i="82"/>
  <c r="K181" i="82"/>
  <c r="K182" i="82"/>
  <c r="K183" i="82"/>
  <c r="K186" i="82"/>
  <c r="K187" i="82"/>
  <c r="K188" i="82"/>
  <c r="K193" i="82"/>
  <c r="K194" i="82"/>
  <c r="K195" i="82"/>
  <c r="K198" i="82"/>
  <c r="K199" i="82"/>
  <c r="K200" i="82"/>
  <c r="K203" i="82"/>
  <c r="K204" i="82"/>
  <c r="K205" i="82"/>
  <c r="K210" i="82"/>
  <c r="K211" i="82"/>
  <c r="K212" i="82"/>
  <c r="K217" i="82"/>
  <c r="K218" i="82"/>
  <c r="K219" i="82"/>
  <c r="K220" i="82"/>
  <c r="K221" i="82"/>
  <c r="K222" i="82"/>
  <c r="K225" i="82"/>
  <c r="K226" i="82"/>
  <c r="K227" i="82"/>
  <c r="K228" i="82"/>
  <c r="K229" i="82"/>
  <c r="K230" i="82"/>
  <c r="K233" i="82"/>
  <c r="K234" i="82"/>
  <c r="K235" i="82"/>
  <c r="K240" i="82"/>
  <c r="K241" i="82"/>
  <c r="K242" i="82"/>
  <c r="K243" i="82"/>
  <c r="K244" i="82"/>
  <c r="K245" i="82"/>
  <c r="K2" i="82"/>
  <c r="E4" i="103"/>
  <c r="A3" i="82"/>
  <c r="A4" i="82"/>
  <c r="A5" i="82"/>
  <c r="A6" i="82"/>
  <c r="A7" i="82"/>
  <c r="A8" i="82"/>
  <c r="A9" i="82"/>
  <c r="A10" i="82"/>
  <c r="A11" i="82"/>
  <c r="A12" i="82"/>
  <c r="A13" i="82"/>
  <c r="A14" i="82"/>
  <c r="A15" i="82"/>
  <c r="A16" i="82"/>
  <c r="A17" i="82"/>
  <c r="A18" i="82"/>
  <c r="A19" i="82"/>
  <c r="A20" i="82"/>
  <c r="A21" i="82"/>
  <c r="A22" i="82"/>
  <c r="A23" i="82"/>
  <c r="A24" i="82"/>
  <c r="A25" i="82"/>
  <c r="A26" i="82"/>
  <c r="A27" i="82"/>
  <c r="A28" i="82"/>
  <c r="A29" i="82"/>
  <c r="A30" i="82"/>
  <c r="A31" i="82"/>
  <c r="A32" i="82"/>
  <c r="A33" i="82"/>
  <c r="A34" i="82"/>
  <c r="A35" i="82"/>
  <c r="A36" i="82"/>
  <c r="A37" i="82"/>
  <c r="A38" i="82"/>
  <c r="A39" i="82"/>
  <c r="A40" i="82"/>
  <c r="A41" i="82"/>
  <c r="A42" i="82"/>
  <c r="A43" i="82"/>
  <c r="A44" i="82"/>
  <c r="A45" i="82"/>
  <c r="A46" i="82"/>
  <c r="A47" i="82"/>
  <c r="A48" i="82"/>
  <c r="A49" i="82"/>
  <c r="A50" i="82"/>
  <c r="A51" i="82"/>
  <c r="A52" i="82"/>
  <c r="A53" i="82"/>
  <c r="A54" i="82"/>
  <c r="A55" i="82"/>
  <c r="A56" i="82"/>
  <c r="A57" i="82"/>
  <c r="A58" i="82"/>
  <c r="A59" i="82"/>
  <c r="A60" i="82"/>
  <c r="A61" i="82"/>
  <c r="A62" i="82"/>
  <c r="A63" i="82"/>
  <c r="A64" i="82"/>
  <c r="A65" i="82"/>
  <c r="A66" i="82"/>
  <c r="A67" i="82"/>
  <c r="A68" i="82"/>
  <c r="A69" i="82"/>
  <c r="A70" i="82"/>
  <c r="A71" i="82"/>
  <c r="A72" i="82"/>
  <c r="A73" i="82"/>
  <c r="A74" i="82"/>
  <c r="A75" i="82"/>
  <c r="A76" i="82"/>
  <c r="A77" i="82"/>
  <c r="A78" i="82"/>
  <c r="A79" i="82"/>
  <c r="A80" i="82"/>
  <c r="A81" i="82"/>
  <c r="A82" i="82"/>
  <c r="A83" i="82"/>
  <c r="A84" i="82"/>
  <c r="A85" i="82"/>
  <c r="A86" i="82"/>
  <c r="A87" i="82"/>
  <c r="A88" i="82"/>
  <c r="A89" i="82"/>
  <c r="A90" i="82"/>
  <c r="A91" i="82"/>
  <c r="A92" i="82"/>
  <c r="A93" i="82"/>
  <c r="A94" i="82"/>
  <c r="A95" i="82"/>
  <c r="A96" i="82"/>
  <c r="A97" i="82"/>
  <c r="A98" i="82"/>
  <c r="A99" i="82"/>
  <c r="A100" i="82"/>
  <c r="A101" i="82"/>
  <c r="A102" i="82"/>
  <c r="A103" i="82"/>
  <c r="A104" i="82"/>
  <c r="A105" i="82"/>
  <c r="A106" i="82"/>
  <c r="A107" i="82"/>
  <c r="A108" i="82"/>
  <c r="A109" i="82"/>
  <c r="A110" i="82"/>
  <c r="A111" i="82"/>
  <c r="A112" i="82"/>
  <c r="A113" i="82"/>
  <c r="A114" i="82"/>
  <c r="A115" i="82"/>
  <c r="A116" i="82"/>
  <c r="A117" i="82"/>
  <c r="A118" i="82"/>
  <c r="A119" i="82"/>
  <c r="A120" i="82"/>
  <c r="A121" i="82"/>
  <c r="A122" i="82"/>
  <c r="A123" i="82"/>
  <c r="A124" i="82"/>
  <c r="A125" i="82"/>
  <c r="A126" i="82"/>
  <c r="A127" i="82"/>
  <c r="A128" i="82"/>
  <c r="A129" i="82"/>
  <c r="A130" i="82"/>
  <c r="A131" i="82"/>
  <c r="A132" i="82"/>
  <c r="A133" i="82"/>
  <c r="A134" i="82"/>
  <c r="A135" i="82"/>
  <c r="A136" i="82"/>
  <c r="A137" i="82"/>
  <c r="A138" i="82"/>
  <c r="A139" i="82"/>
  <c r="A140" i="82"/>
  <c r="A141" i="82"/>
  <c r="A142" i="82"/>
  <c r="A143" i="82"/>
  <c r="A144" i="82"/>
  <c r="A145" i="82"/>
  <c r="A146" i="82"/>
  <c r="A147" i="82"/>
  <c r="A148" i="82"/>
  <c r="A149" i="82"/>
  <c r="A150" i="82"/>
  <c r="A151" i="82"/>
  <c r="A152" i="82"/>
  <c r="A153" i="82"/>
  <c r="A154" i="82"/>
  <c r="A155" i="82"/>
  <c r="A156" i="82"/>
  <c r="A157" i="82"/>
  <c r="A158" i="82"/>
  <c r="A159" i="82"/>
  <c r="A160" i="82"/>
  <c r="A161" i="82"/>
  <c r="A162" i="82"/>
  <c r="A163" i="82"/>
  <c r="A164" i="82"/>
  <c r="A165" i="82"/>
  <c r="A166" i="82"/>
  <c r="A167" i="82"/>
  <c r="A168" i="82"/>
  <c r="A169" i="82"/>
  <c r="A170" i="82"/>
  <c r="A171" i="82"/>
  <c r="A172" i="82"/>
  <c r="A173" i="82"/>
  <c r="A174" i="82"/>
  <c r="A175" i="82"/>
  <c r="A176" i="82"/>
  <c r="A177" i="82"/>
  <c r="A178" i="82"/>
  <c r="A179" i="82"/>
  <c r="A180" i="82"/>
  <c r="A181" i="82"/>
  <c r="A182" i="82"/>
  <c r="A183" i="82"/>
  <c r="A184" i="82"/>
  <c r="A185" i="82"/>
  <c r="A186" i="82"/>
  <c r="A187" i="82"/>
  <c r="A188" i="82"/>
  <c r="A189" i="82"/>
  <c r="A190" i="82"/>
  <c r="A191" i="82"/>
  <c r="A192" i="82"/>
  <c r="A193" i="82"/>
  <c r="A194" i="82"/>
  <c r="A195" i="82"/>
  <c r="A196" i="82"/>
  <c r="A197" i="82"/>
  <c r="A198" i="82"/>
  <c r="A199" i="82"/>
  <c r="A200" i="82"/>
  <c r="A201" i="82"/>
  <c r="A202" i="82"/>
  <c r="A203" i="82"/>
  <c r="A204" i="82"/>
  <c r="A205" i="82"/>
  <c r="A206" i="82"/>
  <c r="A207" i="82"/>
  <c r="A208" i="82"/>
  <c r="A209" i="82"/>
  <c r="A210" i="82"/>
  <c r="A211" i="82"/>
  <c r="A212" i="82"/>
  <c r="A213" i="82"/>
  <c r="A214" i="82"/>
  <c r="A215" i="82"/>
  <c r="A216" i="82"/>
  <c r="A217" i="82"/>
  <c r="A218" i="82"/>
  <c r="A219" i="82"/>
  <c r="A220" i="82"/>
  <c r="A221" i="82"/>
  <c r="A222" i="82"/>
  <c r="A223" i="82"/>
  <c r="A224" i="82"/>
  <c r="A225" i="82"/>
  <c r="A226" i="82"/>
  <c r="A227" i="82"/>
  <c r="A228" i="82"/>
  <c r="A229" i="82"/>
  <c r="A230" i="82"/>
  <c r="A231" i="82"/>
  <c r="A232" i="82"/>
  <c r="A233" i="82"/>
  <c r="A234" i="82"/>
  <c r="A235" i="82"/>
  <c r="A236" i="82"/>
  <c r="A237" i="82"/>
  <c r="A238" i="82"/>
  <c r="A239" i="82"/>
  <c r="A240" i="82"/>
  <c r="A241" i="82"/>
  <c r="A242" i="82"/>
  <c r="A243" i="82"/>
  <c r="A244" i="82"/>
  <c r="A245" i="82"/>
  <c r="A2" i="82"/>
  <c r="C47" i="106"/>
  <c r="D47" i="106"/>
  <c r="N2" i="82"/>
  <c r="N3" i="82"/>
  <c r="N4" i="82"/>
  <c r="N5" i="82"/>
  <c r="N6" i="82"/>
  <c r="N7" i="82"/>
  <c r="N8" i="82"/>
  <c r="N9" i="82"/>
  <c r="N10" i="82"/>
  <c r="N11" i="82"/>
  <c r="N12" i="82"/>
  <c r="N13" i="82"/>
  <c r="N14" i="82"/>
  <c r="N15" i="82"/>
  <c r="N16" i="82"/>
  <c r="N17" i="82"/>
  <c r="N18" i="82"/>
  <c r="N19" i="82"/>
  <c r="N20" i="82"/>
  <c r="N21" i="82"/>
  <c r="N22" i="82"/>
  <c r="N23" i="82"/>
  <c r="N24" i="82"/>
  <c r="N25" i="82"/>
  <c r="N26" i="82"/>
  <c r="N27" i="82"/>
  <c r="N28" i="82"/>
  <c r="N29" i="82"/>
  <c r="N30" i="82"/>
  <c r="N31" i="82"/>
  <c r="N32" i="82"/>
  <c r="N33" i="82"/>
  <c r="N34" i="82"/>
  <c r="N35" i="82"/>
  <c r="N36" i="82"/>
  <c r="N37" i="82"/>
  <c r="N38" i="82"/>
  <c r="N39" i="82"/>
  <c r="N40" i="82"/>
  <c r="N41" i="82"/>
  <c r="N42" i="82"/>
  <c r="N43" i="82"/>
  <c r="N44" i="82"/>
  <c r="N45" i="82"/>
  <c r="N46" i="82"/>
  <c r="N47" i="82"/>
  <c r="N48" i="82"/>
  <c r="N49" i="82"/>
  <c r="N50" i="82"/>
  <c r="N51" i="82"/>
  <c r="N52" i="82"/>
  <c r="N53" i="82"/>
  <c r="N54" i="82"/>
  <c r="N55" i="82"/>
  <c r="N56" i="82"/>
  <c r="N57" i="82"/>
  <c r="N58" i="82"/>
  <c r="N59" i="82"/>
  <c r="N60" i="82"/>
  <c r="N61" i="82"/>
  <c r="N62" i="82"/>
  <c r="N63" i="82"/>
  <c r="N64" i="82"/>
  <c r="N65" i="82"/>
  <c r="N66" i="82"/>
  <c r="N67" i="82"/>
  <c r="N68" i="82"/>
  <c r="N69" i="82"/>
  <c r="N70" i="82"/>
  <c r="N71" i="82"/>
  <c r="N72" i="82"/>
  <c r="N73" i="82"/>
  <c r="N74" i="82"/>
  <c r="N75" i="82"/>
  <c r="N76" i="82"/>
  <c r="N77" i="82"/>
  <c r="N78" i="82"/>
  <c r="N79" i="82"/>
  <c r="N80" i="82"/>
  <c r="N81" i="82"/>
  <c r="N82" i="82"/>
  <c r="N83" i="82"/>
  <c r="N84" i="82"/>
  <c r="N85" i="82"/>
  <c r="N86" i="82"/>
  <c r="N87" i="82"/>
  <c r="N88" i="82"/>
  <c r="N89" i="82"/>
  <c r="N90" i="82"/>
  <c r="N91" i="82"/>
  <c r="N92" i="82"/>
  <c r="N93" i="82"/>
  <c r="N94" i="82"/>
  <c r="N95" i="82"/>
  <c r="N96" i="82"/>
  <c r="N97" i="82"/>
  <c r="N98" i="82"/>
  <c r="N99" i="82"/>
  <c r="N100" i="82"/>
  <c r="N101" i="82"/>
  <c r="N102" i="82"/>
  <c r="N103" i="82"/>
  <c r="N104" i="82"/>
  <c r="N105" i="82"/>
  <c r="N106" i="82"/>
  <c r="N107" i="82"/>
  <c r="N108" i="82"/>
  <c r="N109" i="82"/>
  <c r="N110" i="82"/>
  <c r="N111" i="82"/>
  <c r="N112" i="82"/>
  <c r="N113" i="82"/>
  <c r="N114" i="82"/>
  <c r="N115" i="82"/>
  <c r="N116" i="82"/>
  <c r="N117" i="82"/>
  <c r="N118" i="82"/>
  <c r="N119" i="82"/>
  <c r="N120" i="82"/>
  <c r="N121" i="82"/>
  <c r="N122" i="82"/>
  <c r="N123" i="82"/>
  <c r="N124" i="82"/>
  <c r="N125" i="82"/>
  <c r="N126" i="82"/>
  <c r="N127" i="82"/>
  <c r="N128" i="82"/>
  <c r="N129" i="82"/>
  <c r="N130" i="82"/>
  <c r="N131" i="82"/>
  <c r="N132" i="82"/>
  <c r="N133" i="82"/>
  <c r="N134" i="82"/>
  <c r="N135" i="82"/>
  <c r="N136" i="82"/>
  <c r="N137" i="82"/>
  <c r="N138" i="82"/>
  <c r="N139" i="82"/>
  <c r="N140" i="82"/>
  <c r="N141" i="82"/>
  <c r="N142" i="82"/>
  <c r="N143" i="82"/>
  <c r="N144" i="82"/>
  <c r="N145" i="82"/>
  <c r="N146" i="82"/>
  <c r="N147" i="82"/>
  <c r="N148" i="82"/>
  <c r="N149" i="82"/>
  <c r="N150" i="82"/>
  <c r="N151" i="82"/>
  <c r="N152" i="82"/>
  <c r="N153" i="82"/>
  <c r="N154" i="82"/>
  <c r="N155" i="82"/>
  <c r="N156" i="82"/>
  <c r="N157" i="82"/>
  <c r="N158" i="82"/>
  <c r="N159" i="82"/>
  <c r="N160" i="82"/>
  <c r="N161" i="82"/>
  <c r="N162" i="82"/>
  <c r="N163" i="82"/>
  <c r="N164" i="82"/>
  <c r="N165" i="82"/>
  <c r="N166" i="82"/>
  <c r="N167" i="82"/>
  <c r="N168" i="82"/>
  <c r="N169" i="82"/>
  <c r="N170" i="82"/>
  <c r="N171" i="82"/>
  <c r="N172" i="82"/>
  <c r="N173" i="82"/>
  <c r="N174" i="82"/>
  <c r="N175" i="82"/>
  <c r="N176" i="82"/>
  <c r="N177" i="82"/>
  <c r="N178" i="82"/>
  <c r="N179" i="82"/>
  <c r="N180" i="82"/>
  <c r="N181" i="82"/>
  <c r="N182" i="82"/>
  <c r="N183" i="82"/>
  <c r="N184" i="82"/>
  <c r="N185" i="82"/>
  <c r="N186" i="82"/>
  <c r="N187" i="82"/>
  <c r="N188" i="82"/>
  <c r="N189" i="82"/>
  <c r="N190" i="82"/>
  <c r="N191" i="82"/>
  <c r="N192" i="82"/>
  <c r="N193" i="82"/>
  <c r="N194" i="82"/>
  <c r="N195" i="82"/>
  <c r="N196" i="82"/>
  <c r="N197" i="82"/>
  <c r="N198" i="82"/>
  <c r="N199" i="82"/>
  <c r="N200" i="82"/>
  <c r="N201" i="82"/>
  <c r="N202" i="82"/>
  <c r="N203" i="82"/>
  <c r="N204" i="82"/>
  <c r="N205" i="82"/>
  <c r="N206" i="82"/>
  <c r="N207" i="82"/>
  <c r="N208" i="82"/>
  <c r="N209" i="82"/>
  <c r="N210" i="82"/>
  <c r="N211" i="82"/>
  <c r="N212" i="82"/>
  <c r="N213" i="82"/>
  <c r="N214" i="82"/>
  <c r="N215" i="82"/>
  <c r="N216" i="82"/>
  <c r="N217" i="82"/>
  <c r="N218" i="82"/>
  <c r="N219" i="82"/>
  <c r="N220" i="82"/>
  <c r="N221" i="82"/>
  <c r="N222" i="82"/>
  <c r="N223" i="82"/>
  <c r="N224" i="82"/>
  <c r="N225" i="82"/>
  <c r="N226" i="82"/>
  <c r="N227" i="82"/>
  <c r="N228" i="82"/>
  <c r="N229" i="82"/>
  <c r="N230" i="82"/>
  <c r="N231" i="82"/>
  <c r="N232" i="82"/>
  <c r="N233" i="82"/>
  <c r="N234" i="82"/>
  <c r="N235" i="82"/>
  <c r="N236" i="82"/>
  <c r="N237" i="82"/>
  <c r="N238" i="82"/>
  <c r="N239" i="82"/>
  <c r="N240" i="82"/>
  <c r="N241" i="82"/>
  <c r="N242" i="82"/>
  <c r="N243" i="82"/>
  <c r="N244" i="82"/>
  <c r="N245" i="82"/>
  <c r="H236" i="82"/>
  <c r="L236" i="82"/>
  <c r="M236" i="82"/>
  <c r="H237" i="82"/>
  <c r="L237" i="82"/>
  <c r="M237" i="82"/>
  <c r="H238" i="82"/>
  <c r="L238" i="82"/>
  <c r="M238" i="82"/>
  <c r="H239" i="82"/>
  <c r="L239" i="82"/>
  <c r="M239" i="82"/>
  <c r="H240" i="82"/>
  <c r="L240" i="82"/>
  <c r="M240" i="82"/>
  <c r="H241" i="82"/>
  <c r="L241" i="82"/>
  <c r="M241" i="82"/>
  <c r="H242" i="82"/>
  <c r="L242" i="82"/>
  <c r="M242" i="82"/>
  <c r="H243" i="82"/>
  <c r="L243" i="82"/>
  <c r="M243" i="82"/>
  <c r="H244" i="82"/>
  <c r="L244" i="82"/>
  <c r="M244" i="82"/>
  <c r="H245" i="82"/>
  <c r="L245" i="82"/>
  <c r="M245" i="82"/>
  <c r="H225" i="82"/>
  <c r="L225" i="82"/>
  <c r="M225" i="82"/>
  <c r="H226" i="82"/>
  <c r="L226" i="82"/>
  <c r="M226" i="82"/>
  <c r="H227" i="82"/>
  <c r="L227" i="82"/>
  <c r="M227" i="82"/>
  <c r="H228" i="82"/>
  <c r="L228" i="82"/>
  <c r="M228" i="82"/>
  <c r="H229" i="82"/>
  <c r="L229" i="82"/>
  <c r="M229" i="82"/>
  <c r="H230" i="82"/>
  <c r="L230" i="82"/>
  <c r="M230" i="82"/>
  <c r="H231" i="82"/>
  <c r="L231" i="82"/>
  <c r="M231" i="82"/>
  <c r="H232" i="82"/>
  <c r="L232" i="82"/>
  <c r="M232" i="82"/>
  <c r="H233" i="82"/>
  <c r="L233" i="82"/>
  <c r="M233" i="82"/>
  <c r="H234" i="82"/>
  <c r="L234" i="82"/>
  <c r="M234" i="82"/>
  <c r="H235" i="82"/>
  <c r="L235" i="82"/>
  <c r="M235" i="82"/>
  <c r="M224" i="82"/>
  <c r="L224" i="82"/>
  <c r="H224" i="82"/>
  <c r="M223" i="82"/>
  <c r="L223" i="82"/>
  <c r="H223" i="82"/>
  <c r="M222" i="82"/>
  <c r="L222" i="82"/>
  <c r="H222" i="82"/>
  <c r="M221" i="82"/>
  <c r="L221" i="82"/>
  <c r="H221" i="82"/>
  <c r="M220" i="82"/>
  <c r="L220" i="82"/>
  <c r="H220" i="82"/>
  <c r="M219" i="82"/>
  <c r="L219" i="82"/>
  <c r="H219" i="82"/>
  <c r="M218" i="82"/>
  <c r="L218" i="82"/>
  <c r="H218" i="82"/>
  <c r="M217" i="82"/>
  <c r="L217" i="82"/>
  <c r="H217" i="82"/>
  <c r="M216" i="82"/>
  <c r="L216" i="82"/>
  <c r="H216" i="82"/>
  <c r="M215" i="82"/>
  <c r="L215" i="82"/>
  <c r="H215" i="82"/>
  <c r="M214" i="82"/>
  <c r="L214" i="82"/>
  <c r="H214" i="82"/>
  <c r="M213" i="82"/>
  <c r="L213" i="82"/>
  <c r="H213" i="82"/>
  <c r="M212" i="82"/>
  <c r="L212" i="82"/>
  <c r="H212" i="82"/>
  <c r="M211" i="82"/>
  <c r="L211" i="82"/>
  <c r="H211" i="82"/>
  <c r="M210" i="82"/>
  <c r="L210" i="82"/>
  <c r="H210" i="82"/>
  <c r="M209" i="82"/>
  <c r="L209" i="82"/>
  <c r="H209" i="82"/>
  <c r="M208" i="82"/>
  <c r="L208" i="82"/>
  <c r="H208" i="82"/>
  <c r="M207" i="82"/>
  <c r="L207" i="82"/>
  <c r="H207" i="82"/>
  <c r="M206" i="82"/>
  <c r="L206" i="82"/>
  <c r="H206" i="82"/>
  <c r="M205" i="82"/>
  <c r="L205" i="82"/>
  <c r="H205" i="82"/>
  <c r="M204" i="82"/>
  <c r="L204" i="82"/>
  <c r="H204" i="82"/>
  <c r="M203" i="82"/>
  <c r="L203" i="82"/>
  <c r="H203" i="82"/>
  <c r="M202" i="82"/>
  <c r="L202" i="82"/>
  <c r="H202" i="82"/>
  <c r="M201" i="82"/>
  <c r="L201" i="82"/>
  <c r="H201" i="82"/>
  <c r="M200" i="82"/>
  <c r="L200" i="82"/>
  <c r="H200" i="82"/>
  <c r="M199" i="82"/>
  <c r="L199" i="82"/>
  <c r="H199" i="82"/>
  <c r="M198" i="82"/>
  <c r="L198" i="82"/>
  <c r="H198" i="82"/>
  <c r="M197" i="82"/>
  <c r="L197" i="82"/>
  <c r="H197" i="82"/>
  <c r="M196" i="82"/>
  <c r="L196" i="82"/>
  <c r="H196" i="82"/>
  <c r="M195" i="82"/>
  <c r="L195" i="82"/>
  <c r="H195" i="82"/>
  <c r="M194" i="82"/>
  <c r="L194" i="82"/>
  <c r="H194" i="82"/>
  <c r="M193" i="82"/>
  <c r="L193" i="82"/>
  <c r="H193" i="82"/>
  <c r="M192" i="82"/>
  <c r="L192" i="82"/>
  <c r="H192" i="82"/>
  <c r="M191" i="82"/>
  <c r="L191" i="82"/>
  <c r="H191" i="82"/>
  <c r="M190" i="82"/>
  <c r="L190" i="82"/>
  <c r="H190" i="82"/>
  <c r="M189" i="82"/>
  <c r="L189" i="82"/>
  <c r="H189" i="82"/>
  <c r="M188" i="82"/>
  <c r="L188" i="82"/>
  <c r="H188" i="82"/>
  <c r="M187" i="82"/>
  <c r="L187" i="82"/>
  <c r="H187" i="82"/>
  <c r="M186" i="82"/>
  <c r="L186" i="82"/>
  <c r="H186" i="82"/>
  <c r="M185" i="82"/>
  <c r="L185" i="82"/>
  <c r="H185" i="82"/>
  <c r="M184" i="82"/>
  <c r="L184" i="82"/>
  <c r="H184" i="82"/>
  <c r="M183" i="82"/>
  <c r="L183" i="82"/>
  <c r="H183" i="82"/>
  <c r="M182" i="82"/>
  <c r="L182" i="82"/>
  <c r="H182" i="82"/>
  <c r="M181" i="82"/>
  <c r="L181" i="82"/>
  <c r="H181" i="82"/>
  <c r="M180" i="82"/>
  <c r="L180" i="82"/>
  <c r="H180" i="82"/>
  <c r="M179" i="82"/>
  <c r="L179" i="82"/>
  <c r="H179" i="82"/>
  <c r="M178" i="82"/>
  <c r="L178" i="82"/>
  <c r="H178" i="82"/>
  <c r="M177" i="82"/>
  <c r="L177" i="82"/>
  <c r="H177" i="82"/>
  <c r="M176" i="82"/>
  <c r="L176" i="82"/>
  <c r="H176" i="82"/>
  <c r="M175" i="82"/>
  <c r="L175" i="82"/>
  <c r="H175" i="82"/>
  <c r="M174" i="82"/>
  <c r="L174" i="82"/>
  <c r="H174" i="82"/>
  <c r="M173" i="82"/>
  <c r="L173" i="82"/>
  <c r="H173" i="82"/>
  <c r="M172" i="82"/>
  <c r="L172" i="82"/>
  <c r="H172" i="82"/>
  <c r="M171" i="82"/>
  <c r="L171" i="82"/>
  <c r="H171" i="82"/>
  <c r="M170" i="82"/>
  <c r="L170" i="82"/>
  <c r="H170" i="82"/>
  <c r="M169" i="82"/>
  <c r="L169" i="82"/>
  <c r="H169" i="82"/>
  <c r="M168" i="82"/>
  <c r="L168" i="82"/>
  <c r="H168" i="82"/>
  <c r="M167" i="82"/>
  <c r="L167" i="82"/>
  <c r="H167" i="82"/>
  <c r="M166" i="82"/>
  <c r="L166" i="82"/>
  <c r="H166" i="82"/>
  <c r="M165" i="82"/>
  <c r="L165" i="82"/>
  <c r="H165" i="82"/>
  <c r="M164" i="82"/>
  <c r="L164" i="82"/>
  <c r="H164" i="82"/>
  <c r="M163" i="82"/>
  <c r="L163" i="82"/>
  <c r="H163" i="82"/>
  <c r="M162" i="82"/>
  <c r="L162" i="82"/>
  <c r="H162" i="82"/>
  <c r="M161" i="82"/>
  <c r="L161" i="82"/>
  <c r="H161" i="82"/>
  <c r="M160" i="82"/>
  <c r="L160" i="82"/>
  <c r="H160" i="82"/>
  <c r="M159" i="82"/>
  <c r="L159" i="82"/>
  <c r="H159" i="82"/>
  <c r="M158" i="82"/>
  <c r="L158" i="82"/>
  <c r="H158" i="82"/>
  <c r="M157" i="82"/>
  <c r="L157" i="82"/>
  <c r="H157" i="82"/>
  <c r="M156" i="82"/>
  <c r="L156" i="82"/>
  <c r="H156" i="82"/>
  <c r="M155" i="82"/>
  <c r="L155" i="82"/>
  <c r="H155" i="82"/>
  <c r="M154" i="82"/>
  <c r="L154" i="82"/>
  <c r="H154" i="82"/>
  <c r="M153" i="82"/>
  <c r="L153" i="82"/>
  <c r="H153" i="82"/>
  <c r="M152" i="82"/>
  <c r="L152" i="82"/>
  <c r="H152" i="82"/>
  <c r="M151" i="82"/>
  <c r="L151" i="82"/>
  <c r="H151" i="82"/>
  <c r="M150" i="82"/>
  <c r="L150" i="82"/>
  <c r="H150" i="82"/>
  <c r="M149" i="82"/>
  <c r="L149" i="82"/>
  <c r="H149" i="82"/>
  <c r="M148" i="82"/>
  <c r="L148" i="82"/>
  <c r="H148" i="82"/>
  <c r="M147" i="82"/>
  <c r="L147" i="82"/>
  <c r="H147" i="82"/>
  <c r="M146" i="82"/>
  <c r="L146" i="82"/>
  <c r="H146" i="82"/>
  <c r="M145" i="82"/>
  <c r="L145" i="82"/>
  <c r="H145" i="82"/>
  <c r="M144" i="82"/>
  <c r="L144" i="82"/>
  <c r="H144" i="82"/>
  <c r="M143" i="82"/>
  <c r="L143" i="82"/>
  <c r="H143" i="82"/>
  <c r="M142" i="82"/>
  <c r="L142" i="82"/>
  <c r="H142" i="82"/>
  <c r="M141" i="82"/>
  <c r="L141" i="82"/>
  <c r="H141" i="82"/>
  <c r="M140" i="82"/>
  <c r="L140" i="82"/>
  <c r="H140" i="82"/>
  <c r="M139" i="82"/>
  <c r="L139" i="82"/>
  <c r="H139" i="82"/>
  <c r="M138" i="82"/>
  <c r="L138" i="82"/>
  <c r="H138" i="82"/>
  <c r="M137" i="82"/>
  <c r="L137" i="82"/>
  <c r="H137" i="82"/>
  <c r="M136" i="82"/>
  <c r="L136" i="82"/>
  <c r="H136" i="82"/>
  <c r="M135" i="82"/>
  <c r="L135" i="82"/>
  <c r="H135" i="82"/>
  <c r="M134" i="82"/>
  <c r="L134" i="82"/>
  <c r="H134" i="82"/>
  <c r="M133" i="82"/>
  <c r="L133" i="82"/>
  <c r="H133" i="82"/>
  <c r="M132" i="82"/>
  <c r="L132" i="82"/>
  <c r="H132" i="82"/>
  <c r="M131" i="82"/>
  <c r="L131" i="82"/>
  <c r="H131" i="82"/>
  <c r="M130" i="82"/>
  <c r="L130" i="82"/>
  <c r="H130" i="82"/>
  <c r="M129" i="82"/>
  <c r="L129" i="82"/>
  <c r="H129" i="82"/>
  <c r="M128" i="82"/>
  <c r="L128" i="82"/>
  <c r="H128" i="82"/>
  <c r="M127" i="82"/>
  <c r="L127" i="82"/>
  <c r="H127" i="82"/>
  <c r="M126" i="82"/>
  <c r="L126" i="82"/>
  <c r="H126" i="82"/>
  <c r="M125" i="82"/>
  <c r="L125" i="82"/>
  <c r="H125" i="82"/>
  <c r="M124" i="82"/>
  <c r="L124" i="82"/>
  <c r="H124" i="82"/>
  <c r="M123" i="82"/>
  <c r="L123" i="82"/>
  <c r="H123" i="82"/>
  <c r="M122" i="82"/>
  <c r="L122" i="82"/>
  <c r="H122" i="82"/>
  <c r="M121" i="82"/>
  <c r="L121" i="82"/>
  <c r="H121" i="82"/>
  <c r="M120" i="82"/>
  <c r="L120" i="82"/>
  <c r="H120" i="82"/>
  <c r="M119" i="82"/>
  <c r="L119" i="82"/>
  <c r="H119" i="82"/>
  <c r="M118" i="82"/>
  <c r="L118" i="82"/>
  <c r="H118" i="82"/>
  <c r="M117" i="82"/>
  <c r="L117" i="82"/>
  <c r="H117" i="82"/>
  <c r="M116" i="82"/>
  <c r="L116" i="82"/>
  <c r="H116" i="82"/>
  <c r="M115" i="82"/>
  <c r="L115" i="82"/>
  <c r="H115" i="82"/>
  <c r="M114" i="82"/>
  <c r="L114" i="82"/>
  <c r="H114" i="82"/>
  <c r="M113" i="82"/>
  <c r="L113" i="82"/>
  <c r="H113" i="82"/>
  <c r="M112" i="82"/>
  <c r="L112" i="82"/>
  <c r="H112" i="82"/>
  <c r="M111" i="82"/>
  <c r="L111" i="82"/>
  <c r="H111" i="82"/>
  <c r="M110" i="82"/>
  <c r="L110" i="82"/>
  <c r="H110" i="82"/>
  <c r="M109" i="82"/>
  <c r="L109" i="82"/>
  <c r="H109" i="82"/>
  <c r="M108" i="82"/>
  <c r="L108" i="82"/>
  <c r="H108" i="82"/>
  <c r="M107" i="82"/>
  <c r="L107" i="82"/>
  <c r="H107" i="82"/>
  <c r="M106" i="82"/>
  <c r="L106" i="82"/>
  <c r="H106" i="82"/>
  <c r="M105" i="82"/>
  <c r="L105" i="82"/>
  <c r="H105" i="82"/>
  <c r="M104" i="82"/>
  <c r="L104" i="82"/>
  <c r="H104" i="82"/>
  <c r="M103" i="82"/>
  <c r="L103" i="82"/>
  <c r="H103" i="82"/>
  <c r="M102" i="82"/>
  <c r="L102" i="82"/>
  <c r="H102" i="82"/>
  <c r="M101" i="82"/>
  <c r="L101" i="82"/>
  <c r="H101" i="82"/>
  <c r="M100" i="82"/>
  <c r="L100" i="82"/>
  <c r="H100" i="82"/>
  <c r="M99" i="82"/>
  <c r="L99" i="82"/>
  <c r="H99" i="82"/>
  <c r="M98" i="82"/>
  <c r="L98" i="82"/>
  <c r="H98" i="82"/>
  <c r="M97" i="82"/>
  <c r="L97" i="82"/>
  <c r="H97" i="82"/>
  <c r="M96" i="82"/>
  <c r="L96" i="82"/>
  <c r="H96" i="82"/>
  <c r="M95" i="82"/>
  <c r="L95" i="82"/>
  <c r="H95" i="82"/>
  <c r="M94" i="82"/>
  <c r="L94" i="82"/>
  <c r="H94" i="82"/>
  <c r="M93" i="82"/>
  <c r="L93" i="82"/>
  <c r="H93" i="82"/>
  <c r="M92" i="82"/>
  <c r="L92" i="82"/>
  <c r="H92" i="82"/>
  <c r="M91" i="82"/>
  <c r="L91" i="82"/>
  <c r="H91" i="82"/>
  <c r="M90" i="82"/>
  <c r="L90" i="82"/>
  <c r="H90" i="82"/>
  <c r="M89" i="82"/>
  <c r="L89" i="82"/>
  <c r="H89" i="82"/>
  <c r="M88" i="82"/>
  <c r="L88" i="82"/>
  <c r="H88" i="82"/>
  <c r="M87" i="82"/>
  <c r="L87" i="82"/>
  <c r="H87" i="82"/>
  <c r="M86" i="82"/>
  <c r="L86" i="82"/>
  <c r="H86" i="82"/>
  <c r="M85" i="82"/>
  <c r="L85" i="82"/>
  <c r="H85" i="82"/>
  <c r="M84" i="82"/>
  <c r="L84" i="82"/>
  <c r="H84" i="82"/>
  <c r="M83" i="82"/>
  <c r="L83" i="82"/>
  <c r="H83" i="82"/>
  <c r="M82" i="82"/>
  <c r="L82" i="82"/>
  <c r="H82" i="82"/>
  <c r="M81" i="82"/>
  <c r="L81" i="82"/>
  <c r="H81" i="82"/>
  <c r="M80" i="82"/>
  <c r="L80" i="82"/>
  <c r="H80" i="82"/>
  <c r="M79" i="82"/>
  <c r="L79" i="82"/>
  <c r="H79" i="82"/>
  <c r="M78" i="82"/>
  <c r="L78" i="82"/>
  <c r="H78" i="82"/>
  <c r="M77" i="82"/>
  <c r="L77" i="82"/>
  <c r="H77" i="82"/>
  <c r="M76" i="82"/>
  <c r="L76" i="82"/>
  <c r="H76" i="82"/>
  <c r="M75" i="82"/>
  <c r="L75" i="82"/>
  <c r="H75" i="82"/>
  <c r="M74" i="82"/>
  <c r="L74" i="82"/>
  <c r="H74" i="82"/>
  <c r="M73" i="82"/>
  <c r="L73" i="82"/>
  <c r="H73" i="82"/>
  <c r="M72" i="82"/>
  <c r="L72" i="82"/>
  <c r="H72" i="82"/>
  <c r="M71" i="82"/>
  <c r="L71" i="82"/>
  <c r="H71" i="82"/>
  <c r="M70" i="82"/>
  <c r="L70" i="82"/>
  <c r="H70" i="82"/>
  <c r="M69" i="82"/>
  <c r="L69" i="82"/>
  <c r="H69" i="82"/>
  <c r="M68" i="82"/>
  <c r="L68" i="82"/>
  <c r="H68" i="82"/>
  <c r="M67" i="82"/>
  <c r="L67" i="82"/>
  <c r="H67" i="82"/>
  <c r="M66" i="82"/>
  <c r="L66" i="82"/>
  <c r="H66" i="82"/>
  <c r="M65" i="82"/>
  <c r="L65" i="82"/>
  <c r="H65" i="82"/>
  <c r="M64" i="82"/>
  <c r="L64" i="82"/>
  <c r="H64" i="82"/>
  <c r="M63" i="82"/>
  <c r="L63" i="82"/>
  <c r="H63" i="82"/>
  <c r="M62" i="82"/>
  <c r="L62" i="82"/>
  <c r="H62" i="82"/>
  <c r="M61" i="82"/>
  <c r="L61" i="82"/>
  <c r="H61" i="82"/>
  <c r="M60" i="82"/>
  <c r="L60" i="82"/>
  <c r="H60" i="82"/>
  <c r="M59" i="82"/>
  <c r="L59" i="82"/>
  <c r="H59" i="82"/>
  <c r="M58" i="82"/>
  <c r="L58" i="82"/>
  <c r="H58" i="82"/>
  <c r="M57" i="82"/>
  <c r="L57" i="82"/>
  <c r="H57" i="82"/>
  <c r="M56" i="82"/>
  <c r="L56" i="82"/>
  <c r="H56" i="82"/>
  <c r="M55" i="82"/>
  <c r="L55" i="82"/>
  <c r="H55" i="82"/>
  <c r="M54" i="82"/>
  <c r="L54" i="82"/>
  <c r="H54" i="82"/>
  <c r="M53" i="82"/>
  <c r="L53" i="82"/>
  <c r="H53" i="82"/>
  <c r="M52" i="82"/>
  <c r="L52" i="82"/>
  <c r="H52" i="82"/>
  <c r="M51" i="82"/>
  <c r="L51" i="82"/>
  <c r="H51" i="82"/>
  <c r="M50" i="82"/>
  <c r="L50" i="82"/>
  <c r="H50" i="82"/>
  <c r="M49" i="82"/>
  <c r="L49" i="82"/>
  <c r="H49" i="82"/>
  <c r="M48" i="82"/>
  <c r="L48" i="82"/>
  <c r="H48" i="82"/>
  <c r="M47" i="82"/>
  <c r="L47" i="82"/>
  <c r="H47" i="82"/>
  <c r="M46" i="82"/>
  <c r="L46" i="82"/>
  <c r="H46" i="82"/>
  <c r="M45" i="82"/>
  <c r="L45" i="82"/>
  <c r="H45" i="82"/>
  <c r="M44" i="82"/>
  <c r="L44" i="82"/>
  <c r="H44" i="82"/>
  <c r="M43" i="82"/>
  <c r="L43" i="82"/>
  <c r="H43" i="82"/>
  <c r="M42" i="82"/>
  <c r="L42" i="82"/>
  <c r="H42" i="82"/>
  <c r="M41" i="82"/>
  <c r="L41" i="82"/>
  <c r="H41" i="82"/>
  <c r="M40" i="82"/>
  <c r="L40" i="82"/>
  <c r="H40" i="82"/>
  <c r="M39" i="82"/>
  <c r="L39" i="82"/>
  <c r="H39" i="82"/>
  <c r="M38" i="82"/>
  <c r="L38" i="82"/>
  <c r="H38" i="82"/>
  <c r="M37" i="82"/>
  <c r="L37" i="82"/>
  <c r="H37" i="82"/>
  <c r="M36" i="82"/>
  <c r="L36" i="82"/>
  <c r="H36" i="82"/>
  <c r="M35" i="82"/>
  <c r="L35" i="82"/>
  <c r="H35" i="82"/>
  <c r="M34" i="82"/>
  <c r="L34" i="82"/>
  <c r="H34" i="82"/>
  <c r="M33" i="82"/>
  <c r="L33" i="82"/>
  <c r="H33" i="82"/>
  <c r="M32" i="82"/>
  <c r="L32" i="82"/>
  <c r="H32" i="82"/>
  <c r="M31" i="82"/>
  <c r="L31" i="82"/>
  <c r="H31" i="82"/>
  <c r="M30" i="82"/>
  <c r="L30" i="82"/>
  <c r="H30" i="82"/>
  <c r="M29" i="82"/>
  <c r="L29" i="82"/>
  <c r="H29" i="82"/>
  <c r="M28" i="82"/>
  <c r="L28" i="82"/>
  <c r="H28" i="82"/>
  <c r="M27" i="82"/>
  <c r="L27" i="82"/>
  <c r="H27" i="82"/>
  <c r="M26" i="82"/>
  <c r="L26" i="82"/>
  <c r="H26" i="82"/>
  <c r="M25" i="82"/>
  <c r="L25" i="82"/>
  <c r="H25" i="82"/>
  <c r="M24" i="82"/>
  <c r="L24" i="82"/>
  <c r="H24" i="82"/>
  <c r="M23" i="82"/>
  <c r="L23" i="82"/>
  <c r="H23" i="82"/>
  <c r="M22" i="82"/>
  <c r="L22" i="82"/>
  <c r="H22" i="82"/>
  <c r="M21" i="82"/>
  <c r="L21" i="82"/>
  <c r="H21" i="82"/>
  <c r="M20" i="82"/>
  <c r="L20" i="82"/>
  <c r="H20" i="82"/>
  <c r="M19" i="82"/>
  <c r="L19" i="82"/>
  <c r="H19" i="82"/>
  <c r="M18" i="82"/>
  <c r="L18" i="82"/>
  <c r="H18" i="82"/>
  <c r="M17" i="82"/>
  <c r="L17" i="82"/>
  <c r="H17" i="82"/>
  <c r="M16" i="82"/>
  <c r="L16" i="82"/>
  <c r="H16" i="82"/>
  <c r="M15" i="82"/>
  <c r="L15" i="82"/>
  <c r="H15" i="82"/>
  <c r="M14" i="82"/>
  <c r="L14" i="82"/>
  <c r="H14" i="82"/>
  <c r="M13" i="82"/>
  <c r="L13" i="82"/>
  <c r="H13" i="82"/>
  <c r="M12" i="82"/>
  <c r="L12" i="82"/>
  <c r="H12" i="82"/>
  <c r="M11" i="82"/>
  <c r="L11" i="82"/>
  <c r="H11" i="82"/>
  <c r="M10" i="82"/>
  <c r="L10" i="82"/>
  <c r="H10" i="82"/>
  <c r="M9" i="82"/>
  <c r="L9" i="82"/>
  <c r="H9" i="82"/>
  <c r="M8" i="82"/>
  <c r="L8" i="82"/>
  <c r="H8" i="82"/>
  <c r="M7" i="82"/>
  <c r="L7" i="82"/>
  <c r="H7" i="82"/>
  <c r="M6" i="82"/>
  <c r="L6" i="82"/>
  <c r="H6" i="82"/>
  <c r="M5" i="82"/>
  <c r="L5" i="82"/>
  <c r="H5" i="82"/>
  <c r="M4" i="82"/>
  <c r="L4" i="82"/>
  <c r="H4" i="82"/>
  <c r="M3" i="82"/>
  <c r="L3" i="82"/>
  <c r="H3" i="82"/>
  <c r="M2" i="82"/>
  <c r="L2" i="82"/>
  <c r="H2" i="82"/>
  <c r="E7" i="103"/>
  <c r="E6" i="103"/>
  <c r="E5" i="103"/>
  <c r="E2" i="103"/>
</calcChain>
</file>

<file path=xl/comments1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3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4.xml><?xml version="1.0" encoding="utf-8"?>
<comments xmlns="http://schemas.openxmlformats.org/spreadsheetml/2006/main">
  <authors>
    <author>加藤 雅大</author>
    <author>鷲見 政明</author>
  </authors>
  <commentList>
    <comment ref="B1" authorId="0">
      <text>
        <r>
          <rPr>
            <b/>
            <sz val="10"/>
            <color indexed="81"/>
            <rFont val="ＭＳ Ｐゴシック"/>
            <family val="3"/>
            <charset val="128"/>
          </rPr>
          <t>加藤 雅大:
ガチャ：
ガチャid3桁+識別子2桁でと思います
ランキング:
ランキングid5桁+識別子2桁
パック販売：
70000 + 識別子2桁</t>
        </r>
      </text>
    </comment>
    <comment ref="F1" authorId="1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<sst xmlns="http://schemas.openxmlformats.org/spreadsheetml/2006/main" count="818" uniqueCount="247">
  <si>
    <t>character_id</t>
  </si>
  <si>
    <t>character_id</t>
    <phoneticPr fontId="17"/>
  </si>
  <si>
    <t>weight</t>
    <phoneticPr fontId="17"/>
  </si>
  <si>
    <t>unit_level</t>
  </si>
  <si>
    <t>weight</t>
  </si>
  <si>
    <t>hp_plus</t>
  </si>
  <si>
    <t>attack_plus</t>
  </si>
  <si>
    <t>defense_plus</t>
  </si>
  <si>
    <t>heal_plus</t>
  </si>
  <si>
    <t>bug</t>
  </si>
  <si>
    <t>bonus_table_no</t>
    <phoneticPr fontId="17"/>
  </si>
  <si>
    <t>bonus_table_no</t>
    <phoneticPr fontId="17"/>
  </si>
  <si>
    <t>weight</t>
    <phoneticPr fontId="17"/>
  </si>
  <si>
    <t>gift_id</t>
    <phoneticPr fontId="17"/>
  </si>
  <si>
    <t>gift_id</t>
    <phoneticPr fontId="17"/>
  </si>
  <si>
    <t>gift_type</t>
    <phoneticPr fontId="17"/>
  </si>
  <si>
    <t>gift_value</t>
    <phoneticPr fontId="17"/>
  </si>
  <si>
    <t>gift_count</t>
    <phoneticPr fontId="17"/>
  </si>
  <si>
    <t>language</t>
    <phoneticPr fontId="17"/>
  </si>
  <si>
    <t>title</t>
    <phoneticPr fontId="17"/>
  </si>
  <si>
    <t>detail</t>
    <phoneticPr fontId="17"/>
  </si>
  <si>
    <t>message</t>
    <phoneticPr fontId="17"/>
  </si>
  <si>
    <t>gift_id</t>
    <phoneticPr fontId="17"/>
  </si>
  <si>
    <t>gift_value</t>
    <phoneticPr fontId="17"/>
  </si>
  <si>
    <t>gift_value</t>
    <phoneticPr fontId="17"/>
  </si>
  <si>
    <t>gift_count</t>
    <phoneticPr fontId="17"/>
  </si>
  <si>
    <t>language</t>
    <phoneticPr fontId="17"/>
  </si>
  <si>
    <t>title</t>
    <phoneticPr fontId="17"/>
  </si>
  <si>
    <t>detail</t>
    <phoneticPr fontId="17"/>
  </si>
  <si>
    <t>message</t>
    <phoneticPr fontId="17"/>
  </si>
  <si>
    <t>gift_type</t>
    <phoneticPr fontId="17"/>
  </si>
  <si>
    <t>備考</t>
    <rPh sb="0" eb="2">
      <t>ビコウ</t>
    </rPh>
    <phoneticPr fontId="17"/>
  </si>
  <si>
    <t>character_id</t>
    <phoneticPr fontId="17"/>
  </si>
  <si>
    <t>name</t>
    <phoneticPr fontId="17"/>
  </si>
  <si>
    <t>drop_label</t>
    <phoneticPr fontId="17"/>
  </si>
  <si>
    <t>rare</t>
    <phoneticPr fontId="17"/>
  </si>
  <si>
    <t>character_type_id</t>
    <phoneticPr fontId="17"/>
  </si>
  <si>
    <t>character_tribe_id</t>
    <phoneticPr fontId="17"/>
  </si>
  <si>
    <t>unit_level</t>
    <phoneticPr fontId="17"/>
  </si>
  <si>
    <t>weight</t>
    <phoneticPr fontId="17"/>
  </si>
  <si>
    <t>接頭語</t>
    <rPh sb="0" eb="3">
      <t>セットウゴ</t>
    </rPh>
    <phoneticPr fontId="50"/>
  </si>
  <si>
    <t>識別子</t>
    <rPh sb="0" eb="3">
      <t>シキベツシ</t>
    </rPh>
    <phoneticPr fontId="50"/>
  </si>
  <si>
    <t>形式</t>
    <rPh sb="0" eb="2">
      <t>ケイシキ</t>
    </rPh>
    <phoneticPr fontId="50"/>
  </si>
  <si>
    <t>出力ファイル名</t>
    <rPh sb="0" eb="2">
      <t>シュツリョク</t>
    </rPh>
    <rPh sb="6" eb="7">
      <t>メイ</t>
    </rPh>
    <phoneticPr fontId="50"/>
  </si>
  <si>
    <t>入力シート名</t>
    <rPh sb="0" eb="2">
      <t>ニュウリョク</t>
    </rPh>
    <rPh sb="5" eb="6">
      <t>メイ</t>
    </rPh>
    <phoneticPr fontId="50"/>
  </si>
  <si>
    <t>出力データ</t>
    <rPh sb="0" eb="2">
      <t>シュツリョク</t>
    </rPh>
    <phoneticPr fontId="50"/>
  </si>
  <si>
    <t>.tmp</t>
    <phoneticPr fontId="50"/>
  </si>
  <si>
    <t>.tmp</t>
    <phoneticPr fontId="50"/>
  </si>
  <si>
    <t>gacha_bonus_tables</t>
    <phoneticPr fontId="50"/>
  </si>
  <si>
    <t>gifts_tmp_</t>
    <phoneticPr fontId="17"/>
  </si>
  <si>
    <t>gifts_i18n_</t>
    <phoneticPr fontId="17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</si>
  <si>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17"/>
  </si>
  <si>
    <t>出力flg</t>
    <rPh sb="0" eb="2">
      <t>シュツリョク</t>
    </rPh>
    <phoneticPr fontId="50"/>
  </si>
  <si>
    <t>color</t>
    <phoneticPr fontId="17"/>
  </si>
  <si>
    <t>skip</t>
    <phoneticPr fontId="17"/>
  </si>
  <si>
    <t>レアリティ別確率</t>
    <rPh sb="5" eb="6">
      <t>ベツ</t>
    </rPh>
    <rPh sb="6" eb="8">
      <t>カクリツ</t>
    </rPh>
    <phoneticPr fontId="17"/>
  </si>
  <si>
    <t>ラベル別確率</t>
    <rPh sb="3" eb="4">
      <t>ベツ</t>
    </rPh>
    <rPh sb="4" eb="6">
      <t>カクリツ</t>
    </rPh>
    <phoneticPr fontId="17"/>
  </si>
  <si>
    <t>SSS</t>
    <phoneticPr fontId="17"/>
  </si>
  <si>
    <t>SS</t>
    <phoneticPr fontId="17"/>
  </si>
  <si>
    <t>hogehoge</t>
    <phoneticPr fontId="17"/>
  </si>
  <si>
    <t>ラベル*レアリティ標準確率</t>
    <rPh sb="9" eb="11">
      <t>ヒョウジュン</t>
    </rPh>
    <rPh sb="11" eb="13">
      <t>カクリツ</t>
    </rPh>
    <phoneticPr fontId="17"/>
  </si>
  <si>
    <t>性別</t>
    <rPh sb="0" eb="2">
      <t>セイベツ</t>
    </rPh>
    <phoneticPr fontId="17"/>
  </si>
  <si>
    <t>合計</t>
    <rPh sb="0" eb="2">
      <t>ゴウケイ</t>
    </rPh>
    <phoneticPr fontId="17"/>
  </si>
  <si>
    <t>グループ</t>
    <phoneticPr fontId="17"/>
  </si>
  <si>
    <t>ピックアップ確率</t>
    <rPh sb="6" eb="8">
      <t>カクリツ</t>
    </rPh>
    <phoneticPr fontId="17"/>
  </si>
  <si>
    <t>残り確率</t>
    <rPh sb="0" eb="1">
      <t>ノコ</t>
    </rPh>
    <rPh sb="2" eb="4">
      <t>カクリツ</t>
    </rPh>
    <phoneticPr fontId="17"/>
  </si>
  <si>
    <t>確率</t>
    <rPh sb="0" eb="2">
      <t>カクリツ</t>
    </rPh>
    <phoneticPr fontId="17"/>
  </si>
  <si>
    <t>所属グループ</t>
    <rPh sb="0" eb="2">
      <t>ショゾク</t>
    </rPh>
    <phoneticPr fontId="17"/>
  </si>
  <si>
    <t>名前</t>
    <rPh sb="0" eb="2">
      <t>ナマエ</t>
    </rPh>
    <phoneticPr fontId="17"/>
  </si>
  <si>
    <t>レアリティ</t>
    <phoneticPr fontId="17"/>
  </si>
  <si>
    <t>ラベル</t>
    <phoneticPr fontId="17"/>
  </si>
  <si>
    <t>R3</t>
    <phoneticPr fontId="17"/>
  </si>
  <si>
    <t>R4</t>
    <phoneticPr fontId="17"/>
  </si>
  <si>
    <t>R5</t>
    <phoneticPr fontId="17"/>
  </si>
  <si>
    <t>個別確率</t>
    <rPh sb="0" eb="4">
      <t>コベツカクリツ</t>
    </rPh>
    <phoneticPr fontId="17"/>
  </si>
  <si>
    <t>該当数(ピックアップ除く)</t>
    <rPh sb="0" eb="2">
      <t>ガイトウ</t>
    </rPh>
    <rPh sb="2" eb="3">
      <t>スウ</t>
    </rPh>
    <rPh sb="10" eb="11">
      <t>ノゾ</t>
    </rPh>
    <phoneticPr fontId="17"/>
  </si>
  <si>
    <t>個別weight</t>
    <rPh sb="0" eb="2">
      <t>コベツ</t>
    </rPh>
    <phoneticPr fontId="17"/>
  </si>
  <si>
    <t>グループweight</t>
    <phoneticPr fontId="17"/>
  </si>
  <si>
    <t>端数</t>
    <rPh sb="0" eb="2">
      <t>ハスウ</t>
    </rPh>
    <phoneticPr fontId="17"/>
  </si>
  <si>
    <t>確率</t>
    <rPh sb="0" eb="2">
      <t>カクリツ</t>
    </rPh>
    <phoneticPr fontId="17"/>
  </si>
  <si>
    <t>--検算用--</t>
    <rPh sb="3" eb="6">
      <t>ケンザンヨウ</t>
    </rPh>
    <phoneticPr fontId="17"/>
  </si>
  <si>
    <t>端数逆数</t>
    <rPh sb="0" eb="2">
      <t>ハスウ</t>
    </rPh>
    <rPh sb="2" eb="4">
      <t>ギャクスウ</t>
    </rPh>
    <phoneticPr fontId="17"/>
  </si>
  <si>
    <t>テーブルを増やしたい場合</t>
    <rPh sb="5" eb="6">
      <t>フ</t>
    </rPh>
    <rPh sb="10" eb="12">
      <t>バアイ</t>
    </rPh>
    <phoneticPr fontId="17"/>
  </si>
  <si>
    <t>１．Inputのシートを複製する（名前は一意につける）</t>
    <rPh sb="12" eb="14">
      <t>フクセイ</t>
    </rPh>
    <rPh sb="17" eb="19">
      <t>ナマエ</t>
    </rPh>
    <rPh sb="20" eb="22">
      <t>イチイ</t>
    </rPh>
    <phoneticPr fontId="17"/>
  </si>
  <si>
    <t>２．tablesのシートを複製する（名前は一意につける）</t>
    <rPh sb="13" eb="15">
      <t>フクセイ</t>
    </rPh>
    <rPh sb="18" eb="20">
      <t>ナマエ</t>
    </rPh>
    <rPh sb="21" eb="23">
      <t>イチイ</t>
    </rPh>
    <phoneticPr fontId="17"/>
  </si>
  <si>
    <t>３．outputシートで２で作ったtablesを指定する</t>
    <rPh sb="14" eb="15">
      <t>ツク</t>
    </rPh>
    <rPh sb="24" eb="26">
      <t>シテイ</t>
    </rPh>
    <phoneticPr fontId="17"/>
  </si>
  <si>
    <t>テーブルid</t>
    <phoneticPr fontId="17"/>
  </si>
  <si>
    <t>→ピックアップの確率は右のほうにいます</t>
    <rPh sb="8" eb="10">
      <t>カクリツ</t>
    </rPh>
    <rPh sb="11" eb="12">
      <t>ミギ</t>
    </rPh>
    <phoneticPr fontId="17"/>
  </si>
  <si>
    <t>table_no</t>
    <phoneticPr fontId="17"/>
  </si>
  <si>
    <t>table_no</t>
    <phoneticPr fontId="17"/>
  </si>
  <si>
    <t>skill_level</t>
  </si>
  <si>
    <t>level</t>
  </si>
  <si>
    <t>hp_plus</t>
    <phoneticPr fontId="50"/>
  </si>
  <si>
    <t>attack_plus</t>
    <phoneticPr fontId="50"/>
  </si>
  <si>
    <t>heal_plus</t>
    <phoneticPr fontId="50"/>
  </si>
  <si>
    <t>defense_plus</t>
    <phoneticPr fontId="50"/>
  </si>
  <si>
    <t>level</t>
    <phoneticPr fontId="50"/>
  </si>
  <si>
    <t>skill_level</t>
    <phoneticPr fontId="50"/>
  </si>
  <si>
    <t>bug</t>
    <phoneticPr fontId="50"/>
  </si>
  <si>
    <t>ja</t>
    <phoneticPr fontId="17"/>
  </si>
  <si>
    <t>drop_label2</t>
    <phoneticPr fontId="17"/>
  </si>
  <si>
    <t>Premium</t>
    <phoneticPr fontId="17"/>
  </si>
  <si>
    <t>Premium3</t>
    <phoneticPr fontId="17"/>
  </si>
  <si>
    <t>Premium4</t>
    <phoneticPr fontId="17"/>
  </si>
  <si>
    <t>Premium5</t>
    <phoneticPr fontId="17"/>
  </si>
  <si>
    <t>グループ確率</t>
    <rPh sb="4" eb="6">
      <t>カクリツ</t>
    </rPh>
    <phoneticPr fontId="17"/>
  </si>
  <si>
    <t>レア度別確率</t>
    <rPh sb="2" eb="4">
      <t>ドベツ</t>
    </rPh>
    <rPh sb="4" eb="6">
      <t>カクリツ</t>
    </rPh>
    <phoneticPr fontId="17"/>
  </si>
  <si>
    <t>ラベル別確率</t>
    <rPh sb="3" eb="4">
      <t>ベツ</t>
    </rPh>
    <rPh sb="4" eb="6">
      <t>カクリツ</t>
    </rPh>
    <phoneticPr fontId="17"/>
  </si>
  <si>
    <t>color2</t>
    <phoneticPr fontId="17"/>
  </si>
  <si>
    <t>Premium3</t>
  </si>
  <si>
    <t>Premium4</t>
  </si>
  <si>
    <t>Premium5</t>
  </si>
  <si>
    <t>PremiumSS4</t>
    <phoneticPr fontId="17"/>
  </si>
  <si>
    <t>PremiumSS5</t>
    <phoneticPr fontId="17"/>
  </si>
  <si>
    <t>PremiumSS4</t>
    <phoneticPr fontId="17"/>
  </si>
  <si>
    <t>PremiumSSS4</t>
    <phoneticPr fontId="17"/>
  </si>
  <si>
    <t>PremiumSS5</t>
    <phoneticPr fontId="17"/>
  </si>
  <si>
    <t>PremiumSSS5</t>
    <phoneticPr fontId="17"/>
  </si>
  <si>
    <t>gacha_select_tables_</t>
    <phoneticPr fontId="17"/>
  </si>
  <si>
    <t>ラベル確率で考えましょう</t>
    <rPh sb="6" eb="7">
      <t>カンガエマショウ</t>
    </rPh>
    <phoneticPr fontId="50"/>
  </si>
  <si>
    <t>ラベル</t>
    <phoneticPr fontId="50"/>
  </si>
  <si>
    <t>レアリティ</t>
    <phoneticPr fontId="50"/>
  </si>
  <si>
    <t>{W}</t>
    <phoneticPr fontId="50"/>
  </si>
  <si>
    <t>{N,S}</t>
    <phoneticPr fontId="50"/>
  </si>
  <si>
    <t>{N,S}R3less</t>
    <phoneticPr fontId="50"/>
  </si>
  <si>
    <t>{N,S}R6release</t>
    <phoneticPr fontId="50"/>
  </si>
  <si>
    <t>{SS}</t>
    <phoneticPr fontId="50"/>
  </si>
  <si>
    <t>{SS}R6only</t>
    <phoneticPr fontId="50"/>
  </si>
  <si>
    <t>小計</t>
    <rPh sb="0" eb="2">
      <t>ショウケイ</t>
    </rPh>
    <phoneticPr fontId="50"/>
  </si>
  <si>
    <t>A</t>
    <phoneticPr fontId="50"/>
  </si>
  <si>
    <t>C</t>
    <phoneticPr fontId="50"/>
  </si>
  <si>
    <t>H</t>
    <phoneticPr fontId="50"/>
  </si>
  <si>
    <t>B</t>
    <phoneticPr fontId="50"/>
  </si>
  <si>
    <t>D</t>
    <phoneticPr fontId="50"/>
  </si>
  <si>
    <t>F</t>
    <phoneticPr fontId="50"/>
  </si>
  <si>
    <t>I</t>
    <phoneticPr fontId="50"/>
  </si>
  <si>
    <t>K</t>
    <phoneticPr fontId="50"/>
  </si>
  <si>
    <t>E</t>
    <phoneticPr fontId="50"/>
  </si>
  <si>
    <t>G</t>
    <phoneticPr fontId="50"/>
  </si>
  <si>
    <t>J</t>
    <phoneticPr fontId="50"/>
  </si>
  <si>
    <t>L</t>
    <phoneticPr fontId="50"/>
  </si>
  <si>
    <t>M</t>
    <phoneticPr fontId="50"/>
  </si>
  <si>
    <t>→</t>
    <phoneticPr fontId="50"/>
  </si>
  <si>
    <t>1-SS率</t>
    <rPh sb="4" eb="5">
      <t>リツ</t>
    </rPh>
    <phoneticPr fontId="50"/>
  </si>
  <si>
    <t>SS率</t>
    <rPh sb="2" eb="3">
      <t>リツ</t>
    </rPh>
    <phoneticPr fontId="50"/>
  </si>
  <si>
    <t>考え方を変える</t>
    <rPh sb="0" eb="1">
      <t>カンガエカタ</t>
    </rPh>
    <rPh sb="4" eb="5">
      <t>カエル</t>
    </rPh>
    <phoneticPr fontId="50"/>
  </si>
  <si>
    <t>SS4%は確定事項</t>
    <rPh sb="5" eb="7">
      <t>カクテイ</t>
    </rPh>
    <rPh sb="7" eb="9">
      <t>ジコウ</t>
    </rPh>
    <phoneticPr fontId="50"/>
  </si>
  <si>
    <t>当たりは分配</t>
    <rPh sb="0" eb="1">
      <t>アタリ</t>
    </rPh>
    <rPh sb="4" eb="6">
      <t>ブンパイ</t>
    </rPh>
    <phoneticPr fontId="50"/>
  </si>
  <si>
    <t>当たり素体確率 X = SS率/(SS+R6release) とする</t>
    <rPh sb="0" eb="1">
      <t>アタリ</t>
    </rPh>
    <rPh sb="3" eb="5">
      <t>ソタイ</t>
    </rPh>
    <rPh sb="5" eb="7">
      <t>カクリツ</t>
    </rPh>
    <phoneticPr fontId="50"/>
  </si>
  <si>
    <t>=</t>
    <phoneticPr fontId="50"/>
  </si>
  <si>
    <t>X*{SS R5only}</t>
    <phoneticPr fontId="50"/>
  </si>
  <si>
    <t>K</t>
    <phoneticPr fontId="50"/>
  </si>
  <si>
    <t>=</t>
    <phoneticPr fontId="50"/>
  </si>
  <si>
    <t>X*{SS}*(R3率+R4率)</t>
    <rPh sb="10" eb="11">
      <t>リツ</t>
    </rPh>
    <rPh sb="14" eb="15">
      <t>リツ</t>
    </rPh>
    <phoneticPr fontId="50"/>
  </si>
  <si>
    <t>L</t>
    <phoneticPr fontId="50"/>
  </si>
  <si>
    <t>X*{SS}*R5率</t>
    <rPh sb="9" eb="10">
      <t>リツ</t>
    </rPh>
    <phoneticPr fontId="50"/>
  </si>
  <si>
    <t>X*{R6release}*R3率</t>
    <rPh sb="16" eb="17">
      <t>リツ</t>
    </rPh>
    <phoneticPr fontId="50"/>
  </si>
  <si>
    <t>X*{R6release}*R4率</t>
    <rPh sb="16" eb="17">
      <t>リツ</t>
    </rPh>
    <phoneticPr fontId="50"/>
  </si>
  <si>
    <t>J</t>
    <phoneticPr fontId="50"/>
  </si>
  <si>
    <t>X*{R6release}*R5率</t>
    <rPh sb="16" eb="17">
      <t>リツ</t>
    </rPh>
    <phoneticPr fontId="50"/>
  </si>
  <si>
    <t>ハズレで確率を整える</t>
    <rPh sb="4" eb="6">
      <t>カクリツ</t>
    </rPh>
    <rPh sb="7" eb="8">
      <t>トトノエル</t>
    </rPh>
    <phoneticPr fontId="50"/>
  </si>
  <si>
    <t>ハズレ素体確率 Y = (1-SS率)/(W+N+S-R6release)</t>
    <rPh sb="3" eb="5">
      <t>ソタイカクリ</t>
    </rPh>
    <rPh sb="5" eb="7">
      <t>カクリツ</t>
    </rPh>
    <rPh sb="17" eb="18">
      <t>リツ</t>
    </rPh>
    <phoneticPr fontId="50"/>
  </si>
  <si>
    <t>A + C</t>
    <phoneticPr fontId="50"/>
  </si>
  <si>
    <t>=</t>
    <phoneticPr fontId="50"/>
  </si>
  <si>
    <t>50%-H</t>
    <phoneticPr fontId="50"/>
  </si>
  <si>
    <t>①</t>
    <phoneticPr fontId="50"/>
  </si>
  <si>
    <t>B + D + F</t>
    <phoneticPr fontId="50"/>
  </si>
  <si>
    <t>45%-I-K</t>
    <phoneticPr fontId="50"/>
  </si>
  <si>
    <t>②</t>
    <phoneticPr fontId="50"/>
  </si>
  <si>
    <t>E+G</t>
    <phoneticPr fontId="50"/>
  </si>
  <si>
    <t>5%-J-L-M</t>
    <phoneticPr fontId="50"/>
  </si>
  <si>
    <t>③</t>
    <phoneticPr fontId="50"/>
  </si>
  <si>
    <t>A+B</t>
    <phoneticPr fontId="50"/>
  </si>
  <si>
    <t>Y*{W}</t>
    <phoneticPr fontId="50"/>
  </si>
  <si>
    <t>④</t>
    <phoneticPr fontId="50"/>
  </si>
  <si>
    <t>C+D+E</t>
    <phoneticPr fontId="50"/>
  </si>
  <si>
    <t>Y*{N,S}</t>
    <phoneticPr fontId="50"/>
  </si>
  <si>
    <t>⑤</t>
    <phoneticPr fontId="50"/>
  </si>
  <si>
    <t>F+G</t>
    <phoneticPr fontId="50"/>
  </si>
  <si>
    <t>Y*{N,S R3less}</t>
    <phoneticPr fontId="50"/>
  </si>
  <si>
    <t>⑥</t>
    <phoneticPr fontId="50"/>
  </si>
  <si>
    <t>A+B+C+D+E+F+G</t>
    <phoneticPr fontId="50"/>
  </si>
  <si>
    <t>⑦</t>
    <phoneticPr fontId="50"/>
  </si>
  <si>
    <t>←これは4,5,6で作れるのでダメだわ</t>
    <rPh sb="10" eb="11">
      <t>ツクレル</t>
    </rPh>
    <phoneticPr fontId="50"/>
  </si>
  <si>
    <t>E*R3率/R5率</t>
    <rPh sb="4" eb="5">
      <t>リツ</t>
    </rPh>
    <rPh sb="8" eb="9">
      <t>リツ</t>
    </rPh>
    <phoneticPr fontId="50"/>
  </si>
  <si>
    <t>←{N,S}を想定分配すると決めてしまう</t>
    <rPh sb="7" eb="9">
      <t>ソウテイ</t>
    </rPh>
    <rPh sb="9" eb="11">
      <t>ブンパイ</t>
    </rPh>
    <rPh sb="14" eb="15">
      <t>キメテシマウ</t>
    </rPh>
    <phoneticPr fontId="50"/>
  </si>
  <si>
    <t>E*R4率/R5率</t>
    <rPh sb="4" eb="5">
      <t>リツ</t>
    </rPh>
    <rPh sb="8" eb="9">
      <t>リツ</t>
    </rPh>
    <phoneticPr fontId="50"/>
  </si>
  <si>
    <t>∴</t>
    <phoneticPr fontId="50"/>
  </si>
  <si>
    <t>E</t>
    <phoneticPr fontId="50"/>
  </si>
  <si>
    <t>Y*{N,S}*R5率</t>
    <rPh sb="10" eb="11">
      <t>リツ</t>
    </rPh>
    <phoneticPr fontId="50"/>
  </si>
  <si>
    <t>Y*{N,S}*R4率</t>
    <rPh sb="10" eb="11">
      <t>リツ</t>
    </rPh>
    <phoneticPr fontId="50"/>
  </si>
  <si>
    <t>Y*{N,S}*R3率</t>
    <rPh sb="10" eb="11">
      <t>リツ</t>
    </rPh>
    <phoneticPr fontId="50"/>
  </si>
  <si>
    <t>50%-H-C</t>
    <phoneticPr fontId="50"/>
  </si>
  <si>
    <t>Y*{W}-A</t>
    <phoneticPr fontId="50"/>
  </si>
  <si>
    <t>5%-J-L-M-E</t>
    <phoneticPr fontId="50"/>
  </si>
  <si>
    <t>Y*{N,S R3less} - G</t>
    <phoneticPr fontId="50"/>
  </si>
  <si>
    <t>R6境界前後</t>
    <rPh sb="2" eb="4">
      <t>キョウカイ</t>
    </rPh>
    <rPh sb="4" eb="6">
      <t>ゼンゴ</t>
    </rPh>
    <phoneticPr fontId="17"/>
  </si>
  <si>
    <t>R6事後開放N,S</t>
    <rPh sb="2" eb="6">
      <t>ジゴカイホウ</t>
    </rPh>
    <phoneticPr fontId="17"/>
  </si>
  <si>
    <t>PremiumW3</t>
    <phoneticPr fontId="17"/>
  </si>
  <si>
    <t>PremiumW4</t>
    <phoneticPr fontId="17"/>
  </si>
  <si>
    <t>ラベル確率</t>
    <rPh sb="3" eb="5">
      <t>カクリツ</t>
    </rPh>
    <phoneticPr fontId="17"/>
  </si>
  <si>
    <t>Premium3R6release</t>
  </si>
  <si>
    <t>Premium4R6release</t>
  </si>
  <si>
    <t>Premium5R6release</t>
  </si>
  <si>
    <t>Premium4R3less</t>
  </si>
  <si>
    <t>Premium5R3less</t>
  </si>
  <si>
    <t>PremiumSS5R5only</t>
  </si>
  <si>
    <t>計算用中間データ</t>
    <rPh sb="0" eb="3">
      <t>ケイサンヨウ</t>
    </rPh>
    <rPh sb="3" eb="5">
      <t>チュウカン</t>
    </rPh>
    <phoneticPr fontId="17"/>
  </si>
  <si>
    <t>X</t>
    <phoneticPr fontId="17"/>
  </si>
  <si>
    <t>Y</t>
    <phoneticPr fontId="17"/>
  </si>
  <si>
    <t>対象数</t>
    <rPh sb="0" eb="3">
      <t>タイショウスウ</t>
    </rPh>
    <phoneticPr fontId="17"/>
  </si>
  <si>
    <t>PremiumW</t>
    <phoneticPr fontId="17"/>
  </si>
  <si>
    <t>PremiumN</t>
    <phoneticPr fontId="17"/>
  </si>
  <si>
    <t>PremiumS</t>
    <phoneticPr fontId="17"/>
  </si>
  <si>
    <t>PremiumSS</t>
    <phoneticPr fontId="17"/>
  </si>
  <si>
    <t>weight</t>
    <phoneticPr fontId="17"/>
  </si>
  <si>
    <t>←R6分はここから差し引く</t>
    <rPh sb="3" eb="4">
      <t>ブン</t>
    </rPh>
    <rPh sb="9" eb="10">
      <t>サシヒク</t>
    </rPh>
    <phoneticPr fontId="17"/>
  </si>
  <si>
    <t>除外確率</t>
    <rPh sb="0" eb="2">
      <t>ジョガイ</t>
    </rPh>
    <rPh sb="2" eb="4">
      <t>カクリツ</t>
    </rPh>
    <phoneticPr fontId="17"/>
  </si>
  <si>
    <t>除外数</t>
    <rPh sb="0" eb="3">
      <t>ジョガイスウ</t>
    </rPh>
    <phoneticPr fontId="17"/>
  </si>
  <si>
    <t>もうここは手で入れよう…</t>
    <rPh sb="5" eb="6">
      <t>テ</t>
    </rPh>
    <rPh sb="7" eb="8">
      <t>イレヨウ</t>
    </rPh>
    <phoneticPr fontId="17"/>
  </si>
  <si>
    <t>通常weight</t>
    <rPh sb="0" eb="2">
      <t>ツウジョウ</t>
    </rPh>
    <phoneticPr fontId="17"/>
  </si>
  <si>
    <t>old</t>
    <phoneticPr fontId="17"/>
  </si>
  <si>
    <t>tables_356010</t>
    <phoneticPr fontId="17"/>
  </si>
  <si>
    <t>tables_356100</t>
    <phoneticPr fontId="17"/>
  </si>
  <si>
    <t>356100</t>
    <phoneticPr fontId="17"/>
  </si>
  <si>
    <t>tables_settle_356100</t>
    <phoneticPr fontId="17"/>
  </si>
  <si>
    <t>gacha_settle_tables_</t>
    <phoneticPr fontId="17"/>
  </si>
  <si>
    <t>PremiumW3color</t>
    <phoneticPr fontId="17"/>
  </si>
  <si>
    <t>PremiumW4color</t>
    <phoneticPr fontId="17"/>
  </si>
  <si>
    <t>Premium3color</t>
    <phoneticPr fontId="17"/>
  </si>
  <si>
    <t>Premium4color</t>
    <phoneticPr fontId="17"/>
  </si>
  <si>
    <t>Premium5color</t>
    <phoneticPr fontId="17"/>
  </si>
  <si>
    <t>Premium4R3lesscolor</t>
    <phoneticPr fontId="17"/>
  </si>
  <si>
    <t>Premium5R3lesscolor</t>
    <phoneticPr fontId="17"/>
  </si>
  <si>
    <t>Premium3R6releasecolor</t>
    <phoneticPr fontId="17"/>
  </si>
  <si>
    <t>Premium4R6releasecolor</t>
    <phoneticPr fontId="17"/>
  </si>
  <si>
    <t>Premium5R6releasecolor</t>
    <phoneticPr fontId="17"/>
  </si>
  <si>
    <t>PremiumSS4color</t>
    <phoneticPr fontId="17"/>
  </si>
  <si>
    <t>PremiumSS5color</t>
    <phoneticPr fontId="17"/>
  </si>
  <si>
    <t>PremiumSS5R5onlycolor</t>
    <phoneticPr fontId="17"/>
  </si>
  <si>
    <t>color</t>
    <phoneticPr fontId="17"/>
  </si>
  <si>
    <t>Xcolor</t>
    <phoneticPr fontId="17"/>
  </si>
  <si>
    <t>Ycolor</t>
    <phoneticPr fontId="17"/>
  </si>
  <si>
    <t>PremiumSSS5R3lesscolor</t>
    <phoneticPr fontId="17"/>
  </si>
  <si>
    <t>PremiumSSS4R3lesscolor</t>
    <phoneticPr fontId="17"/>
  </si>
  <si>
    <t>PremiumSSS4R3less</t>
    <phoneticPr fontId="17"/>
  </si>
  <si>
    <t>PremiumSSS5R3less</t>
    <phoneticPr fontId="17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</si>
</sst>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76" formatCode="0.000%"/>
    <numFmt numFmtId="177" formatCode="0.0000%"/>
    <numFmt numFmtId="178" formatCode="0.0%"/>
    <numFmt numFmtId="179" formatCode="0.00000%"/>
    <numFmt numFmtId="180" formatCode="0.000000000000000%"/>
    <numFmt numFmtId="181" formatCode="0.0000000000000000%"/>
    <numFmt numFmtId="182" formatCode="0.000000%"/>
  </numFmts>
  <fonts count="54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b/>
      <sz val="10"/>
      <color rgb="FFFF0000"/>
      <name val="ＭＳ Ｐゴシック"/>
      <family val="3"/>
      <charset val="128"/>
    </font>
  </fonts>
  <fills count="32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rgb="FF000000"/>
      </patternFill>
    </fill>
    <fill>
      <patternFill patternType="solid">
        <fgColor theme="1"/>
        <bgColor indexed="64"/>
      </patternFill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3663">
    <xf numFmtId="0" fontId="0" fillId="0" borderId="0"/>
    <xf numFmtId="0" fontId="16" fillId="0" borderId="0"/>
    <xf numFmtId="0" fontId="20" fillId="0" borderId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15" fillId="0" borderId="0"/>
    <xf numFmtId="0" fontId="27" fillId="5" borderId="2" applyNumberFormat="0" applyAlignment="0" applyProtection="0"/>
    <xf numFmtId="0" fontId="28" fillId="6" borderId="0" applyNumberFormat="0" applyBorder="0" applyAlignment="0" applyProtection="0"/>
    <xf numFmtId="0" fontId="29" fillId="7" borderId="3" applyNumberFormat="0" applyAlignment="0" applyProtection="0"/>
    <xf numFmtId="0" fontId="30" fillId="0" borderId="0" applyNumberFormat="0" applyFill="0" applyBorder="0" applyAlignment="0" applyProtection="0"/>
    <xf numFmtId="0" fontId="31" fillId="8" borderId="0" applyNumberFormat="0" applyBorder="0" applyAlignment="0" applyProtection="0"/>
    <xf numFmtId="0" fontId="32" fillId="9" borderId="4" applyNumberFormat="0" applyAlignment="0" applyProtection="0"/>
    <xf numFmtId="0" fontId="33" fillId="0" borderId="0" applyNumberFormat="0" applyFill="0" applyBorder="0" applyAlignment="0" applyProtection="0"/>
    <xf numFmtId="0" fontId="34" fillId="0" borderId="5" applyNumberFormat="0" applyFill="0" applyAlignment="0" applyProtection="0"/>
    <xf numFmtId="0" fontId="35" fillId="0" borderId="6" applyNumberFormat="0" applyFill="0" applyAlignment="0" applyProtection="0"/>
    <xf numFmtId="0" fontId="36" fillId="0" borderId="7" applyNumberFormat="0" applyFill="0" applyAlignment="0" applyProtection="0"/>
    <xf numFmtId="0" fontId="36" fillId="0" borderId="0" applyNumberFormat="0" applyFill="0" applyBorder="0" applyAlignment="0" applyProtection="0"/>
    <xf numFmtId="0" fontId="37" fillId="7" borderId="0" applyNumberFormat="0" applyBorder="0" applyAlignment="0" applyProtection="0"/>
    <xf numFmtId="0" fontId="37" fillId="6" borderId="0" applyNumberFormat="0" applyBorder="0" applyAlignment="0" applyProtection="0"/>
    <xf numFmtId="0" fontId="37" fillId="10" borderId="0" applyNumberFormat="0" applyBorder="0" applyAlignment="0" applyProtection="0"/>
    <xf numFmtId="0" fontId="37" fillId="7" borderId="0" applyNumberFormat="0" applyBorder="0" applyAlignment="0" applyProtection="0"/>
    <xf numFmtId="0" fontId="37" fillId="11" borderId="0" applyNumberFormat="0" applyBorder="0" applyAlignment="0" applyProtection="0"/>
    <xf numFmtId="0" fontId="37" fillId="5" borderId="0" applyNumberFormat="0" applyBorder="0" applyAlignment="0" applyProtection="0"/>
    <xf numFmtId="0" fontId="37" fillId="7" borderId="0" applyNumberFormat="0" applyBorder="0" applyAlignment="0" applyProtection="0"/>
    <xf numFmtId="0" fontId="37" fillId="12" borderId="0" applyNumberFormat="0" applyBorder="0" applyAlignment="0" applyProtection="0"/>
    <xf numFmtId="0" fontId="37" fillId="10" borderId="0" applyNumberFormat="0" applyBorder="0" applyAlignment="0" applyProtection="0"/>
    <xf numFmtId="0" fontId="37" fillId="7" borderId="0" applyNumberFormat="0" applyBorder="0" applyAlignment="0" applyProtection="0"/>
    <xf numFmtId="0" fontId="37" fillId="13" borderId="0" applyNumberFormat="0" applyBorder="0" applyAlignment="0" applyProtection="0"/>
    <xf numFmtId="0" fontId="37" fillId="6" borderId="0" applyNumberFormat="0" applyBorder="0" applyAlignment="0" applyProtection="0"/>
    <xf numFmtId="0" fontId="38" fillId="14" borderId="0" applyNumberFormat="0" applyBorder="0" applyAlignment="0" applyProtection="0"/>
    <xf numFmtId="0" fontId="38" fillId="12" borderId="0" applyNumberFormat="0" applyBorder="0" applyAlignment="0" applyProtection="0"/>
    <xf numFmtId="0" fontId="38" fillId="10" borderId="0" applyNumberFormat="0" applyBorder="0" applyAlignment="0" applyProtection="0"/>
    <xf numFmtId="0" fontId="38" fillId="7" borderId="0" applyNumberFormat="0" applyBorder="0" applyAlignment="0" applyProtection="0"/>
    <xf numFmtId="0" fontId="38" fillId="14" borderId="0" applyNumberFormat="0" applyBorder="0" applyAlignment="0" applyProtection="0"/>
    <xf numFmtId="0" fontId="38" fillId="6" borderId="0" applyNumberFormat="0" applyBorder="0" applyAlignment="0" applyProtection="0"/>
    <xf numFmtId="0" fontId="30" fillId="0" borderId="0" applyNumberFormat="0" applyFill="0" applyBorder="0" applyAlignment="0" applyProtection="0"/>
    <xf numFmtId="0" fontId="38" fillId="14" borderId="0" applyNumberFormat="0" applyBorder="0" applyAlignment="0" applyProtection="0"/>
    <xf numFmtId="0" fontId="38" fillId="15" borderId="0" applyNumberFormat="0" applyBorder="0" applyAlignment="0" applyProtection="0"/>
    <xf numFmtId="0" fontId="38" fillId="10" borderId="0" applyNumberFormat="0" applyBorder="0" applyAlignment="0" applyProtection="0"/>
    <xf numFmtId="0" fontId="38" fillId="16" borderId="0" applyNumberFormat="0" applyBorder="0" applyAlignment="0" applyProtection="0"/>
    <xf numFmtId="0" fontId="38" fillId="14" borderId="0" applyNumberFormat="0" applyBorder="0" applyAlignment="0" applyProtection="0"/>
    <xf numFmtId="0" fontId="38" fillId="12" borderId="0" applyNumberFormat="0" applyBorder="0" applyAlignment="0" applyProtection="0"/>
    <xf numFmtId="0" fontId="39" fillId="17" borderId="0" applyNumberFormat="0" applyBorder="0" applyAlignment="0" applyProtection="0"/>
    <xf numFmtId="0" fontId="28" fillId="6" borderId="0" applyNumberFormat="0" applyBorder="0" applyAlignment="0" applyProtection="0"/>
    <xf numFmtId="0" fontId="40" fillId="0" borderId="8" applyNumberFormat="0" applyFill="0" applyAlignment="0" applyProtection="0"/>
    <xf numFmtId="0" fontId="41" fillId="7" borderId="9" applyNumberFormat="0" applyAlignment="0" applyProtection="0"/>
    <xf numFmtId="0" fontId="41" fillId="18" borderId="9" applyNumberFormat="0" applyAlignment="0" applyProtection="0"/>
    <xf numFmtId="0" fontId="29" fillId="6" borderId="3" applyNumberFormat="0" applyAlignment="0" applyProtection="0"/>
    <xf numFmtId="0" fontId="42" fillId="0" borderId="10" applyNumberFormat="0" applyFill="0" applyAlignment="0" applyProtection="0"/>
    <xf numFmtId="0" fontId="43" fillId="18" borderId="3" applyNumberFormat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5" fillId="0" borderId="11" applyNumberFormat="0" applyFill="0" applyAlignment="0" applyProtection="0"/>
    <xf numFmtId="38" fontId="15" fillId="0" borderId="0" applyFont="0" applyFill="0" applyBorder="0" applyAlignment="0" applyProtection="0">
      <alignment vertical="center"/>
    </xf>
    <xf numFmtId="0" fontId="46" fillId="19" borderId="0" applyNumberFormat="0" applyBorder="0" applyAlignment="0" applyProtection="0"/>
    <xf numFmtId="0" fontId="47" fillId="20" borderId="0" applyNumberFormat="0" applyBorder="0" applyAlignment="0" applyProtection="0"/>
    <xf numFmtId="0" fontId="15" fillId="0" borderId="0"/>
    <xf numFmtId="0" fontId="48" fillId="20" borderId="0" applyNumberFormat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10" fillId="0" borderId="0"/>
    <xf numFmtId="0" fontId="51" fillId="0" borderId="0">
      <alignment vertical="center"/>
    </xf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8" fillId="0" borderId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9" fontId="52" fillId="0" borderId="0" applyFon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3" fillId="0" borderId="0"/>
  </cellStyleXfs>
  <cellXfs count="87">
    <xf numFmtId="0" fontId="0" fillId="0" borderId="0" xfId="0"/>
    <xf numFmtId="0" fontId="22" fillId="0" borderId="0" xfId="2" applyFont="1" applyAlignment="1">
      <alignment vertical="center"/>
    </xf>
    <xf numFmtId="0" fontId="22" fillId="0" borderId="1" xfId="2" applyFont="1" applyBorder="1" applyAlignment="1">
      <alignment vertical="center"/>
    </xf>
    <xf numFmtId="0" fontId="22" fillId="3" borderId="1" xfId="2" applyFont="1" applyFill="1" applyBorder="1" applyAlignment="1">
      <alignment horizontal="center" vertical="center"/>
    </xf>
    <xf numFmtId="0" fontId="22" fillId="0" borderId="0" xfId="2" applyFont="1" applyAlignment="1">
      <alignment horizontal="center" vertical="center"/>
    </xf>
    <xf numFmtId="0" fontId="22" fillId="4" borderId="1" xfId="2" applyFont="1" applyFill="1" applyBorder="1" applyAlignment="1">
      <alignment vertical="center"/>
    </xf>
    <xf numFmtId="0" fontId="21" fillId="4" borderId="1" xfId="0" applyFont="1" applyFill="1" applyBorder="1" applyAlignment="1">
      <alignment horizontal="right" vertical="center"/>
    </xf>
    <xf numFmtId="0" fontId="22" fillId="3" borderId="1" xfId="2" applyFont="1" applyFill="1" applyBorder="1" applyAlignment="1">
      <alignment vertical="center"/>
    </xf>
    <xf numFmtId="0" fontId="23" fillId="4" borderId="1" xfId="0" applyFont="1" applyFill="1" applyBorder="1" applyAlignment="1">
      <alignment vertical="center"/>
    </xf>
    <xf numFmtId="0" fontId="22" fillId="0" borderId="13" xfId="2" applyFont="1" applyBorder="1" applyAlignment="1">
      <alignment vertical="center"/>
    </xf>
    <xf numFmtId="0" fontId="21" fillId="4" borderId="12" xfId="0" applyFont="1" applyFill="1" applyBorder="1" applyAlignment="1">
      <alignment horizontal="right" vertical="center"/>
    </xf>
    <xf numFmtId="0" fontId="21" fillId="4" borderId="14" xfId="0" applyFont="1" applyFill="1" applyBorder="1" applyAlignment="1">
      <alignment horizontal="right" vertical="center"/>
    </xf>
    <xf numFmtId="0" fontId="22" fillId="0" borderId="15" xfId="2" applyFont="1" applyBorder="1" applyAlignment="1">
      <alignment vertical="center"/>
    </xf>
    <xf numFmtId="0" fontId="22" fillId="2" borderId="1" xfId="2" applyFont="1" applyFill="1" applyBorder="1" applyAlignment="1">
      <alignment horizontal="left" vertical="center"/>
    </xf>
    <xf numFmtId="0" fontId="49" fillId="21" borderId="1" xfId="0" applyFont="1" applyFill="1" applyBorder="1" applyAlignment="1">
      <alignment horizontal="left" vertical="center"/>
    </xf>
    <xf numFmtId="0" fontId="22" fillId="2" borderId="1" xfId="2" applyFont="1" applyFill="1" applyBorder="1" applyAlignment="1">
      <alignment horizontal="center" vertical="center"/>
    </xf>
    <xf numFmtId="0" fontId="24" fillId="22" borderId="1" xfId="2978" applyFont="1" applyFill="1" applyBorder="1"/>
    <xf numFmtId="0" fontId="10" fillId="22" borderId="1" xfId="2978" applyFill="1" applyBorder="1"/>
    <xf numFmtId="0" fontId="10" fillId="0" borderId="0" xfId="2978"/>
    <xf numFmtId="0" fontId="10" fillId="0" borderId="1" xfId="2978" applyBorder="1"/>
    <xf numFmtId="0" fontId="10" fillId="2" borderId="1" xfId="2978" applyFill="1" applyBorder="1"/>
    <xf numFmtId="0" fontId="14" fillId="2" borderId="1" xfId="19" applyFont="1" applyFill="1" applyBorder="1"/>
    <xf numFmtId="0" fontId="15" fillId="2" borderId="1" xfId="19" applyFill="1" applyBorder="1"/>
    <xf numFmtId="0" fontId="13" fillId="2" borderId="1" xfId="19" applyFont="1" applyFill="1" applyBorder="1"/>
    <xf numFmtId="0" fontId="11" fillId="2" borderId="1" xfId="19" applyFont="1" applyFill="1" applyBorder="1"/>
    <xf numFmtId="0" fontId="12" fillId="2" borderId="1" xfId="19" applyFont="1" applyFill="1" applyBorder="1"/>
    <xf numFmtId="0" fontId="10" fillId="2" borderId="1" xfId="19" applyFont="1" applyFill="1" applyBorder="1"/>
    <xf numFmtId="0" fontId="9" fillId="0" borderId="1" xfId="2978" applyFont="1" applyBorder="1"/>
    <xf numFmtId="0" fontId="24" fillId="22" borderId="1" xfId="0" applyFont="1" applyFill="1" applyBorder="1"/>
    <xf numFmtId="0" fontId="49" fillId="23" borderId="1" xfId="0" applyFont="1" applyFill="1" applyBorder="1" applyAlignment="1">
      <alignment horizontal="center" vertical="center"/>
    </xf>
    <xf numFmtId="0" fontId="49" fillId="3" borderId="1" xfId="0" applyFont="1" applyFill="1" applyBorder="1" applyAlignment="1">
      <alignment vertical="center"/>
    </xf>
    <xf numFmtId="0" fontId="0" fillId="4" borderId="0" xfId="0" applyFill="1"/>
    <xf numFmtId="0" fontId="7" fillId="0" borderId="1" xfId="3036" applyFont="1" applyBorder="1"/>
    <xf numFmtId="0" fontId="6" fillId="0" borderId="1" xfId="2978" applyFont="1" applyBorder="1"/>
    <xf numFmtId="0" fontId="0" fillId="0" borderId="1" xfId="0" applyBorder="1"/>
    <xf numFmtId="9" fontId="0" fillId="0" borderId="1" xfId="0" applyNumberFormat="1" applyBorder="1"/>
    <xf numFmtId="0" fontId="0" fillId="25" borderId="0" xfId="0" applyFill="1"/>
    <xf numFmtId="0" fontId="0" fillId="24" borderId="0" xfId="0" applyFill="1"/>
    <xf numFmtId="0" fontId="0" fillId="26" borderId="0" xfId="0" applyFill="1"/>
    <xf numFmtId="0" fontId="0" fillId="3" borderId="1" xfId="0" applyFill="1" applyBorder="1"/>
    <xf numFmtId="0" fontId="0" fillId="27" borderId="0" xfId="0" applyFill="1"/>
    <xf numFmtId="0" fontId="0" fillId="28" borderId="1" xfId="0" applyFill="1" applyBorder="1"/>
    <xf numFmtId="10" fontId="0" fillId="28" borderId="1" xfId="0" applyNumberFormat="1" applyFill="1" applyBorder="1"/>
    <xf numFmtId="178" fontId="0" fillId="28" borderId="1" xfId="3575" applyNumberFormat="1" applyFont="1" applyFill="1" applyBorder="1"/>
    <xf numFmtId="177" fontId="0" fillId="28" borderId="1" xfId="0" applyNumberFormat="1" applyFill="1" applyBorder="1"/>
    <xf numFmtId="179" fontId="0" fillId="0" borderId="0" xfId="3575" applyNumberFormat="1" applyFont="1"/>
    <xf numFmtId="0" fontId="0" fillId="3" borderId="16" xfId="0" applyFill="1" applyBorder="1"/>
    <xf numFmtId="0" fontId="0" fillId="29" borderId="1" xfId="0" applyFill="1" applyBorder="1"/>
    <xf numFmtId="177" fontId="0" fillId="29" borderId="1" xfId="3575" applyNumberFormat="1" applyFont="1" applyFill="1" applyBorder="1"/>
    <xf numFmtId="0" fontId="0" fillId="0" borderId="0" xfId="0" quotePrefix="1"/>
    <xf numFmtId="0" fontId="0" fillId="28" borderId="0" xfId="0" applyFill="1"/>
    <xf numFmtId="0" fontId="5" fillId="2" borderId="1" xfId="19" applyFont="1" applyFill="1" applyBorder="1"/>
    <xf numFmtId="0" fontId="5" fillId="4" borderId="1" xfId="2978" applyFont="1" applyFill="1" applyBorder="1"/>
    <xf numFmtId="0" fontId="0" fillId="2" borderId="0" xfId="0" applyFill="1"/>
    <xf numFmtId="0" fontId="49" fillId="30" borderId="1" xfId="0" applyFont="1" applyFill="1" applyBorder="1" applyAlignment="1">
      <alignment horizontal="left" vertical="center"/>
    </xf>
    <xf numFmtId="0" fontId="22" fillId="25" borderId="1" xfId="2" applyFont="1" applyFill="1" applyBorder="1" applyAlignment="1">
      <alignment horizontal="left" vertical="center"/>
    </xf>
    <xf numFmtId="10" fontId="0" fillId="0" borderId="0" xfId="3575" applyNumberFormat="1" applyFont="1"/>
    <xf numFmtId="10" fontId="0" fillId="0" borderId="0" xfId="0" applyNumberFormat="1"/>
    <xf numFmtId="177" fontId="0" fillId="4" borderId="1" xfId="0" applyNumberFormat="1" applyFill="1" applyBorder="1"/>
    <xf numFmtId="0" fontId="0" fillId="0" borderId="1" xfId="0" applyFill="1" applyBorder="1"/>
    <xf numFmtId="10" fontId="0" fillId="0" borderId="1" xfId="0" applyNumberFormat="1" applyFill="1" applyBorder="1"/>
    <xf numFmtId="0" fontId="0" fillId="0" borderId="0" xfId="0" applyFill="1"/>
    <xf numFmtId="0" fontId="21" fillId="25" borderId="1" xfId="0" applyFont="1" applyFill="1" applyBorder="1" applyAlignment="1">
      <alignment horizontal="right" vertical="center"/>
    </xf>
    <xf numFmtId="0" fontId="4" fillId="0" borderId="1" xfId="2978" applyFont="1" applyBorder="1"/>
    <xf numFmtId="0" fontId="0" fillId="0" borderId="0" xfId="0" applyNumberFormat="1"/>
    <xf numFmtId="176" fontId="0" fillId="0" borderId="1" xfId="0" applyNumberFormat="1" applyBorder="1"/>
    <xf numFmtId="0" fontId="3" fillId="0" borderId="0" xfId="3662"/>
    <xf numFmtId="0" fontId="3" fillId="4" borderId="0" xfId="3662" applyFill="1"/>
    <xf numFmtId="9" fontId="3" fillId="0" borderId="0" xfId="3662" applyNumberFormat="1"/>
    <xf numFmtId="0" fontId="3" fillId="0" borderId="0" xfId="3662" applyFill="1"/>
    <xf numFmtId="9" fontId="3" fillId="0" borderId="0" xfId="3662" applyNumberFormat="1" applyAlignment="1"/>
    <xf numFmtId="0" fontId="3" fillId="0" borderId="0" xfId="3662" applyNumberFormat="1"/>
    <xf numFmtId="180" fontId="0" fillId="4" borderId="1" xfId="0" applyNumberFormat="1" applyFill="1" applyBorder="1"/>
    <xf numFmtId="181" fontId="0" fillId="4" borderId="1" xfId="0" applyNumberFormat="1" applyFont="1" applyFill="1" applyBorder="1"/>
    <xf numFmtId="10" fontId="0" fillId="0" borderId="1" xfId="0" applyNumberFormat="1" applyBorder="1"/>
    <xf numFmtId="178" fontId="0" fillId="0" borderId="1" xfId="0" applyNumberFormat="1" applyBorder="1"/>
    <xf numFmtId="0" fontId="53" fillId="0" borderId="0" xfId="0" applyFont="1"/>
    <xf numFmtId="9" fontId="0" fillId="4" borderId="0" xfId="0" applyNumberFormat="1" applyFill="1"/>
    <xf numFmtId="10" fontId="0" fillId="31" borderId="1" xfId="3575" applyNumberFormat="1" applyFont="1" applyFill="1" applyBorder="1"/>
    <xf numFmtId="177" fontId="0" fillId="31" borderId="1" xfId="0" applyNumberFormat="1" applyFill="1" applyBorder="1"/>
    <xf numFmtId="182" fontId="0" fillId="4" borderId="1" xfId="0" applyNumberFormat="1" applyFont="1" applyFill="1" applyBorder="1"/>
    <xf numFmtId="177" fontId="0" fillId="0" borderId="0" xfId="3575" applyNumberFormat="1" applyFont="1"/>
    <xf numFmtId="0" fontId="22" fillId="25" borderId="0" xfId="2" applyFont="1" applyFill="1" applyAlignment="1">
      <alignment vertical="center"/>
    </xf>
    <xf numFmtId="0" fontId="2" fillId="0" borderId="1" xfId="3036" applyFont="1" applyBorder="1"/>
    <xf numFmtId="0" fontId="2" fillId="4" borderId="1" xfId="2978" applyFont="1" applyFill="1" applyBorder="1"/>
    <xf numFmtId="0" fontId="22" fillId="0" borderId="1" xfId="2" quotePrefix="1" applyFont="1" applyBorder="1" applyAlignment="1">
      <alignment vertical="center"/>
    </xf>
    <xf numFmtId="0" fontId="2" fillId="0" borderId="1" xfId="2978" applyFont="1" applyBorder="1"/>
  </cellXfs>
  <cellStyles count="3663"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Excel Built-in Normal" xfId="1"/>
    <cellStyle name="^Cg" xfId="26"/>
    <cellStyle name="`FbN Z" xfId="25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" xfId="20"/>
    <cellStyle name="N Z" xfId="58"/>
    <cellStyle name="_" xfId="21"/>
    <cellStyle name="«¢" xfId="24"/>
    <cellStyle name="vZ" xfId="63"/>
    <cellStyle name="x÷" xfId="65"/>
    <cellStyle name="x¶" xfId="64"/>
    <cellStyle name="ýo_ 1" xfId="66"/>
    <cellStyle name="©oµ 1" xfId="27"/>
    <cellStyle name="©oµ 2" xfId="28"/>
    <cellStyle name="©oµ 3" xfId="29"/>
    <cellStyle name="©oµ 4" xfId="30"/>
    <cellStyle name="v" xfId="62"/>
    <cellStyle name="o_" xfId="59"/>
    <cellStyle name="oÍ" xfId="60"/>
    <cellStyle name="__÷" xfId="23"/>
    <cellStyle name="à¾¶" xfId="49"/>
    <cellStyle name="__" xfId="22"/>
    <cellStyle name="üÍ" xfId="61"/>
    <cellStyle name="Ê" xfId="57"/>
    <cellStyle name="Ç¢" xfId="56"/>
    <cellStyle name="パーセント" xfId="3575" builtinId="5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6" builtinId="8" hidden="1"/>
    <cellStyle name="ハイパーリンク" xfId="3578" builtinId="8" hidden="1"/>
    <cellStyle name="ハイパーリンク" xfId="3580" builtinId="8" hidden="1"/>
    <cellStyle name="ハイパーリンク" xfId="3582" builtinId="8" hidden="1"/>
    <cellStyle name="ハイパーリンク" xfId="3584" builtinId="8" hidden="1"/>
    <cellStyle name="ハイパーリンク" xfId="3586" builtinId="8" hidden="1"/>
    <cellStyle name="ハイパーリンク" xfId="3588" builtinId="8" hidden="1"/>
    <cellStyle name="ハイパーリンク" xfId="3590" builtinId="8" hidden="1"/>
    <cellStyle name="ハイパーリンク" xfId="3592" builtinId="8" hidden="1"/>
    <cellStyle name="ハイパーリンク" xfId="3594" builtinId="8" hidden="1"/>
    <cellStyle name="ハイパーリンク" xfId="3596" builtinId="8" hidden="1"/>
    <cellStyle name="ハイパーリンク" xfId="3598" builtinId="8" hidden="1"/>
    <cellStyle name="ハイパーリンク" xfId="3600" builtinId="8" hidden="1"/>
    <cellStyle name="ハイパーリンク" xfId="3602" builtinId="8" hidden="1"/>
    <cellStyle name="ハイパーリンク" xfId="3604" builtinId="8" hidden="1"/>
    <cellStyle name="ハイパーリンク" xfId="3606" builtinId="8" hidden="1"/>
    <cellStyle name="ハイパーリンク" xfId="3608" builtinId="8" hidden="1"/>
    <cellStyle name="ハイパーリンク" xfId="3610" builtinId="8" hidden="1"/>
    <cellStyle name="ハイパーリンク" xfId="3612" builtinId="8" hidden="1"/>
    <cellStyle name="ハイパーリンク" xfId="3614" builtinId="8" hidden="1"/>
    <cellStyle name="ハイパーリンク" xfId="3616" builtinId="8" hidden="1"/>
    <cellStyle name="ハイパーリンク" xfId="3618" builtinId="8" hidden="1"/>
    <cellStyle name="ハイパーリンク" xfId="3620" builtinId="8" hidden="1"/>
    <cellStyle name="ハイパーリンク" xfId="3622" builtinId="8" hidden="1"/>
    <cellStyle name="ハイパーリンク" xfId="3624" builtinId="8" hidden="1"/>
    <cellStyle name="ハイパーリンク" xfId="3626" builtinId="8" hidden="1"/>
    <cellStyle name="ハイパーリンク" xfId="3628" builtinId="8" hidden="1"/>
    <cellStyle name="ハイパーリンク" xfId="3630" builtinId="8" hidden="1"/>
    <cellStyle name="ハイパーリンク" xfId="3632" builtinId="8" hidden="1"/>
    <cellStyle name="ハイパーリンク" xfId="3634" builtinId="8" hidden="1"/>
    <cellStyle name="ハイパーリンク" xfId="3636" builtinId="8" hidden="1"/>
    <cellStyle name="ハイパーリンク" xfId="3638" builtinId="8" hidden="1"/>
    <cellStyle name="ハイパーリンク" xfId="3640" builtinId="8" hidden="1"/>
    <cellStyle name="ハイパーリンク" xfId="3642" builtinId="8" hidden="1"/>
    <cellStyle name="ハイパーリンク" xfId="3644" builtinId="8" hidden="1"/>
    <cellStyle name="ハイパーリンク" xfId="3646" builtinId="8" hidden="1"/>
    <cellStyle name="ハイパーリンク" xfId="3648" builtinId="8" hidden="1"/>
    <cellStyle name="ハイパーリンク" xfId="3650" builtinId="8" hidden="1"/>
    <cellStyle name="ハイパーリンク" xfId="3652" builtinId="8" hidden="1"/>
    <cellStyle name="ハイパーリンク" xfId="3654" builtinId="8" hidden="1"/>
    <cellStyle name="ハイパーリンク" xfId="3656" builtinId="8" hidden="1"/>
    <cellStyle name="ハイパーリンク" xfId="3658" builtinId="8" hidden="1"/>
    <cellStyle name="ハイパーリンク" xfId="3660" builtinId="8" hidden="1"/>
    <cellStyle name="桁区切り 2" xfId="67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標準 7" xfId="3662"/>
    <cellStyle name="無題1" xfId="7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7" builtinId="9" hidden="1"/>
    <cellStyle name="表示済みのハイパーリンク" xfId="3579" builtinId="9" hidden="1"/>
    <cellStyle name="表示済みのハイパーリンク" xfId="3581" builtinId="9" hidden="1"/>
    <cellStyle name="表示済みのハイパーリンク" xfId="3583" builtinId="9" hidden="1"/>
    <cellStyle name="表示済みのハイパーリンク" xfId="3585" builtinId="9" hidden="1"/>
    <cellStyle name="表示済みのハイパーリンク" xfId="3587" builtinId="9" hidden="1"/>
    <cellStyle name="表示済みのハイパーリンク" xfId="3589" builtinId="9" hidden="1"/>
    <cellStyle name="表示済みのハイパーリンク" xfId="3591" builtinId="9" hidden="1"/>
    <cellStyle name="表示済みのハイパーリンク" xfId="3593" builtinId="9" hidden="1"/>
    <cellStyle name="表示済みのハイパーリンク" xfId="3595" builtinId="9" hidden="1"/>
    <cellStyle name="表示済みのハイパーリンク" xfId="3597" builtinId="9" hidden="1"/>
    <cellStyle name="表示済みのハイパーリンク" xfId="3599" builtinId="9" hidden="1"/>
    <cellStyle name="表示済みのハイパーリンク" xfId="3601" builtinId="9" hidden="1"/>
    <cellStyle name="表示済みのハイパーリンク" xfId="3603" builtinId="9" hidden="1"/>
    <cellStyle name="表示済みのハイパーリンク" xfId="3605" builtinId="9" hidden="1"/>
    <cellStyle name="表示済みのハイパーリンク" xfId="3607" builtinId="9" hidden="1"/>
    <cellStyle name="表示済みのハイパーリンク" xfId="3609" builtinId="9" hidden="1"/>
    <cellStyle name="表示済みのハイパーリンク" xfId="3611" builtinId="9" hidden="1"/>
    <cellStyle name="表示済みのハイパーリンク" xfId="3613" builtinId="9" hidden="1"/>
    <cellStyle name="表示済みのハイパーリンク" xfId="3615" builtinId="9" hidden="1"/>
    <cellStyle name="表示済みのハイパーリンク" xfId="3617" builtinId="9" hidden="1"/>
    <cellStyle name="表示済みのハイパーリンク" xfId="3619" builtinId="9" hidden="1"/>
    <cellStyle name="表示済みのハイパーリンク" xfId="3621" builtinId="9" hidden="1"/>
    <cellStyle name="表示済みのハイパーリンク" xfId="3623" builtinId="9" hidden="1"/>
    <cellStyle name="表示済みのハイパーリンク" xfId="3625" builtinId="9" hidden="1"/>
    <cellStyle name="表示済みのハイパーリンク" xfId="3627" builtinId="9" hidden="1"/>
    <cellStyle name="表示済みのハイパーリンク" xfId="3629" builtinId="9" hidden="1"/>
    <cellStyle name="表示済みのハイパーリンク" xfId="3631" builtinId="9" hidden="1"/>
    <cellStyle name="表示済みのハイパーリンク" xfId="3633" builtinId="9" hidden="1"/>
    <cellStyle name="表示済みのハイパーリンク" xfId="3635" builtinId="9" hidden="1"/>
    <cellStyle name="表示済みのハイパーリンク" xfId="3637" builtinId="9" hidden="1"/>
    <cellStyle name="表示済みのハイパーリンク" xfId="3639" builtinId="9" hidden="1"/>
    <cellStyle name="表示済みのハイパーリンク" xfId="3641" builtinId="9" hidden="1"/>
    <cellStyle name="表示済みのハイパーリンク" xfId="3643" builtinId="9" hidden="1"/>
    <cellStyle name="表示済みのハイパーリンク" xfId="3645" builtinId="9" hidden="1"/>
    <cellStyle name="表示済みのハイパーリンク" xfId="3647" builtinId="9" hidden="1"/>
    <cellStyle name="表示済みのハイパーリンク" xfId="3649" builtinId="9" hidden="1"/>
    <cellStyle name="表示済みのハイパーリンク" xfId="3651" builtinId="9" hidden="1"/>
    <cellStyle name="表示済みのハイパーリンク" xfId="3653" builtinId="9" hidden="1"/>
    <cellStyle name="表示済みのハイパーリンク" xfId="3655" builtinId="9" hidden="1"/>
    <cellStyle name="表示済みのハイパーリンク" xfId="3657" builtinId="9" hidden="1"/>
    <cellStyle name="表示済みのハイパーリンク" xfId="3659" builtinId="9" hidden="1"/>
    <cellStyle name="表示済みのハイパーリンク" xfId="3661" builtinId="9" hidden="1"/>
    <cellStyle name="赤字強調" xfId="69"/>
    <cellStyle name="青字強調" xfId="68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worksheet" Target="worksheets/sheet11.xml"/><Relationship Id="rId12" Type="http://schemas.openxmlformats.org/officeDocument/2006/relationships/externalLink" Target="externalLinks/externalLink1.xml"/><Relationship Id="rId13" Type="http://schemas.openxmlformats.org/officeDocument/2006/relationships/theme" Target="theme/theme1.xml"/><Relationship Id="rId14" Type="http://schemas.openxmlformats.org/officeDocument/2006/relationships/styles" Target="styles.xml"/><Relationship Id="rId15" Type="http://schemas.openxmlformats.org/officeDocument/2006/relationships/sharedStrings" Target="sharedStrings.xml"/><Relationship Id="rId16" Type="http://schemas.openxmlformats.org/officeDocument/2006/relationships/calcChain" Target="calcChain.xml"/><Relationship Id="rId1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3ターン種族アニマルの攻撃力・防御力・回復力を大UP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none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none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シャドウ・オーディン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2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4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2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4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2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4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2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4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4</v>
          </cell>
          <cell r="J429" t="str">
            <v>PremiumS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4</v>
          </cell>
          <cell r="J430" t="str">
            <v>PremiumS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4</v>
          </cell>
          <cell r="J431" t="str">
            <v>PremiumS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4</v>
          </cell>
          <cell r="J432" t="str">
            <v>PremiumS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ライオネル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4</v>
          </cell>
          <cell r="J445" t="str">
            <v>PremiumN</v>
          </cell>
          <cell r="K445" t="str">
            <v>balance</v>
          </cell>
          <cell r="L445" t="str">
            <v>バランスタイプ</v>
          </cell>
          <cell r="M445" t="str">
            <v>human</v>
          </cell>
        </row>
        <row r="446">
          <cell r="A446">
            <v>445</v>
          </cell>
          <cell r="B446" t="str">
            <v>ja</v>
          </cell>
          <cell r="C446" t="str">
            <v>怒鬣の紳獅 ライオネル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red</v>
          </cell>
          <cell r="I446">
            <v>5</v>
          </cell>
          <cell r="J446" t="str">
            <v>PremiumN</v>
          </cell>
          <cell r="K446" t="str">
            <v>balance</v>
          </cell>
          <cell r="L446" t="str">
            <v>バランスタイプ</v>
          </cell>
          <cell r="M446" t="str">
            <v>human</v>
          </cell>
        </row>
        <row r="447">
          <cell r="A447">
            <v>446</v>
          </cell>
          <cell r="B447" t="str">
            <v>ja</v>
          </cell>
          <cell r="C447" t="str">
            <v>ガラハッド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green</v>
          </cell>
          <cell r="I447">
            <v>4</v>
          </cell>
          <cell r="J447" t="str">
            <v>PremiumN</v>
          </cell>
          <cell r="K447" t="str">
            <v>balance</v>
          </cell>
          <cell r="L447" t="str">
            <v>バランスタイプ</v>
          </cell>
          <cell r="M447" t="str">
            <v>human</v>
          </cell>
        </row>
        <row r="448">
          <cell r="A448">
            <v>447</v>
          </cell>
          <cell r="B448" t="str">
            <v>ja</v>
          </cell>
          <cell r="C448" t="str">
            <v>荒息の銃剣 ガラハッド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green</v>
          </cell>
          <cell r="I448">
            <v>5</v>
          </cell>
          <cell r="J448" t="str">
            <v>PremiumN</v>
          </cell>
          <cell r="K448" t="str">
            <v>balance</v>
          </cell>
          <cell r="L448" t="str">
            <v>バランスタイプ</v>
          </cell>
          <cell r="M448" t="str">
            <v>human</v>
          </cell>
        </row>
        <row r="449">
          <cell r="A449">
            <v>448</v>
          </cell>
          <cell r="B449" t="str">
            <v>ja</v>
          </cell>
          <cell r="C449" t="str">
            <v>ガレス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4</v>
          </cell>
          <cell r="J449" t="str">
            <v>PremiumN</v>
          </cell>
          <cell r="K449" t="str">
            <v>balance</v>
          </cell>
          <cell r="L449" t="str">
            <v>バランスタイプ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幽き美手 ガレス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ゴーレム亀</v>
          </cell>
          <cell r="D561" t="str">
            <v>未定</v>
          </cell>
          <cell r="E561" t="str">
            <v>執行者</v>
          </cell>
          <cell r="F561" t="str">
            <v>格好いい</v>
          </cell>
          <cell r="G561" t="str">
            <v>不明</v>
          </cell>
          <cell r="H561" t="str">
            <v>yellow</v>
          </cell>
          <cell r="I561">
            <v>4</v>
          </cell>
          <cell r="J561" t="str">
            <v>PremiumS</v>
          </cell>
          <cell r="K561" t="str">
            <v>hp</v>
          </cell>
          <cell r="L561" t="str">
            <v>体力タイプ</v>
          </cell>
          <cell r="M561" t="str">
            <v>machine</v>
          </cell>
        </row>
        <row r="562">
          <cell r="A562">
            <v>561</v>
          </cell>
          <cell r="B562" t="str">
            <v>ja</v>
          </cell>
          <cell r="C562" t="str">
            <v>ゴーレム亀</v>
          </cell>
          <cell r="D562" t="str">
            <v>未定</v>
          </cell>
          <cell r="E562" t="str">
            <v>執行者</v>
          </cell>
          <cell r="F562" t="str">
            <v>格好いい</v>
          </cell>
          <cell r="G562" t="str">
            <v>不明</v>
          </cell>
          <cell r="H562" t="str">
            <v>yellow</v>
          </cell>
          <cell r="I562">
            <v>5</v>
          </cell>
          <cell r="J562" t="str">
            <v>PremiumS</v>
          </cell>
          <cell r="K562" t="str">
            <v>hp</v>
          </cell>
          <cell r="L562" t="str">
            <v>体力タイプ</v>
          </cell>
          <cell r="M562" t="str">
            <v>machine</v>
          </cell>
        </row>
        <row r="563">
          <cell r="A563">
            <v>562</v>
          </cell>
          <cell r="B563" t="str">
            <v>ja</v>
          </cell>
          <cell r="C563" t="str">
            <v>ラプラス</v>
          </cell>
          <cell r="D563" t="str">
            <v>未定</v>
          </cell>
          <cell r="E563" t="str">
            <v>執行者</v>
          </cell>
          <cell r="F563" t="str">
            <v>格好いい</v>
          </cell>
          <cell r="G563" t="str">
            <v>不明</v>
          </cell>
          <cell r="H563" t="str">
            <v>yellow</v>
          </cell>
          <cell r="I563">
            <v>3</v>
          </cell>
          <cell r="J563" t="str">
            <v>PremiumS</v>
          </cell>
          <cell r="K563" t="str">
            <v>technical</v>
          </cell>
          <cell r="L563" t="str">
            <v>テクニカルタイプ</v>
          </cell>
          <cell r="M563" t="str">
            <v>human</v>
          </cell>
        </row>
        <row r="564">
          <cell r="A564">
            <v>563</v>
          </cell>
          <cell r="B564" t="str">
            <v>ja</v>
          </cell>
          <cell r="C564" t="str">
            <v>ラプラス</v>
          </cell>
          <cell r="D564" t="str">
            <v>未定</v>
          </cell>
          <cell r="E564" t="str">
            <v>執行者</v>
          </cell>
          <cell r="F564" t="str">
            <v>格好いい</v>
          </cell>
          <cell r="G564" t="str">
            <v>不明</v>
          </cell>
          <cell r="H564" t="str">
            <v>yellow</v>
          </cell>
          <cell r="I564">
            <v>4</v>
          </cell>
          <cell r="J564" t="str">
            <v>PremiumS</v>
          </cell>
          <cell r="K564" t="str">
            <v>technical</v>
          </cell>
          <cell r="L564" t="str">
            <v>テクニカルタイプ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カスケード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yellow</v>
          </cell>
          <cell r="I565">
            <v>5</v>
          </cell>
          <cell r="J565" t="str">
            <v>PremiumS</v>
          </cell>
          <cell r="K565" t="str">
            <v>technical</v>
          </cell>
          <cell r="L565" t="str">
            <v>テクニカルタイプ</v>
          </cell>
          <cell r="M565" t="str">
            <v>unknown</v>
          </cell>
        </row>
        <row r="566">
          <cell r="A566">
            <v>565</v>
          </cell>
          <cell r="B566" t="str">
            <v>ja</v>
          </cell>
          <cell r="C566" t="str">
            <v>落下分解型カスケード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yellow</v>
          </cell>
          <cell r="I566">
            <v>3</v>
          </cell>
          <cell r="J566" t="str">
            <v>PremiumS</v>
          </cell>
          <cell r="K566" t="str">
            <v>technical</v>
          </cell>
          <cell r="L566" t="str">
            <v>テクニカルタイプ</v>
          </cell>
          <cell r="M566" t="str">
            <v>unknown</v>
          </cell>
        </row>
        <row r="567">
          <cell r="A567">
            <v>566</v>
          </cell>
          <cell r="B567" t="str">
            <v>ja</v>
          </cell>
          <cell r="C567" t="str">
            <v>カスケード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yellow</v>
          </cell>
          <cell r="I567">
            <v>4</v>
          </cell>
          <cell r="J567" t="str">
            <v>PremiumS</v>
          </cell>
          <cell r="K567" t="str">
            <v>technical</v>
          </cell>
          <cell r="L567" t="str">
            <v>テクニカルタイプ</v>
          </cell>
          <cell r="M567" t="str">
            <v>unknown</v>
          </cell>
        </row>
        <row r="568">
          <cell r="A568">
            <v>567</v>
          </cell>
          <cell r="B568" t="str">
            <v>ja</v>
          </cell>
          <cell r="C568" t="str">
            <v>シャドーノブナガ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red</v>
          </cell>
          <cell r="I568">
            <v>5</v>
          </cell>
          <cell r="J568" t="str">
            <v>DropWizSSS</v>
          </cell>
          <cell r="K568" t="str">
            <v>attack</v>
          </cell>
          <cell r="L568" t="str">
            <v>攻撃タイプ</v>
          </cell>
          <cell r="M568" t="str">
            <v>human</v>
          </cell>
        </row>
        <row r="569">
          <cell r="A569">
            <v>568</v>
          </cell>
          <cell r="B569" t="str">
            <v>ja</v>
          </cell>
          <cell r="C569" t="str">
            <v>イゾルデ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blue</v>
          </cell>
          <cell r="I569">
            <v>3</v>
          </cell>
          <cell r="J569" t="str">
            <v>PremiumS</v>
          </cell>
          <cell r="K569" t="str">
            <v>attack</v>
          </cell>
          <cell r="L569" t="str">
            <v>攻撃タイプ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イゾルデ</v>
          </cell>
          <cell r="D570" t="str">
            <v>未定</v>
          </cell>
          <cell r="E570" t="str">
            <v>執行者</v>
          </cell>
          <cell r="F570" t="str">
            <v>格好いい</v>
          </cell>
          <cell r="G570" t="str">
            <v>不明</v>
          </cell>
          <cell r="H570" t="str">
            <v>blue</v>
          </cell>
          <cell r="I570">
            <v>4</v>
          </cell>
          <cell r="J570" t="str">
            <v>PremiumS</v>
          </cell>
          <cell r="K570" t="str">
            <v>attack</v>
          </cell>
          <cell r="L570" t="str">
            <v>攻撃タイプ</v>
          </cell>
          <cell r="M570" t="str">
            <v>human</v>
          </cell>
        </row>
        <row r="571">
          <cell r="A571">
            <v>570</v>
          </cell>
          <cell r="B571" t="str">
            <v>ja</v>
          </cell>
          <cell r="C571" t="str">
            <v>イゾルデ</v>
          </cell>
          <cell r="D571" t="str">
            <v>未定</v>
          </cell>
          <cell r="E571" t="str">
            <v>執行者</v>
          </cell>
          <cell r="F571" t="str">
            <v>格好いい</v>
          </cell>
          <cell r="G571" t="str">
            <v>不明</v>
          </cell>
          <cell r="H571" t="str">
            <v>blue</v>
          </cell>
          <cell r="I571">
            <v>5</v>
          </cell>
          <cell r="J571" t="str">
            <v>PremiumS</v>
          </cell>
          <cell r="K571" t="str">
            <v>attack</v>
          </cell>
          <cell r="L571" t="str">
            <v>攻撃タイプ</v>
          </cell>
          <cell r="M571" t="str">
            <v>human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ユミルじゃなくなった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フェルマー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未踏の轍跡 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human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human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ガルヴァーニ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yellow</v>
          </cell>
          <cell r="I628">
            <v>4</v>
          </cell>
          <cell r="J628" t="str">
            <v>DropWizN</v>
          </cell>
          <cell r="K628" t="str">
            <v>attack</v>
          </cell>
          <cell r="L628" t="str">
            <v>攻撃タイプ</v>
          </cell>
          <cell r="M628" t="str">
            <v>human</v>
          </cell>
        </row>
        <row r="629">
          <cell r="A629">
            <v>628</v>
          </cell>
          <cell r="B629" t="str">
            <v>ja</v>
          </cell>
          <cell r="C629" t="str">
            <v>ガルヴァーニ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yellow</v>
          </cell>
          <cell r="I629">
            <v>5</v>
          </cell>
          <cell r="J629" t="str">
            <v>DropWizS</v>
          </cell>
          <cell r="K629" t="str">
            <v>attack</v>
          </cell>
          <cell r="L629" t="str">
            <v>攻撃タイプ</v>
          </cell>
          <cell r="M629" t="str">
            <v>human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6</v>
          </cell>
          <cell r="J630" t="str">
            <v>DropWizS</v>
          </cell>
          <cell r="K630" t="str">
            <v>attack</v>
          </cell>
          <cell r="L630" t="str">
            <v>攻撃タイプ</v>
          </cell>
          <cell r="M630" t="str">
            <v>human</v>
          </cell>
        </row>
        <row r="631">
          <cell r="A631">
            <v>630</v>
          </cell>
          <cell r="B631" t="str">
            <v>ja</v>
          </cell>
          <cell r="C631" t="str">
            <v>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5</v>
          </cell>
          <cell r="J631" t="str">
            <v>DropWizN</v>
          </cell>
          <cell r="K631" t="str">
            <v>attack</v>
          </cell>
          <cell r="L631" t="str">
            <v>攻撃タイプ</v>
          </cell>
          <cell r="M631" t="str">
            <v>human</v>
          </cell>
        </row>
        <row r="632">
          <cell r="A632">
            <v>631</v>
          </cell>
          <cell r="B632" t="str">
            <v>ja</v>
          </cell>
          <cell r="C632" t="str">
            <v>赤アニマル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red</v>
          </cell>
          <cell r="I632">
            <v>4</v>
          </cell>
          <cell r="J632" t="str">
            <v>PremiumSS</v>
          </cell>
          <cell r="K632" t="str">
            <v>attack</v>
          </cell>
          <cell r="L632" t="str">
            <v>攻撃タイプ</v>
          </cell>
          <cell r="M632" t="str">
            <v>animal</v>
          </cell>
        </row>
        <row r="633">
          <cell r="A633">
            <v>632</v>
          </cell>
          <cell r="B633" t="str">
            <v>ja</v>
          </cell>
          <cell r="C633" t="str">
            <v>赤アニマル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5</v>
          </cell>
          <cell r="J633" t="str">
            <v>PremiumSS</v>
          </cell>
          <cell r="K633" t="str">
            <v>attack</v>
          </cell>
          <cell r="L633" t="str">
            <v>攻撃タイプ</v>
          </cell>
          <cell r="M633" t="str">
            <v>animal</v>
          </cell>
        </row>
        <row r="634">
          <cell r="A634">
            <v>633</v>
          </cell>
          <cell r="B634" t="str">
            <v>ja</v>
          </cell>
          <cell r="C634" t="str">
            <v>赤ドラゴン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red</v>
          </cell>
          <cell r="I634">
            <v>3</v>
          </cell>
          <cell r="J634" t="str">
            <v>PremiumS</v>
          </cell>
          <cell r="K634" t="str">
            <v>attack</v>
          </cell>
          <cell r="L634" t="str">
            <v>攻撃タイプ</v>
          </cell>
          <cell r="M634" t="str">
            <v>dragon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</row>
        <row r="637">
          <cell r="A637">
            <v>636</v>
          </cell>
          <cell r="B637" t="str">
            <v>ja</v>
          </cell>
          <cell r="C637" t="str">
            <v>コードレッド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PremiumS</v>
          </cell>
          <cell r="K637" t="str">
            <v>attack</v>
          </cell>
          <cell r="L637" t="str">
            <v>攻撃タイプ</v>
          </cell>
          <cell r="M637" t="str">
            <v>unknown</v>
          </cell>
        </row>
        <row r="638">
          <cell r="A638">
            <v>637</v>
          </cell>
          <cell r="B638" t="str">
            <v>ja</v>
          </cell>
          <cell r="C638" t="str">
            <v>増殖感染型コードレッド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PremiumS</v>
          </cell>
          <cell r="K638" t="str">
            <v>attack</v>
          </cell>
          <cell r="L638" t="str">
            <v>攻撃タイプ</v>
          </cell>
          <cell r="M638" t="str">
            <v>unknown</v>
          </cell>
        </row>
        <row r="639">
          <cell r="A639">
            <v>638</v>
          </cell>
          <cell r="B639" t="str">
            <v>ja</v>
          </cell>
          <cell r="C639" t="str">
            <v>コードレッド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red</v>
          </cell>
          <cell r="I639">
            <v>5</v>
          </cell>
          <cell r="J639" t="str">
            <v>PremiumS</v>
          </cell>
          <cell r="K639" t="str">
            <v>attack</v>
          </cell>
          <cell r="L639" t="str">
            <v>攻撃タイプ</v>
          </cell>
          <cell r="M639" t="str">
            <v>unknown</v>
          </cell>
        </row>
        <row r="640">
          <cell r="A640">
            <v>639</v>
          </cell>
          <cell r="B640" t="str">
            <v>ja</v>
          </cell>
          <cell r="C640" t="str">
            <v>ライオネル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3</v>
          </cell>
          <cell r="J640" t="str">
            <v>PremiumS</v>
          </cell>
          <cell r="K640" t="str">
            <v>attack</v>
          </cell>
          <cell r="L640" t="str">
            <v>攻撃タイプ</v>
          </cell>
          <cell r="M640" t="str">
            <v>animal</v>
          </cell>
        </row>
        <row r="641">
          <cell r="A641">
            <v>640</v>
          </cell>
          <cell r="B641" t="str">
            <v>ja</v>
          </cell>
          <cell r="C641" t="str">
            <v>ライオネル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red</v>
          </cell>
          <cell r="I641">
            <v>4</v>
          </cell>
          <cell r="J641" t="str">
            <v>PremiumS</v>
          </cell>
          <cell r="K641" t="str">
            <v>attack</v>
          </cell>
          <cell r="L641" t="str">
            <v>攻撃タイプ</v>
          </cell>
          <cell r="M641" t="str">
            <v>animal</v>
          </cell>
        </row>
        <row r="642">
          <cell r="A642">
            <v>641</v>
          </cell>
          <cell r="B642" t="str">
            <v>ja</v>
          </cell>
          <cell r="C642" t="str">
            <v>ライオネル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red</v>
          </cell>
          <cell r="I642">
            <v>5</v>
          </cell>
          <cell r="J642" t="str">
            <v>PremiumS</v>
          </cell>
          <cell r="K642" t="str">
            <v>attack</v>
          </cell>
          <cell r="L642" t="str">
            <v>攻撃タイプ</v>
          </cell>
          <cell r="M642" t="str">
            <v>animal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孤高の王子　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暗躍する偽帝　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黄巾賊の将軍　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</row>
        <row r="697">
          <cell r="A697">
            <v>696</v>
          </cell>
          <cell r="B697" t="str">
            <v>ja</v>
          </cell>
          <cell r="C697" t="str">
            <v>生きる都市伝説　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　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豪腕静穏な寿司屋　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愛月撤灯の闇医者　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池袋最強の暴走　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聡明な戦狂女　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red</v>
          </cell>
          <cell r="I737">
            <v>4</v>
          </cell>
          <cell r="J737" t="str">
            <v>Drop2N</v>
          </cell>
          <cell r="K737" t="str">
            <v>hp</v>
          </cell>
          <cell r="L737" t="str">
            <v>体力タイプ</v>
          </cell>
          <cell r="M737" t="str">
            <v>animal</v>
          </cell>
        </row>
        <row r="738">
          <cell r="A738">
            <v>737</v>
          </cell>
          <cell r="B738" t="str">
            <v>ja</v>
          </cell>
          <cell r="C738" t="str">
            <v>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red</v>
          </cell>
          <cell r="I738">
            <v>5</v>
          </cell>
          <cell r="J738" t="str">
            <v>Drop2N</v>
          </cell>
          <cell r="K738" t="str">
            <v>hp</v>
          </cell>
          <cell r="L738" t="str">
            <v>体力タイプ</v>
          </cell>
          <cell r="M738" t="str">
            <v>animal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4</v>
          </cell>
          <cell r="J739" t="str">
            <v>Drop2N</v>
          </cell>
          <cell r="K739" t="str">
            <v>balance</v>
          </cell>
          <cell r="L739" t="str">
            <v>バランスタイプ</v>
          </cell>
          <cell r="M739" t="str">
            <v>dragon</v>
          </cell>
        </row>
        <row r="740">
          <cell r="A740">
            <v>739</v>
          </cell>
          <cell r="B740" t="str">
            <v>ja</v>
          </cell>
          <cell r="C740" t="str">
            <v>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Drop2N</v>
          </cell>
          <cell r="K740" t="str">
            <v>balance</v>
          </cell>
          <cell r="L740" t="str">
            <v>バランスタイプ</v>
          </cell>
          <cell r="M740" t="str">
            <v>dragon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yellow</v>
          </cell>
          <cell r="I741">
            <v>5</v>
          </cell>
          <cell r="J741" t="str">
            <v>DropWizS</v>
          </cell>
          <cell r="K741" t="str">
            <v>attack</v>
          </cell>
          <cell r="L741" t="str">
            <v>攻撃タイプ</v>
          </cell>
          <cell r="M741" t="str">
            <v>dragon</v>
          </cell>
        </row>
        <row r="742">
          <cell r="A742">
            <v>741</v>
          </cell>
          <cell r="B742" t="str">
            <v>ja</v>
          </cell>
          <cell r="C742" t="str">
            <v>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yellow</v>
          </cell>
          <cell r="I742">
            <v>6</v>
          </cell>
          <cell r="J742" t="str">
            <v>DropWizS</v>
          </cell>
          <cell r="K742" t="str">
            <v>attack</v>
          </cell>
          <cell r="L742" t="str">
            <v>攻撃タイプ</v>
          </cell>
          <cell r="M742" t="str">
            <v>dragon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red</v>
          </cell>
          <cell r="I743">
            <v>5</v>
          </cell>
          <cell r="J743" t="str">
            <v>PremiumSS</v>
          </cell>
          <cell r="K743" t="str">
            <v>attack</v>
          </cell>
          <cell r="L743" t="str">
            <v>攻撃タイプ</v>
          </cell>
          <cell r="M743" t="str">
            <v>god</v>
          </cell>
        </row>
        <row r="744">
          <cell r="A744">
            <v>743</v>
          </cell>
          <cell r="B744" t="str">
            <v>ja</v>
          </cell>
          <cell r="C744" t="str">
            <v>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red</v>
          </cell>
          <cell r="I744">
            <v>6</v>
          </cell>
          <cell r="J744" t="str">
            <v>PremiumSS</v>
          </cell>
          <cell r="K744" t="str">
            <v>attack</v>
          </cell>
          <cell r="L744" t="str">
            <v>攻撃タイプ</v>
          </cell>
          <cell r="M744" t="str">
            <v>god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green</v>
          </cell>
          <cell r="I745">
            <v>5</v>
          </cell>
          <cell r="J745" t="str">
            <v>PremiumSS</v>
          </cell>
          <cell r="K745" t="str">
            <v>technical</v>
          </cell>
          <cell r="L745" t="str">
            <v>テクニカルタイプ</v>
          </cell>
          <cell r="M745" t="str">
            <v>god</v>
          </cell>
        </row>
        <row r="746">
          <cell r="A746">
            <v>745</v>
          </cell>
          <cell r="B746" t="str">
            <v>ja</v>
          </cell>
          <cell r="C746" t="str">
            <v>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green</v>
          </cell>
          <cell r="I746">
            <v>6</v>
          </cell>
          <cell r="J746" t="str">
            <v>PremiumSS</v>
          </cell>
          <cell r="K746" t="str">
            <v>technical</v>
          </cell>
          <cell r="L746" t="str">
            <v>テクニカルタイプ</v>
          </cell>
          <cell r="M746" t="str">
            <v>god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4</v>
          </cell>
          <cell r="J747" t="str">
            <v>PremiumS</v>
          </cell>
          <cell r="K747" t="str">
            <v>balance</v>
          </cell>
          <cell r="L747" t="str">
            <v>バランスタイプ</v>
          </cell>
          <cell r="M747" t="str">
            <v>god</v>
          </cell>
        </row>
        <row r="748">
          <cell r="A748">
            <v>747</v>
          </cell>
          <cell r="B748" t="str">
            <v>ja</v>
          </cell>
          <cell r="C748" t="str">
            <v>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balance</v>
          </cell>
          <cell r="L748" t="str">
            <v>バランスタイプ</v>
          </cell>
          <cell r="M748" t="str">
            <v>god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yellow</v>
          </cell>
          <cell r="I749">
            <v>4</v>
          </cell>
          <cell r="J749" t="str">
            <v>PremiumS</v>
          </cell>
          <cell r="K749" t="str">
            <v>heal</v>
          </cell>
          <cell r="L749" t="str">
            <v>回復タイプ</v>
          </cell>
          <cell r="M749" t="str">
            <v>animal</v>
          </cell>
        </row>
        <row r="750">
          <cell r="A750">
            <v>749</v>
          </cell>
          <cell r="B750" t="str">
            <v>ja</v>
          </cell>
          <cell r="C750" t="str">
            <v>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yellow</v>
          </cell>
          <cell r="I750">
            <v>5</v>
          </cell>
          <cell r="J750" t="str">
            <v>PremiumS</v>
          </cell>
          <cell r="K750" t="str">
            <v>heal</v>
          </cell>
          <cell r="L750" t="str">
            <v>回復タイプ</v>
          </cell>
          <cell r="M750" t="str">
            <v>animal</v>
          </cell>
        </row>
        <row r="751">
          <cell r="A751">
            <v>750</v>
          </cell>
          <cell r="B751" t="str">
            <v>ja</v>
          </cell>
          <cell r="C751" t="str">
            <v>アポロン</v>
          </cell>
          <cell r="D751" t="str">
            <v>各属性相性良3・黄・R368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blue</v>
          </cell>
          <cell r="I751">
            <v>5</v>
          </cell>
          <cell r="J751" t="str">
            <v>PremiumS</v>
          </cell>
          <cell r="K751" t="str">
            <v>attack</v>
          </cell>
          <cell r="L751" t="str">
            <v>攻撃タイプ</v>
          </cell>
          <cell r="M751" t="str">
            <v>human</v>
          </cell>
        </row>
        <row r="752">
          <cell r="A752">
            <v>751</v>
          </cell>
          <cell r="B752" t="str">
            <v>ja</v>
          </cell>
          <cell r="C752" t="str">
            <v>アポロン</v>
          </cell>
          <cell r="D752" t="str">
            <v>各属性相性良3・黄・R369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blue</v>
          </cell>
          <cell r="I752">
            <v>5</v>
          </cell>
          <cell r="J752" t="str">
            <v>PremiumS</v>
          </cell>
          <cell r="K752" t="str">
            <v>attack</v>
          </cell>
          <cell r="L752" t="str">
            <v>攻撃タイプ</v>
          </cell>
          <cell r="M752" t="str">
            <v>human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</row>
        <row r="781">
          <cell r="A781">
            <v>780</v>
          </cell>
          <cell r="B781" t="str">
            <v>ja</v>
          </cell>
          <cell r="C781" t="str">
            <v>未定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blue</v>
          </cell>
          <cell r="I781">
            <v>3</v>
          </cell>
          <cell r="J781" t="str">
            <v>PremiumS</v>
          </cell>
          <cell r="K781" t="str">
            <v>heal</v>
          </cell>
          <cell r="L781" t="str">
            <v>回復タイプ</v>
          </cell>
          <cell r="M781" t="str">
            <v>unknown</v>
          </cell>
        </row>
        <row r="782">
          <cell r="A782">
            <v>781</v>
          </cell>
          <cell r="B782" t="str">
            <v>ja</v>
          </cell>
          <cell r="C782" t="str">
            <v>未定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blue</v>
          </cell>
          <cell r="I782">
            <v>4</v>
          </cell>
          <cell r="J782" t="str">
            <v>PremiumS</v>
          </cell>
          <cell r="K782" t="str">
            <v>heal</v>
          </cell>
          <cell r="L782" t="str">
            <v>回復タイプ</v>
          </cell>
          <cell r="M782" t="str">
            <v>unknown</v>
          </cell>
        </row>
        <row r="783">
          <cell r="A783">
            <v>782</v>
          </cell>
          <cell r="B783" t="str">
            <v>ja</v>
          </cell>
          <cell r="C783" t="str">
            <v>BA_Unit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red</v>
          </cell>
          <cell r="I783">
            <v>6</v>
          </cell>
          <cell r="J783" t="str">
            <v>PremiumN</v>
          </cell>
          <cell r="K783" t="str">
            <v>attack</v>
          </cell>
          <cell r="L783" t="str">
            <v>攻撃タイプ</v>
          </cell>
          <cell r="M783" t="str">
            <v>god</v>
          </cell>
        </row>
        <row r="784">
          <cell r="A784">
            <v>783</v>
          </cell>
          <cell r="B784" t="str">
            <v>ja</v>
          </cell>
          <cell r="C784" t="str">
            <v>OA_Unit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green</v>
          </cell>
          <cell r="I784">
            <v>6</v>
          </cell>
          <cell r="J784" t="str">
            <v>PremiumN</v>
          </cell>
          <cell r="K784" t="str">
            <v>attack</v>
          </cell>
          <cell r="L784" t="str">
            <v>攻撃タイプ</v>
          </cell>
          <cell r="M784" t="str">
            <v>god</v>
          </cell>
        </row>
        <row r="785">
          <cell r="A785">
            <v>784</v>
          </cell>
          <cell r="B785" t="str">
            <v>ja</v>
          </cell>
          <cell r="C785" t="str">
            <v>FA_Unit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blue</v>
          </cell>
          <cell r="I785">
            <v>6</v>
          </cell>
          <cell r="J785" t="str">
            <v>PremiumN</v>
          </cell>
          <cell r="K785" t="str">
            <v>attack</v>
          </cell>
          <cell r="L785" t="str">
            <v>攻撃タイプ</v>
          </cell>
          <cell r="M785" t="str">
            <v>god</v>
          </cell>
        </row>
        <row r="786">
          <cell r="A786">
            <v>785</v>
          </cell>
          <cell r="B786" t="str">
            <v>ja</v>
          </cell>
          <cell r="C786" t="str">
            <v>IA_Unit</v>
          </cell>
          <cell r="D786" t="str">
            <v>各属性相性良3・黄・R403</v>
          </cell>
          <cell r="E786" t="str">
            <v>執行者</v>
          </cell>
          <cell r="F786" t="str">
            <v>格好いい</v>
          </cell>
          <cell r="G786" t="str">
            <v>男性</v>
          </cell>
          <cell r="H786" t="str">
            <v>yellow</v>
          </cell>
          <cell r="I786">
            <v>6</v>
          </cell>
          <cell r="J786" t="str">
            <v>PremiumN</v>
          </cell>
          <cell r="K786" t="str">
            <v>attack</v>
          </cell>
          <cell r="L786" t="str">
            <v>攻撃タイプ</v>
          </cell>
          <cell r="M786" t="str">
            <v>god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</row>
        <row r="789">
          <cell r="A789">
            <v>788</v>
          </cell>
          <cell r="B789" t="str">
            <v>ja</v>
          </cell>
          <cell r="C789" t="str">
            <v>パブロフ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PremiumSSS</v>
          </cell>
          <cell r="K789" t="str">
            <v>attack</v>
          </cell>
          <cell r="L789" t="str">
            <v>攻撃タイプ</v>
          </cell>
          <cell r="M789" t="str">
            <v>animal</v>
          </cell>
        </row>
        <row r="790">
          <cell r="A790">
            <v>789</v>
          </cell>
          <cell r="B790" t="str">
            <v>ja</v>
          </cell>
          <cell r="C790" t="str">
            <v>パブロフ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PremiumSSS</v>
          </cell>
          <cell r="K790" t="str">
            <v>attack</v>
          </cell>
          <cell r="L790" t="str">
            <v>攻撃タイプ</v>
          </cell>
          <cell r="M790" t="str">
            <v>animal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machine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human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animal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balance</v>
          </cell>
          <cell r="L818" t="str">
            <v>バランスタイプ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technical</v>
          </cell>
          <cell r="L819" t="str">
            <v>テクニカルタイプ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technical</v>
          </cell>
          <cell r="L820" t="str">
            <v>テクニカルタイプ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balance</v>
          </cell>
          <cell r="L821" t="str">
            <v>バランスタイプ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hp</v>
          </cell>
          <cell r="L822" t="str">
            <v>体力タイプ</v>
          </cell>
          <cell r="M822" t="str">
            <v>animal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balance</v>
          </cell>
          <cell r="L823" t="str">
            <v>バランスタイプ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technical</v>
          </cell>
          <cell r="L824" t="str">
            <v>テクニカルタイプ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hp</v>
          </cell>
          <cell r="L825" t="str">
            <v>体力タイプ</v>
          </cell>
          <cell r="M825" t="str">
            <v>unknown</v>
          </cell>
        </row>
        <row r="826">
          <cell r="A826">
            <v>825</v>
          </cell>
          <cell r="B826" t="str">
            <v>ja</v>
          </cell>
          <cell r="C826" t="str">
            <v>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attack</v>
          </cell>
          <cell r="L826" t="str">
            <v>攻撃タイプ</v>
          </cell>
          <cell r="M826" t="str">
            <v>human</v>
          </cell>
        </row>
        <row r="827">
          <cell r="A827">
            <v>826</v>
          </cell>
          <cell r="B827" t="str">
            <v>ja</v>
          </cell>
          <cell r="C827" t="str">
            <v>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human</v>
          </cell>
        </row>
        <row r="828">
          <cell r="A828">
            <v>827</v>
          </cell>
          <cell r="B828" t="str">
            <v>ja</v>
          </cell>
          <cell r="C828" t="str">
            <v>アルフヘイム(雲ドラゴン)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human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attack</v>
          </cell>
          <cell r="L829" t="str">
            <v>攻撃タイプ</v>
          </cell>
          <cell r="M829" t="str">
            <v>human</v>
          </cell>
        </row>
        <row r="830">
          <cell r="A830">
            <v>829</v>
          </cell>
          <cell r="B830" t="str">
            <v>ja</v>
          </cell>
          <cell r="C830" t="str">
            <v>猫又（化け猫)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green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human</v>
          </cell>
        </row>
        <row r="831">
          <cell r="A831">
            <v>830</v>
          </cell>
          <cell r="B831" t="str">
            <v>ja</v>
          </cell>
          <cell r="C831" t="str">
            <v>カラス天狗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DropWizS</v>
          </cell>
          <cell r="K831" t="str">
            <v>attack</v>
          </cell>
          <cell r="L831" t="str">
            <v>攻撃タイプ</v>
          </cell>
          <cell r="M831" t="str">
            <v>human</v>
          </cell>
        </row>
        <row r="832">
          <cell r="A832">
            <v>831</v>
          </cell>
          <cell r="B832" t="str">
            <v>ja</v>
          </cell>
          <cell r="C832" t="str">
            <v>ぬらりひょん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PremiumSS</v>
          </cell>
          <cell r="K832" t="str">
            <v>attack</v>
          </cell>
          <cell r="L832" t="str">
            <v>攻撃タイプ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鬼（酒呑童子）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human</v>
          </cell>
        </row>
        <row r="834">
          <cell r="A834">
            <v>833</v>
          </cell>
          <cell r="B834" t="str">
            <v>ja</v>
          </cell>
          <cell r="C834" t="str">
            <v>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human</v>
          </cell>
        </row>
        <row r="835">
          <cell r="A835">
            <v>834</v>
          </cell>
          <cell r="B835" t="str">
            <v>ja</v>
          </cell>
          <cell r="C835" t="str">
            <v>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attack</v>
          </cell>
          <cell r="L835" t="str">
            <v>攻撃タイプ</v>
          </cell>
          <cell r="M835" t="str">
            <v>human</v>
          </cell>
        </row>
        <row r="836">
          <cell r="A836">
            <v>835</v>
          </cell>
          <cell r="B836" t="str">
            <v>ja</v>
          </cell>
          <cell r="C836" t="str">
            <v>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attack</v>
          </cell>
          <cell r="L836" t="str">
            <v>攻撃タイプ</v>
          </cell>
          <cell r="M836" t="str">
            <v>human</v>
          </cell>
        </row>
        <row r="837">
          <cell r="A837">
            <v>836</v>
          </cell>
          <cell r="B837" t="str">
            <v>ja</v>
          </cell>
          <cell r="C837" t="str">
            <v>マーラ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attack</v>
          </cell>
          <cell r="L837" t="str">
            <v>攻撃タイプ</v>
          </cell>
          <cell r="M837" t="str">
            <v>human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</row>
        <row r="839">
          <cell r="A839">
            <v>838</v>
          </cell>
          <cell r="B839" t="str">
            <v>ja</v>
          </cell>
          <cell r="C839" t="str">
            <v>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blue</v>
          </cell>
          <cell r="I839">
            <v>6</v>
          </cell>
          <cell r="J839" t="str">
            <v>PremiumSS</v>
          </cell>
          <cell r="K839" t="str">
            <v>attack</v>
          </cell>
          <cell r="L839" t="str">
            <v>攻撃タイプ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blue</v>
          </cell>
          <cell r="I840">
            <v>6</v>
          </cell>
          <cell r="J840" t="str">
            <v>PremiumSS</v>
          </cell>
          <cell r="K840" t="str">
            <v>attack</v>
          </cell>
          <cell r="L840" t="str">
            <v>攻撃タイプ</v>
          </cell>
          <cell r="M840" t="str">
            <v>human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hp</v>
          </cell>
          <cell r="L861" t="str">
            <v>体力タイプ</v>
          </cell>
          <cell r="M861" t="str">
            <v>unknown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hp</v>
          </cell>
          <cell r="L862" t="str">
            <v>体力タイプ</v>
          </cell>
          <cell r="M862" t="str">
            <v>unknown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attack</v>
          </cell>
          <cell r="L865" t="str">
            <v>攻撃タイプ</v>
          </cell>
          <cell r="M865" t="str">
            <v>machine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attack</v>
          </cell>
          <cell r="L866" t="str">
            <v>攻撃タイプ</v>
          </cell>
          <cell r="M866" t="str">
            <v>machine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hp</v>
          </cell>
          <cell r="L869" t="str">
            <v>体力タイプ</v>
          </cell>
          <cell r="M869" t="str">
            <v>human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hp</v>
          </cell>
          <cell r="L870" t="str">
            <v>体力タイプ</v>
          </cell>
          <cell r="M870" t="str">
            <v>human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</row>
        <row r="875">
          <cell r="A875">
            <v>874</v>
          </cell>
          <cell r="B875" t="str">
            <v>ja</v>
          </cell>
          <cell r="C875" t="str">
            <v>マクスウェル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</row>
        <row r="876">
          <cell r="A876">
            <v>875</v>
          </cell>
          <cell r="B876" t="str">
            <v>ja</v>
          </cell>
          <cell r="C876" t="str">
            <v>マクスウェル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god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god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balance</v>
          </cell>
          <cell r="L879" t="str">
            <v>バランスタイプ</v>
          </cell>
          <cell r="M879" t="str">
            <v>god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balance</v>
          </cell>
          <cell r="L880" t="str">
            <v>バランスタイプ</v>
          </cell>
          <cell r="M880" t="str">
            <v>god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  <cell r="K881" t="str">
            <v>heal</v>
          </cell>
          <cell r="L881" t="str">
            <v>回復タイプ</v>
          </cell>
          <cell r="M881" t="str">
            <v>academia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  <cell r="K882" t="str">
            <v>heal</v>
          </cell>
          <cell r="L882" t="str">
            <v>回復タイプ</v>
          </cell>
          <cell r="M882" t="str">
            <v>academia</v>
          </cell>
        </row>
        <row r="883">
          <cell r="A883">
            <v>882</v>
          </cell>
          <cell r="B883" t="str">
            <v>ja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blue</v>
          </cell>
          <cell r="I883">
            <v>3</v>
          </cell>
          <cell r="J883" t="str">
            <v>Drop2N</v>
          </cell>
          <cell r="K883" t="str">
            <v>attack</v>
          </cell>
          <cell r="L883" t="str">
            <v>攻撃タイプ</v>
          </cell>
          <cell r="M883" t="str">
            <v>human</v>
          </cell>
        </row>
        <row r="884">
          <cell r="A884">
            <v>883</v>
          </cell>
          <cell r="B884" t="str">
            <v>ja</v>
          </cell>
          <cell r="C884" t="str">
            <v>慟哭の巨焔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Drop2N</v>
          </cell>
          <cell r="K884" t="str">
            <v>attack</v>
          </cell>
          <cell r="L884" t="str">
            <v>攻撃タイプ</v>
          </cell>
          <cell r="M884" t="str">
            <v>human</v>
          </cell>
        </row>
        <row r="885">
          <cell r="A885">
            <v>884</v>
          </cell>
          <cell r="B885" t="str">
            <v>ja</v>
          </cell>
          <cell r="C885" t="str">
            <v>豊穣の麗神・アフロディーテ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blue</v>
          </cell>
          <cell r="I885">
            <v>6</v>
          </cell>
          <cell r="J885" t="str">
            <v>Drop2N</v>
          </cell>
          <cell r="K885" t="str">
            <v>attack</v>
          </cell>
          <cell r="L885" t="str">
            <v>攻撃タイプ</v>
          </cell>
          <cell r="M885" t="str">
            <v>human</v>
          </cell>
        </row>
        <row r="886">
          <cell r="A886">
            <v>885</v>
          </cell>
          <cell r="B886" t="str">
            <v>ja</v>
          </cell>
          <cell r="C886" t="str">
            <v>海底の孤高神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Drop2N</v>
          </cell>
          <cell r="K886" t="str">
            <v>attack</v>
          </cell>
          <cell r="L886" t="str">
            <v>攻撃タイプ</v>
          </cell>
          <cell r="M886" t="str">
            <v>human</v>
          </cell>
        </row>
        <row r="887">
          <cell r="A887">
            <v>886</v>
          </cell>
          <cell r="B887" t="str">
            <v>ja</v>
          </cell>
          <cell r="C887" t="str">
            <v>満天の星降神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Drop2N</v>
          </cell>
          <cell r="K887" t="str">
            <v>attack</v>
          </cell>
          <cell r="L887" t="str">
            <v>攻撃タイプ</v>
          </cell>
          <cell r="M887" t="str">
            <v>human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Drop2N</v>
          </cell>
          <cell r="K888" t="str">
            <v>attack</v>
          </cell>
          <cell r="L888" t="str">
            <v>攻撃タイプ</v>
          </cell>
          <cell r="M888" t="str">
            <v>human</v>
          </cell>
        </row>
        <row r="889">
          <cell r="A889">
            <v>888</v>
          </cell>
          <cell r="B889" t="str">
            <v>ja</v>
          </cell>
          <cell r="C889" t="str">
            <v>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Drop2N</v>
          </cell>
          <cell r="K889" t="str">
            <v>attack</v>
          </cell>
          <cell r="L889" t="str">
            <v>攻撃タイプ</v>
          </cell>
          <cell r="M889" t="str">
            <v>human</v>
          </cell>
        </row>
        <row r="890">
          <cell r="A890">
            <v>889</v>
          </cell>
          <cell r="B890" t="str">
            <v>ja</v>
          </cell>
          <cell r="C890" t="str">
            <v>パンドラ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green</v>
          </cell>
          <cell r="I890">
            <v>5</v>
          </cell>
          <cell r="J890" t="str">
            <v>PremiumSSS</v>
          </cell>
          <cell r="K890" t="str">
            <v>technical</v>
          </cell>
          <cell r="L890" t="str">
            <v>テクニカルタイプ</v>
          </cell>
          <cell r="M890" t="str">
            <v>academia</v>
          </cell>
        </row>
        <row r="891">
          <cell r="A891">
            <v>890</v>
          </cell>
          <cell r="B891" t="str">
            <v>ja</v>
          </cell>
          <cell r="C891" t="str">
            <v>パンドラ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green</v>
          </cell>
          <cell r="I891">
            <v>6</v>
          </cell>
          <cell r="J891" t="str">
            <v>PremiumSSS</v>
          </cell>
          <cell r="K891" t="str">
            <v>technical</v>
          </cell>
          <cell r="L891" t="str">
            <v>テクニカルタイプ</v>
          </cell>
          <cell r="M891" t="str">
            <v>academia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Drop2N</v>
          </cell>
          <cell r="K892" t="str">
            <v>attack</v>
          </cell>
          <cell r="L892" t="str">
            <v>攻撃タイプ</v>
          </cell>
          <cell r="M892" t="str">
            <v>human</v>
          </cell>
        </row>
        <row r="893">
          <cell r="A893">
            <v>892</v>
          </cell>
          <cell r="B893" t="str">
            <v>ja</v>
          </cell>
          <cell r="C893" t="str">
            <v>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Drop2N</v>
          </cell>
          <cell r="K893" t="str">
            <v>attack</v>
          </cell>
          <cell r="L893" t="str">
            <v>攻撃タイプ</v>
          </cell>
          <cell r="M893" t="str">
            <v>human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Drop2N</v>
          </cell>
          <cell r="K894" t="str">
            <v>attack</v>
          </cell>
          <cell r="L894" t="str">
            <v>攻撃タイプ</v>
          </cell>
          <cell r="M894" t="str">
            <v>human</v>
          </cell>
        </row>
        <row r="895">
          <cell r="A895">
            <v>894</v>
          </cell>
          <cell r="B895" t="str">
            <v>ja</v>
          </cell>
          <cell r="C895" t="str">
            <v>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Drop2N</v>
          </cell>
          <cell r="K895" t="str">
            <v>attack</v>
          </cell>
          <cell r="L895" t="str">
            <v>攻撃タイプ</v>
          </cell>
          <cell r="M895" t="str">
            <v>human</v>
          </cell>
        </row>
        <row r="896">
          <cell r="A896">
            <v>895</v>
          </cell>
          <cell r="B896" t="str">
            <v>ja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blue</v>
          </cell>
          <cell r="I896">
            <v>5</v>
          </cell>
          <cell r="J896" t="str">
            <v>Drop2N</v>
          </cell>
          <cell r="K896" t="str">
            <v>attack</v>
          </cell>
          <cell r="L896" t="str">
            <v>攻撃タイプ</v>
          </cell>
          <cell r="M896" t="str">
            <v>human</v>
          </cell>
        </row>
        <row r="897">
          <cell r="A897">
            <v>896</v>
          </cell>
          <cell r="B897" t="str">
            <v>ja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blue</v>
          </cell>
          <cell r="I897">
            <v>6</v>
          </cell>
          <cell r="J897" t="str">
            <v>Drop2N</v>
          </cell>
          <cell r="K897" t="str">
            <v>attack</v>
          </cell>
          <cell r="L897" t="str">
            <v>攻撃タイプ</v>
          </cell>
          <cell r="M897" t="str">
            <v>human</v>
          </cell>
        </row>
        <row r="898">
          <cell r="A898">
            <v>897</v>
          </cell>
          <cell r="B898" t="str">
            <v>ja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red</v>
          </cell>
          <cell r="I898">
            <v>5</v>
          </cell>
          <cell r="J898" t="str">
            <v>Drop2N</v>
          </cell>
          <cell r="K898" t="str">
            <v>attack</v>
          </cell>
          <cell r="L898" t="str">
            <v>攻撃タイプ</v>
          </cell>
          <cell r="M898" t="str">
            <v>human</v>
          </cell>
        </row>
        <row r="899">
          <cell r="A899">
            <v>898</v>
          </cell>
          <cell r="B899" t="str">
            <v>ja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red</v>
          </cell>
          <cell r="I899">
            <v>6</v>
          </cell>
          <cell r="J899" t="str">
            <v>Drop2N</v>
          </cell>
          <cell r="K899" t="str">
            <v>attack</v>
          </cell>
          <cell r="L899" t="str">
            <v>攻撃タイプ</v>
          </cell>
          <cell r="M899" t="str">
            <v>human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  <cell r="K900" t="str">
            <v>technical</v>
          </cell>
          <cell r="L900" t="str">
            <v>テクニカルタイプ</v>
          </cell>
          <cell r="M900" t="str">
            <v>ss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  <cell r="K901" t="str">
            <v>technical</v>
          </cell>
          <cell r="L901" t="str">
            <v>テクニカルタイプ</v>
          </cell>
          <cell r="M901" t="str">
            <v>ss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technical</v>
          </cell>
          <cell r="L902" t="str">
            <v>テクニカルタイプ</v>
          </cell>
          <cell r="M902" t="str">
            <v>ss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technical</v>
          </cell>
          <cell r="L903" t="str">
            <v>テクニカルタイプ</v>
          </cell>
          <cell r="M903" t="str">
            <v>ss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balance</v>
          </cell>
          <cell r="L904" t="str">
            <v>バランスタイプ</v>
          </cell>
          <cell r="M904" t="str">
            <v>ss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balance</v>
          </cell>
          <cell r="L905" t="str">
            <v>バランスタイプ</v>
          </cell>
          <cell r="M905" t="str">
            <v>ss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hp</v>
          </cell>
          <cell r="L906" t="str">
            <v>体力タイプ</v>
          </cell>
          <cell r="M906" t="str">
            <v>ss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hp</v>
          </cell>
          <cell r="L907" t="str">
            <v>体力タイプ</v>
          </cell>
          <cell r="M907" t="str">
            <v>ss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ss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ss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balance</v>
          </cell>
          <cell r="L910" t="str">
            <v>バランスタイプ</v>
          </cell>
          <cell r="M910" t="str">
            <v>ss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balance</v>
          </cell>
          <cell r="L911" t="str">
            <v>バランスタイプ</v>
          </cell>
          <cell r="M911" t="str">
            <v>ss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attack</v>
          </cell>
          <cell r="L912" t="str">
            <v>攻撃タイプ</v>
          </cell>
          <cell r="M912" t="str">
            <v>ss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attack</v>
          </cell>
          <cell r="L913" t="str">
            <v>攻撃タイプ</v>
          </cell>
          <cell r="M913" t="str">
            <v>ss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  <cell r="K914" t="str">
            <v>balance</v>
          </cell>
          <cell r="L914" t="str">
            <v>バランスタイプ</v>
          </cell>
          <cell r="M914" t="str">
            <v>ss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  <cell r="K915" t="str">
            <v>balance</v>
          </cell>
          <cell r="L915" t="str">
            <v>バランスタイプ</v>
          </cell>
          <cell r="M915" t="str">
            <v>ss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  <cell r="K916" t="str">
            <v>technical</v>
          </cell>
          <cell r="L916" t="str">
            <v>テクニカルタイプ</v>
          </cell>
          <cell r="M916" t="str">
            <v>ss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  <cell r="K917" t="str">
            <v>technical</v>
          </cell>
          <cell r="L917" t="str">
            <v>テクニカルタイプ</v>
          </cell>
          <cell r="M917" t="str">
            <v>ss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PremiumS</v>
          </cell>
          <cell r="K918" t="str">
            <v>balance</v>
          </cell>
          <cell r="L918" t="str">
            <v>バランスタイプ</v>
          </cell>
          <cell r="M918" t="str">
            <v>ss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PremiumS</v>
          </cell>
          <cell r="K919" t="str">
            <v>balance</v>
          </cell>
          <cell r="L919" t="str">
            <v>バランスタイプ</v>
          </cell>
          <cell r="M919" t="str">
            <v>ss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heal</v>
          </cell>
          <cell r="L920" t="str">
            <v>回復タイプ</v>
          </cell>
          <cell r="M920" t="str">
            <v>ss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heal</v>
          </cell>
          <cell r="L921" t="str">
            <v>回復タイプ</v>
          </cell>
          <cell r="M921" t="str">
            <v>ss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PremiumS</v>
          </cell>
          <cell r="K922" t="str">
            <v>technical</v>
          </cell>
          <cell r="L922" t="str">
            <v>テクニカルタイプ</v>
          </cell>
          <cell r="M922" t="str">
            <v>ss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PremiumS</v>
          </cell>
          <cell r="K923" t="str">
            <v>technical</v>
          </cell>
          <cell r="L923" t="str">
            <v>テクニカルタイプ</v>
          </cell>
          <cell r="M923" t="str">
            <v>ss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PremiumS</v>
          </cell>
          <cell r="K924" t="str">
            <v>attack</v>
          </cell>
          <cell r="L924" t="str">
            <v>攻撃タイプ</v>
          </cell>
          <cell r="M924" t="str">
            <v>ss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PremiumS</v>
          </cell>
          <cell r="K925" t="str">
            <v>attack</v>
          </cell>
          <cell r="L925" t="str">
            <v>攻撃タイプ</v>
          </cell>
          <cell r="M925" t="str">
            <v>ss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heal</v>
          </cell>
          <cell r="L926" t="str">
            <v>回復タイプ</v>
          </cell>
          <cell r="M926" t="str">
            <v>ss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heal</v>
          </cell>
          <cell r="L927" t="str">
            <v>回復タイプ</v>
          </cell>
          <cell r="M927" t="str">
            <v>ss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PremiumS</v>
          </cell>
          <cell r="K928" t="str">
            <v>hp</v>
          </cell>
          <cell r="L928" t="str">
            <v>体力タイプ</v>
          </cell>
          <cell r="M928" t="str">
            <v>ss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PremiumS</v>
          </cell>
          <cell r="K929" t="str">
            <v>hp</v>
          </cell>
          <cell r="L929" t="str">
            <v>体力タイプ</v>
          </cell>
          <cell r="M929" t="str">
            <v>ss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DropWizSS</v>
          </cell>
          <cell r="K930" t="str">
            <v>balance</v>
          </cell>
          <cell r="L930" t="str">
            <v>バランスタイプ</v>
          </cell>
          <cell r="M930" t="str">
            <v>god</v>
          </cell>
        </row>
        <row r="931">
          <cell r="A931">
            <v>930</v>
          </cell>
          <cell r="B931" t="str">
            <v>ja</v>
          </cell>
          <cell r="C931" t="str">
            <v>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DropWizSS</v>
          </cell>
          <cell r="K931" t="str">
            <v>balance</v>
          </cell>
          <cell r="L931" t="str">
            <v>バランスタイプ</v>
          </cell>
          <cell r="M931" t="str">
            <v>god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blue</v>
          </cell>
          <cell r="I932">
            <v>4</v>
          </cell>
          <cell r="J932" t="str">
            <v>Drop2N</v>
          </cell>
          <cell r="K932" t="str">
            <v>attack</v>
          </cell>
          <cell r="L932" t="str">
            <v>攻撃タイプ</v>
          </cell>
          <cell r="M932" t="str">
            <v>human</v>
          </cell>
        </row>
        <row r="933">
          <cell r="A933">
            <v>932</v>
          </cell>
          <cell r="B933" t="str">
            <v>ja</v>
          </cell>
          <cell r="C933" t="str">
            <v>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blue</v>
          </cell>
          <cell r="I933">
            <v>5</v>
          </cell>
          <cell r="J933" t="str">
            <v>Drop2N</v>
          </cell>
          <cell r="K933" t="str">
            <v>attack</v>
          </cell>
          <cell r="L933" t="str">
            <v>攻撃タイプ</v>
          </cell>
          <cell r="M933" t="str">
            <v>human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human</v>
          </cell>
        </row>
        <row r="935">
          <cell r="A935">
            <v>934</v>
          </cell>
          <cell r="B935" t="str">
            <v>ja</v>
          </cell>
          <cell r="C935" t="str">
            <v>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human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Drop2N</v>
          </cell>
          <cell r="K936" t="str">
            <v>attack</v>
          </cell>
          <cell r="L936" t="str">
            <v>攻撃タイプ</v>
          </cell>
          <cell r="M936" t="str">
            <v>human</v>
          </cell>
        </row>
        <row r="937">
          <cell r="A937">
            <v>936</v>
          </cell>
          <cell r="B937" t="str">
            <v>ja</v>
          </cell>
          <cell r="C937" t="str">
            <v>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Drop2N</v>
          </cell>
          <cell r="K937" t="str">
            <v>attack</v>
          </cell>
          <cell r="L937" t="str">
            <v>攻撃タイプ</v>
          </cell>
          <cell r="M937" t="str">
            <v>human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Drop2N</v>
          </cell>
          <cell r="K938" t="str">
            <v>attack</v>
          </cell>
          <cell r="L938" t="str">
            <v>攻撃タイプ</v>
          </cell>
          <cell r="M938" t="str">
            <v>human</v>
          </cell>
        </row>
        <row r="939">
          <cell r="A939">
            <v>938</v>
          </cell>
          <cell r="B939" t="str">
            <v>ja</v>
          </cell>
          <cell r="C939" t="str">
            <v>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Drop2N</v>
          </cell>
          <cell r="K939" t="str">
            <v>attack</v>
          </cell>
          <cell r="L939" t="str">
            <v>攻撃タイプ</v>
          </cell>
          <cell r="M939" t="str">
            <v>human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blue</v>
          </cell>
          <cell r="I940">
            <v>4</v>
          </cell>
          <cell r="J940" t="str">
            <v>Drop2N</v>
          </cell>
          <cell r="K940" t="str">
            <v>attack</v>
          </cell>
          <cell r="L940" t="str">
            <v>攻撃タイプ</v>
          </cell>
          <cell r="M940" t="str">
            <v>human</v>
          </cell>
        </row>
        <row r="941">
          <cell r="A941">
            <v>940</v>
          </cell>
          <cell r="B941" t="str">
            <v>ja</v>
          </cell>
          <cell r="C941" t="str">
            <v>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blue</v>
          </cell>
          <cell r="I941">
            <v>5</v>
          </cell>
          <cell r="J941" t="str">
            <v>Drop2N</v>
          </cell>
          <cell r="K941" t="str">
            <v>attack</v>
          </cell>
          <cell r="L941" t="str">
            <v>攻撃タイプ</v>
          </cell>
          <cell r="M941" t="str">
            <v>human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Drop2N</v>
          </cell>
          <cell r="K942" t="str">
            <v>attack</v>
          </cell>
          <cell r="L942" t="str">
            <v>攻撃タイプ</v>
          </cell>
          <cell r="M942" t="str">
            <v>human</v>
          </cell>
        </row>
        <row r="943">
          <cell r="A943">
            <v>942</v>
          </cell>
          <cell r="B943" t="str">
            <v>ja</v>
          </cell>
          <cell r="C943" t="str">
            <v>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Drop2N</v>
          </cell>
          <cell r="K943" t="str">
            <v>attack</v>
          </cell>
          <cell r="L943" t="str">
            <v>攻撃タイプ</v>
          </cell>
          <cell r="M943" t="str">
            <v>human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Drop2N</v>
          </cell>
          <cell r="K944" t="str">
            <v>attack</v>
          </cell>
          <cell r="L944" t="str">
            <v>攻撃タイプ</v>
          </cell>
          <cell r="M944" t="str">
            <v>human</v>
          </cell>
        </row>
        <row r="945">
          <cell r="A945">
            <v>944</v>
          </cell>
          <cell r="B945" t="str">
            <v>ja</v>
          </cell>
          <cell r="C945" t="str">
            <v>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Drop2N</v>
          </cell>
          <cell r="K945" t="str">
            <v>attack</v>
          </cell>
          <cell r="L945" t="str">
            <v>攻撃タイプ</v>
          </cell>
          <cell r="M945" t="str">
            <v>human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Drop2N</v>
          </cell>
          <cell r="K946" t="str">
            <v>attack</v>
          </cell>
          <cell r="L946" t="str">
            <v>攻撃タイプ</v>
          </cell>
          <cell r="M946" t="str">
            <v>human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Drop2N</v>
          </cell>
          <cell r="K947" t="str">
            <v>attack</v>
          </cell>
          <cell r="L947" t="str">
            <v>攻撃タイプ</v>
          </cell>
          <cell r="M947" t="str">
            <v>human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blue</v>
          </cell>
          <cell r="I948">
            <v>5</v>
          </cell>
          <cell r="J948" t="str">
            <v>Drop2N</v>
          </cell>
          <cell r="K948" t="str">
            <v>attack</v>
          </cell>
          <cell r="L948" t="str">
            <v>攻撃タイプ</v>
          </cell>
          <cell r="M948" t="str">
            <v>human</v>
          </cell>
        </row>
        <row r="949">
          <cell r="A949">
            <v>948</v>
          </cell>
          <cell r="B949" t="str">
            <v>ja</v>
          </cell>
          <cell r="C949" t="str">
            <v>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blue</v>
          </cell>
          <cell r="I949">
            <v>6</v>
          </cell>
          <cell r="J949" t="str">
            <v>Drop2N</v>
          </cell>
          <cell r="K949" t="str">
            <v>attack</v>
          </cell>
          <cell r="L949" t="str">
            <v>攻撃タイプ</v>
          </cell>
          <cell r="M949" t="str">
            <v>human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Drop2N</v>
          </cell>
          <cell r="K950" t="str">
            <v>attack</v>
          </cell>
          <cell r="L950" t="str">
            <v>攻撃タイプ</v>
          </cell>
          <cell r="M950" t="str">
            <v>human</v>
          </cell>
        </row>
        <row r="951">
          <cell r="A951">
            <v>950</v>
          </cell>
          <cell r="B951" t="str">
            <v>ja</v>
          </cell>
          <cell r="C951" t="str">
            <v>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Drop2N</v>
          </cell>
          <cell r="K951" t="str">
            <v>attack</v>
          </cell>
          <cell r="L951" t="str">
            <v>攻撃タイプ</v>
          </cell>
          <cell r="M951" t="str">
            <v>human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Drop2N</v>
          </cell>
          <cell r="K952" t="str">
            <v>attack</v>
          </cell>
          <cell r="L952" t="str">
            <v>攻撃タイプ</v>
          </cell>
          <cell r="M952" t="str">
            <v>human</v>
          </cell>
        </row>
        <row r="953">
          <cell r="A953">
            <v>952</v>
          </cell>
          <cell r="B953" t="str">
            <v>ja</v>
          </cell>
          <cell r="C953" t="str">
            <v>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Drop2N</v>
          </cell>
          <cell r="K953" t="str">
            <v>attack</v>
          </cell>
          <cell r="L953" t="str">
            <v>攻撃タイプ</v>
          </cell>
          <cell r="M953" t="str">
            <v>human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  <cell r="K954" t="str">
            <v>attack</v>
          </cell>
          <cell r="L954" t="str">
            <v>攻撃タイプ</v>
          </cell>
          <cell r="M954" t="str">
            <v>academia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  <cell r="K955" t="str">
            <v>attack</v>
          </cell>
          <cell r="L955" t="str">
            <v>攻撃タイプ</v>
          </cell>
          <cell r="M955" t="str">
            <v>academia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Drop2N</v>
          </cell>
          <cell r="K956" t="str">
            <v>attack</v>
          </cell>
          <cell r="L956" t="str">
            <v>攻撃タイプ</v>
          </cell>
          <cell r="M956" t="str">
            <v>human</v>
          </cell>
        </row>
        <row r="957">
          <cell r="A957">
            <v>956</v>
          </cell>
          <cell r="B957" t="str">
            <v>ja</v>
          </cell>
          <cell r="C957" t="str">
            <v>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Drop2N</v>
          </cell>
          <cell r="K957" t="str">
            <v>attack</v>
          </cell>
          <cell r="L957" t="str">
            <v>攻撃タイプ</v>
          </cell>
          <cell r="M957" t="str">
            <v>human</v>
          </cell>
        </row>
        <row r="958">
          <cell r="A958">
            <v>957</v>
          </cell>
          <cell r="B958" t="str">
            <v>ja</v>
          </cell>
          <cell r="C958" t="str">
            <v>ディラック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blue</v>
          </cell>
          <cell r="I958">
            <v>5</v>
          </cell>
          <cell r="J958" t="str">
            <v>Drop2N</v>
          </cell>
          <cell r="K958" t="str">
            <v>attack</v>
          </cell>
          <cell r="L958" t="str">
            <v>攻撃タイプ</v>
          </cell>
          <cell r="M958" t="str">
            <v>human</v>
          </cell>
        </row>
        <row r="959">
          <cell r="A959">
            <v>958</v>
          </cell>
          <cell r="B959" t="str">
            <v>ja</v>
          </cell>
          <cell r="C959" t="str">
            <v>ディラック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blue</v>
          </cell>
          <cell r="I959">
            <v>6</v>
          </cell>
          <cell r="J959" t="str">
            <v>Drop2N</v>
          </cell>
          <cell r="K959" t="str">
            <v>attack</v>
          </cell>
          <cell r="L959" t="str">
            <v>攻撃タイプ</v>
          </cell>
          <cell r="M959" t="str">
            <v>human</v>
          </cell>
        </row>
        <row r="960">
          <cell r="A960">
            <v>959</v>
          </cell>
          <cell r="B960" t="str">
            <v>ja</v>
          </cell>
          <cell r="C960" t="str">
            <v>ガラハッド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blue</v>
          </cell>
          <cell r="I960">
            <v>6</v>
          </cell>
          <cell r="J960" t="str">
            <v>Drop2N</v>
          </cell>
          <cell r="K960" t="str">
            <v>attack</v>
          </cell>
          <cell r="L960" t="str">
            <v>攻撃タイプ</v>
          </cell>
          <cell r="M960" t="str">
            <v>human</v>
          </cell>
        </row>
        <row r="961">
          <cell r="A961">
            <v>960</v>
          </cell>
          <cell r="B961" t="str">
            <v>ja</v>
          </cell>
          <cell r="C961" t="str">
            <v>ガレス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blue</v>
          </cell>
          <cell r="I961">
            <v>6</v>
          </cell>
          <cell r="J961" t="str">
            <v>Drop2N</v>
          </cell>
          <cell r="K961" t="str">
            <v>attack</v>
          </cell>
          <cell r="L961" t="str">
            <v>攻撃タイプ</v>
          </cell>
          <cell r="M961" t="str">
            <v>human</v>
          </cell>
        </row>
        <row r="962">
          <cell r="A962">
            <v>961</v>
          </cell>
          <cell r="B962" t="str">
            <v>ja</v>
          </cell>
          <cell r="C962" t="str">
            <v>コードレッド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red</v>
          </cell>
          <cell r="I962">
            <v>6</v>
          </cell>
          <cell r="J962" t="str">
            <v>Drop2N</v>
          </cell>
          <cell r="K962" t="str">
            <v>attack</v>
          </cell>
          <cell r="L962" t="str">
            <v>攻撃タイプ</v>
          </cell>
          <cell r="M962" t="str">
            <v>human</v>
          </cell>
        </row>
        <row r="963">
          <cell r="A963">
            <v>962</v>
          </cell>
          <cell r="B963" t="str">
            <v>ja</v>
          </cell>
          <cell r="C963" t="str">
            <v>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blue</v>
          </cell>
          <cell r="I963">
            <v>6</v>
          </cell>
          <cell r="J963" t="str">
            <v>Drop2N</v>
          </cell>
          <cell r="K963" t="str">
            <v>attack</v>
          </cell>
          <cell r="L963" t="str">
            <v>攻撃タイプ</v>
          </cell>
          <cell r="M963" t="str">
            <v>human</v>
          </cell>
        </row>
        <row r="964">
          <cell r="A964">
            <v>963</v>
          </cell>
          <cell r="B964" t="str">
            <v>ja</v>
          </cell>
          <cell r="C964" t="str">
            <v>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Drop2N</v>
          </cell>
          <cell r="K964" t="str">
            <v>attack</v>
          </cell>
          <cell r="L964" t="str">
            <v>攻撃タイプ</v>
          </cell>
          <cell r="M964" t="str">
            <v>human</v>
          </cell>
        </row>
        <row r="965">
          <cell r="A965">
            <v>964</v>
          </cell>
          <cell r="B965" t="str">
            <v>ja</v>
          </cell>
          <cell r="C965" t="str">
            <v>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Drop2N</v>
          </cell>
          <cell r="K965" t="str">
            <v>attack</v>
          </cell>
          <cell r="L965" t="str">
            <v>攻撃タイプ</v>
          </cell>
          <cell r="M965" t="str">
            <v>human</v>
          </cell>
        </row>
        <row r="966">
          <cell r="A966">
            <v>965</v>
          </cell>
          <cell r="B966" t="str">
            <v>ja</v>
          </cell>
          <cell r="C966" t="str">
            <v>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Drop2N</v>
          </cell>
          <cell r="K966" t="str">
            <v>attack</v>
          </cell>
          <cell r="L966" t="str">
            <v>攻撃タイプ</v>
          </cell>
          <cell r="M966" t="str">
            <v>human</v>
          </cell>
        </row>
        <row r="967">
          <cell r="A967">
            <v>966</v>
          </cell>
          <cell r="B967" t="str">
            <v>ja</v>
          </cell>
          <cell r="C967" t="str">
            <v>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blue</v>
          </cell>
          <cell r="I967">
            <v>6</v>
          </cell>
          <cell r="J967" t="str">
            <v>Drop2N</v>
          </cell>
          <cell r="K967" t="str">
            <v>attack</v>
          </cell>
          <cell r="L967" t="str">
            <v>攻撃タイプ</v>
          </cell>
          <cell r="M967" t="str">
            <v>human</v>
          </cell>
        </row>
        <row r="968">
          <cell r="A968">
            <v>967</v>
          </cell>
          <cell r="B968" t="str">
            <v>ja</v>
          </cell>
          <cell r="C968" t="str">
            <v>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Drop2N</v>
          </cell>
          <cell r="K968" t="str">
            <v>attack</v>
          </cell>
          <cell r="L968" t="str">
            <v>攻撃タイプ</v>
          </cell>
          <cell r="M968" t="str">
            <v>human</v>
          </cell>
        </row>
        <row r="969">
          <cell r="A969">
            <v>968</v>
          </cell>
          <cell r="B969" t="str">
            <v>ja</v>
          </cell>
          <cell r="C969" t="str">
            <v>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Drop2N</v>
          </cell>
          <cell r="K969" t="str">
            <v>attack</v>
          </cell>
          <cell r="L969" t="str">
            <v>攻撃タイプ</v>
          </cell>
          <cell r="M969" t="str">
            <v>human</v>
          </cell>
        </row>
        <row r="970">
          <cell r="A970">
            <v>969</v>
          </cell>
          <cell r="B970" t="str">
            <v>ja</v>
          </cell>
          <cell r="C970" t="str">
            <v>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Drop2N</v>
          </cell>
          <cell r="K970" t="str">
            <v>attack</v>
          </cell>
          <cell r="L970" t="str">
            <v>攻撃タイプ</v>
          </cell>
          <cell r="M970" t="str">
            <v>human</v>
          </cell>
        </row>
        <row r="971">
          <cell r="A971">
            <v>970</v>
          </cell>
          <cell r="B971" t="str">
            <v>ja</v>
          </cell>
          <cell r="C971" t="str">
            <v>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Drop2N</v>
          </cell>
          <cell r="K971" t="str">
            <v>attack</v>
          </cell>
          <cell r="L971" t="str">
            <v>攻撃タイプ</v>
          </cell>
          <cell r="M971" t="str">
            <v>human</v>
          </cell>
        </row>
        <row r="972">
          <cell r="A972">
            <v>971</v>
          </cell>
          <cell r="B972" t="str">
            <v>ja</v>
          </cell>
          <cell r="C972" t="str">
            <v>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Drop2N</v>
          </cell>
          <cell r="K972" t="str">
            <v>attack</v>
          </cell>
          <cell r="L972" t="str">
            <v>攻撃タイプ</v>
          </cell>
          <cell r="M972" t="str">
            <v>human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Drop2N</v>
          </cell>
          <cell r="K973" t="str">
            <v>attack</v>
          </cell>
          <cell r="L973" t="str">
            <v>攻撃タイプ</v>
          </cell>
          <cell r="M973" t="str">
            <v>human</v>
          </cell>
        </row>
        <row r="974">
          <cell r="A974">
            <v>973</v>
          </cell>
          <cell r="B974" t="str">
            <v>ja</v>
          </cell>
          <cell r="C974" t="str">
            <v>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Drop2N</v>
          </cell>
          <cell r="K974" t="str">
            <v>attack</v>
          </cell>
          <cell r="L974" t="str">
            <v>攻撃タイプ</v>
          </cell>
          <cell r="M974" t="str">
            <v>human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  <cell r="K975" t="str">
            <v>balance</v>
          </cell>
          <cell r="L975" t="str">
            <v>バランスタイプ</v>
          </cell>
          <cell r="M975" t="str">
            <v>academia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  <cell r="K976" t="str">
            <v>balance</v>
          </cell>
          <cell r="L976" t="str">
            <v>バランスタイプ</v>
          </cell>
          <cell r="M976" t="str">
            <v>academia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</row>
        <row r="978">
          <cell r="A978">
            <v>977</v>
          </cell>
          <cell r="B978" t="str">
            <v>ja</v>
          </cell>
          <cell r="C978" t="str">
            <v>CO05_EV01_R4</v>
          </cell>
          <cell r="D978" t="str">
            <v>リヴァイ お掃除ver.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4</v>
          </cell>
          <cell r="J978" t="str">
            <v>Drop2N</v>
          </cell>
          <cell r="K978" t="str">
            <v>balance</v>
          </cell>
          <cell r="L978" t="str">
            <v>バランスタイプ</v>
          </cell>
          <cell r="M978" t="str">
            <v>human</v>
          </cell>
        </row>
        <row r="979">
          <cell r="A979">
            <v>978</v>
          </cell>
          <cell r="B979" t="str">
            <v>ja</v>
          </cell>
          <cell r="C979" t="str">
            <v>CO05_EV01_R5</v>
          </cell>
          <cell r="D979" t="str">
            <v>リヴァイ お掃除ver.</v>
          </cell>
          <cell r="E979" t="str">
            <v>執行者</v>
          </cell>
          <cell r="F979" t="str">
            <v>格好いい</v>
          </cell>
          <cell r="G979" t="str">
            <v>男性</v>
          </cell>
          <cell r="H979" t="str">
            <v>blue</v>
          </cell>
          <cell r="I979">
            <v>5</v>
          </cell>
          <cell r="J979" t="str">
            <v>Drop2N</v>
          </cell>
          <cell r="K979" t="str">
            <v>balance</v>
          </cell>
          <cell r="L979" t="str">
            <v>バランスタイプ</v>
          </cell>
          <cell r="M979" t="str">
            <v>human</v>
          </cell>
        </row>
        <row r="980">
          <cell r="A980">
            <v>979</v>
          </cell>
          <cell r="B980" t="str">
            <v>ja</v>
          </cell>
          <cell r="C980" t="str">
            <v>CO05_Wiz01_R5</v>
          </cell>
          <cell r="D980" t="str">
            <v>超大型巨人</v>
          </cell>
          <cell r="E980" t="str">
            <v>執行者</v>
          </cell>
          <cell r="F980" t="str">
            <v>格好いい</v>
          </cell>
          <cell r="G980" t="str">
            <v>男性</v>
          </cell>
          <cell r="H980" t="str">
            <v>red</v>
          </cell>
          <cell r="I980">
            <v>5</v>
          </cell>
          <cell r="J980" t="str">
            <v>DropWizS</v>
          </cell>
          <cell r="K980" t="str">
            <v>hp</v>
          </cell>
          <cell r="L980" t="str">
            <v>体力タイプ</v>
          </cell>
          <cell r="M980" t="str">
            <v>ti</v>
          </cell>
        </row>
        <row r="981">
          <cell r="A981">
            <v>980</v>
          </cell>
          <cell r="B981" t="str">
            <v>ja</v>
          </cell>
          <cell r="C981" t="str">
            <v>CO05_Wiz01_R6</v>
          </cell>
          <cell r="D981" t="str">
            <v>超大型巨人</v>
          </cell>
          <cell r="E981" t="str">
            <v>執行者</v>
          </cell>
          <cell r="F981" t="str">
            <v>格好いい</v>
          </cell>
          <cell r="G981" t="str">
            <v>男性</v>
          </cell>
          <cell r="H981" t="str">
            <v>red</v>
          </cell>
          <cell r="I981">
            <v>6</v>
          </cell>
          <cell r="J981" t="str">
            <v>DropWizS</v>
          </cell>
          <cell r="K981" t="str">
            <v>hp</v>
          </cell>
          <cell r="L981" t="str">
            <v>体力タイプ</v>
          </cell>
          <cell r="M981" t="str">
            <v>ti</v>
          </cell>
        </row>
        <row r="982">
          <cell r="A982">
            <v>981</v>
          </cell>
          <cell r="B982" t="str">
            <v>ja</v>
          </cell>
          <cell r="C982" t="str">
            <v>CO05_EV02_R4</v>
          </cell>
          <cell r="D982" t="str">
            <v>女型の巨人</v>
          </cell>
          <cell r="E982" t="str">
            <v>執行者</v>
          </cell>
          <cell r="F982" t="str">
            <v>格好いい</v>
          </cell>
          <cell r="G982" t="str">
            <v>男性</v>
          </cell>
          <cell r="H982" t="str">
            <v>green</v>
          </cell>
          <cell r="I982">
            <v>4</v>
          </cell>
          <cell r="J982" t="str">
            <v>Drop2N</v>
          </cell>
          <cell r="K982" t="str">
            <v>balance</v>
          </cell>
          <cell r="L982" t="str">
            <v>バランスタイプ</v>
          </cell>
          <cell r="M982" t="str">
            <v>ti</v>
          </cell>
        </row>
        <row r="983">
          <cell r="A983">
            <v>982</v>
          </cell>
          <cell r="B983" t="str">
            <v>ja</v>
          </cell>
          <cell r="C983" t="str">
            <v>CO05_EV02_R5</v>
          </cell>
          <cell r="D983" t="str">
            <v>女型の巨人</v>
          </cell>
          <cell r="E983" t="str">
            <v>執行者</v>
          </cell>
          <cell r="F983" t="str">
            <v>格好いい</v>
          </cell>
          <cell r="G983" t="str">
            <v>男性</v>
          </cell>
          <cell r="H983" t="str">
            <v>green</v>
          </cell>
          <cell r="I983">
            <v>5</v>
          </cell>
          <cell r="J983" t="str">
            <v>Drop2N</v>
          </cell>
          <cell r="K983" t="str">
            <v>balance</v>
          </cell>
          <cell r="L983" t="str">
            <v>バランスタイプ</v>
          </cell>
          <cell r="M983" t="str">
            <v>ti</v>
          </cell>
        </row>
        <row r="984">
          <cell r="A984">
            <v>983</v>
          </cell>
          <cell r="B984" t="str">
            <v>ja</v>
          </cell>
          <cell r="C984" t="str">
            <v>CO05_EV03_R4</v>
          </cell>
          <cell r="D984" t="str">
            <v>鎧の巨人</v>
          </cell>
          <cell r="E984" t="str">
            <v>執行者</v>
          </cell>
          <cell r="F984" t="str">
            <v>格好いい</v>
          </cell>
          <cell r="G984" t="str">
            <v>男性</v>
          </cell>
          <cell r="H984" t="str">
            <v>yellow</v>
          </cell>
          <cell r="I984">
            <v>4</v>
          </cell>
          <cell r="J984" t="str">
            <v>Drop2N</v>
          </cell>
          <cell r="K984" t="str">
            <v>attack</v>
          </cell>
          <cell r="L984" t="str">
            <v>攻撃タイプ</v>
          </cell>
          <cell r="M984" t="str">
            <v>ti</v>
          </cell>
        </row>
        <row r="985">
          <cell r="A985">
            <v>984</v>
          </cell>
          <cell r="B985" t="str">
            <v>ja</v>
          </cell>
          <cell r="C985" t="str">
            <v>CO05_EV03_R5</v>
          </cell>
          <cell r="D985" t="str">
            <v>鎧の巨人</v>
          </cell>
          <cell r="E985" t="str">
            <v>執行者</v>
          </cell>
          <cell r="F985" t="str">
            <v>格好いい</v>
          </cell>
          <cell r="G985" t="str">
            <v>男性</v>
          </cell>
          <cell r="H985" t="str">
            <v>yellow</v>
          </cell>
          <cell r="I985">
            <v>5</v>
          </cell>
          <cell r="J985" t="str">
            <v>Drop2N</v>
          </cell>
          <cell r="K985" t="str">
            <v>attack</v>
          </cell>
          <cell r="L985" t="str">
            <v>攻撃タイプ</v>
          </cell>
          <cell r="M985" t="str">
            <v>ti</v>
          </cell>
        </row>
        <row r="986">
          <cell r="A986">
            <v>985</v>
          </cell>
          <cell r="B986" t="str">
            <v>ja</v>
          </cell>
          <cell r="C986" t="str">
            <v>CO05_ GA01_R5</v>
          </cell>
          <cell r="D986" t="str">
            <v>エレン・イェーガー</v>
          </cell>
          <cell r="E986" t="str">
            <v>執行者</v>
          </cell>
          <cell r="F986" t="str">
            <v>格好いい</v>
          </cell>
          <cell r="G986" t="str">
            <v>男性</v>
          </cell>
          <cell r="H986" t="str">
            <v>red</v>
          </cell>
          <cell r="I986">
            <v>5</v>
          </cell>
          <cell r="J986" t="str">
            <v>PremiumSS</v>
          </cell>
          <cell r="K986" t="str">
            <v>balance</v>
          </cell>
          <cell r="L986" t="str">
            <v>バランスタイプ</v>
          </cell>
          <cell r="M986" t="str">
            <v>human</v>
          </cell>
        </row>
        <row r="987">
          <cell r="A987">
            <v>986</v>
          </cell>
          <cell r="B987" t="str">
            <v>ja</v>
          </cell>
          <cell r="C987" t="str">
            <v>CO05_ GA01_R6</v>
          </cell>
          <cell r="D987" t="str">
            <v>エレン・イェーガー（人間）</v>
          </cell>
          <cell r="E987" t="str">
            <v>執行者</v>
          </cell>
          <cell r="F987" t="str">
            <v>格好いい</v>
          </cell>
          <cell r="G987" t="str">
            <v>男性</v>
          </cell>
          <cell r="H987" t="str">
            <v>red</v>
          </cell>
          <cell r="I987">
            <v>6</v>
          </cell>
          <cell r="J987" t="str">
            <v>PremiumSS</v>
          </cell>
          <cell r="K987" t="str">
            <v>balance</v>
          </cell>
          <cell r="L987" t="str">
            <v>バランスタイプ</v>
          </cell>
          <cell r="M987" t="str">
            <v>human</v>
          </cell>
        </row>
        <row r="988">
          <cell r="A988">
            <v>987</v>
          </cell>
          <cell r="B988" t="str">
            <v>ja</v>
          </cell>
          <cell r="C988" t="str">
            <v>CO05_ GA01_R6B</v>
          </cell>
          <cell r="D988" t="str">
            <v>エレン・イェーガー（巨人）</v>
          </cell>
          <cell r="E988" t="str">
            <v>執行者</v>
          </cell>
          <cell r="F988" t="str">
            <v>格好いい</v>
          </cell>
          <cell r="G988" t="str">
            <v>男性</v>
          </cell>
          <cell r="H988" t="str">
            <v>blue</v>
          </cell>
          <cell r="I988">
            <v>6</v>
          </cell>
          <cell r="J988" t="str">
            <v>PremiumSS</v>
          </cell>
          <cell r="K988" t="str">
            <v>attack</v>
          </cell>
          <cell r="L988" t="str">
            <v>攻撃タイプ</v>
          </cell>
          <cell r="M988" t="str">
            <v>ti</v>
          </cell>
        </row>
        <row r="989">
          <cell r="A989">
            <v>988</v>
          </cell>
          <cell r="B989" t="str">
            <v>ja</v>
          </cell>
          <cell r="C989" t="str">
            <v>CO05_ GA02_R5</v>
          </cell>
          <cell r="D989" t="str">
            <v>ミカサ・アッカーマン</v>
          </cell>
          <cell r="E989" t="str">
            <v>執行者</v>
          </cell>
          <cell r="F989" t="str">
            <v>格好いい</v>
          </cell>
          <cell r="G989" t="str">
            <v>男性</v>
          </cell>
          <cell r="H989" t="str">
            <v>red</v>
          </cell>
          <cell r="I989">
            <v>5</v>
          </cell>
          <cell r="J989" t="str">
            <v>PremiumSS</v>
          </cell>
          <cell r="K989" t="str">
            <v>attack</v>
          </cell>
          <cell r="L989" t="str">
            <v>攻撃タイプ</v>
          </cell>
          <cell r="M989" t="str">
            <v>human</v>
          </cell>
        </row>
        <row r="990">
          <cell r="A990">
            <v>989</v>
          </cell>
          <cell r="B990" t="str">
            <v>ja</v>
          </cell>
          <cell r="C990" t="str">
            <v>CO05_ GA02_R6</v>
          </cell>
          <cell r="D990" t="str">
            <v>ミカサ・アッカーマン</v>
          </cell>
          <cell r="E990" t="str">
            <v>執行者</v>
          </cell>
          <cell r="F990" t="str">
            <v>格好いい</v>
          </cell>
          <cell r="G990" t="str">
            <v>男性</v>
          </cell>
          <cell r="H990" t="str">
            <v>red</v>
          </cell>
          <cell r="I990">
            <v>6</v>
          </cell>
          <cell r="J990" t="str">
            <v>PremiumSS</v>
          </cell>
          <cell r="K990" t="str">
            <v>attack</v>
          </cell>
          <cell r="L990" t="str">
            <v>攻撃タイプ</v>
          </cell>
          <cell r="M990" t="str">
            <v>human</v>
          </cell>
        </row>
        <row r="991">
          <cell r="A991">
            <v>990</v>
          </cell>
          <cell r="B991" t="str">
            <v>ja</v>
          </cell>
          <cell r="C991" t="str">
            <v>CO05_ GA03_R3</v>
          </cell>
          <cell r="D991" t="str">
            <v>エルヴィン・スミス</v>
          </cell>
          <cell r="E991" t="str">
            <v>執行者</v>
          </cell>
          <cell r="F991" t="str">
            <v>格好いい</v>
          </cell>
          <cell r="G991" t="str">
            <v>男性</v>
          </cell>
          <cell r="H991" t="str">
            <v>red</v>
          </cell>
          <cell r="I991">
            <v>3</v>
          </cell>
          <cell r="J991" t="str">
            <v>PremiumS</v>
          </cell>
          <cell r="K991" t="str">
            <v>balance</v>
          </cell>
          <cell r="L991" t="str">
            <v>バランスタイプ</v>
          </cell>
          <cell r="M991" t="str">
            <v>human</v>
          </cell>
        </row>
        <row r="992">
          <cell r="A992">
            <v>991</v>
          </cell>
          <cell r="B992" t="str">
            <v>ja</v>
          </cell>
          <cell r="C992" t="str">
            <v>CO05_ GA03_R4</v>
          </cell>
          <cell r="D992" t="str">
            <v>エルヴィン・スミス</v>
          </cell>
          <cell r="E992" t="str">
            <v>執行者</v>
          </cell>
          <cell r="F992" t="str">
            <v>格好いい</v>
          </cell>
          <cell r="G992" t="str">
            <v>男性</v>
          </cell>
          <cell r="H992" t="str">
            <v>red</v>
          </cell>
          <cell r="I992">
            <v>4</v>
          </cell>
          <cell r="J992" t="str">
            <v>PremiumS</v>
          </cell>
          <cell r="K992" t="str">
            <v>balance</v>
          </cell>
          <cell r="L992" t="str">
            <v>バランスタイプ</v>
          </cell>
          <cell r="M992" t="str">
            <v>human</v>
          </cell>
        </row>
        <row r="993">
          <cell r="A993">
            <v>992</v>
          </cell>
          <cell r="B993" t="str">
            <v>ja</v>
          </cell>
          <cell r="C993" t="str">
            <v>CO05_ GA04_R4</v>
          </cell>
          <cell r="D993" t="str">
            <v>ハンジ・ゾエ</v>
          </cell>
          <cell r="E993" t="str">
            <v>執行者</v>
          </cell>
          <cell r="F993" t="str">
            <v>格好いい</v>
          </cell>
          <cell r="G993" t="str">
            <v>男性</v>
          </cell>
          <cell r="H993" t="str">
            <v>green</v>
          </cell>
          <cell r="I993">
            <v>4</v>
          </cell>
          <cell r="J993" t="str">
            <v>PremiumS</v>
          </cell>
          <cell r="K993" t="str">
            <v>technical</v>
          </cell>
          <cell r="L993" t="str">
            <v>テクニカルタイプ</v>
          </cell>
          <cell r="M993" t="str">
            <v>human</v>
          </cell>
        </row>
        <row r="994">
          <cell r="A994">
            <v>993</v>
          </cell>
          <cell r="B994" t="str">
            <v>ja</v>
          </cell>
          <cell r="C994" t="str">
            <v>CO05_ GA04_R5</v>
          </cell>
          <cell r="D994" t="str">
            <v>ハンジ・ゾエ</v>
          </cell>
          <cell r="E994" t="str">
            <v>執行者</v>
          </cell>
          <cell r="F994" t="str">
            <v>格好いい</v>
          </cell>
          <cell r="G994" t="str">
            <v>男性</v>
          </cell>
          <cell r="H994" t="str">
            <v>green</v>
          </cell>
          <cell r="I994">
            <v>5</v>
          </cell>
          <cell r="J994" t="str">
            <v>PremiumS</v>
          </cell>
          <cell r="K994" t="str">
            <v>technical</v>
          </cell>
          <cell r="L994" t="str">
            <v>テクニカルタイプ</v>
          </cell>
          <cell r="M994" t="str">
            <v>human</v>
          </cell>
        </row>
        <row r="995">
          <cell r="A995">
            <v>994</v>
          </cell>
          <cell r="B995" t="str">
            <v>ja</v>
          </cell>
          <cell r="C995" t="str">
            <v>CO05_ GA05_R4</v>
          </cell>
          <cell r="D995" t="str">
            <v>アルミン・アルレルト</v>
          </cell>
          <cell r="E995" t="str">
            <v>執行者</v>
          </cell>
          <cell r="F995" t="str">
            <v>格好いい</v>
          </cell>
          <cell r="G995" t="str">
            <v>男性</v>
          </cell>
          <cell r="H995" t="str">
            <v>green</v>
          </cell>
          <cell r="I995">
            <v>4</v>
          </cell>
          <cell r="J995" t="str">
            <v>PremiumS</v>
          </cell>
          <cell r="K995" t="str">
            <v>balance</v>
          </cell>
          <cell r="L995" t="str">
            <v>バランスタイプ</v>
          </cell>
          <cell r="M995" t="str">
            <v>human</v>
          </cell>
        </row>
        <row r="996">
          <cell r="A996">
            <v>995</v>
          </cell>
          <cell r="B996" t="str">
            <v>ja</v>
          </cell>
          <cell r="C996" t="str">
            <v>CO05_ GA05_R5</v>
          </cell>
          <cell r="D996" t="str">
            <v>アルミン・アルレルト</v>
          </cell>
          <cell r="E996" t="str">
            <v>執行者</v>
          </cell>
          <cell r="F996" t="str">
            <v>格好いい</v>
          </cell>
          <cell r="G996" t="str">
            <v>男性</v>
          </cell>
          <cell r="H996" t="str">
            <v>green</v>
          </cell>
          <cell r="I996">
            <v>5</v>
          </cell>
          <cell r="J996" t="str">
            <v>PremiumS</v>
          </cell>
          <cell r="K996" t="str">
            <v>balance</v>
          </cell>
          <cell r="L996" t="str">
            <v>バランスタイプ</v>
          </cell>
          <cell r="M996" t="str">
            <v>human</v>
          </cell>
        </row>
        <row r="997">
          <cell r="A997">
            <v>996</v>
          </cell>
          <cell r="B997" t="str">
            <v>ja</v>
          </cell>
          <cell r="C997" t="str">
            <v>CO05_ GA06_R5</v>
          </cell>
          <cell r="D997" t="str">
            <v>リヴァイ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blue</v>
          </cell>
          <cell r="I997">
            <v>5</v>
          </cell>
          <cell r="J997" t="str">
            <v>PremiumSS</v>
          </cell>
          <cell r="K997" t="str">
            <v>attack</v>
          </cell>
          <cell r="L997" t="str">
            <v>攻撃タイプ</v>
          </cell>
          <cell r="M997" t="str">
            <v>human</v>
          </cell>
        </row>
        <row r="998">
          <cell r="A998">
            <v>997</v>
          </cell>
          <cell r="B998" t="str">
            <v>ja</v>
          </cell>
          <cell r="C998" t="str">
            <v>CO05_ GA06_R6</v>
          </cell>
          <cell r="D998" t="str">
            <v>リヴァイ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blue</v>
          </cell>
          <cell r="I998">
            <v>6</v>
          </cell>
          <cell r="J998" t="str">
            <v>PremiumSS</v>
          </cell>
          <cell r="K998" t="str">
            <v>attack</v>
          </cell>
          <cell r="L998" t="str">
            <v>攻撃タイプ</v>
          </cell>
          <cell r="M998" t="str">
            <v>human</v>
          </cell>
        </row>
        <row r="999">
          <cell r="A999">
            <v>998</v>
          </cell>
          <cell r="B999" t="str">
            <v>ja</v>
          </cell>
          <cell r="C999" t="str">
            <v>CO05_ GA07_R3</v>
          </cell>
          <cell r="D999" t="str">
            <v>サシャ・ブラウス</v>
          </cell>
          <cell r="E999" t="str">
            <v>執行者</v>
          </cell>
          <cell r="F999" t="str">
            <v>格好いい</v>
          </cell>
          <cell r="G999" t="str">
            <v>男性</v>
          </cell>
          <cell r="H999" t="str">
            <v>blue</v>
          </cell>
          <cell r="I999">
            <v>3</v>
          </cell>
          <cell r="J999" t="str">
            <v>PremiumS</v>
          </cell>
          <cell r="K999" t="str">
            <v>hp</v>
          </cell>
          <cell r="L999" t="str">
            <v>体力タイプ</v>
          </cell>
          <cell r="M999" t="str">
            <v>human</v>
          </cell>
        </row>
        <row r="1000">
          <cell r="A1000">
            <v>999</v>
          </cell>
          <cell r="B1000" t="str">
            <v>ja</v>
          </cell>
          <cell r="C1000" t="str">
            <v>CO05_ GA07_R4</v>
          </cell>
          <cell r="D1000" t="str">
            <v>サシャ・ブラウス</v>
          </cell>
          <cell r="E1000" t="str">
            <v>執行者</v>
          </cell>
          <cell r="F1000" t="str">
            <v>格好いい</v>
          </cell>
          <cell r="G1000" t="str">
            <v>男性</v>
          </cell>
          <cell r="H1000" t="str">
            <v>blue</v>
          </cell>
          <cell r="I1000">
            <v>4</v>
          </cell>
          <cell r="J1000" t="str">
            <v>PremiumS</v>
          </cell>
          <cell r="K1000" t="str">
            <v>hp</v>
          </cell>
          <cell r="L1000" t="str">
            <v>体力タイプ</v>
          </cell>
          <cell r="M1000" t="str">
            <v>human</v>
          </cell>
        </row>
        <row r="1001">
          <cell r="A1001">
            <v>1000</v>
          </cell>
          <cell r="B1001" t="str">
            <v>ja</v>
          </cell>
          <cell r="C1001" t="str">
            <v>CO05_ GA08_R3</v>
          </cell>
          <cell r="D1001" t="str">
            <v>クリスタ・レンズ</v>
          </cell>
          <cell r="E1001" t="str">
            <v>執行者</v>
          </cell>
          <cell r="F1001" t="str">
            <v>格好いい</v>
          </cell>
          <cell r="G1001" t="str">
            <v>男性</v>
          </cell>
          <cell r="H1001" t="str">
            <v>yellow</v>
          </cell>
          <cell r="I1001">
            <v>3</v>
          </cell>
          <cell r="J1001" t="str">
            <v>PremiumS</v>
          </cell>
          <cell r="K1001" t="str">
            <v>heal</v>
          </cell>
          <cell r="L1001" t="str">
            <v>回復タイプ</v>
          </cell>
          <cell r="M1001" t="str">
            <v>human</v>
          </cell>
        </row>
        <row r="1002">
          <cell r="A1002">
            <v>1001</v>
          </cell>
          <cell r="B1002" t="str">
            <v>ja</v>
          </cell>
          <cell r="C1002" t="str">
            <v>CO05_ GA08_R4</v>
          </cell>
          <cell r="D1002" t="str">
            <v>クリスタ・レンズ</v>
          </cell>
          <cell r="E1002" t="str">
            <v>執行者</v>
          </cell>
          <cell r="F1002" t="str">
            <v>格好いい</v>
          </cell>
          <cell r="G1002" t="str">
            <v>男性</v>
          </cell>
          <cell r="H1002" t="str">
            <v>yellow</v>
          </cell>
          <cell r="I1002">
            <v>4</v>
          </cell>
          <cell r="J1002" t="str">
            <v>PremiumS</v>
          </cell>
          <cell r="K1002" t="str">
            <v>heal</v>
          </cell>
          <cell r="L1002" t="str">
            <v>回復タイプ</v>
          </cell>
          <cell r="M1002" t="str">
            <v>human</v>
          </cell>
        </row>
        <row r="1003">
          <cell r="A1003">
            <v>1002</v>
          </cell>
          <cell r="B1003" t="str">
            <v>ja</v>
          </cell>
          <cell r="C1003" t="str">
            <v>CO05_ GA09_R3</v>
          </cell>
          <cell r="D1003" t="str">
            <v>ジャン・キルシュタイン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yellow</v>
          </cell>
          <cell r="I1003">
            <v>3</v>
          </cell>
          <cell r="J1003" t="str">
            <v>PremiumS</v>
          </cell>
          <cell r="K1003" t="str">
            <v>balance</v>
          </cell>
          <cell r="L1003" t="str">
            <v>バランスタイプ</v>
          </cell>
          <cell r="M1003" t="str">
            <v>human</v>
          </cell>
        </row>
        <row r="1004">
          <cell r="A1004">
            <v>1003</v>
          </cell>
          <cell r="B1004" t="str">
            <v>ja</v>
          </cell>
          <cell r="C1004" t="str">
            <v>CO05_ GA09_R4</v>
          </cell>
          <cell r="D1004" t="str">
            <v>ジャン・キルシュタイン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yellow</v>
          </cell>
          <cell r="I1004">
            <v>4</v>
          </cell>
          <cell r="J1004" t="str">
            <v>PremiumS</v>
          </cell>
          <cell r="K1004" t="str">
            <v>balance</v>
          </cell>
          <cell r="L1004" t="str">
            <v>バランスタイプ</v>
          </cell>
          <cell r="M1004" t="str">
            <v>human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  <cell r="D1005" t="str">
            <v>アメミット</v>
          </cell>
          <cell r="E1005" t="str">
            <v>執行者</v>
          </cell>
          <cell r="F1005" t="str">
            <v>格好いい</v>
          </cell>
          <cell r="G1005" t="str">
            <v>男性</v>
          </cell>
          <cell r="H1005" t="str">
            <v>blue</v>
          </cell>
          <cell r="I1005">
            <v>4</v>
          </cell>
          <cell r="J1005" t="str">
            <v>Drop2N</v>
          </cell>
          <cell r="K1005" t="str">
            <v>attack</v>
          </cell>
          <cell r="L1005" t="str">
            <v>攻撃タイプ</v>
          </cell>
          <cell r="M1005" t="str">
            <v>animal</v>
          </cell>
        </row>
        <row r="1006">
          <cell r="A1006">
            <v>1005</v>
          </cell>
          <cell r="B1006" t="str">
            <v>ja</v>
          </cell>
          <cell r="C1006" t="str">
            <v>アメミット</v>
          </cell>
          <cell r="D1006" t="str">
            <v>アメミット</v>
          </cell>
          <cell r="E1006" t="str">
            <v>執行者</v>
          </cell>
          <cell r="F1006" t="str">
            <v>格好いい</v>
          </cell>
          <cell r="G1006" t="str">
            <v>男性</v>
          </cell>
          <cell r="H1006" t="str">
            <v>blue</v>
          </cell>
          <cell r="I1006">
            <v>5</v>
          </cell>
          <cell r="J1006" t="str">
            <v>Drop2N</v>
          </cell>
          <cell r="K1006" t="str">
            <v>attack</v>
          </cell>
          <cell r="L1006" t="str">
            <v>攻撃タイプ</v>
          </cell>
          <cell r="M1006" t="str">
            <v>animal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  <cell r="D1007" t="str">
            <v>セルケト</v>
          </cell>
          <cell r="E1007" t="str">
            <v>執行者</v>
          </cell>
          <cell r="F1007" t="str">
            <v>格好いい</v>
          </cell>
          <cell r="G1007" t="str">
            <v>男性</v>
          </cell>
          <cell r="H1007" t="str">
            <v>red</v>
          </cell>
          <cell r="I1007">
            <v>4</v>
          </cell>
          <cell r="J1007" t="str">
            <v>Drop2N</v>
          </cell>
          <cell r="K1007" t="str">
            <v>balance</v>
          </cell>
          <cell r="L1007" t="str">
            <v>バランスタイプ</v>
          </cell>
          <cell r="M1007" t="str">
            <v>god</v>
          </cell>
        </row>
        <row r="1008">
          <cell r="A1008">
            <v>1007</v>
          </cell>
          <cell r="B1008" t="str">
            <v>ja</v>
          </cell>
          <cell r="C1008" t="str">
            <v>セルケト</v>
          </cell>
          <cell r="D1008" t="str">
            <v>セルケト</v>
          </cell>
          <cell r="E1008" t="str">
            <v>執行者</v>
          </cell>
          <cell r="F1008" t="str">
            <v>格好いい</v>
          </cell>
          <cell r="G1008" t="str">
            <v>男性</v>
          </cell>
          <cell r="H1008" t="str">
            <v>red</v>
          </cell>
          <cell r="I1008">
            <v>5</v>
          </cell>
          <cell r="J1008" t="str">
            <v>Drop2N</v>
          </cell>
          <cell r="K1008" t="str">
            <v>balance</v>
          </cell>
          <cell r="L1008" t="str">
            <v>バランスタイプ</v>
          </cell>
          <cell r="M1008" t="str">
            <v>god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  <cell r="D1009" t="str">
            <v>オシリス</v>
          </cell>
          <cell r="E1009" t="str">
            <v>執行者</v>
          </cell>
          <cell r="F1009" t="str">
            <v>格好いい</v>
          </cell>
          <cell r="G1009" t="str">
            <v>男性</v>
          </cell>
          <cell r="H1009" t="str">
            <v>green</v>
          </cell>
          <cell r="I1009">
            <v>5</v>
          </cell>
          <cell r="J1009" t="str">
            <v>DropWizS</v>
          </cell>
          <cell r="K1009" t="str">
            <v>attack</v>
          </cell>
          <cell r="L1009" t="str">
            <v>攻撃タイプ</v>
          </cell>
          <cell r="M1009" t="str">
            <v>god</v>
          </cell>
        </row>
        <row r="1010">
          <cell r="A1010">
            <v>1009</v>
          </cell>
          <cell r="B1010" t="str">
            <v>ja</v>
          </cell>
          <cell r="C1010" t="str">
            <v>オシリス</v>
          </cell>
          <cell r="D1010" t="str">
            <v>オシリス</v>
          </cell>
          <cell r="E1010" t="str">
            <v>執行者</v>
          </cell>
          <cell r="F1010" t="str">
            <v>格好いい</v>
          </cell>
          <cell r="G1010" t="str">
            <v>男性</v>
          </cell>
          <cell r="H1010" t="str">
            <v>green</v>
          </cell>
          <cell r="I1010">
            <v>6</v>
          </cell>
          <cell r="J1010" t="str">
            <v>DropWizS</v>
          </cell>
          <cell r="K1010" t="str">
            <v>attack</v>
          </cell>
          <cell r="L1010" t="str">
            <v>攻撃タイプ</v>
          </cell>
          <cell r="M1010" t="str">
            <v>god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  <cell r="D1011" t="str">
            <v>セト</v>
          </cell>
          <cell r="E1011" t="str">
            <v>執行者</v>
          </cell>
          <cell r="F1011" t="str">
            <v>格好いい</v>
          </cell>
          <cell r="G1011" t="str">
            <v>男性</v>
          </cell>
          <cell r="H1011" t="str">
            <v>blue</v>
          </cell>
          <cell r="I1011">
            <v>5</v>
          </cell>
          <cell r="J1011" t="str">
            <v>DropWizSS</v>
          </cell>
          <cell r="K1011" t="str">
            <v>technical</v>
          </cell>
          <cell r="L1011" t="str">
            <v>テクニカルタイプ</v>
          </cell>
          <cell r="M1011" t="str">
            <v>god</v>
          </cell>
        </row>
        <row r="1012">
          <cell r="A1012">
            <v>1011</v>
          </cell>
          <cell r="B1012" t="str">
            <v>ja</v>
          </cell>
          <cell r="C1012" t="str">
            <v>セト</v>
          </cell>
          <cell r="D1012" t="str">
            <v>セト</v>
          </cell>
          <cell r="E1012" t="str">
            <v>執行者</v>
          </cell>
          <cell r="F1012" t="str">
            <v>格好いい</v>
          </cell>
          <cell r="G1012" t="str">
            <v>男性</v>
          </cell>
          <cell r="H1012" t="str">
            <v>blue</v>
          </cell>
          <cell r="I1012">
            <v>6</v>
          </cell>
          <cell r="J1012" t="str">
            <v>DropWizSS</v>
          </cell>
          <cell r="K1012" t="str">
            <v>technical</v>
          </cell>
          <cell r="L1012" t="str">
            <v>テクニカルタイプ</v>
          </cell>
          <cell r="M1012" t="str">
            <v>god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  <cell r="D1013" t="str">
            <v>ラー</v>
          </cell>
          <cell r="E1013" t="str">
            <v>執行者</v>
          </cell>
          <cell r="F1013" t="str">
            <v>格好いい</v>
          </cell>
          <cell r="G1013" t="str">
            <v>男性</v>
          </cell>
          <cell r="H1013" t="str">
            <v>red</v>
          </cell>
          <cell r="I1013">
            <v>5</v>
          </cell>
          <cell r="J1013" t="str">
            <v>PremiumSS</v>
          </cell>
          <cell r="K1013" t="str">
            <v>balance</v>
          </cell>
          <cell r="L1013" t="str">
            <v>バランスタイプ</v>
          </cell>
          <cell r="M1013" t="str">
            <v>god</v>
          </cell>
        </row>
        <row r="1014">
          <cell r="A1014">
            <v>1013</v>
          </cell>
          <cell r="B1014" t="str">
            <v>ja</v>
          </cell>
          <cell r="C1014" t="str">
            <v>ラー</v>
          </cell>
          <cell r="D1014" t="str">
            <v>ラー</v>
          </cell>
          <cell r="E1014" t="str">
            <v>執行者</v>
          </cell>
          <cell r="F1014" t="str">
            <v>格好いい</v>
          </cell>
          <cell r="G1014" t="str">
            <v>男性</v>
          </cell>
          <cell r="H1014" t="str">
            <v>red</v>
          </cell>
          <cell r="I1014">
            <v>6</v>
          </cell>
          <cell r="J1014" t="str">
            <v>PremiumSS</v>
          </cell>
          <cell r="K1014" t="str">
            <v>balance</v>
          </cell>
          <cell r="L1014" t="str">
            <v>バランスタイプ</v>
          </cell>
          <cell r="M1014" t="str">
            <v>god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  <cell r="D1015" t="str">
            <v>イシス</v>
          </cell>
          <cell r="E1015" t="str">
            <v>執行者</v>
          </cell>
          <cell r="F1015" t="str">
            <v>格好いい</v>
          </cell>
          <cell r="G1015" t="str">
            <v>男性</v>
          </cell>
          <cell r="H1015" t="str">
            <v>green</v>
          </cell>
          <cell r="I1015">
            <v>5</v>
          </cell>
          <cell r="J1015" t="str">
            <v>PremiumSS</v>
          </cell>
          <cell r="K1015" t="str">
            <v>technical</v>
          </cell>
          <cell r="L1015" t="str">
            <v>テクニカルタイプ</v>
          </cell>
          <cell r="M1015" t="str">
            <v>god</v>
          </cell>
        </row>
        <row r="1016">
          <cell r="A1016">
            <v>1015</v>
          </cell>
          <cell r="B1016" t="str">
            <v>ja</v>
          </cell>
          <cell r="C1016" t="str">
            <v>イシス</v>
          </cell>
          <cell r="D1016" t="str">
            <v>イシス</v>
          </cell>
          <cell r="E1016" t="str">
            <v>執行者</v>
          </cell>
          <cell r="F1016" t="str">
            <v>格好いい</v>
          </cell>
          <cell r="G1016" t="str">
            <v>男性</v>
          </cell>
          <cell r="H1016" t="str">
            <v>green</v>
          </cell>
          <cell r="I1016">
            <v>6</v>
          </cell>
          <cell r="J1016" t="str">
            <v>PremiumSS</v>
          </cell>
          <cell r="K1016" t="str">
            <v>technical</v>
          </cell>
          <cell r="L1016" t="str">
            <v>テクニカルタイプ</v>
          </cell>
          <cell r="M1016" t="str">
            <v>god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  <cell r="D1017" t="str">
            <v>ハトホル</v>
          </cell>
          <cell r="E1017" t="str">
            <v>執行者</v>
          </cell>
          <cell r="F1017" t="str">
            <v>格好いい</v>
          </cell>
          <cell r="G1017" t="str">
            <v>男性</v>
          </cell>
          <cell r="H1017" t="str">
            <v>blue</v>
          </cell>
          <cell r="I1017">
            <v>4</v>
          </cell>
          <cell r="J1017" t="str">
            <v>PremiumS</v>
          </cell>
          <cell r="K1017" t="str">
            <v>heal</v>
          </cell>
          <cell r="L1017" t="str">
            <v>回復タイプ</v>
          </cell>
          <cell r="M1017" t="str">
            <v>god</v>
          </cell>
        </row>
        <row r="1018">
          <cell r="A1018">
            <v>1017</v>
          </cell>
          <cell r="B1018" t="str">
            <v>ja</v>
          </cell>
          <cell r="C1018" t="str">
            <v>ハトホル</v>
          </cell>
          <cell r="D1018" t="str">
            <v>ハトホル</v>
          </cell>
          <cell r="E1018" t="str">
            <v>執行者</v>
          </cell>
          <cell r="F1018" t="str">
            <v>格好いい</v>
          </cell>
          <cell r="G1018" t="str">
            <v>男性</v>
          </cell>
          <cell r="H1018" t="str">
            <v>blue</v>
          </cell>
          <cell r="I1018">
            <v>5</v>
          </cell>
          <cell r="J1018" t="str">
            <v>PremiumS</v>
          </cell>
          <cell r="K1018" t="str">
            <v>heal</v>
          </cell>
          <cell r="L1018" t="str">
            <v>回復タイプ</v>
          </cell>
          <cell r="M1018" t="str">
            <v>god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  <cell r="D1019" t="str">
            <v>バステト</v>
          </cell>
          <cell r="E1019" t="str">
            <v>執行者</v>
          </cell>
          <cell r="F1019" t="str">
            <v>格好いい</v>
          </cell>
          <cell r="G1019" t="str">
            <v>男性</v>
          </cell>
          <cell r="H1019" t="str">
            <v>yellow</v>
          </cell>
          <cell r="I1019">
            <v>5</v>
          </cell>
          <cell r="J1019" t="str">
            <v>PremiumSS</v>
          </cell>
          <cell r="K1019" t="str">
            <v>attack</v>
          </cell>
          <cell r="L1019" t="str">
            <v>攻撃タイプ</v>
          </cell>
          <cell r="M1019" t="str">
            <v>god</v>
          </cell>
        </row>
        <row r="1020">
          <cell r="A1020">
            <v>1019</v>
          </cell>
          <cell r="B1020" t="str">
            <v>ja</v>
          </cell>
          <cell r="C1020" t="str">
            <v>バステト</v>
          </cell>
          <cell r="D1020" t="str">
            <v>バステト</v>
          </cell>
          <cell r="E1020" t="str">
            <v>執行者</v>
          </cell>
          <cell r="F1020" t="str">
            <v>格好いい</v>
          </cell>
          <cell r="G1020" t="str">
            <v>男性</v>
          </cell>
          <cell r="H1020" t="str">
            <v>yellow</v>
          </cell>
          <cell r="I1020">
            <v>6</v>
          </cell>
          <cell r="J1020" t="str">
            <v>PremiumSS</v>
          </cell>
          <cell r="K1020" t="str">
            <v>attack</v>
          </cell>
          <cell r="L1020" t="str">
            <v>攻撃タイプ</v>
          </cell>
          <cell r="M1020" t="str">
            <v>god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  <cell r="D1021" t="str">
            <v>静御前</v>
          </cell>
          <cell r="E1021" t="str">
            <v>執行者</v>
          </cell>
          <cell r="F1021" t="str">
            <v>格好いい</v>
          </cell>
          <cell r="G1021" t="str">
            <v>男性</v>
          </cell>
          <cell r="H1021" t="str">
            <v>red</v>
          </cell>
          <cell r="I1021">
            <v>4</v>
          </cell>
          <cell r="J1021" t="str">
            <v>Drop2N</v>
          </cell>
          <cell r="K1021" t="str">
            <v>technical</v>
          </cell>
          <cell r="L1021" t="str">
            <v>テクニカルタイプ</v>
          </cell>
          <cell r="M1021" t="str">
            <v>human</v>
          </cell>
        </row>
        <row r="1022">
          <cell r="A1022">
            <v>1021</v>
          </cell>
          <cell r="B1022" t="str">
            <v>ja</v>
          </cell>
          <cell r="C1022" t="str">
            <v>静御前</v>
          </cell>
          <cell r="D1022" t="str">
            <v>静御前</v>
          </cell>
          <cell r="E1022" t="str">
            <v>執行者</v>
          </cell>
          <cell r="F1022" t="str">
            <v>格好いい</v>
          </cell>
          <cell r="G1022" t="str">
            <v>男性</v>
          </cell>
          <cell r="H1022" t="str">
            <v>red</v>
          </cell>
          <cell r="I1022">
            <v>5</v>
          </cell>
          <cell r="J1022" t="str">
            <v>Drop2N</v>
          </cell>
          <cell r="K1022" t="str">
            <v>technical</v>
          </cell>
          <cell r="L1022" t="str">
            <v>テクニカルタイプ</v>
          </cell>
          <cell r="M1022" t="str">
            <v>human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  <cell r="D1023" t="str">
            <v>那須与一</v>
          </cell>
          <cell r="E1023" t="str">
            <v>執行者</v>
          </cell>
          <cell r="F1023" t="str">
            <v>格好いい</v>
          </cell>
          <cell r="G1023" t="str">
            <v>男性</v>
          </cell>
          <cell r="H1023" t="str">
            <v>green</v>
          </cell>
          <cell r="I1023">
            <v>4</v>
          </cell>
          <cell r="J1023" t="str">
            <v>Drop2N</v>
          </cell>
          <cell r="K1023" t="str">
            <v>technical</v>
          </cell>
          <cell r="L1023" t="str">
            <v>テクニカルタイプ</v>
          </cell>
          <cell r="M1023" t="str">
            <v>human</v>
          </cell>
        </row>
        <row r="1024">
          <cell r="A1024">
            <v>1023</v>
          </cell>
          <cell r="B1024" t="str">
            <v>ja</v>
          </cell>
          <cell r="C1024" t="str">
            <v>那須与一</v>
          </cell>
          <cell r="D1024" t="str">
            <v>那須与一</v>
          </cell>
          <cell r="E1024" t="str">
            <v>執行者</v>
          </cell>
          <cell r="F1024" t="str">
            <v>格好いい</v>
          </cell>
          <cell r="G1024" t="str">
            <v>男性</v>
          </cell>
          <cell r="H1024" t="str">
            <v>green</v>
          </cell>
          <cell r="I1024">
            <v>5</v>
          </cell>
          <cell r="J1024" t="str">
            <v>Drop2N</v>
          </cell>
          <cell r="K1024" t="str">
            <v>technical</v>
          </cell>
          <cell r="L1024" t="str">
            <v>テクニカルタイプ</v>
          </cell>
          <cell r="M1024" t="str">
            <v>human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  <cell r="D1025" t="str">
            <v>武蔵坊弁慶</v>
          </cell>
          <cell r="E1025" t="str">
            <v>執行者</v>
          </cell>
          <cell r="F1025" t="str">
            <v>格好いい</v>
          </cell>
          <cell r="G1025" t="str">
            <v>男性</v>
          </cell>
          <cell r="H1025" t="str">
            <v>yellow</v>
          </cell>
          <cell r="I1025">
            <v>5</v>
          </cell>
          <cell r="J1025" t="str">
            <v>DropWizS</v>
          </cell>
          <cell r="K1025" t="str">
            <v>attack</v>
          </cell>
          <cell r="L1025" t="str">
            <v>攻撃タイプ</v>
          </cell>
          <cell r="M1025" t="str">
            <v>human</v>
          </cell>
        </row>
        <row r="1026">
          <cell r="A1026">
            <v>1025</v>
          </cell>
          <cell r="B1026" t="str">
            <v>ja</v>
          </cell>
          <cell r="C1026" t="str">
            <v>武蔵坊弁慶</v>
          </cell>
          <cell r="D1026" t="str">
            <v>武蔵坊弁慶</v>
          </cell>
          <cell r="E1026" t="str">
            <v>執行者</v>
          </cell>
          <cell r="F1026" t="str">
            <v>格好いい</v>
          </cell>
          <cell r="G1026" t="str">
            <v>男性</v>
          </cell>
          <cell r="H1026" t="str">
            <v>yellow</v>
          </cell>
          <cell r="I1026">
            <v>6</v>
          </cell>
          <cell r="J1026" t="str">
            <v>DropWizS</v>
          </cell>
          <cell r="K1026" t="str">
            <v>attack</v>
          </cell>
          <cell r="L1026" t="str">
            <v>攻撃タイプ</v>
          </cell>
          <cell r="M1026" t="str">
            <v>human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  <cell r="D1027" t="str">
            <v>蝉丸</v>
          </cell>
          <cell r="E1027" t="str">
            <v>執行者</v>
          </cell>
          <cell r="F1027" t="str">
            <v>格好いい</v>
          </cell>
          <cell r="G1027" t="str">
            <v>男性</v>
          </cell>
          <cell r="H1027" t="str">
            <v>red</v>
          </cell>
          <cell r="I1027">
            <v>4</v>
          </cell>
          <cell r="J1027" t="str">
            <v>PremiumS</v>
          </cell>
          <cell r="K1027" t="str">
            <v>attack</v>
          </cell>
          <cell r="L1027" t="str">
            <v>攻撃タイプ</v>
          </cell>
          <cell r="M1027" t="str">
            <v>human</v>
          </cell>
        </row>
        <row r="1028">
          <cell r="A1028">
            <v>1027</v>
          </cell>
          <cell r="B1028" t="str">
            <v>ja</v>
          </cell>
          <cell r="C1028" t="str">
            <v>蝉丸</v>
          </cell>
          <cell r="D1028" t="str">
            <v>蝉丸</v>
          </cell>
          <cell r="E1028" t="str">
            <v>執行者</v>
          </cell>
          <cell r="F1028" t="str">
            <v>格好いい</v>
          </cell>
          <cell r="G1028" t="str">
            <v>男性</v>
          </cell>
          <cell r="H1028" t="str">
            <v>red</v>
          </cell>
          <cell r="I1028">
            <v>5</v>
          </cell>
          <cell r="J1028" t="str">
            <v>PremiumS</v>
          </cell>
          <cell r="K1028" t="str">
            <v>attack</v>
          </cell>
          <cell r="L1028" t="str">
            <v>攻撃タイプ</v>
          </cell>
          <cell r="M1028" t="str">
            <v>human</v>
          </cell>
        </row>
        <row r="1029">
          <cell r="A1029">
            <v>1028</v>
          </cell>
          <cell r="B1029" t="str">
            <v>ja</v>
          </cell>
          <cell r="C1029" t="str">
            <v>源義経（牛若丸）</v>
          </cell>
          <cell r="D1029" t="str">
            <v>源義経（牛若丸）</v>
          </cell>
          <cell r="E1029" t="str">
            <v>執行者</v>
          </cell>
          <cell r="F1029" t="str">
            <v>格好いい</v>
          </cell>
          <cell r="G1029" t="str">
            <v>男性</v>
          </cell>
          <cell r="H1029" t="str">
            <v>green</v>
          </cell>
          <cell r="I1029">
            <v>5</v>
          </cell>
          <cell r="J1029" t="str">
            <v>PremiumSS</v>
          </cell>
          <cell r="K1029" t="str">
            <v>balance</v>
          </cell>
          <cell r="L1029" t="str">
            <v>バランスタイプ</v>
          </cell>
          <cell r="M1029" t="str">
            <v>human</v>
          </cell>
        </row>
        <row r="1030">
          <cell r="A1030">
            <v>1029</v>
          </cell>
          <cell r="B1030" t="str">
            <v>ja</v>
          </cell>
          <cell r="C1030" t="str">
            <v>源義経（牛若丸）</v>
          </cell>
          <cell r="D1030" t="str">
            <v>源義経（牛若丸）</v>
          </cell>
          <cell r="E1030" t="str">
            <v>執行者</v>
          </cell>
          <cell r="F1030" t="str">
            <v>格好いい</v>
          </cell>
          <cell r="G1030" t="str">
            <v>男性</v>
          </cell>
          <cell r="H1030" t="str">
            <v>green</v>
          </cell>
          <cell r="I1030">
            <v>6</v>
          </cell>
          <cell r="J1030" t="str">
            <v>PremiumSS</v>
          </cell>
          <cell r="K1030" t="str">
            <v>balance</v>
          </cell>
          <cell r="L1030" t="str">
            <v>バランスタイプ</v>
          </cell>
          <cell r="M1030" t="str">
            <v>human</v>
          </cell>
        </row>
        <row r="1031">
          <cell r="A1031">
            <v>1030</v>
          </cell>
          <cell r="B1031" t="str">
            <v>ja</v>
          </cell>
          <cell r="C1031" t="str">
            <v>源義経（牛若丸</v>
          </cell>
          <cell r="D1031" t="str">
            <v>源義経（牛若丸）_分岐覚醒</v>
          </cell>
          <cell r="E1031" t="str">
            <v>執行者</v>
          </cell>
          <cell r="F1031" t="str">
            <v>格好いい</v>
          </cell>
          <cell r="G1031" t="str">
            <v>男性</v>
          </cell>
          <cell r="H1031" t="str">
            <v>green</v>
          </cell>
          <cell r="I1031">
            <v>6</v>
          </cell>
          <cell r="J1031" t="str">
            <v>PremiumSS</v>
          </cell>
          <cell r="K1031" t="str">
            <v>balance</v>
          </cell>
          <cell r="L1031" t="str">
            <v>バランスタイプ</v>
          </cell>
          <cell r="M1031" t="str">
            <v>human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  <cell r="D1032" t="str">
            <v>紫式部</v>
          </cell>
          <cell r="E1032" t="str">
            <v>執行者</v>
          </cell>
          <cell r="F1032" t="str">
            <v>格好いい</v>
          </cell>
          <cell r="G1032" t="str">
            <v>男性</v>
          </cell>
          <cell r="H1032" t="str">
            <v>blue</v>
          </cell>
          <cell r="I1032">
            <v>5</v>
          </cell>
          <cell r="J1032" t="str">
            <v>PremiumSS</v>
          </cell>
          <cell r="K1032" t="str">
            <v>technical</v>
          </cell>
          <cell r="L1032" t="str">
            <v>テクニカルタイプ</v>
          </cell>
          <cell r="M1032" t="str">
            <v>human</v>
          </cell>
        </row>
        <row r="1033">
          <cell r="A1033">
            <v>1032</v>
          </cell>
          <cell r="B1033" t="str">
            <v>ja</v>
          </cell>
          <cell r="C1033" t="str">
            <v>紫式部</v>
          </cell>
          <cell r="D1033" t="str">
            <v>紫式部</v>
          </cell>
          <cell r="E1033" t="str">
            <v>執行者</v>
          </cell>
          <cell r="F1033" t="str">
            <v>格好いい</v>
          </cell>
          <cell r="G1033" t="str">
            <v>男性</v>
          </cell>
          <cell r="H1033" t="str">
            <v>blue</v>
          </cell>
          <cell r="I1033">
            <v>6</v>
          </cell>
          <cell r="J1033" t="str">
            <v>PremiumSS</v>
          </cell>
          <cell r="K1033" t="str">
            <v>technical</v>
          </cell>
          <cell r="L1033" t="str">
            <v>テクニカルタイプ</v>
          </cell>
          <cell r="M1033" t="str">
            <v>human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  <cell r="D1034" t="str">
            <v>清少納言</v>
          </cell>
          <cell r="E1034" t="str">
            <v>執行者</v>
          </cell>
          <cell r="F1034" t="str">
            <v>格好いい</v>
          </cell>
          <cell r="G1034" t="str">
            <v>男性</v>
          </cell>
          <cell r="H1034" t="str">
            <v>yellow</v>
          </cell>
          <cell r="I1034">
            <v>5</v>
          </cell>
          <cell r="J1034" t="str">
            <v>PremiumSS</v>
          </cell>
          <cell r="K1034" t="str">
            <v>heal</v>
          </cell>
          <cell r="L1034" t="str">
            <v>回復タイプ</v>
          </cell>
          <cell r="M1034" t="str">
            <v>human</v>
          </cell>
        </row>
        <row r="1035">
          <cell r="A1035">
            <v>1034</v>
          </cell>
          <cell r="B1035" t="str">
            <v>ja</v>
          </cell>
          <cell r="C1035" t="str">
            <v>清少納言</v>
          </cell>
          <cell r="D1035" t="str">
            <v>清少納言</v>
          </cell>
          <cell r="E1035" t="str">
            <v>執行者</v>
          </cell>
          <cell r="F1035" t="str">
            <v>格好いい</v>
          </cell>
          <cell r="G1035" t="str">
            <v>男性</v>
          </cell>
          <cell r="H1035" t="str">
            <v>yellow</v>
          </cell>
          <cell r="I1035">
            <v>6</v>
          </cell>
          <cell r="J1035" t="str">
            <v>PremiumSS</v>
          </cell>
          <cell r="K1035" t="str">
            <v>heal</v>
          </cell>
          <cell r="L1035" t="str">
            <v>回復タイプ</v>
          </cell>
          <cell r="M1035" t="str">
            <v>human</v>
          </cell>
        </row>
        <row r="1036">
          <cell r="A1036">
            <v>1035</v>
          </cell>
          <cell r="B1036" t="str">
            <v>ja</v>
          </cell>
          <cell r="C1036" t="str">
            <v>ウザリーマン</v>
          </cell>
          <cell r="D1036" t="str">
            <v>ラプラス</v>
          </cell>
          <cell r="E1036" t="str">
            <v>執行者</v>
          </cell>
          <cell r="F1036" t="str">
            <v>格好いい</v>
          </cell>
          <cell r="G1036" t="str">
            <v>男性</v>
          </cell>
          <cell r="H1036" t="str">
            <v>yellow</v>
          </cell>
          <cell r="I1036">
            <v>5</v>
          </cell>
          <cell r="J1036" t="str">
            <v>PremiumSSS</v>
          </cell>
          <cell r="K1036" t="str">
            <v>technical</v>
          </cell>
          <cell r="L1036" t="str">
            <v>テクニカルタイプ</v>
          </cell>
          <cell r="M1036" t="str">
            <v>unknown</v>
          </cell>
        </row>
        <row r="1037">
          <cell r="A1037">
            <v>1036</v>
          </cell>
          <cell r="B1037" t="str">
            <v>ja</v>
          </cell>
          <cell r="C1037" t="str">
            <v>ウザリーマン</v>
          </cell>
          <cell r="D1037" t="str">
            <v>ラプラス</v>
          </cell>
          <cell r="E1037" t="str">
            <v>執行者</v>
          </cell>
          <cell r="F1037" t="str">
            <v>格好いい</v>
          </cell>
          <cell r="G1037" t="str">
            <v>男性</v>
          </cell>
          <cell r="H1037" t="str">
            <v>yellow</v>
          </cell>
          <cell r="I1037">
            <v>6</v>
          </cell>
          <cell r="J1037" t="str">
            <v>PremiumSSS</v>
          </cell>
          <cell r="K1037" t="str">
            <v>technical</v>
          </cell>
          <cell r="L1037" t="str">
            <v>テクニカルタイプ</v>
          </cell>
          <cell r="M1037" t="str">
            <v>unknown</v>
          </cell>
        </row>
        <row r="1038">
          <cell r="A1038">
            <v>1037</v>
          </cell>
          <cell r="B1038" t="str">
            <v>ja</v>
          </cell>
          <cell r="C1038" t="str">
            <v>ウザリーマン</v>
          </cell>
          <cell r="D1038" t="str">
            <v>ヘルツ</v>
          </cell>
          <cell r="E1038" t="str">
            <v>執行者</v>
          </cell>
          <cell r="F1038" t="str">
            <v>格好いい</v>
          </cell>
          <cell r="G1038" t="str">
            <v>男性</v>
          </cell>
          <cell r="H1038" t="str">
            <v>yellow</v>
          </cell>
          <cell r="I1038">
            <v>5</v>
          </cell>
          <cell r="J1038" t="str">
            <v>PremiumSSS</v>
          </cell>
          <cell r="K1038" t="str">
            <v>technical</v>
          </cell>
          <cell r="L1038" t="str">
            <v>テクニカルタイプ</v>
          </cell>
          <cell r="M1038" t="str">
            <v>unknown</v>
          </cell>
        </row>
        <row r="1039">
          <cell r="A1039">
            <v>1038</v>
          </cell>
          <cell r="B1039" t="str">
            <v>ja</v>
          </cell>
          <cell r="C1039" t="str">
            <v>ウザリーマン</v>
          </cell>
          <cell r="D1039" t="str">
            <v>ヘルツ</v>
          </cell>
          <cell r="E1039" t="str">
            <v>執行者</v>
          </cell>
          <cell r="F1039" t="str">
            <v>格好いい</v>
          </cell>
          <cell r="G1039" t="str">
            <v>男性</v>
          </cell>
          <cell r="H1039" t="str">
            <v>yellow</v>
          </cell>
          <cell r="I1039">
            <v>6</v>
          </cell>
          <cell r="J1039" t="str">
            <v>PremiumSSS</v>
          </cell>
          <cell r="K1039" t="str">
            <v>technical</v>
          </cell>
          <cell r="L1039" t="str">
            <v>テクニカルタイプ</v>
          </cell>
          <cell r="M1039" t="str">
            <v>unknown</v>
          </cell>
        </row>
        <row r="1040">
          <cell r="A1040">
            <v>1039</v>
          </cell>
          <cell r="B1040" t="str">
            <v>ja</v>
          </cell>
          <cell r="C1040" t="str">
            <v>ウザリーマン</v>
          </cell>
          <cell r="D1040" t="str">
            <v>ディラック</v>
          </cell>
          <cell r="E1040" t="str">
            <v>執行者</v>
          </cell>
          <cell r="F1040" t="str">
            <v>格好いい</v>
          </cell>
          <cell r="G1040" t="str">
            <v>男性</v>
          </cell>
          <cell r="H1040" t="str">
            <v>blue</v>
          </cell>
          <cell r="I1040">
            <v>5</v>
          </cell>
          <cell r="J1040" t="str">
            <v>PremiumSSS</v>
          </cell>
          <cell r="K1040" t="str">
            <v>technical</v>
          </cell>
          <cell r="L1040" t="str">
            <v>テクニカルタイプ</v>
          </cell>
          <cell r="M1040" t="str">
            <v>unknown</v>
          </cell>
        </row>
        <row r="1041">
          <cell r="A1041">
            <v>1040</v>
          </cell>
          <cell r="B1041" t="str">
            <v>ja</v>
          </cell>
          <cell r="C1041" t="str">
            <v>ウザリーマン</v>
          </cell>
          <cell r="D1041" t="str">
            <v>ディラック</v>
          </cell>
          <cell r="E1041" t="str">
            <v>執行者</v>
          </cell>
          <cell r="F1041" t="str">
            <v>格好いい</v>
          </cell>
          <cell r="G1041" t="str">
            <v>男性</v>
          </cell>
          <cell r="H1041" t="str">
            <v>blue</v>
          </cell>
          <cell r="I1041">
            <v>6</v>
          </cell>
          <cell r="J1041" t="str">
            <v>PremiumSSS</v>
          </cell>
          <cell r="K1041" t="str">
            <v>technical</v>
          </cell>
          <cell r="L1041" t="str">
            <v>テクニカルタイプ</v>
          </cell>
          <cell r="M1041" t="str">
            <v>unknown</v>
          </cell>
        </row>
        <row r="1042">
          <cell r="A1042">
            <v>1041</v>
          </cell>
          <cell r="B1042" t="str">
            <v>ja</v>
          </cell>
          <cell r="C1042" t="str">
            <v>ウザリーマン</v>
          </cell>
          <cell r="D1042" t="str">
            <v>織姫(ベガ)</v>
          </cell>
          <cell r="E1042" t="str">
            <v>執行者</v>
          </cell>
          <cell r="F1042" t="str">
            <v>格好いい</v>
          </cell>
          <cell r="G1042" t="str">
            <v>男性</v>
          </cell>
          <cell r="H1042" t="str">
            <v>red</v>
          </cell>
          <cell r="I1042">
            <v>5</v>
          </cell>
          <cell r="J1042" t="str">
            <v>PremiumSS</v>
          </cell>
          <cell r="K1042" t="str">
            <v>technical</v>
          </cell>
          <cell r="L1042" t="str">
            <v>テクニカルタイプ</v>
          </cell>
          <cell r="M1042" t="str">
            <v>unknown</v>
          </cell>
        </row>
        <row r="1043">
          <cell r="A1043">
            <v>1042</v>
          </cell>
          <cell r="B1043" t="str">
            <v>ja</v>
          </cell>
          <cell r="C1043" t="str">
            <v>ウザリーマン</v>
          </cell>
          <cell r="D1043" t="str">
            <v>織姫(ベガ)</v>
          </cell>
          <cell r="E1043" t="str">
            <v>執行者</v>
          </cell>
          <cell r="F1043" t="str">
            <v>格好いい</v>
          </cell>
          <cell r="G1043" t="str">
            <v>男性</v>
          </cell>
          <cell r="H1043" t="str">
            <v>red</v>
          </cell>
          <cell r="I1043">
            <v>6</v>
          </cell>
          <cell r="J1043" t="str">
            <v>PremiumSS</v>
          </cell>
          <cell r="K1043" t="str">
            <v>technical</v>
          </cell>
          <cell r="L1043" t="str">
            <v>テクニカルタイプ</v>
          </cell>
          <cell r="M1043" t="str">
            <v>unknown</v>
          </cell>
        </row>
        <row r="1044">
          <cell r="A1044">
            <v>1043</v>
          </cell>
          <cell r="B1044" t="str">
            <v>ja</v>
          </cell>
          <cell r="C1044" t="str">
            <v>ウザリーマン</v>
          </cell>
          <cell r="D1044" t="str">
            <v>彦星(アルタイル)</v>
          </cell>
          <cell r="E1044" t="str">
            <v>執行者</v>
          </cell>
          <cell r="F1044" t="str">
            <v>格好いい</v>
          </cell>
          <cell r="G1044" t="str">
            <v>男性</v>
          </cell>
          <cell r="H1044" t="str">
            <v>green</v>
          </cell>
          <cell r="I1044">
            <v>5</v>
          </cell>
          <cell r="J1044" t="str">
            <v>DropWizS</v>
          </cell>
          <cell r="K1044" t="str">
            <v>technical</v>
          </cell>
          <cell r="L1044" t="str">
            <v>テクニカルタイプ</v>
          </cell>
          <cell r="M1044" t="str">
            <v>unknown</v>
          </cell>
        </row>
        <row r="1045">
          <cell r="A1045">
            <v>1044</v>
          </cell>
          <cell r="B1045" t="str">
            <v>ja</v>
          </cell>
          <cell r="C1045" t="str">
            <v>ウザリーマン</v>
          </cell>
          <cell r="D1045" t="str">
            <v>彦星(アルタイル)</v>
          </cell>
          <cell r="E1045" t="str">
            <v>執行者</v>
          </cell>
          <cell r="F1045" t="str">
            <v>格好いい</v>
          </cell>
          <cell r="G1045" t="str">
            <v>男性</v>
          </cell>
          <cell r="H1045" t="str">
            <v>green</v>
          </cell>
          <cell r="I1045">
            <v>6</v>
          </cell>
          <cell r="J1045" t="str">
            <v>DropWizS</v>
          </cell>
          <cell r="K1045" t="str">
            <v>technical</v>
          </cell>
          <cell r="L1045" t="str">
            <v>テクニカルタイプ</v>
          </cell>
          <cell r="M1045" t="str">
            <v>unknown</v>
          </cell>
        </row>
        <row r="1046">
          <cell r="A1046">
            <v>1045</v>
          </cell>
          <cell r="B1046" t="str">
            <v>ja</v>
          </cell>
          <cell r="C1046" t="str">
            <v>ウザリーマン</v>
          </cell>
          <cell r="D1046" t="str">
            <v>シュレディンガー_水着</v>
          </cell>
          <cell r="E1046" t="str">
            <v>執行者</v>
          </cell>
          <cell r="F1046" t="str">
            <v>格好いい</v>
          </cell>
          <cell r="G1046" t="str">
            <v>男性</v>
          </cell>
          <cell r="H1046" t="str">
            <v>red</v>
          </cell>
          <cell r="I1046">
            <v>6</v>
          </cell>
          <cell r="J1046" t="str">
            <v>PremiumSSS</v>
          </cell>
          <cell r="K1046" t="str">
            <v>technical</v>
          </cell>
          <cell r="L1046" t="str">
            <v>テクニカルタイプ</v>
          </cell>
          <cell r="M1046" t="str">
            <v>unknown</v>
          </cell>
        </row>
        <row r="1047">
          <cell r="A1047">
            <v>1046</v>
          </cell>
          <cell r="B1047" t="str">
            <v>ja</v>
          </cell>
          <cell r="C1047" t="str">
            <v>ウザリーマン</v>
          </cell>
          <cell r="D1047" t="str">
            <v>フェンリル_水着</v>
          </cell>
          <cell r="E1047" t="str">
            <v>執行者</v>
          </cell>
          <cell r="F1047" t="str">
            <v>格好いい</v>
          </cell>
          <cell r="G1047" t="str">
            <v>男性</v>
          </cell>
          <cell r="H1047" t="str">
            <v>red</v>
          </cell>
          <cell r="I1047">
            <v>5</v>
          </cell>
          <cell r="J1047" t="str">
            <v>PremiumS</v>
          </cell>
          <cell r="K1047" t="str">
            <v>technical</v>
          </cell>
          <cell r="L1047" t="str">
            <v>テクニカルタイプ</v>
          </cell>
          <cell r="M1047" t="str">
            <v>unknown</v>
          </cell>
        </row>
        <row r="1048">
          <cell r="A1048">
            <v>1047</v>
          </cell>
          <cell r="B1048" t="str">
            <v>ja</v>
          </cell>
          <cell r="C1048" t="str">
            <v>ウザリーマン</v>
          </cell>
          <cell r="D1048" t="str">
            <v>オイラー_水着</v>
          </cell>
          <cell r="E1048" t="str">
            <v>執行者</v>
          </cell>
          <cell r="F1048" t="str">
            <v>格好いい</v>
          </cell>
          <cell r="G1048" t="str">
            <v>男性</v>
          </cell>
          <cell r="H1048" t="str">
            <v>green</v>
          </cell>
          <cell r="I1048">
            <v>6</v>
          </cell>
          <cell r="J1048" t="str">
            <v>PremiumSSS</v>
          </cell>
          <cell r="K1048" t="str">
            <v>technical</v>
          </cell>
          <cell r="L1048" t="str">
            <v>テクニカルタイプ</v>
          </cell>
          <cell r="M1048" t="str">
            <v>unknown</v>
          </cell>
        </row>
        <row r="1049">
          <cell r="A1049">
            <v>1048</v>
          </cell>
          <cell r="B1049" t="str">
            <v>ja</v>
          </cell>
          <cell r="C1049" t="str">
            <v>ウザリーマン</v>
          </cell>
          <cell r="D1049" t="str">
            <v>ケツァクアトル_水着</v>
          </cell>
          <cell r="E1049" t="str">
            <v>執行者</v>
          </cell>
          <cell r="F1049" t="str">
            <v>格好いい</v>
          </cell>
          <cell r="G1049" t="str">
            <v>男性</v>
          </cell>
          <cell r="H1049" t="str">
            <v>green</v>
          </cell>
          <cell r="I1049">
            <v>5</v>
          </cell>
          <cell r="J1049" t="str">
            <v>PremiumS</v>
          </cell>
          <cell r="K1049" t="str">
            <v>technical</v>
          </cell>
          <cell r="L1049" t="str">
            <v>テクニカルタイプ</v>
          </cell>
          <cell r="M1049" t="str">
            <v>unknown</v>
          </cell>
        </row>
        <row r="1050">
          <cell r="A1050">
            <v>1049</v>
          </cell>
          <cell r="B1050" t="str">
            <v>ja</v>
          </cell>
          <cell r="C1050" t="str">
            <v>ウザリーマン</v>
          </cell>
          <cell r="D1050" t="str">
            <v>メビウス_水着</v>
          </cell>
          <cell r="E1050" t="str">
            <v>執行者</v>
          </cell>
          <cell r="F1050" t="str">
            <v>格好いい</v>
          </cell>
          <cell r="G1050" t="str">
            <v>男性</v>
          </cell>
          <cell r="H1050" t="str">
            <v>blue</v>
          </cell>
          <cell r="I1050">
            <v>6</v>
          </cell>
          <cell r="J1050" t="str">
            <v>PremiumSSS</v>
          </cell>
          <cell r="K1050" t="str">
            <v>technical</v>
          </cell>
          <cell r="L1050" t="str">
            <v>テクニカルタイプ</v>
          </cell>
          <cell r="M1050" t="str">
            <v>unknown</v>
          </cell>
        </row>
        <row r="1051">
          <cell r="A1051">
            <v>1050</v>
          </cell>
          <cell r="B1051" t="str">
            <v>ja</v>
          </cell>
          <cell r="C1051" t="str">
            <v>ウザリーマン</v>
          </cell>
          <cell r="D1051" t="str">
            <v>ルキフグス_水着</v>
          </cell>
          <cell r="E1051" t="str">
            <v>執行者</v>
          </cell>
          <cell r="F1051" t="str">
            <v>格好いい</v>
          </cell>
          <cell r="G1051" t="str">
            <v>男性</v>
          </cell>
          <cell r="H1051" t="str">
            <v>blue</v>
          </cell>
          <cell r="I1051">
            <v>5</v>
          </cell>
          <cell r="J1051" t="str">
            <v>PremiumS</v>
          </cell>
          <cell r="K1051" t="str">
            <v>technical</v>
          </cell>
          <cell r="L1051" t="str">
            <v>テクニカルタイプ</v>
          </cell>
          <cell r="M1051" t="str">
            <v>unknown</v>
          </cell>
        </row>
        <row r="1052">
          <cell r="A1052">
            <v>1051</v>
          </cell>
          <cell r="B1052" t="str">
            <v>ja</v>
          </cell>
          <cell r="C1052" t="str">
            <v>ウザリーマン</v>
          </cell>
          <cell r="D1052" t="str">
            <v>ファラデー_水着</v>
          </cell>
          <cell r="E1052" t="str">
            <v>執行者</v>
          </cell>
          <cell r="F1052" t="str">
            <v>格好いい</v>
          </cell>
          <cell r="G1052" t="str">
            <v>男性</v>
          </cell>
          <cell r="H1052" t="str">
            <v>yellow</v>
          </cell>
          <cell r="I1052">
            <v>6</v>
          </cell>
          <cell r="J1052" t="str">
            <v>PremiumSSS</v>
          </cell>
          <cell r="K1052" t="str">
            <v>technical</v>
          </cell>
          <cell r="L1052" t="str">
            <v>テクニカルタイプ</v>
          </cell>
          <cell r="M1052" t="str">
            <v>unknown</v>
          </cell>
        </row>
        <row r="1053">
          <cell r="A1053">
            <v>1052</v>
          </cell>
          <cell r="B1053" t="str">
            <v>ja</v>
          </cell>
          <cell r="C1053" t="str">
            <v>ウザリーマン</v>
          </cell>
          <cell r="D1053" t="str">
            <v>バルドル_水着</v>
          </cell>
          <cell r="E1053" t="str">
            <v>執行者</v>
          </cell>
          <cell r="F1053" t="str">
            <v>格好いい</v>
          </cell>
          <cell r="G1053" t="str">
            <v>男性</v>
          </cell>
          <cell r="H1053" t="str">
            <v>yellow</v>
          </cell>
          <cell r="I1053">
            <v>5</v>
          </cell>
          <cell r="J1053" t="str">
            <v>PremiumS</v>
          </cell>
          <cell r="K1053" t="str">
            <v>technical</v>
          </cell>
          <cell r="L1053" t="str">
            <v>テクニカルタイプ</v>
          </cell>
          <cell r="M1053" t="str">
            <v>unknown</v>
          </cell>
        </row>
        <row r="1054">
          <cell r="A1054">
            <v>1053</v>
          </cell>
          <cell r="B1054" t="str">
            <v>ja</v>
          </cell>
          <cell r="C1054" t="str">
            <v>ウザリーマン</v>
          </cell>
          <cell r="D1054" t="str">
            <v>麒麟_水着</v>
          </cell>
          <cell r="E1054" t="str">
            <v>執行者</v>
          </cell>
          <cell r="F1054" t="str">
            <v>格好いい</v>
          </cell>
          <cell r="G1054" t="str">
            <v>男性</v>
          </cell>
          <cell r="H1054" t="str">
            <v>yellow</v>
          </cell>
          <cell r="I1054">
            <v>5</v>
          </cell>
          <cell r="J1054" t="str">
            <v>DropWizSS</v>
          </cell>
          <cell r="K1054" t="str">
            <v>technical</v>
          </cell>
          <cell r="L1054" t="str">
            <v>テクニカルタイプ</v>
          </cell>
          <cell r="M1054" t="str">
            <v>unknown</v>
          </cell>
        </row>
        <row r="1055">
          <cell r="A1055">
            <v>1054</v>
          </cell>
          <cell r="B1055" t="str">
            <v>ja</v>
          </cell>
          <cell r="C1055" t="str">
            <v>ウザリーマン</v>
          </cell>
          <cell r="D1055" t="str">
            <v>麒麟_水着</v>
          </cell>
          <cell r="E1055" t="str">
            <v>執行者</v>
          </cell>
          <cell r="F1055" t="str">
            <v>格好いい</v>
          </cell>
          <cell r="G1055" t="str">
            <v>男性</v>
          </cell>
          <cell r="H1055" t="str">
            <v>yellow</v>
          </cell>
          <cell r="I1055">
            <v>6</v>
          </cell>
          <cell r="J1055" t="str">
            <v>DropWizSS</v>
          </cell>
          <cell r="K1055" t="str">
            <v>technical</v>
          </cell>
          <cell r="L1055" t="str">
            <v>テクニカルタイプ</v>
          </cell>
          <cell r="M1055" t="str">
            <v>unknown</v>
          </cell>
        </row>
        <row r="1056">
          <cell r="A1056">
            <v>1055</v>
          </cell>
          <cell r="B1056" t="str">
            <v>ja</v>
          </cell>
          <cell r="C1056" t="str">
            <v>ベリアル</v>
          </cell>
          <cell r="D1056" t="str">
            <v>ベリアル_分岐</v>
          </cell>
          <cell r="E1056" t="str">
            <v>執行者</v>
          </cell>
          <cell r="F1056" t="str">
            <v>格好いい</v>
          </cell>
          <cell r="G1056" t="str">
            <v>男性</v>
          </cell>
          <cell r="H1056" t="str">
            <v>red</v>
          </cell>
          <cell r="I1056">
            <v>6</v>
          </cell>
          <cell r="J1056" t="str">
            <v>PremiumS</v>
          </cell>
          <cell r="K1056" t="str">
            <v>attack</v>
          </cell>
          <cell r="L1056" t="str">
            <v>攻撃タイプ</v>
          </cell>
          <cell r="M1056" t="str">
            <v>god</v>
          </cell>
        </row>
        <row r="1057">
          <cell r="A1057">
            <v>1056</v>
          </cell>
          <cell r="B1057" t="str">
            <v>ja</v>
          </cell>
          <cell r="C1057" t="str">
            <v>オセ</v>
          </cell>
          <cell r="D1057" t="str">
            <v>オセ_分岐</v>
          </cell>
          <cell r="E1057" t="str">
            <v>執行者</v>
          </cell>
          <cell r="F1057" t="str">
            <v>格好いい</v>
          </cell>
          <cell r="G1057" t="str">
            <v>男性</v>
          </cell>
          <cell r="H1057" t="str">
            <v>green</v>
          </cell>
          <cell r="I1057">
            <v>6</v>
          </cell>
          <cell r="J1057" t="str">
            <v>PremiumS</v>
          </cell>
          <cell r="K1057" t="str">
            <v>attack</v>
          </cell>
          <cell r="L1057" t="str">
            <v>攻撃タイプ</v>
          </cell>
          <cell r="M1057" t="str">
            <v>god</v>
          </cell>
        </row>
        <row r="1058">
          <cell r="A1058">
            <v>1057</v>
          </cell>
          <cell r="B1058" t="str">
            <v>ja</v>
          </cell>
          <cell r="C1058" t="str">
            <v>フォルネウス</v>
          </cell>
          <cell r="D1058" t="str">
            <v>フォルネウス_分岐</v>
          </cell>
          <cell r="E1058" t="str">
            <v>執行者</v>
          </cell>
          <cell r="F1058" t="str">
            <v>格好いい</v>
          </cell>
          <cell r="G1058" t="str">
            <v>男性</v>
          </cell>
          <cell r="H1058" t="str">
            <v>blue</v>
          </cell>
          <cell r="I1058">
            <v>6</v>
          </cell>
          <cell r="J1058" t="str">
            <v>PremiumS</v>
          </cell>
          <cell r="K1058" t="str">
            <v>attack</v>
          </cell>
          <cell r="L1058" t="str">
            <v>攻撃タイプ</v>
          </cell>
          <cell r="M1058" t="str">
            <v>god</v>
          </cell>
        </row>
        <row r="1059">
          <cell r="A1059">
            <v>1058</v>
          </cell>
          <cell r="B1059" t="str">
            <v>ja</v>
          </cell>
          <cell r="C1059" t="str">
            <v>イザナミ</v>
          </cell>
          <cell r="D1059" t="str">
            <v>イザナミ_分岐</v>
          </cell>
          <cell r="E1059" t="str">
            <v>執行者</v>
          </cell>
          <cell r="F1059" t="str">
            <v>格好いい</v>
          </cell>
          <cell r="G1059" t="str">
            <v>男性</v>
          </cell>
          <cell r="H1059" t="str">
            <v>yellow</v>
          </cell>
          <cell r="I1059">
            <v>6</v>
          </cell>
          <cell r="J1059" t="str">
            <v>PremiumS</v>
          </cell>
          <cell r="K1059" t="str">
            <v>attack</v>
          </cell>
          <cell r="L1059" t="str">
            <v>攻撃タイプ</v>
          </cell>
          <cell r="M1059" t="str">
            <v>god</v>
          </cell>
        </row>
        <row r="1060">
          <cell r="A1060">
            <v>6001</v>
          </cell>
          <cell r="B1060" t="str">
            <v>ja</v>
          </cell>
          <cell r="C1060" t="str">
            <v>ジェリー</v>
          </cell>
          <cell r="D1060" t="str">
            <v>ノーマルクエスト</v>
          </cell>
          <cell r="E1060" t="str">
            <v>QoH</v>
          </cell>
          <cell r="F1060" t="str">
            <v>世界観</v>
          </cell>
          <cell r="G1060" t="str">
            <v>不明</v>
          </cell>
          <cell r="H1060" t="str">
            <v>red</v>
          </cell>
          <cell r="I1060">
            <v>1</v>
          </cell>
          <cell r="J1060" t="str">
            <v>Drop1T</v>
          </cell>
          <cell r="K1060" t="str">
            <v>ra</v>
          </cell>
          <cell r="L1060" t="str">
            <v>ラグランジュチャレンジ</v>
          </cell>
          <cell r="M1060" t="str">
            <v>unknown</v>
          </cell>
        </row>
        <row r="1061">
          <cell r="A1061">
            <v>6002</v>
          </cell>
          <cell r="B1061" t="str">
            <v>ja</v>
          </cell>
          <cell r="C1061" t="str">
            <v>ヨシタカ</v>
          </cell>
          <cell r="D1061" t="str">
            <v>ノーマルクエスト</v>
          </cell>
          <cell r="E1061" t="str">
            <v>アバター</v>
          </cell>
          <cell r="F1061" t="str">
            <v>世界観</v>
          </cell>
          <cell r="G1061" t="str">
            <v>男性</v>
          </cell>
          <cell r="H1061" t="str">
            <v>red</v>
          </cell>
          <cell r="I1061">
            <v>2</v>
          </cell>
          <cell r="J1061" t="str">
            <v>Drop1N</v>
          </cell>
          <cell r="K1061" t="str">
            <v>ra</v>
          </cell>
          <cell r="L1061" t="str">
            <v>ラグランジュチャレンジ</v>
          </cell>
          <cell r="M1061" t="str">
            <v>human</v>
          </cell>
        </row>
        <row r="1062">
          <cell r="A1062">
            <v>6003</v>
          </cell>
          <cell r="B1062" t="str">
            <v>ja</v>
          </cell>
          <cell r="C1062" t="str">
            <v>朱雀</v>
          </cell>
          <cell r="D1062" t="str">
            <v>リンクガチャ:4神</v>
          </cell>
          <cell r="E1062" t="str">
            <v>守護神</v>
          </cell>
          <cell r="F1062" t="str">
            <v>格好いい</v>
          </cell>
          <cell r="G1062" t="str">
            <v>不明</v>
          </cell>
          <cell r="H1062" t="str">
            <v>red</v>
          </cell>
          <cell r="I1062">
            <v>3</v>
          </cell>
          <cell r="J1062" t="str">
            <v>Drop2N</v>
          </cell>
          <cell r="K1062" t="str">
            <v>ra</v>
          </cell>
          <cell r="L1062" t="str">
            <v>ラグランジュチャレンジ</v>
          </cell>
          <cell r="M1062" t="str">
            <v>animal</v>
          </cell>
        </row>
        <row r="1063">
          <cell r="A1063">
            <v>6004</v>
          </cell>
          <cell r="B1063" t="str">
            <v>ja</v>
          </cell>
          <cell r="C1063" t="str">
            <v>ブレット</v>
          </cell>
          <cell r="D1063" t="str">
            <v>ノーマルクエスト</v>
          </cell>
          <cell r="E1063" t="str">
            <v>アバター</v>
          </cell>
          <cell r="F1063" t="str">
            <v>世界観</v>
          </cell>
          <cell r="G1063" t="str">
            <v>不明</v>
          </cell>
          <cell r="H1063" t="str">
            <v>red</v>
          </cell>
          <cell r="I1063">
            <v>1</v>
          </cell>
          <cell r="J1063" t="str">
            <v>Drop1W</v>
          </cell>
          <cell r="K1063" t="str">
            <v>ra</v>
          </cell>
          <cell r="L1063" t="str">
            <v>ラグランジュチャレンジ</v>
          </cell>
          <cell r="M1063" t="str">
            <v>animal</v>
          </cell>
        </row>
        <row r="1064">
          <cell r="A1064">
            <v>6005</v>
          </cell>
          <cell r="B1064" t="str">
            <v>ja</v>
          </cell>
          <cell r="C1064" t="str">
            <v>孤神 テティス</v>
          </cell>
          <cell r="D1064" t="str">
            <v>初期ガチャ</v>
          </cell>
          <cell r="E1064" t="str">
            <v>管理者</v>
          </cell>
          <cell r="F1064" t="str">
            <v>美しい</v>
          </cell>
          <cell r="G1064" t="str">
            <v>女性</v>
          </cell>
          <cell r="H1064" t="str">
            <v>blue</v>
          </cell>
          <cell r="I1064">
            <v>4</v>
          </cell>
          <cell r="J1064" t="str">
            <v>PremiumN</v>
          </cell>
          <cell r="K1064" t="str">
            <v>ra</v>
          </cell>
          <cell r="L1064" t="str">
            <v>ラグランジュチャレンジ</v>
          </cell>
          <cell r="M1064" t="str">
            <v>god</v>
          </cell>
        </row>
        <row r="1065">
          <cell r="A1065">
            <v>6006</v>
          </cell>
          <cell r="B1065" t="str">
            <v>ja</v>
          </cell>
          <cell r="C1065" t="str">
            <v>海底の孤高神 テティス</v>
          </cell>
          <cell r="D1065" t="str">
            <v>初期ガチャ</v>
          </cell>
          <cell r="E1065" t="str">
            <v>管理者</v>
          </cell>
          <cell r="F1065" t="str">
            <v>美しい</v>
          </cell>
          <cell r="G1065" t="str">
            <v>女性</v>
          </cell>
          <cell r="H1065" t="str">
            <v>blue</v>
          </cell>
          <cell r="I1065">
            <v>5</v>
          </cell>
          <cell r="J1065" t="str">
            <v>PremiumN</v>
          </cell>
          <cell r="K1065" t="str">
            <v>ra</v>
          </cell>
          <cell r="L1065" t="str">
            <v>ラグランジュチャレンジ</v>
          </cell>
          <cell r="M1065" t="str">
            <v>god</v>
          </cell>
        </row>
        <row r="1066">
          <cell r="A1066">
            <v>6007</v>
          </cell>
          <cell r="B1066" t="str">
            <v>ja</v>
          </cell>
          <cell r="C1066" t="str">
            <v>番犬 ケルベロス</v>
          </cell>
          <cell r="D1066" t="str">
            <v>初期ガチャ</v>
          </cell>
          <cell r="E1066" t="str">
            <v>破界者</v>
          </cell>
          <cell r="F1066" t="str">
            <v>可愛い</v>
          </cell>
          <cell r="G1066" t="str">
            <v>女性</v>
          </cell>
          <cell r="H1066" t="str">
            <v>red</v>
          </cell>
          <cell r="I1066">
            <v>4</v>
          </cell>
          <cell r="J1066" t="str">
            <v>PremiumN</v>
          </cell>
          <cell r="K1066" t="str">
            <v>ra</v>
          </cell>
          <cell r="L1066" t="str">
            <v>ラグランジュチャレンジ</v>
          </cell>
          <cell r="M1066" t="str">
            <v>animal</v>
          </cell>
        </row>
        <row r="1067">
          <cell r="A1067">
            <v>6008</v>
          </cell>
          <cell r="B1067" t="str">
            <v>ja</v>
          </cell>
          <cell r="C1067" t="str">
            <v>焔神 プロメテウス</v>
          </cell>
          <cell r="D1067" t="str">
            <v>初期ガチャ</v>
          </cell>
          <cell r="E1067" t="str">
            <v>管理者</v>
          </cell>
          <cell r="F1067" t="str">
            <v>格好いい</v>
          </cell>
          <cell r="G1067" t="str">
            <v>男性</v>
          </cell>
          <cell r="H1067" t="str">
            <v>red</v>
          </cell>
          <cell r="I1067">
            <v>4</v>
          </cell>
          <cell r="J1067" t="str">
            <v>PremiumN</v>
          </cell>
          <cell r="K1067" t="str">
            <v>ra</v>
          </cell>
          <cell r="L1067" t="str">
            <v>ラグランジュチャレンジ</v>
          </cell>
          <cell r="M1067" t="str">
            <v>god</v>
          </cell>
        </row>
        <row r="1068">
          <cell r="A1068">
            <v>6009</v>
          </cell>
          <cell r="B1068" t="str">
            <v>ja</v>
          </cell>
          <cell r="C1068" t="str">
            <v>超越自我 ラグランジュ</v>
          </cell>
          <cell r="D1068" t="str">
            <v>ガチャ:フィーバーフェス02</v>
          </cell>
          <cell r="E1068" t="str">
            <v>執行者</v>
          </cell>
          <cell r="F1068" t="str">
            <v>格好いい</v>
          </cell>
          <cell r="G1068" t="str">
            <v>女性</v>
          </cell>
          <cell r="H1068" t="str">
            <v>red</v>
          </cell>
          <cell r="I1068">
            <v>5</v>
          </cell>
          <cell r="J1068" t="str">
            <v>PremiumSSS</v>
          </cell>
          <cell r="K1068" t="str">
            <v>ra</v>
          </cell>
          <cell r="L1068" t="str">
            <v>ラグランジュチャレンジ</v>
          </cell>
          <cell r="M1068" t="str">
            <v>human</v>
          </cell>
        </row>
        <row r="1069">
          <cell r="A1069">
            <v>6010</v>
          </cell>
          <cell r="B1069" t="str">
            <v>ja</v>
          </cell>
          <cell r="C1069" t="str">
            <v>超越凌駕 ラグランジュ</v>
          </cell>
          <cell r="D1069" t="str">
            <v>ガチャ:フィーバーフェス02</v>
          </cell>
          <cell r="E1069" t="str">
            <v>執行者</v>
          </cell>
          <cell r="F1069" t="str">
            <v>格好いい</v>
          </cell>
          <cell r="G1069" t="str">
            <v>男性</v>
          </cell>
          <cell r="H1069" t="str">
            <v>red</v>
          </cell>
          <cell r="I1069">
            <v>6</v>
          </cell>
          <cell r="J1069" t="str">
            <v>PremiumSSS</v>
          </cell>
          <cell r="K1069" t="str">
            <v>ra</v>
          </cell>
          <cell r="L1069" t="str">
            <v>ラグランジュチャレンジ</v>
          </cell>
          <cell r="M1069" t="str">
            <v>human</v>
          </cell>
        </row>
        <row r="1070">
          <cell r="A1070">
            <v>8001</v>
          </cell>
          <cell r="B1070" t="str">
            <v>ja</v>
          </cell>
          <cell r="C1070" t="str">
            <v>媽祖</v>
          </cell>
          <cell r="D1070" t="str">
            <v>イベント:ミクコラボ01</v>
          </cell>
          <cell r="E1070" t="str">
            <v>執行者</v>
          </cell>
          <cell r="F1070" t="str">
            <v>格好いい</v>
          </cell>
          <cell r="G1070" t="str">
            <v>女性</v>
          </cell>
          <cell r="H1070" t="str">
            <v>yellow</v>
          </cell>
          <cell r="I1070">
            <v>5</v>
          </cell>
          <cell r="J1070" t="str">
            <v>PremiumSS</v>
          </cell>
          <cell r="K1070" t="str">
            <v>attack</v>
          </cell>
          <cell r="L1070" t="str">
            <v>攻撃タイプ</v>
          </cell>
          <cell r="M1070" t="str">
            <v>god</v>
          </cell>
        </row>
        <row r="1071">
          <cell r="A1071">
            <v>8002</v>
          </cell>
          <cell r="B1071" t="str">
            <v>ja</v>
          </cell>
          <cell r="C1071" t="str">
            <v>天后 媽祖</v>
          </cell>
          <cell r="D1071" t="str">
            <v>イベント:ミクコラボ01</v>
          </cell>
          <cell r="E1071" t="str">
            <v>執行者</v>
          </cell>
          <cell r="F1071" t="str">
            <v>格好いい</v>
          </cell>
          <cell r="G1071" t="str">
            <v>女性</v>
          </cell>
          <cell r="H1071" t="str">
            <v>yellow</v>
          </cell>
          <cell r="I1071">
            <v>6</v>
          </cell>
          <cell r="J1071" t="str">
            <v>PremiumSS</v>
          </cell>
          <cell r="K1071" t="str">
            <v>attack</v>
          </cell>
          <cell r="L1071" t="str">
            <v>攻撃タイプ</v>
          </cell>
          <cell r="M1071" t="str">
            <v>god</v>
          </cell>
        </row>
        <row r="1072">
          <cell r="A1072">
            <v>8003</v>
          </cell>
          <cell r="B1072" t="str">
            <v>ja</v>
          </cell>
          <cell r="C1072" t="str">
            <v>蛟龍</v>
          </cell>
          <cell r="D1072" t="str">
            <v>イベント:ミクコラボ01</v>
          </cell>
          <cell r="E1072" t="str">
            <v>執行者</v>
          </cell>
          <cell r="F1072" t="str">
            <v>格好いい</v>
          </cell>
          <cell r="G1072" t="str">
            <v>不明</v>
          </cell>
          <cell r="H1072" t="str">
            <v>blue</v>
          </cell>
          <cell r="I1072">
            <v>5</v>
          </cell>
          <cell r="J1072" t="str">
            <v>DropWizS</v>
          </cell>
          <cell r="K1072" t="str">
            <v>hp</v>
          </cell>
          <cell r="L1072" t="str">
            <v>体力タイプ</v>
          </cell>
          <cell r="M1072" t="str">
            <v>dragon</v>
          </cell>
        </row>
        <row r="1073">
          <cell r="A1073">
            <v>8004</v>
          </cell>
          <cell r="B1073" t="str">
            <v>ja</v>
          </cell>
          <cell r="C1073" t="str">
            <v>深海蛟龍怪‧晏公</v>
          </cell>
          <cell r="D1073" t="str">
            <v>イベント:ミクコラボ01</v>
          </cell>
          <cell r="E1073" t="str">
            <v>執行者</v>
          </cell>
          <cell r="F1073" t="str">
            <v>格好いい</v>
          </cell>
          <cell r="G1073" t="str">
            <v>不明</v>
          </cell>
          <cell r="H1073" t="str">
            <v>blue</v>
          </cell>
          <cell r="I1073">
            <v>6</v>
          </cell>
          <cell r="J1073" t="str">
            <v>DropWizS</v>
          </cell>
          <cell r="K1073" t="str">
            <v>hp</v>
          </cell>
          <cell r="L1073" t="str">
            <v>体力タイプ</v>
          </cell>
          <cell r="M1073" t="str">
            <v>dragon</v>
          </cell>
        </row>
        <row r="1074">
          <cell r="A1074">
            <v>8005</v>
          </cell>
          <cell r="B1074" t="str">
            <v>ja</v>
          </cell>
          <cell r="C1074" t="str">
            <v>三蔵法師</v>
          </cell>
          <cell r="D1074" t="str">
            <v>イベント:ミクコラボ01</v>
          </cell>
          <cell r="E1074" t="str">
            <v>執行者</v>
          </cell>
          <cell r="F1074" t="str">
            <v>格好いい</v>
          </cell>
          <cell r="G1074" t="str">
            <v>不明</v>
          </cell>
          <cell r="H1074" t="str">
            <v>blue</v>
          </cell>
          <cell r="I1074">
            <v>5</v>
          </cell>
          <cell r="J1074" t="str">
            <v>PremiumSS</v>
          </cell>
          <cell r="K1074" t="str">
            <v>heal</v>
          </cell>
          <cell r="L1074" t="str">
            <v>回復タイプ</v>
          </cell>
          <cell r="M1074" t="str">
            <v>human</v>
          </cell>
        </row>
        <row r="1075">
          <cell r="A1075">
            <v>8006</v>
          </cell>
          <cell r="B1075" t="str">
            <v>ja</v>
          </cell>
          <cell r="C1075" t="str">
            <v>三蔵法師</v>
          </cell>
          <cell r="D1075" t="str">
            <v>イベント:ミクコラボ01</v>
          </cell>
          <cell r="E1075" t="str">
            <v>執行者</v>
          </cell>
          <cell r="F1075" t="str">
            <v>格好いい</v>
          </cell>
          <cell r="G1075" t="str">
            <v>不明</v>
          </cell>
          <cell r="H1075" t="str">
            <v>yellow</v>
          </cell>
          <cell r="I1075">
            <v>6</v>
          </cell>
          <cell r="J1075" t="str">
            <v>PremiumSS</v>
          </cell>
          <cell r="K1075" t="str">
            <v>heal</v>
          </cell>
          <cell r="L1075" t="str">
            <v>回復タイプ</v>
          </cell>
          <cell r="M1075" t="str">
            <v>human</v>
          </cell>
        </row>
        <row r="1076">
          <cell r="A1076">
            <v>8007</v>
          </cell>
          <cell r="B1076" t="str">
            <v>ja</v>
          </cell>
          <cell r="C1076" t="str">
            <v>孫悟空</v>
          </cell>
          <cell r="D1076" t="str">
            <v>イベント:ミクコラボ01</v>
          </cell>
          <cell r="E1076" t="str">
            <v>執行者</v>
          </cell>
          <cell r="F1076" t="str">
            <v>格好いい</v>
          </cell>
          <cell r="G1076" t="str">
            <v>不明</v>
          </cell>
          <cell r="H1076" t="str">
            <v>red</v>
          </cell>
          <cell r="I1076">
            <v>5</v>
          </cell>
          <cell r="J1076" t="str">
            <v>DropWizS</v>
          </cell>
          <cell r="K1076" t="str">
            <v>balance</v>
          </cell>
          <cell r="L1076" t="str">
            <v>バランスタイプ</v>
          </cell>
          <cell r="M1076" t="str">
            <v>animal</v>
          </cell>
        </row>
        <row r="1077">
          <cell r="A1077">
            <v>8008</v>
          </cell>
          <cell r="B1077" t="str">
            <v>ja</v>
          </cell>
          <cell r="C1077" t="str">
            <v>孫悟空</v>
          </cell>
          <cell r="D1077" t="str">
            <v>イベント:ミクコラボ01</v>
          </cell>
          <cell r="E1077" t="str">
            <v>執行者</v>
          </cell>
          <cell r="F1077" t="str">
            <v>格好いい</v>
          </cell>
          <cell r="G1077" t="str">
            <v>不明</v>
          </cell>
          <cell r="H1077" t="str">
            <v>red</v>
          </cell>
          <cell r="I1077">
            <v>6</v>
          </cell>
          <cell r="J1077" t="str">
            <v>DropWizS</v>
          </cell>
          <cell r="K1077" t="str">
            <v>heal</v>
          </cell>
          <cell r="L1077" t="str">
            <v>回復タイプ</v>
          </cell>
          <cell r="M1077" t="str">
            <v>animal</v>
          </cell>
        </row>
        <row r="1078">
          <cell r="A1078">
            <v>8009</v>
          </cell>
          <cell r="B1078" t="str">
            <v>ja</v>
          </cell>
          <cell r="C1078" t="str">
            <v>七星娘娘</v>
          </cell>
          <cell r="D1078" t="str">
            <v>イベント:ミクコラボ01</v>
          </cell>
          <cell r="E1078" t="str">
            <v>執行者</v>
          </cell>
          <cell r="F1078" t="str">
            <v>格好いい</v>
          </cell>
          <cell r="G1078" t="str">
            <v>不明</v>
          </cell>
          <cell r="H1078" t="str">
            <v>blue</v>
          </cell>
          <cell r="I1078">
            <v>5</v>
          </cell>
          <cell r="J1078" t="str">
            <v>PremiumSS</v>
          </cell>
          <cell r="K1078" t="str">
            <v>balance</v>
          </cell>
          <cell r="L1078" t="str">
            <v>バランスタイプ</v>
          </cell>
          <cell r="M1078" t="str">
            <v>god</v>
          </cell>
        </row>
        <row r="1079">
          <cell r="A1079">
            <v>8010</v>
          </cell>
          <cell r="B1079" t="str">
            <v>ja</v>
          </cell>
          <cell r="C1079" t="str">
            <v>七星娘娘</v>
          </cell>
          <cell r="D1079" t="str">
            <v>イベント:ミクコラボ01</v>
          </cell>
          <cell r="E1079" t="str">
            <v>執行者</v>
          </cell>
          <cell r="F1079" t="str">
            <v>格好いい</v>
          </cell>
          <cell r="G1079" t="str">
            <v>不明</v>
          </cell>
          <cell r="H1079" t="str">
            <v>yellow</v>
          </cell>
          <cell r="I1079">
            <v>6</v>
          </cell>
          <cell r="J1079" t="str">
            <v>PremiumSS</v>
          </cell>
          <cell r="K1079" t="str">
            <v>attack</v>
          </cell>
          <cell r="L1079" t="str">
            <v>攻撃タイプ</v>
          </cell>
          <cell r="M1079" t="str">
            <v>god</v>
          </cell>
        </row>
        <row r="1080">
          <cell r="A1080">
            <v>8011</v>
          </cell>
          <cell r="B1080" t="str">
            <v>ja</v>
          </cell>
          <cell r="C1080" t="str">
            <v>月下老人</v>
          </cell>
          <cell r="D1080" t="str">
            <v>イベント:ミクコラボ01</v>
          </cell>
          <cell r="E1080" t="str">
            <v>執行者</v>
          </cell>
          <cell r="F1080" t="str">
            <v>格好いい</v>
          </cell>
          <cell r="G1080" t="str">
            <v>女性</v>
          </cell>
          <cell r="H1080" t="str">
            <v>green</v>
          </cell>
          <cell r="I1080">
            <v>5</v>
          </cell>
          <cell r="J1080" t="str">
            <v>DropWizS</v>
          </cell>
          <cell r="K1080" t="str">
            <v>heal</v>
          </cell>
          <cell r="L1080" t="str">
            <v>回復タイプ</v>
          </cell>
          <cell r="M1080" t="str">
            <v>god</v>
          </cell>
        </row>
        <row r="1081">
          <cell r="A1081">
            <v>8012</v>
          </cell>
          <cell r="B1081" t="str">
            <v>ja</v>
          </cell>
          <cell r="C1081" t="str">
            <v>良緣祈福 月下老人</v>
          </cell>
          <cell r="D1081" t="str">
            <v>イベント:ミクコラボ01</v>
          </cell>
          <cell r="E1081" t="str">
            <v>執行者</v>
          </cell>
          <cell r="F1081" t="str">
            <v>格好いい</v>
          </cell>
          <cell r="G1081" t="str">
            <v>女性</v>
          </cell>
          <cell r="H1081" t="str">
            <v>yellow</v>
          </cell>
          <cell r="I1081">
            <v>6</v>
          </cell>
          <cell r="J1081" t="str">
            <v>DropWizS</v>
          </cell>
          <cell r="K1081" t="str">
            <v>heal</v>
          </cell>
          <cell r="L1081" t="str">
            <v>回復タイプ</v>
          </cell>
          <cell r="M1081" t="str">
            <v>god</v>
          </cell>
        </row>
        <row r="1082">
          <cell r="A1082">
            <v>8013</v>
          </cell>
          <cell r="B1082" t="str">
            <v>ja</v>
          </cell>
          <cell r="C1082" t="str">
            <v>CO04_Wiz01_R5</v>
          </cell>
          <cell r="D1082" t="str">
            <v>初音ミクV3</v>
          </cell>
          <cell r="E1082" t="str">
            <v>執行者</v>
          </cell>
          <cell r="F1082" t="str">
            <v>格好いい</v>
          </cell>
          <cell r="G1082" t="str">
            <v>女性</v>
          </cell>
          <cell r="H1082" t="str">
            <v>yellow</v>
          </cell>
          <cell r="I1082">
            <v>5</v>
          </cell>
          <cell r="J1082" t="str">
            <v>DropWizS</v>
          </cell>
          <cell r="K1082" t="str">
            <v>balance</v>
          </cell>
          <cell r="L1082" t="str">
            <v>バランスタイプ</v>
          </cell>
          <cell r="M1082" t="str">
            <v>unknown</v>
          </cell>
        </row>
        <row r="1083">
          <cell r="A1083">
            <v>8014</v>
          </cell>
          <cell r="B1083" t="str">
            <v>ja</v>
          </cell>
          <cell r="C1083" t="str">
            <v>CO04_Wiz01_R6</v>
          </cell>
          <cell r="D1083" t="str">
            <v>初音ミクV3</v>
          </cell>
          <cell r="E1083" t="str">
            <v>執行者</v>
          </cell>
          <cell r="F1083" t="str">
            <v>格好いい</v>
          </cell>
          <cell r="G1083" t="str">
            <v>女性</v>
          </cell>
          <cell r="H1083" t="str">
            <v>yellow</v>
          </cell>
          <cell r="I1083">
            <v>6</v>
          </cell>
          <cell r="J1083" t="str">
            <v>DropWizS</v>
          </cell>
          <cell r="K1083" t="str">
            <v>balance</v>
          </cell>
          <cell r="L1083" t="str">
            <v>バランスタイプ</v>
          </cell>
          <cell r="M1083" t="str">
            <v>unknown</v>
          </cell>
        </row>
        <row r="1084">
          <cell r="A1084">
            <v>8015</v>
          </cell>
          <cell r="B1084" t="str">
            <v>ja</v>
          </cell>
          <cell r="C1084" t="str">
            <v>CO04_ GA01_R5</v>
          </cell>
          <cell r="D1084" t="str">
            <v>初音ミク・アペンド</v>
          </cell>
          <cell r="E1084" t="str">
            <v>執行者</v>
          </cell>
          <cell r="F1084" t="str">
            <v>格好いい</v>
          </cell>
          <cell r="G1084" t="str">
            <v>女性</v>
          </cell>
          <cell r="H1084" t="str">
            <v>green</v>
          </cell>
          <cell r="I1084">
            <v>5</v>
          </cell>
          <cell r="J1084" t="str">
            <v>PremiumSSS</v>
          </cell>
          <cell r="K1084" t="str">
            <v>technical</v>
          </cell>
          <cell r="L1084" t="str">
            <v>テクニカルタイプ</v>
          </cell>
          <cell r="M1084" t="str">
            <v>unknown</v>
          </cell>
        </row>
        <row r="1085">
          <cell r="A1085">
            <v>8016</v>
          </cell>
          <cell r="B1085" t="str">
            <v>ja</v>
          </cell>
          <cell r="C1085" t="str">
            <v>CO04_ GA01_R6</v>
          </cell>
          <cell r="D1085" t="str">
            <v>初音ミク・アペンド</v>
          </cell>
          <cell r="E1085" t="str">
            <v>執行者</v>
          </cell>
          <cell r="F1085" t="str">
            <v>格好いい</v>
          </cell>
          <cell r="G1085" t="str">
            <v>女性</v>
          </cell>
          <cell r="H1085" t="str">
            <v>green</v>
          </cell>
          <cell r="I1085">
            <v>6</v>
          </cell>
          <cell r="J1085" t="str">
            <v>PremiumSSS</v>
          </cell>
          <cell r="K1085" t="str">
            <v>technical</v>
          </cell>
          <cell r="L1085" t="str">
            <v>テクニカルタイプ</v>
          </cell>
          <cell r="M1085" t="str">
            <v>unknown</v>
          </cell>
        </row>
        <row r="1086">
          <cell r="A1086">
            <v>8017</v>
          </cell>
          <cell r="B1086" t="str">
            <v>ja</v>
          </cell>
          <cell r="C1086" t="str">
            <v>CO04_ GA02_R5</v>
          </cell>
          <cell r="D1086" t="str">
            <v>初音ミク</v>
          </cell>
          <cell r="E1086" t="str">
            <v>執行者</v>
          </cell>
          <cell r="F1086" t="str">
            <v>格好いい</v>
          </cell>
          <cell r="G1086" t="str">
            <v>女性</v>
          </cell>
          <cell r="H1086" t="str">
            <v>green</v>
          </cell>
          <cell r="I1086">
            <v>5</v>
          </cell>
          <cell r="J1086" t="str">
            <v>PremiumSSS</v>
          </cell>
          <cell r="K1086" t="str">
            <v>balance</v>
          </cell>
          <cell r="L1086" t="str">
            <v>バランスタイプ</v>
          </cell>
          <cell r="M1086" t="str">
            <v>unknown</v>
          </cell>
        </row>
        <row r="1087">
          <cell r="A1087">
            <v>8018</v>
          </cell>
          <cell r="B1087" t="str">
            <v>ja</v>
          </cell>
          <cell r="C1087" t="str">
            <v>CO04_ GA02_R6</v>
          </cell>
          <cell r="D1087" t="str">
            <v>初音ミク</v>
          </cell>
          <cell r="E1087" t="str">
            <v>執行者</v>
          </cell>
          <cell r="F1087" t="str">
            <v>格好いい</v>
          </cell>
          <cell r="G1087" t="str">
            <v>女性</v>
          </cell>
          <cell r="H1087" t="str">
            <v>green</v>
          </cell>
          <cell r="I1087">
            <v>6</v>
          </cell>
          <cell r="J1087" t="str">
            <v>PremiumSSS</v>
          </cell>
          <cell r="K1087" t="str">
            <v>balance</v>
          </cell>
          <cell r="L1087" t="str">
            <v>バランスタイプ</v>
          </cell>
          <cell r="M1087" t="str">
            <v>unknown</v>
          </cell>
        </row>
        <row r="1088">
          <cell r="A1088">
            <v>8019</v>
          </cell>
          <cell r="B1088" t="str">
            <v>ja</v>
          </cell>
          <cell r="C1088" t="str">
            <v>CO04_ GA03_R4</v>
          </cell>
          <cell r="D1088" t="str">
            <v>鏡音リン</v>
          </cell>
          <cell r="E1088" t="str">
            <v>執行者</v>
          </cell>
          <cell r="F1088" t="str">
            <v>格好いい</v>
          </cell>
          <cell r="G1088" t="str">
            <v>男性</v>
          </cell>
          <cell r="H1088" t="str">
            <v>yellow</v>
          </cell>
          <cell r="I1088">
            <v>4</v>
          </cell>
          <cell r="J1088" t="str">
            <v>PremiumSS</v>
          </cell>
          <cell r="K1088" t="str">
            <v>balance</v>
          </cell>
          <cell r="L1088" t="str">
            <v>バランスタイプ</v>
          </cell>
          <cell r="M1088" t="str">
            <v>unknown</v>
          </cell>
        </row>
        <row r="1089">
          <cell r="A1089">
            <v>8020</v>
          </cell>
          <cell r="B1089" t="str">
            <v>ja</v>
          </cell>
          <cell r="C1089" t="str">
            <v>CO04_ GA03_R5</v>
          </cell>
          <cell r="D1089" t="str">
            <v>鏡音リン</v>
          </cell>
          <cell r="E1089" t="str">
            <v>執行者</v>
          </cell>
          <cell r="F1089" t="str">
            <v>格好いい</v>
          </cell>
          <cell r="G1089" t="str">
            <v>男性</v>
          </cell>
          <cell r="H1089" t="str">
            <v>yellow</v>
          </cell>
          <cell r="I1089">
            <v>5</v>
          </cell>
          <cell r="J1089" t="str">
            <v>PremiumSS</v>
          </cell>
          <cell r="K1089" t="str">
            <v>balance</v>
          </cell>
          <cell r="L1089" t="str">
            <v>バランスタイプ</v>
          </cell>
          <cell r="M1089" t="str">
            <v>unknown</v>
          </cell>
        </row>
        <row r="1090">
          <cell r="A1090">
            <v>8021</v>
          </cell>
          <cell r="B1090" t="str">
            <v>ja</v>
          </cell>
          <cell r="C1090" t="str">
            <v>CO04_ GA04_R4</v>
          </cell>
          <cell r="D1090" t="str">
            <v>鏡音レン</v>
          </cell>
          <cell r="E1090" t="str">
            <v>執行者</v>
          </cell>
          <cell r="F1090" t="str">
            <v>格好いい</v>
          </cell>
          <cell r="G1090" t="str">
            <v>女性</v>
          </cell>
          <cell r="H1090" t="str">
            <v>yellow</v>
          </cell>
          <cell r="I1090">
            <v>4</v>
          </cell>
          <cell r="J1090" t="str">
            <v>PremiumSS</v>
          </cell>
          <cell r="K1090" t="str">
            <v>heal</v>
          </cell>
          <cell r="L1090" t="str">
            <v>回復タイプ</v>
          </cell>
          <cell r="M1090" t="str">
            <v>unknown</v>
          </cell>
        </row>
        <row r="1091">
          <cell r="A1091">
            <v>8022</v>
          </cell>
          <cell r="B1091" t="str">
            <v>ja</v>
          </cell>
          <cell r="C1091" t="str">
            <v>CO04_ GA04_R5</v>
          </cell>
          <cell r="D1091" t="str">
            <v>鏡音レン</v>
          </cell>
          <cell r="E1091" t="str">
            <v>執行者</v>
          </cell>
          <cell r="F1091" t="str">
            <v>格好いい</v>
          </cell>
          <cell r="G1091" t="str">
            <v>女性</v>
          </cell>
          <cell r="H1091" t="str">
            <v>yellow</v>
          </cell>
          <cell r="I1091">
            <v>5</v>
          </cell>
          <cell r="J1091" t="str">
            <v>PremiumSS</v>
          </cell>
          <cell r="K1091" t="str">
            <v>heal</v>
          </cell>
          <cell r="L1091" t="str">
            <v>回復タイプ</v>
          </cell>
          <cell r="M1091" t="str">
            <v>unknown</v>
          </cell>
        </row>
        <row r="1092">
          <cell r="A1092">
            <v>8023</v>
          </cell>
          <cell r="B1092" t="str">
            <v>ja</v>
          </cell>
          <cell r="C1092" t="str">
            <v>CO04_ GA05_R3</v>
          </cell>
          <cell r="D1092" t="str">
            <v>巡音ルカ</v>
          </cell>
          <cell r="E1092" t="str">
            <v>執行者</v>
          </cell>
          <cell r="F1092" t="str">
            <v>格好いい</v>
          </cell>
          <cell r="G1092" t="str">
            <v>女性</v>
          </cell>
          <cell r="H1092" t="str">
            <v>red</v>
          </cell>
          <cell r="I1092">
            <v>3</v>
          </cell>
          <cell r="J1092" t="str">
            <v>PremiumS</v>
          </cell>
          <cell r="K1092" t="str">
            <v>attack</v>
          </cell>
          <cell r="L1092" t="str">
            <v>攻撃タイプ</v>
          </cell>
          <cell r="M1092" t="str">
            <v>unknown</v>
          </cell>
        </row>
        <row r="1093">
          <cell r="A1093">
            <v>8024</v>
          </cell>
          <cell r="B1093" t="str">
            <v>ja</v>
          </cell>
          <cell r="C1093" t="str">
            <v>CO04_ GA05_R4</v>
          </cell>
          <cell r="D1093" t="str">
            <v>巡音ルカ</v>
          </cell>
          <cell r="E1093" t="str">
            <v>執行者</v>
          </cell>
          <cell r="F1093" t="str">
            <v>格好いい</v>
          </cell>
          <cell r="G1093" t="str">
            <v>女性</v>
          </cell>
          <cell r="H1093" t="str">
            <v>red</v>
          </cell>
          <cell r="I1093">
            <v>4</v>
          </cell>
          <cell r="J1093" t="str">
            <v>PremiumS</v>
          </cell>
          <cell r="K1093" t="str">
            <v>attack</v>
          </cell>
          <cell r="L1093" t="str">
            <v>攻撃タイプ</v>
          </cell>
          <cell r="M1093" t="str">
            <v>unknown</v>
          </cell>
        </row>
        <row r="1094">
          <cell r="A1094">
            <v>8025</v>
          </cell>
          <cell r="B1094" t="str">
            <v>ja</v>
          </cell>
          <cell r="C1094" t="str">
            <v>CO04_ GA06_R3</v>
          </cell>
          <cell r="D1094" t="str">
            <v>MEIKO</v>
          </cell>
          <cell r="E1094" t="str">
            <v>執行者</v>
          </cell>
          <cell r="F1094" t="str">
            <v>格好いい</v>
          </cell>
          <cell r="G1094" t="str">
            <v>男性</v>
          </cell>
          <cell r="H1094" t="str">
            <v>red</v>
          </cell>
          <cell r="I1094">
            <v>3</v>
          </cell>
          <cell r="J1094" t="str">
            <v>PremiumS</v>
          </cell>
          <cell r="K1094" t="str">
            <v>hp</v>
          </cell>
          <cell r="L1094" t="str">
            <v>体力タイプ</v>
          </cell>
          <cell r="M1094" t="str">
            <v>unknown</v>
          </cell>
        </row>
        <row r="1095">
          <cell r="A1095">
            <v>8026</v>
          </cell>
          <cell r="B1095" t="str">
            <v>ja</v>
          </cell>
          <cell r="C1095" t="str">
            <v>CO04_ GA06_R4</v>
          </cell>
          <cell r="D1095" t="str">
            <v>MEIKO</v>
          </cell>
          <cell r="E1095" t="str">
            <v>執行者</v>
          </cell>
          <cell r="F1095" t="str">
            <v>格好いい</v>
          </cell>
          <cell r="G1095" t="str">
            <v>男性</v>
          </cell>
          <cell r="H1095" t="str">
            <v>red</v>
          </cell>
          <cell r="I1095">
            <v>4</v>
          </cell>
          <cell r="J1095" t="str">
            <v>PremiumS</v>
          </cell>
          <cell r="K1095" t="str">
            <v>hp</v>
          </cell>
          <cell r="L1095" t="str">
            <v>体力タイプ</v>
          </cell>
          <cell r="M1095" t="str">
            <v>unknown</v>
          </cell>
        </row>
        <row r="1096">
          <cell r="A1096">
            <v>8027</v>
          </cell>
          <cell r="B1096" t="str">
            <v>ja</v>
          </cell>
          <cell r="C1096" t="str">
            <v>CO04_ GA07_R3</v>
          </cell>
          <cell r="D1096" t="str">
            <v>KAITO</v>
          </cell>
          <cell r="E1096" t="str">
            <v>執行者</v>
          </cell>
          <cell r="F1096" t="str">
            <v>格好いい</v>
          </cell>
          <cell r="G1096" t="str">
            <v>女性</v>
          </cell>
          <cell r="H1096" t="str">
            <v>blue</v>
          </cell>
          <cell r="I1096">
            <v>3</v>
          </cell>
          <cell r="J1096" t="str">
            <v>PremiumS</v>
          </cell>
          <cell r="K1096" t="str">
            <v>technical</v>
          </cell>
          <cell r="L1096" t="str">
            <v>テクニカルタイプ</v>
          </cell>
          <cell r="M1096" t="str">
            <v>unknown</v>
          </cell>
        </row>
        <row r="1097">
          <cell r="A1097">
            <v>8028</v>
          </cell>
          <cell r="B1097" t="str">
            <v>ja</v>
          </cell>
          <cell r="C1097" t="str">
            <v>CO04_ GA07_R4</v>
          </cell>
          <cell r="D1097" t="str">
            <v>KAITO</v>
          </cell>
          <cell r="E1097" t="str">
            <v>執行者</v>
          </cell>
          <cell r="F1097" t="str">
            <v>格好いい</v>
          </cell>
          <cell r="G1097" t="str">
            <v>女性</v>
          </cell>
          <cell r="H1097" t="str">
            <v>blue</v>
          </cell>
          <cell r="I1097">
            <v>4</v>
          </cell>
          <cell r="J1097" t="str">
            <v>PremiumS</v>
          </cell>
          <cell r="K1097" t="str">
            <v>technical</v>
          </cell>
          <cell r="L1097" t="str">
            <v>テクニカルタイプ</v>
          </cell>
          <cell r="M1097" t="str">
            <v>unknown</v>
          </cell>
        </row>
        <row r="1098">
          <cell r="A1098">
            <v>8029</v>
          </cell>
          <cell r="B1098" t="str">
            <v>ja</v>
          </cell>
          <cell r="C1098" t="str">
            <v>CO04_ EV01_R4</v>
          </cell>
          <cell r="D1098" t="str">
            <v>Expoミク</v>
          </cell>
          <cell r="E1098" t="str">
            <v>執行者</v>
          </cell>
          <cell r="F1098" t="str">
            <v>格好いい</v>
          </cell>
          <cell r="G1098" t="str">
            <v>女性</v>
          </cell>
          <cell r="H1098" t="str">
            <v>blue</v>
          </cell>
          <cell r="I1098">
            <v>4</v>
          </cell>
          <cell r="J1098" t="str">
            <v>Drop2N</v>
          </cell>
          <cell r="K1098" t="str">
            <v>heal</v>
          </cell>
          <cell r="L1098" t="str">
            <v>回復タイプ</v>
          </cell>
          <cell r="M1098" t="str">
            <v>unknown</v>
          </cell>
        </row>
        <row r="1099">
          <cell r="A1099">
            <v>8030</v>
          </cell>
          <cell r="B1099" t="str">
            <v>ja</v>
          </cell>
          <cell r="C1099" t="str">
            <v>CO04_ EV02_R5</v>
          </cell>
          <cell r="D1099" t="str">
            <v>Expoミク</v>
          </cell>
          <cell r="E1099" t="str">
            <v>執行者</v>
          </cell>
          <cell r="F1099" t="str">
            <v>格好いい</v>
          </cell>
          <cell r="G1099" t="str">
            <v>女性</v>
          </cell>
          <cell r="H1099" t="str">
            <v>blue</v>
          </cell>
          <cell r="I1099">
            <v>5</v>
          </cell>
          <cell r="J1099" t="str">
            <v>Drop2N</v>
          </cell>
          <cell r="K1099" t="str">
            <v>heal</v>
          </cell>
          <cell r="L1099" t="str">
            <v>回復タイプ</v>
          </cell>
          <cell r="M1099" t="str">
            <v>unknown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M38"/>
  <sheetViews>
    <sheetView zoomScale="75" zoomScaleNormal="75" zoomScalePageLayoutView="75" workbookViewId="0">
      <selection activeCell="F17" sqref="F17"/>
    </sheetView>
  </sheetViews>
  <sheetFormatPr baseColWidth="12" defaultRowHeight="15" x14ac:dyDescent="0.15"/>
  <cols>
    <col min="1" max="1" width="45" style="66" customWidth="1"/>
    <col min="2" max="16384" width="13" style="66"/>
  </cols>
  <sheetData>
    <row r="1" spans="1:13" x14ac:dyDescent="0.15">
      <c r="A1" s="66" t="s">
        <v>119</v>
      </c>
      <c r="B1" s="66" t="s">
        <v>120</v>
      </c>
    </row>
    <row r="2" spans="1:13" x14ac:dyDescent="0.15">
      <c r="A2" s="66" t="s">
        <v>121</v>
      </c>
      <c r="B2" s="66" t="s">
        <v>122</v>
      </c>
      <c r="C2" s="66" t="s">
        <v>123</v>
      </c>
      <c r="D2" s="66" t="s">
        <v>124</v>
      </c>
      <c r="E2" s="66" t="s">
        <v>125</v>
      </c>
      <c r="F2" s="66" t="s">
        <v>126</v>
      </c>
      <c r="G2" s="66" t="s">
        <v>127</v>
      </c>
      <c r="H2" s="66" t="s">
        <v>128</v>
      </c>
    </row>
    <row r="3" spans="1:13" x14ac:dyDescent="0.15">
      <c r="A3" s="66">
        <v>3</v>
      </c>
      <c r="B3" s="67" t="s">
        <v>129</v>
      </c>
      <c r="C3" s="67" t="s">
        <v>130</v>
      </c>
      <c r="D3" s="66">
        <v>0</v>
      </c>
      <c r="E3" s="67" t="s">
        <v>131</v>
      </c>
      <c r="F3" s="66">
        <v>0</v>
      </c>
      <c r="G3" s="66">
        <v>0</v>
      </c>
      <c r="H3" s="68">
        <v>0.5</v>
      </c>
    </row>
    <row r="4" spans="1:13" x14ac:dyDescent="0.15">
      <c r="A4" s="66">
        <v>4</v>
      </c>
      <c r="B4" s="67" t="s">
        <v>132</v>
      </c>
      <c r="C4" s="67" t="s">
        <v>133</v>
      </c>
      <c r="D4" s="67" t="s">
        <v>134</v>
      </c>
      <c r="E4" s="67" t="s">
        <v>135</v>
      </c>
      <c r="F4" s="67" t="s">
        <v>136</v>
      </c>
      <c r="G4" s="66">
        <v>0</v>
      </c>
      <c r="H4" s="68">
        <v>0.45</v>
      </c>
    </row>
    <row r="5" spans="1:13" x14ac:dyDescent="0.15">
      <c r="A5" s="66">
        <v>5</v>
      </c>
      <c r="B5" s="69">
        <v>0</v>
      </c>
      <c r="C5" s="67" t="s">
        <v>137</v>
      </c>
      <c r="D5" s="67" t="s">
        <v>138</v>
      </c>
      <c r="E5" s="67" t="s">
        <v>139</v>
      </c>
      <c r="F5" s="67" t="s">
        <v>140</v>
      </c>
      <c r="G5" s="67" t="s">
        <v>141</v>
      </c>
      <c r="H5" s="68">
        <v>0.05</v>
      </c>
    </row>
    <row r="6" spans="1:13" x14ac:dyDescent="0.15">
      <c r="B6" s="68" t="s">
        <v>142</v>
      </c>
      <c r="C6" s="68" t="s">
        <v>142</v>
      </c>
      <c r="D6" s="68" t="s">
        <v>143</v>
      </c>
      <c r="E6" s="68" t="s">
        <v>142</v>
      </c>
      <c r="F6" s="68" t="s">
        <v>142</v>
      </c>
      <c r="G6" s="70" t="s">
        <v>144</v>
      </c>
      <c r="H6" s="68">
        <v>1</v>
      </c>
    </row>
    <row r="7" spans="1:13" x14ac:dyDescent="0.15">
      <c r="B7" s="68"/>
      <c r="C7" s="68"/>
      <c r="D7" s="68"/>
      <c r="E7" s="68"/>
      <c r="F7" s="68"/>
      <c r="G7" s="70"/>
      <c r="H7" s="68"/>
    </row>
    <row r="8" spans="1:13" x14ac:dyDescent="0.15">
      <c r="A8" s="66" t="s">
        <v>145</v>
      </c>
      <c r="B8" s="68"/>
      <c r="C8" s="68"/>
      <c r="D8" s="68"/>
      <c r="E8" s="68"/>
      <c r="F8" s="68"/>
      <c r="G8" s="70"/>
      <c r="H8" s="68"/>
    </row>
    <row r="9" spans="1:13" x14ac:dyDescent="0.15">
      <c r="A9" s="66" t="s">
        <v>146</v>
      </c>
      <c r="B9" s="68"/>
      <c r="C9" s="68"/>
      <c r="D9" s="68"/>
      <c r="E9" s="68"/>
      <c r="F9" s="68"/>
      <c r="G9" s="70"/>
      <c r="H9" s="68"/>
    </row>
    <row r="10" spans="1:13" x14ac:dyDescent="0.15">
      <c r="A10" s="66" t="s">
        <v>147</v>
      </c>
      <c r="B10" s="68"/>
      <c r="C10" s="68"/>
      <c r="D10" s="68"/>
      <c r="E10" s="68"/>
      <c r="F10" s="68"/>
      <c r="G10" s="70"/>
      <c r="H10" s="68"/>
    </row>
    <row r="11" spans="1:13" x14ac:dyDescent="0.15">
      <c r="A11" s="66" t="s">
        <v>148</v>
      </c>
      <c r="B11" s="68"/>
      <c r="C11" s="68"/>
      <c r="D11" s="68"/>
      <c r="E11" s="68"/>
      <c r="F11" s="68"/>
      <c r="G11" s="70"/>
      <c r="H11" s="68"/>
    </row>
    <row r="12" spans="1:13" x14ac:dyDescent="0.15">
      <c r="A12" s="66" t="s">
        <v>141</v>
      </c>
      <c r="B12" s="68" t="s">
        <v>149</v>
      </c>
      <c r="C12" s="68" t="s">
        <v>150</v>
      </c>
      <c r="D12" s="68"/>
      <c r="E12" s="68"/>
      <c r="F12" s="68"/>
      <c r="G12" s="70"/>
      <c r="H12" s="68"/>
    </row>
    <row r="13" spans="1:13" x14ac:dyDescent="0.15">
      <c r="A13" s="66" t="s">
        <v>151</v>
      </c>
      <c r="B13" s="66" t="s">
        <v>152</v>
      </c>
      <c r="C13" s="66" t="s">
        <v>153</v>
      </c>
    </row>
    <row r="14" spans="1:13" x14ac:dyDescent="0.15">
      <c r="A14" s="66" t="s">
        <v>154</v>
      </c>
      <c r="B14" s="66" t="s">
        <v>149</v>
      </c>
      <c r="C14" s="69" t="s">
        <v>155</v>
      </c>
      <c r="E14" s="69"/>
      <c r="F14" s="69"/>
      <c r="M14" s="68"/>
    </row>
    <row r="15" spans="1:13" x14ac:dyDescent="0.15">
      <c r="A15" s="66" t="s">
        <v>131</v>
      </c>
      <c r="B15" s="68" t="s">
        <v>149</v>
      </c>
      <c r="C15" s="68" t="s">
        <v>156</v>
      </c>
      <c r="H15" s="71"/>
      <c r="M15" s="68"/>
    </row>
    <row r="16" spans="1:13" x14ac:dyDescent="0.15">
      <c r="A16" s="66" t="s">
        <v>135</v>
      </c>
      <c r="B16" s="68" t="s">
        <v>149</v>
      </c>
      <c r="C16" s="68" t="s">
        <v>157</v>
      </c>
      <c r="M16" s="68"/>
    </row>
    <row r="17" spans="1:13" x14ac:dyDescent="0.15">
      <c r="A17" s="66" t="s">
        <v>158</v>
      </c>
      <c r="B17" s="68" t="s">
        <v>149</v>
      </c>
      <c r="C17" s="68" t="s">
        <v>159</v>
      </c>
      <c r="M17" s="68"/>
    </row>
    <row r="18" spans="1:13" x14ac:dyDescent="0.15">
      <c r="B18" s="68"/>
      <c r="C18" s="68"/>
    </row>
    <row r="19" spans="1:13" x14ac:dyDescent="0.15">
      <c r="A19" s="66" t="s">
        <v>160</v>
      </c>
    </row>
    <row r="20" spans="1:13" x14ac:dyDescent="0.15">
      <c r="A20" s="66" t="s">
        <v>161</v>
      </c>
      <c r="B20" s="68"/>
      <c r="C20" s="68"/>
    </row>
    <row r="21" spans="1:13" x14ac:dyDescent="0.15">
      <c r="A21" s="66" t="s">
        <v>162</v>
      </c>
      <c r="B21" s="68" t="s">
        <v>163</v>
      </c>
      <c r="C21" s="68" t="s">
        <v>164</v>
      </c>
      <c r="D21" s="66" t="s">
        <v>165</v>
      </c>
    </row>
    <row r="22" spans="1:13" x14ac:dyDescent="0.15">
      <c r="A22" s="66" t="s">
        <v>166</v>
      </c>
      <c r="B22" s="68" t="s">
        <v>149</v>
      </c>
      <c r="C22" s="68" t="s">
        <v>167</v>
      </c>
      <c r="D22" s="66" t="s">
        <v>168</v>
      </c>
    </row>
    <row r="23" spans="1:13" x14ac:dyDescent="0.15">
      <c r="A23" s="66" t="s">
        <v>169</v>
      </c>
      <c r="B23" s="68" t="s">
        <v>149</v>
      </c>
      <c r="C23" s="66" t="s">
        <v>170</v>
      </c>
      <c r="D23" s="66" t="s">
        <v>171</v>
      </c>
    </row>
    <row r="24" spans="1:13" x14ac:dyDescent="0.15">
      <c r="A24" s="66" t="s">
        <v>172</v>
      </c>
      <c r="B24" s="68" t="s">
        <v>149</v>
      </c>
      <c r="C24" s="68" t="s">
        <v>173</v>
      </c>
      <c r="D24" s="66" t="s">
        <v>174</v>
      </c>
    </row>
    <row r="25" spans="1:13" x14ac:dyDescent="0.15">
      <c r="A25" s="66" t="s">
        <v>175</v>
      </c>
      <c r="B25" s="68" t="s">
        <v>149</v>
      </c>
      <c r="C25" s="68" t="s">
        <v>176</v>
      </c>
      <c r="D25" s="66" t="s">
        <v>177</v>
      </c>
    </row>
    <row r="26" spans="1:13" x14ac:dyDescent="0.15">
      <c r="A26" s="66" t="s">
        <v>178</v>
      </c>
      <c r="B26" s="68" t="s">
        <v>149</v>
      </c>
      <c r="C26" s="68" t="s">
        <v>179</v>
      </c>
      <c r="D26" s="66" t="s">
        <v>180</v>
      </c>
    </row>
    <row r="27" spans="1:13" x14ac:dyDescent="0.15">
      <c r="A27" s="66" t="s">
        <v>181</v>
      </c>
      <c r="B27" s="68" t="s">
        <v>149</v>
      </c>
      <c r="C27" s="68" t="s">
        <v>143</v>
      </c>
      <c r="D27" s="66" t="s">
        <v>182</v>
      </c>
      <c r="E27" s="66" t="s">
        <v>183</v>
      </c>
    </row>
    <row r="28" spans="1:13" x14ac:dyDescent="0.15">
      <c r="A28" s="66" t="s">
        <v>130</v>
      </c>
      <c r="B28" s="68" t="s">
        <v>149</v>
      </c>
      <c r="C28" s="68" t="s">
        <v>184</v>
      </c>
      <c r="E28" s="66" t="s">
        <v>185</v>
      </c>
    </row>
    <row r="29" spans="1:13" x14ac:dyDescent="0.15">
      <c r="A29" s="66" t="s">
        <v>133</v>
      </c>
      <c r="B29" s="68" t="s">
        <v>149</v>
      </c>
      <c r="C29" s="68" t="s">
        <v>186</v>
      </c>
    </row>
    <row r="30" spans="1:13" x14ac:dyDescent="0.15">
      <c r="B30" s="68"/>
    </row>
    <row r="31" spans="1:13" x14ac:dyDescent="0.15">
      <c r="A31" s="66" t="s">
        <v>187</v>
      </c>
    </row>
    <row r="32" spans="1:13" x14ac:dyDescent="0.15">
      <c r="A32" s="66" t="s">
        <v>188</v>
      </c>
      <c r="B32" s="68" t="s">
        <v>149</v>
      </c>
      <c r="C32" s="68" t="s">
        <v>189</v>
      </c>
    </row>
    <row r="33" spans="1:3" x14ac:dyDescent="0.15">
      <c r="A33" s="66" t="s">
        <v>133</v>
      </c>
      <c r="B33" s="68" t="s">
        <v>149</v>
      </c>
      <c r="C33" s="68" t="s">
        <v>190</v>
      </c>
    </row>
    <row r="34" spans="1:3" x14ac:dyDescent="0.15">
      <c r="A34" s="66" t="s">
        <v>130</v>
      </c>
      <c r="B34" s="68" t="s">
        <v>149</v>
      </c>
      <c r="C34" s="68" t="s">
        <v>191</v>
      </c>
    </row>
    <row r="35" spans="1:3" x14ac:dyDescent="0.15">
      <c r="A35" s="66" t="s">
        <v>129</v>
      </c>
      <c r="B35" s="68" t="s">
        <v>149</v>
      </c>
      <c r="C35" s="68" t="s">
        <v>192</v>
      </c>
    </row>
    <row r="36" spans="1:3" x14ac:dyDescent="0.15">
      <c r="A36" s="66" t="s">
        <v>132</v>
      </c>
      <c r="B36" s="68" t="s">
        <v>149</v>
      </c>
      <c r="C36" s="68" t="s">
        <v>193</v>
      </c>
    </row>
    <row r="37" spans="1:3" x14ac:dyDescent="0.15">
      <c r="A37" s="66" t="s">
        <v>138</v>
      </c>
      <c r="B37" s="68" t="s">
        <v>149</v>
      </c>
      <c r="C37" s="68" t="s">
        <v>194</v>
      </c>
    </row>
    <row r="38" spans="1:3" x14ac:dyDescent="0.15">
      <c r="A38" s="66" t="s">
        <v>134</v>
      </c>
      <c r="B38" s="68" t="s">
        <v>149</v>
      </c>
      <c r="C38" s="68" t="s">
        <v>195</v>
      </c>
    </row>
  </sheetData>
  <phoneticPr fontId="17"/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A4"/>
  <sheetViews>
    <sheetView workbookViewId="0">
      <selection activeCell="G23" sqref="G23"/>
    </sheetView>
  </sheetViews>
  <sheetFormatPr baseColWidth="12" defaultRowHeight="14" x14ac:dyDescent="0.15"/>
  <sheetData>
    <row r="1" spans="1:1" x14ac:dyDescent="0.15">
      <c r="A1" t="s">
        <v>82</v>
      </c>
    </row>
    <row r="2" spans="1:1" x14ac:dyDescent="0.15">
      <c r="A2" t="s">
        <v>83</v>
      </c>
    </row>
    <row r="3" spans="1:1" x14ac:dyDescent="0.15">
      <c r="A3" t="s">
        <v>84</v>
      </c>
    </row>
    <row r="4" spans="1:1" x14ac:dyDescent="0.15">
      <c r="A4" t="s">
        <v>85</v>
      </c>
    </row>
  </sheetData>
  <phoneticPr fontId="17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>
    <tabColor rgb="FF0000FF"/>
  </sheetPr>
  <dimension ref="A1:U7"/>
  <sheetViews>
    <sheetView workbookViewId="0">
      <selection activeCell="F21" sqref="F21"/>
    </sheetView>
  </sheetViews>
  <sheetFormatPr baseColWidth="12" defaultRowHeight="15" x14ac:dyDescent="0.15"/>
  <cols>
    <col min="1" max="1" width="13" style="18"/>
    <col min="2" max="2" width="14.796875" style="18" bestFit="1" customWidth="1"/>
    <col min="3" max="4" width="13" style="18"/>
    <col min="5" max="5" width="17.59765625" style="18" bestFit="1" customWidth="1"/>
    <col min="6" max="6" width="22.19921875" style="18" bestFit="1" customWidth="1"/>
    <col min="7" max="16384" width="13" style="18"/>
  </cols>
  <sheetData>
    <row r="1" spans="1:21" x14ac:dyDescent="0.15">
      <c r="A1" s="28" t="s">
        <v>52</v>
      </c>
      <c r="B1" s="16" t="s">
        <v>40</v>
      </c>
      <c r="C1" s="16" t="s">
        <v>41</v>
      </c>
      <c r="D1" s="16" t="s">
        <v>42</v>
      </c>
      <c r="E1" s="16" t="s">
        <v>43</v>
      </c>
      <c r="F1" s="16" t="s">
        <v>44</v>
      </c>
      <c r="G1" s="16" t="s">
        <v>45</v>
      </c>
      <c r="H1" s="16"/>
      <c r="I1" s="16"/>
      <c r="J1" s="16"/>
      <c r="K1" s="16"/>
      <c r="L1" s="17"/>
      <c r="M1" s="17"/>
      <c r="N1" s="17"/>
      <c r="O1" s="17"/>
    </row>
    <row r="2" spans="1:21" x14ac:dyDescent="0.15">
      <c r="A2" s="83" t="s">
        <v>221</v>
      </c>
      <c r="B2" s="63" t="s">
        <v>118</v>
      </c>
      <c r="C2" s="52" t="str">
        <f>RIGHT(F2,6)</f>
        <v>356010</v>
      </c>
      <c r="D2" s="19" t="s">
        <v>46</v>
      </c>
      <c r="E2" s="17" t="str">
        <f t="shared" ref="E2:E7" si="0">B2&amp;C2&amp;D2</f>
        <v>gacha_select_tables_356010.tmp</v>
      </c>
      <c r="F2" s="84" t="s">
        <v>222</v>
      </c>
      <c r="G2" s="51" t="s">
        <v>89</v>
      </c>
      <c r="H2" s="22" t="s">
        <v>0</v>
      </c>
      <c r="I2" s="22" t="s">
        <v>3</v>
      </c>
      <c r="J2" s="22" t="s">
        <v>4</v>
      </c>
      <c r="K2" s="22" t="s">
        <v>5</v>
      </c>
      <c r="L2" s="22" t="s">
        <v>6</v>
      </c>
      <c r="M2" s="22" t="s">
        <v>7</v>
      </c>
      <c r="N2" s="22" t="s">
        <v>8</v>
      </c>
      <c r="O2" s="22" t="s">
        <v>9</v>
      </c>
    </row>
    <row r="3" spans="1:21" x14ac:dyDescent="0.15">
      <c r="A3" s="83" t="s">
        <v>221</v>
      </c>
      <c r="B3" s="63" t="s">
        <v>118</v>
      </c>
      <c r="C3" s="52" t="str">
        <f>RIGHT(F3,6)</f>
        <v>356100</v>
      </c>
      <c r="D3" s="19" t="s">
        <v>46</v>
      </c>
      <c r="E3" s="17" t="str">
        <f t="shared" ref="E3" si="1">B3&amp;C3&amp;D3</f>
        <v>gacha_select_tables_356100.tmp</v>
      </c>
      <c r="F3" s="84" t="s">
        <v>223</v>
      </c>
      <c r="G3" s="51" t="s">
        <v>89</v>
      </c>
      <c r="H3" s="22" t="s">
        <v>0</v>
      </c>
      <c r="I3" s="22" t="s">
        <v>3</v>
      </c>
      <c r="J3" s="22" t="s">
        <v>4</v>
      </c>
      <c r="K3" s="22" t="s">
        <v>5</v>
      </c>
      <c r="L3" s="22" t="s">
        <v>6</v>
      </c>
      <c r="M3" s="22" t="s">
        <v>7</v>
      </c>
      <c r="N3" s="22" t="s">
        <v>8</v>
      </c>
      <c r="O3" s="22" t="s">
        <v>9</v>
      </c>
    </row>
    <row r="4" spans="1:21" x14ac:dyDescent="0.15">
      <c r="A4" s="83" t="s">
        <v>221</v>
      </c>
      <c r="B4" s="86" t="s">
        <v>226</v>
      </c>
      <c r="C4" s="52" t="str">
        <f>RIGHT(F4,6)</f>
        <v>356100</v>
      </c>
      <c r="D4" s="19" t="s">
        <v>46</v>
      </c>
      <c r="E4" s="17" t="str">
        <f t="shared" si="0"/>
        <v>gacha_settle_tables_356100.tmp</v>
      </c>
      <c r="F4" s="84" t="s">
        <v>225</v>
      </c>
      <c r="G4" s="51" t="s">
        <v>89</v>
      </c>
      <c r="H4" s="22" t="s">
        <v>0</v>
      </c>
      <c r="I4" s="22" t="s">
        <v>3</v>
      </c>
      <c r="J4" s="22" t="s">
        <v>4</v>
      </c>
      <c r="K4" s="22" t="s">
        <v>5</v>
      </c>
      <c r="L4" s="22" t="s">
        <v>6</v>
      </c>
      <c r="M4" s="22" t="s">
        <v>7</v>
      </c>
      <c r="N4" s="22" t="s">
        <v>8</v>
      </c>
      <c r="O4" s="22" t="s">
        <v>9</v>
      </c>
    </row>
    <row r="5" spans="1:21" x14ac:dyDescent="0.15">
      <c r="A5" s="32" t="s">
        <v>54</v>
      </c>
      <c r="B5" s="27" t="s">
        <v>51</v>
      </c>
      <c r="C5" s="33" t="s">
        <v>59</v>
      </c>
      <c r="D5" s="19" t="s">
        <v>47</v>
      </c>
      <c r="E5" s="17" t="str">
        <f t="shared" si="0"/>
        <v>gacha_bonus_tables_hogehoge.tmp</v>
      </c>
      <c r="F5" s="19" t="s">
        <v>48</v>
      </c>
      <c r="G5" s="21" t="s">
        <v>11</v>
      </c>
      <c r="H5" s="23" t="s">
        <v>14</v>
      </c>
      <c r="I5" s="21" t="s">
        <v>12</v>
      </c>
      <c r="J5" s="20"/>
      <c r="K5" s="20"/>
      <c r="L5" s="20"/>
      <c r="M5" s="20"/>
      <c r="N5" s="20"/>
      <c r="O5" s="20"/>
    </row>
    <row r="6" spans="1:21" x14ac:dyDescent="0.15">
      <c r="A6" s="32" t="s">
        <v>54</v>
      </c>
      <c r="B6" s="19" t="s">
        <v>49</v>
      </c>
      <c r="C6" s="33" t="s">
        <v>59</v>
      </c>
      <c r="D6" s="19" t="s">
        <v>47</v>
      </c>
      <c r="E6" s="17" t="str">
        <f t="shared" si="0"/>
        <v>gifts_tmp_hogehoge.tmp</v>
      </c>
      <c r="F6" s="19" t="s">
        <v>48</v>
      </c>
      <c r="G6" s="23" t="s">
        <v>22</v>
      </c>
      <c r="H6" s="24" t="s">
        <v>30</v>
      </c>
      <c r="I6" s="23" t="s">
        <v>23</v>
      </c>
      <c r="J6" s="23" t="s">
        <v>24</v>
      </c>
      <c r="K6" s="23" t="s">
        <v>24</v>
      </c>
      <c r="L6" s="23" t="s">
        <v>25</v>
      </c>
      <c r="M6" s="23" t="s">
        <v>25</v>
      </c>
      <c r="N6" s="23" t="s">
        <v>25</v>
      </c>
      <c r="O6" s="53" t="s">
        <v>7</v>
      </c>
      <c r="P6" s="53" t="s">
        <v>9</v>
      </c>
      <c r="Q6" s="53" t="s">
        <v>6</v>
      </c>
      <c r="R6" s="53" t="s">
        <v>90</v>
      </c>
      <c r="S6" s="53" t="s">
        <v>8</v>
      </c>
      <c r="T6" s="53" t="s">
        <v>91</v>
      </c>
      <c r="U6" s="53" t="s">
        <v>5</v>
      </c>
    </row>
    <row r="7" spans="1:21" x14ac:dyDescent="0.15">
      <c r="A7" s="32" t="s">
        <v>54</v>
      </c>
      <c r="B7" s="19" t="s">
        <v>50</v>
      </c>
      <c r="C7" s="33" t="s">
        <v>59</v>
      </c>
      <c r="D7" s="19" t="s">
        <v>47</v>
      </c>
      <c r="E7" s="17" t="str">
        <f t="shared" si="0"/>
        <v>gifts_i18n_hogehoge.tmp</v>
      </c>
      <c r="F7" s="19" t="s">
        <v>48</v>
      </c>
      <c r="G7" s="23" t="s">
        <v>13</v>
      </c>
      <c r="H7" s="25" t="s">
        <v>26</v>
      </c>
      <c r="I7" s="25" t="s">
        <v>27</v>
      </c>
      <c r="J7" s="25" t="s">
        <v>28</v>
      </c>
      <c r="K7" s="25" t="s">
        <v>29</v>
      </c>
      <c r="L7" s="26"/>
      <c r="M7" s="23"/>
      <c r="N7" s="23"/>
      <c r="O7" s="19"/>
    </row>
  </sheetData>
  <phoneticPr fontId="17"/>
  <pageMargins left="0.7" right="0.7" top="0.75" bottom="0.75" header="0.3" footer="0.3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>
    <tabColor theme="5"/>
  </sheetPr>
  <dimension ref="A1:V63"/>
  <sheetViews>
    <sheetView topLeftCell="A29" workbookViewId="0">
      <selection activeCell="B45" sqref="B45"/>
    </sheetView>
  </sheetViews>
  <sheetFormatPr baseColWidth="12" defaultRowHeight="14" x14ac:dyDescent="0.15"/>
  <cols>
    <col min="1" max="1" width="24.19921875" bestFit="1" customWidth="1"/>
    <col min="2" max="2" width="21.19921875" bestFit="1" customWidth="1"/>
  </cols>
  <sheetData>
    <row r="1" spans="1:22" x14ac:dyDescent="0.15">
      <c r="A1" s="50" t="s">
        <v>86</v>
      </c>
      <c r="B1" s="50"/>
      <c r="L1" s="40" t="s">
        <v>64</v>
      </c>
      <c r="M1" s="40"/>
      <c r="U1" t="s">
        <v>64</v>
      </c>
    </row>
    <row r="2" spans="1:22" x14ac:dyDescent="0.15">
      <c r="A2" t="str">
        <f ca="1">RIGHT(RIGHT(CELL("filename",A2),LEN(CELL("filename",A2))-FIND("]",CELL("filename",A2))),6)</f>
        <v>356010</v>
      </c>
      <c r="L2" s="34" t="s">
        <v>1</v>
      </c>
      <c r="M2" s="39" t="s">
        <v>68</v>
      </c>
      <c r="N2" s="34" t="s">
        <v>66</v>
      </c>
      <c r="O2" s="39" t="s">
        <v>69</v>
      </c>
      <c r="P2" s="39" t="s">
        <v>70</v>
      </c>
      <c r="Q2" s="39" t="s">
        <v>67</v>
      </c>
      <c r="R2" s="46" t="s">
        <v>76</v>
      </c>
      <c r="U2" s="34" t="s">
        <v>198</v>
      </c>
      <c r="V2" s="56">
        <f>SUMIF(Q:Q,U2,N:N)</f>
        <v>0</v>
      </c>
    </row>
    <row r="3" spans="1:22" x14ac:dyDescent="0.15">
      <c r="H3" s="76" t="s">
        <v>219</v>
      </c>
      <c r="M3" s="39" t="e">
        <f>VLOOKUP(L3,[1]characters!$A:$C,3,FALSE)</f>
        <v>#N/A</v>
      </c>
      <c r="N3" s="65"/>
      <c r="O3" s="39" t="e">
        <f>VLOOKUP(L3,[1]characters!$A:$I,9,FALSE)</f>
        <v>#N/A</v>
      </c>
      <c r="P3" s="39" t="e">
        <f>VLOOKUP(L3,[1]characters!$A:$J,10,FALSE)</f>
        <v>#N/A</v>
      </c>
      <c r="Q3" s="39" t="e">
        <f>VLOOKUP(L3,tables_356010!B:C,2,FALSE)</f>
        <v>#N/A</v>
      </c>
      <c r="R3" s="64">
        <f>N3*A$51</f>
        <v>0</v>
      </c>
      <c r="U3" s="34" t="s">
        <v>199</v>
      </c>
      <c r="V3" s="56">
        <f>SUMIF(Q:Q,U3,N:N)</f>
        <v>0</v>
      </c>
    </row>
    <row r="4" spans="1:22" x14ac:dyDescent="0.15">
      <c r="A4" s="36" t="s">
        <v>55</v>
      </c>
      <c r="B4" s="36"/>
      <c r="D4" t="s">
        <v>207</v>
      </c>
      <c r="F4" t="s">
        <v>210</v>
      </c>
      <c r="H4" t="s">
        <v>217</v>
      </c>
      <c r="I4" t="s">
        <v>218</v>
      </c>
      <c r="M4" s="39" t="e">
        <f>VLOOKUP(L4,[1]characters!$A:$C,3,FALSE)</f>
        <v>#N/A</v>
      </c>
      <c r="N4" s="65"/>
      <c r="O4" s="39" t="e">
        <f>VLOOKUP(L4,[1]characters!$A:$I,9,FALSE)</f>
        <v>#N/A</v>
      </c>
      <c r="P4" s="39" t="e">
        <f>VLOOKUP(L4,[1]characters!$A:$J,10,FALSE)</f>
        <v>#N/A</v>
      </c>
      <c r="Q4" s="39" t="e">
        <f>VLOOKUP(L4,tables_356010!B:C,2,FALSE)</f>
        <v>#N/A</v>
      </c>
      <c r="R4" s="64">
        <f>N4*A$51</f>
        <v>0</v>
      </c>
      <c r="U4" s="34" t="s">
        <v>102</v>
      </c>
      <c r="V4" s="56">
        <f>SUMIF(Q:Q,U4,N:N)</f>
        <v>0</v>
      </c>
    </row>
    <row r="5" spans="1:22" x14ac:dyDescent="0.15">
      <c r="A5" s="34" t="s">
        <v>71</v>
      </c>
      <c r="B5" s="75">
        <f>1-B6-B7-B8</f>
        <v>0.5</v>
      </c>
      <c r="D5" t="s">
        <v>208</v>
      </c>
      <c r="E5" s="45">
        <f>(B11-H5)*0.2/(F5-I5)</f>
        <v>3.1578947368421053E-4</v>
      </c>
      <c r="F5">
        <f>(COUNTIF(tables_356010!C:C,input_356010!A26)+COUNTIF(tables_356010!C:C,input_356010!A28)+COUNTIF(tables_356010!C:C,input_356010!A29))</f>
        <v>19</v>
      </c>
      <c r="H5" s="77">
        <v>0</v>
      </c>
      <c r="I5" s="31">
        <v>0</v>
      </c>
      <c r="M5" s="39" t="e">
        <f>VLOOKUP(L5,[1]characters!$A:$C,3,FALSE)</f>
        <v>#N/A</v>
      </c>
      <c r="N5" s="65"/>
      <c r="O5" s="39" t="e">
        <f>VLOOKUP(L5,[1]characters!$A:$I,9,FALSE)</f>
        <v>#N/A</v>
      </c>
      <c r="P5" s="39" t="e">
        <f>VLOOKUP(L5,[1]characters!$A:$J,10,FALSE)</f>
        <v>#N/A</v>
      </c>
      <c r="Q5" s="39" t="e">
        <f>VLOOKUP(L5,tables_356010!B:C,2,FALSE)</f>
        <v>#N/A</v>
      </c>
      <c r="R5" s="64">
        <f>N5*A$51</f>
        <v>0</v>
      </c>
      <c r="U5" s="34" t="s">
        <v>103</v>
      </c>
      <c r="V5" s="56">
        <f>SUMIF(Q:Q,U5,N:N)</f>
        <v>0</v>
      </c>
    </row>
    <row r="6" spans="1:22" x14ac:dyDescent="0.15">
      <c r="A6" s="34" t="s">
        <v>72</v>
      </c>
      <c r="B6" s="75">
        <v>0.45</v>
      </c>
      <c r="D6" t="s">
        <v>241</v>
      </c>
      <c r="E6" s="45">
        <f>(B11-H5)*0.8/(F6-I5)</f>
        <v>1.2631578947368421E-3</v>
      </c>
      <c r="F6">
        <f>(COUNTIF(tables_356010!C:C,input_356010!A41)+COUNTIF(tables_356010!C:C,input_356010!A43)+COUNTIF(tables_356010!C:C,input_356010!A44))</f>
        <v>19</v>
      </c>
      <c r="H6" s="77">
        <v>0</v>
      </c>
      <c r="I6" s="31">
        <v>0</v>
      </c>
      <c r="M6" s="39" t="e">
        <f>VLOOKUP(L6,[1]characters!$A:$C,3,FALSE)</f>
        <v>#N/A</v>
      </c>
      <c r="N6" s="65"/>
      <c r="O6" s="39" t="e">
        <f>VLOOKUP(L6,[1]characters!$A:$I,9,FALSE)</f>
        <v>#N/A</v>
      </c>
      <c r="P6" s="39" t="e">
        <f>VLOOKUP(L6,[1]characters!$A:$J,10,FALSE)</f>
        <v>#N/A</v>
      </c>
      <c r="Q6" s="39" t="e">
        <f>VLOOKUP(L6,tables_356010!B:C,2,FALSE)</f>
        <v>#N/A</v>
      </c>
      <c r="R6" s="64">
        <f>N6*A$51</f>
        <v>0</v>
      </c>
      <c r="U6" s="34" t="s">
        <v>104</v>
      </c>
      <c r="V6" s="56">
        <f>SUMIF(Q:Q,U6,N:N)</f>
        <v>0</v>
      </c>
    </row>
    <row r="7" spans="1:22" x14ac:dyDescent="0.15">
      <c r="A7" s="34" t="s">
        <v>73</v>
      </c>
      <c r="B7" s="75">
        <v>0.05</v>
      </c>
      <c r="D7" t="s">
        <v>209</v>
      </c>
      <c r="E7" s="81">
        <f>(B10-H6)*0.2/(F7-I6)</f>
        <v>4.9230769230769232E-3</v>
      </c>
      <c r="F7">
        <f>(COUNTIF(tables_356010!C:C,input_356010!A18)+COUNTIF(tables_356010!C:C,input_356010!A20)+COUNTIF(tables_356010!C:C,input_356010!A22))</f>
        <v>39</v>
      </c>
      <c r="M7" s="39"/>
      <c r="N7" s="65"/>
      <c r="O7" s="39"/>
      <c r="P7" s="39"/>
      <c r="Q7" s="39"/>
      <c r="R7" s="64"/>
      <c r="U7" s="34"/>
      <c r="V7" s="56"/>
    </row>
    <row r="8" spans="1:22" x14ac:dyDescent="0.15">
      <c r="A8" s="59"/>
      <c r="B8" s="74"/>
      <c r="D8" t="s">
        <v>242</v>
      </c>
      <c r="E8" s="81">
        <f>(B10-H6)*0.8/(F8-I6)</f>
        <v>1.9692307692307693E-2</v>
      </c>
      <c r="F8">
        <f>(COUNTIF(tables_356010!C:C,input_356010!A33)+COUNTIF(tables_356010!C:C,input_356010!A35)+COUNTIF(tables_356010!C:C,input_356010!A37))</f>
        <v>39</v>
      </c>
      <c r="M8" s="39"/>
      <c r="N8" s="65"/>
      <c r="O8" s="39"/>
      <c r="P8" s="39"/>
      <c r="Q8" s="39"/>
      <c r="R8" s="64"/>
      <c r="U8" s="34"/>
      <c r="V8" s="56"/>
    </row>
    <row r="9" spans="1:22" x14ac:dyDescent="0.15">
      <c r="A9" s="37" t="s">
        <v>56</v>
      </c>
      <c r="B9" s="37"/>
      <c r="M9" s="39"/>
      <c r="N9" s="65"/>
      <c r="O9" s="39"/>
      <c r="P9" s="39"/>
      <c r="Q9" s="39"/>
      <c r="R9" s="64"/>
      <c r="U9" s="34"/>
      <c r="V9" s="56"/>
    </row>
    <row r="10" spans="1:22" x14ac:dyDescent="0.15">
      <c r="A10" s="34" t="s">
        <v>101</v>
      </c>
      <c r="B10" s="75">
        <f>1-B11-B12-B8</f>
        <v>0.96</v>
      </c>
      <c r="C10" t="s">
        <v>216</v>
      </c>
      <c r="M10" s="39"/>
      <c r="N10" s="65"/>
      <c r="O10" s="39"/>
      <c r="P10" s="39"/>
      <c r="Q10" s="39"/>
      <c r="R10" s="64"/>
      <c r="U10" s="34"/>
      <c r="V10" s="56"/>
    </row>
    <row r="11" spans="1:22" x14ac:dyDescent="0.15">
      <c r="A11" s="34" t="s">
        <v>58</v>
      </c>
      <c r="B11" s="75">
        <v>0.03</v>
      </c>
      <c r="M11" s="39"/>
      <c r="N11" s="65"/>
      <c r="O11" s="39"/>
      <c r="P11" s="39"/>
      <c r="Q11" s="39"/>
      <c r="R11" s="64"/>
      <c r="U11" s="34"/>
      <c r="V11" s="56"/>
    </row>
    <row r="12" spans="1:22" x14ac:dyDescent="0.15">
      <c r="A12" s="34" t="s">
        <v>57</v>
      </c>
      <c r="B12" s="35">
        <v>0.01</v>
      </c>
      <c r="M12" s="39"/>
      <c r="N12" s="65"/>
      <c r="O12" s="39"/>
      <c r="P12" s="39"/>
      <c r="Q12" s="39"/>
      <c r="R12" s="64"/>
      <c r="U12" s="34"/>
      <c r="V12" s="56"/>
    </row>
    <row r="13" spans="1:22" x14ac:dyDescent="0.15">
      <c r="M13" s="39"/>
      <c r="N13" s="65"/>
      <c r="O13" s="39"/>
      <c r="P13" s="39"/>
      <c r="Q13" s="39"/>
      <c r="R13" s="64"/>
      <c r="U13" s="34"/>
      <c r="V13" s="56"/>
    </row>
    <row r="14" spans="1:22" x14ac:dyDescent="0.15">
      <c r="M14" s="39"/>
      <c r="N14" s="65"/>
      <c r="O14" s="39"/>
      <c r="P14" s="39"/>
      <c r="Q14" s="39"/>
      <c r="R14" s="64"/>
      <c r="U14" s="34"/>
      <c r="V14" s="56"/>
    </row>
    <row r="15" spans="1:22" x14ac:dyDescent="0.15">
      <c r="A15" s="38" t="s">
        <v>60</v>
      </c>
      <c r="B15" s="38"/>
      <c r="C15" t="s">
        <v>87</v>
      </c>
      <c r="M15" s="39"/>
      <c r="N15" s="65"/>
      <c r="O15" s="39"/>
      <c r="P15" s="39"/>
      <c r="Q15" s="39"/>
      <c r="R15" s="64"/>
      <c r="U15" s="34"/>
      <c r="V15" s="56"/>
    </row>
    <row r="16" spans="1:22" x14ac:dyDescent="0.15">
      <c r="A16" s="34" t="s">
        <v>63</v>
      </c>
      <c r="B16" s="34" t="s">
        <v>200</v>
      </c>
      <c r="C16" s="39" t="s">
        <v>64</v>
      </c>
      <c r="D16" s="39" t="s">
        <v>65</v>
      </c>
      <c r="E16" t="s">
        <v>75</v>
      </c>
      <c r="F16" t="s">
        <v>74</v>
      </c>
      <c r="G16" t="s">
        <v>77</v>
      </c>
      <c r="H16" t="s">
        <v>220</v>
      </c>
      <c r="I16" t="s">
        <v>78</v>
      </c>
      <c r="J16" t="s">
        <v>81</v>
      </c>
      <c r="M16" s="39"/>
      <c r="N16" s="65"/>
      <c r="O16" s="39"/>
      <c r="P16" s="39"/>
      <c r="Q16" s="39"/>
      <c r="R16" s="64"/>
      <c r="U16" s="34"/>
      <c r="V16" s="56"/>
    </row>
    <row r="17" spans="1:18" x14ac:dyDescent="0.15">
      <c r="A17" s="34" t="s">
        <v>198</v>
      </c>
      <c r="B17" s="72">
        <f>B$5*0.2-B19-B24</f>
        <v>3.3222672064777331E-2</v>
      </c>
      <c r="C17" s="78">
        <f>SUMIF(Q:Q,A17,N:N)</f>
        <v>0</v>
      </c>
      <c r="D17" s="79">
        <f t="shared" ref="D17:D26" si="0">B17-C17</f>
        <v>3.3222672064777331E-2</v>
      </c>
      <c r="E17">
        <f>COUNTIF(tables_356010!C:C,input_356010!A17)-COUNTIF(Q:Q,A17)</f>
        <v>10</v>
      </c>
      <c r="F17" s="45">
        <f>IFERROR(B17/E17,0)</f>
        <v>3.3222672064777332E-3</v>
      </c>
      <c r="G17">
        <f>A$51*B17</f>
        <v>49236.000000000007</v>
      </c>
      <c r="H17">
        <f t="shared" ref="H17:H26" si="1">IFERROR(ROUND(G17/E17,5),0)</f>
        <v>4923.6000000000004</v>
      </c>
      <c r="I17">
        <f t="shared" ref="I17:I31" si="2">MOD(H17,1)</f>
        <v>0.6000000000003638</v>
      </c>
      <c r="J17">
        <f t="shared" ref="J17:J26" si="3">IFERROR(1/I17,1)</f>
        <v>1.6666666666656562</v>
      </c>
      <c r="M17" s="39"/>
      <c r="N17" s="65"/>
      <c r="O17" s="39"/>
      <c r="P17" s="39"/>
      <c r="Q17" s="39"/>
      <c r="R17" s="64"/>
    </row>
    <row r="18" spans="1:18" x14ac:dyDescent="0.15">
      <c r="A18" s="34" t="s">
        <v>199</v>
      </c>
      <c r="B18" s="58">
        <f>E$7*E18-B17</f>
        <v>1.60080971659919E-2</v>
      </c>
      <c r="C18" s="78">
        <f>SUMIF(Q:Q,A18,N:N)</f>
        <v>0</v>
      </c>
      <c r="D18" s="79">
        <f t="shared" si="0"/>
        <v>1.60080971659919E-2</v>
      </c>
      <c r="E18">
        <f>COUNTIF(tables_356010!C:C,input_356010!A18)-COUNTIF(Q:Q,A18)</f>
        <v>10</v>
      </c>
      <c r="F18" s="45">
        <f t="shared" ref="F18:F31" si="4">IFERROR(B18/E18,0)</f>
        <v>1.6008097165991901E-3</v>
      </c>
      <c r="G18">
        <f t="shared" ref="G18:G31" si="5">A$51*B18</f>
        <v>23723.999999999996</v>
      </c>
      <c r="H18">
        <f t="shared" si="1"/>
        <v>2372.4</v>
      </c>
      <c r="I18">
        <f t="shared" si="2"/>
        <v>0.40000000000009095</v>
      </c>
      <c r="J18">
        <f t="shared" si="3"/>
        <v>2.4999999999994316</v>
      </c>
      <c r="M18" s="39"/>
      <c r="N18" s="65"/>
      <c r="O18" s="39"/>
      <c r="P18" s="39"/>
      <c r="Q18" s="39"/>
      <c r="R18" s="64"/>
    </row>
    <row r="19" spans="1:18" x14ac:dyDescent="0.15">
      <c r="A19" s="34" t="s">
        <v>102</v>
      </c>
      <c r="B19" s="58">
        <f>(E$7)*E19*B$5</f>
        <v>6.6461538461538461E-2</v>
      </c>
      <c r="C19" s="78">
        <f>SUMIF(Q:Q,A19,N:N)</f>
        <v>0</v>
      </c>
      <c r="D19" s="79">
        <f t="shared" si="0"/>
        <v>6.6461538461538461E-2</v>
      </c>
      <c r="E19">
        <f>COUNTIF(tables_356010!C:C,input_356010!A19)-COUNTIF(Q:Q,A19)</f>
        <v>27</v>
      </c>
      <c r="F19" s="45">
        <f t="shared" si="4"/>
        <v>2.4615384615384616E-3</v>
      </c>
      <c r="G19">
        <f t="shared" si="5"/>
        <v>98496</v>
      </c>
      <c r="H19">
        <f t="shared" si="1"/>
        <v>3648</v>
      </c>
      <c r="I19">
        <f t="shared" si="2"/>
        <v>0</v>
      </c>
      <c r="J19">
        <f t="shared" si="3"/>
        <v>1</v>
      </c>
      <c r="M19" s="39"/>
      <c r="N19" s="65"/>
      <c r="O19" s="39"/>
      <c r="P19" s="39"/>
      <c r="Q19" s="39"/>
      <c r="R19" s="64"/>
    </row>
    <row r="20" spans="1:18" x14ac:dyDescent="0.15">
      <c r="A20" s="34" t="s">
        <v>103</v>
      </c>
      <c r="B20" s="58">
        <f>E$7*E20*B$6</f>
        <v>5.9815384615384617E-2</v>
      </c>
      <c r="C20" s="78">
        <f>SUMIF(Q:Q,A20,N:N)</f>
        <v>0</v>
      </c>
      <c r="D20" s="79">
        <f t="shared" si="0"/>
        <v>5.9815384615384617E-2</v>
      </c>
      <c r="E20">
        <f>COUNTIF(tables_356010!C:C,input_356010!A20)-COUNTIF(Q:Q,A20)</f>
        <v>27</v>
      </c>
      <c r="F20" s="45">
        <f t="shared" si="4"/>
        <v>2.2153846153846156E-3</v>
      </c>
      <c r="G20">
        <f t="shared" si="5"/>
        <v>88646.400000000009</v>
      </c>
      <c r="H20">
        <f t="shared" si="1"/>
        <v>3283.2</v>
      </c>
      <c r="I20">
        <f t="shared" si="2"/>
        <v>0.1999999999998181</v>
      </c>
      <c r="J20">
        <f t="shared" si="3"/>
        <v>5.0000000000045475</v>
      </c>
      <c r="M20" s="39"/>
      <c r="N20" s="65"/>
      <c r="O20" s="39"/>
      <c r="P20" s="39"/>
      <c r="Q20" s="39"/>
      <c r="R20" s="64"/>
    </row>
    <row r="21" spans="1:18" x14ac:dyDescent="0.15">
      <c r="A21" s="34" t="s">
        <v>104</v>
      </c>
      <c r="B21" s="58">
        <f>E$7*E21*B$7</f>
        <v>6.6461538461538468E-3</v>
      </c>
      <c r="C21" s="78">
        <f>SUMIF(Q:Q,A21,N:N)</f>
        <v>0</v>
      </c>
      <c r="D21" s="79">
        <f t="shared" si="0"/>
        <v>6.6461538461538468E-3</v>
      </c>
      <c r="E21">
        <f>COUNTIF(tables_356010!C:C,input_356010!A21)-COUNTIF(Q:Q,A21)</f>
        <v>27</v>
      </c>
      <c r="F21" s="45">
        <f t="shared" si="4"/>
        <v>2.4615384615384619E-4</v>
      </c>
      <c r="G21">
        <f t="shared" si="5"/>
        <v>9849.6</v>
      </c>
      <c r="H21">
        <f t="shared" si="1"/>
        <v>364.8</v>
      </c>
      <c r="I21">
        <f t="shared" si="2"/>
        <v>0.80000000000001137</v>
      </c>
      <c r="J21">
        <f t="shared" si="3"/>
        <v>1.2499999999999822</v>
      </c>
      <c r="L21" s="59"/>
      <c r="M21" s="59"/>
      <c r="N21" s="60"/>
      <c r="O21" s="59"/>
      <c r="P21" s="59"/>
      <c r="Q21" s="59"/>
      <c r="R21" s="61"/>
    </row>
    <row r="22" spans="1:18" x14ac:dyDescent="0.15">
      <c r="A22" s="34" t="s">
        <v>204</v>
      </c>
      <c r="B22" s="80">
        <f>E$7*COUNTIF(tables_356010!C:C,input_356010!A22)-B23</f>
        <v>7.9923076923076909E-3</v>
      </c>
      <c r="C22" s="78">
        <f>SUMIF(Q:Q,A22,N:N)</f>
        <v>0</v>
      </c>
      <c r="D22" s="79">
        <f t="shared" si="0"/>
        <v>7.9923076923076909E-3</v>
      </c>
      <c r="E22">
        <f>COUNTIF(tables_356010!C:C,input_356010!A22)-COUNTIF(Q:Q,A22)</f>
        <v>2</v>
      </c>
      <c r="F22" s="45">
        <f t="shared" si="4"/>
        <v>3.9961538461538455E-3</v>
      </c>
      <c r="G22">
        <f t="shared" si="5"/>
        <v>11844.599999999999</v>
      </c>
      <c r="H22">
        <f t="shared" si="1"/>
        <v>5922.3</v>
      </c>
      <c r="I22">
        <f t="shared" si="2"/>
        <v>0.3000000000001819</v>
      </c>
      <c r="J22">
        <f t="shared" si="3"/>
        <v>3.3333333333313124</v>
      </c>
      <c r="L22" s="59"/>
      <c r="M22" s="59"/>
      <c r="N22" s="60"/>
      <c r="O22" s="59"/>
      <c r="P22" s="59"/>
      <c r="Q22" s="59"/>
      <c r="R22" s="61"/>
    </row>
    <row r="23" spans="1:18" x14ac:dyDescent="0.15">
      <c r="A23" s="34" t="s">
        <v>205</v>
      </c>
      <c r="B23" s="73">
        <f>B$7*0.2-B26-B28-B29-B21-V6</f>
        <v>1.8538461538461556E-3</v>
      </c>
      <c r="C23" s="78">
        <f>SUMIF(Q:Q,A23,N:N)</f>
        <v>0</v>
      </c>
      <c r="D23" s="79">
        <f t="shared" si="0"/>
        <v>1.8538461538461556E-3</v>
      </c>
      <c r="E23">
        <f>COUNTIF(tables_356010!C:C,input_356010!A23)-COUNTIF(Q:Q,A23)</f>
        <v>2</v>
      </c>
      <c r="F23" s="45">
        <f t="shared" si="4"/>
        <v>9.2692307692307779E-4</v>
      </c>
      <c r="G23">
        <f t="shared" si="5"/>
        <v>2747.4000000000024</v>
      </c>
      <c r="H23">
        <f t="shared" si="1"/>
        <v>1373.7</v>
      </c>
      <c r="I23">
        <f t="shared" si="2"/>
        <v>0.70000000000004547</v>
      </c>
      <c r="J23">
        <f t="shared" si="3"/>
        <v>1.4285714285713358</v>
      </c>
      <c r="L23" s="59"/>
      <c r="M23" s="59"/>
      <c r="N23" s="60"/>
      <c r="O23" s="59"/>
      <c r="P23" s="59"/>
      <c r="Q23" s="59"/>
      <c r="R23" s="61"/>
    </row>
    <row r="24" spans="1:18" x14ac:dyDescent="0.15">
      <c r="A24" s="34" t="s">
        <v>201</v>
      </c>
      <c r="B24" s="58">
        <f>E$5*B$5*E24</f>
        <v>3.1578947368421053E-4</v>
      </c>
      <c r="C24" s="78">
        <f>SUMIF(Q:Q,A24,N:N)</f>
        <v>0</v>
      </c>
      <c r="D24" s="79">
        <f t="shared" si="0"/>
        <v>3.1578947368421053E-4</v>
      </c>
      <c r="E24">
        <f>COUNTIF(tables_356010!C:C,input_356010!A24)-COUNTIF(Q:Q,A24)</f>
        <v>2</v>
      </c>
      <c r="F24" s="45">
        <f t="shared" si="4"/>
        <v>1.5789473684210527E-4</v>
      </c>
      <c r="G24">
        <f t="shared" si="5"/>
        <v>468</v>
      </c>
      <c r="H24">
        <f t="shared" si="1"/>
        <v>234</v>
      </c>
      <c r="I24">
        <f t="shared" si="2"/>
        <v>0</v>
      </c>
      <c r="J24">
        <f t="shared" si="3"/>
        <v>1</v>
      </c>
      <c r="L24" s="59"/>
      <c r="M24" s="59"/>
      <c r="N24" s="60"/>
      <c r="O24" s="59"/>
      <c r="P24" s="59"/>
      <c r="Q24" s="59"/>
      <c r="R24" s="61"/>
    </row>
    <row r="25" spans="1:18" x14ac:dyDescent="0.15">
      <c r="A25" s="34" t="s">
        <v>202</v>
      </c>
      <c r="B25" s="58">
        <f>E$5*B$6*E25</f>
        <v>2.8421052631578947E-4</v>
      </c>
      <c r="C25" s="78">
        <f>SUMIF(Q:Q,A25,N:N)</f>
        <v>0</v>
      </c>
      <c r="D25" s="79">
        <f t="shared" si="0"/>
        <v>2.8421052631578947E-4</v>
      </c>
      <c r="E25">
        <f>COUNTIF(tables_356010!C:C,input_356010!A25)-COUNTIF(Q:Q,A25)</f>
        <v>2</v>
      </c>
      <c r="F25" s="45">
        <f t="shared" si="4"/>
        <v>1.4210526315789474E-4</v>
      </c>
      <c r="G25">
        <f t="shared" si="5"/>
        <v>421.2</v>
      </c>
      <c r="H25">
        <f t="shared" si="1"/>
        <v>210.6</v>
      </c>
      <c r="I25">
        <f t="shared" si="2"/>
        <v>0.59999999999999432</v>
      </c>
      <c r="J25">
        <f t="shared" si="3"/>
        <v>1.6666666666666825</v>
      </c>
      <c r="L25" s="59"/>
      <c r="M25" s="59"/>
      <c r="N25" s="60"/>
      <c r="O25" s="59"/>
      <c r="P25" s="59"/>
      <c r="Q25" s="59"/>
      <c r="R25" s="61"/>
    </row>
    <row r="26" spans="1:18" x14ac:dyDescent="0.15">
      <c r="A26" s="34" t="s">
        <v>203</v>
      </c>
      <c r="B26" s="58">
        <f>E$5*B$7*E26</f>
        <v>3.1578947368421052E-5</v>
      </c>
      <c r="C26" s="78">
        <f>SUMIF(Q:Q,A26,N:N)</f>
        <v>0</v>
      </c>
      <c r="D26" s="79">
        <f t="shared" si="0"/>
        <v>3.1578947368421052E-5</v>
      </c>
      <c r="E26">
        <f>COUNTIF(tables_356010!C:C,input_356010!A26)-COUNTIF(Q:Q,A26)</f>
        <v>2</v>
      </c>
      <c r="F26" s="45">
        <f t="shared" si="4"/>
        <v>1.5789473684210526E-5</v>
      </c>
      <c r="G26">
        <f t="shared" si="5"/>
        <v>46.8</v>
      </c>
      <c r="H26">
        <f t="shared" si="1"/>
        <v>23.4</v>
      </c>
      <c r="I26">
        <f t="shared" si="2"/>
        <v>0.39999999999999858</v>
      </c>
      <c r="J26">
        <f t="shared" si="3"/>
        <v>2.5000000000000089</v>
      </c>
      <c r="L26" s="59"/>
      <c r="M26" s="59"/>
      <c r="N26" s="60"/>
      <c r="O26" s="59"/>
      <c r="P26" s="59"/>
      <c r="Q26" s="59"/>
      <c r="R26" s="61"/>
    </row>
    <row r="27" spans="1:18" x14ac:dyDescent="0.15">
      <c r="A27" s="34" t="s">
        <v>112</v>
      </c>
      <c r="B27" s="58">
        <f>E$5*E27*(B$5+B$6)</f>
        <v>3.8999999999999998E-3</v>
      </c>
      <c r="C27" s="78">
        <f>SUMIF(Q:Q,A27,N:N)</f>
        <v>0</v>
      </c>
      <c r="D27" s="79">
        <f t="shared" ref="D27:D29" si="6">B27-C27</f>
        <v>3.8999999999999998E-3</v>
      </c>
      <c r="E27">
        <f>COUNTIF(tables_356010!C:C,input_356010!A27)-COUNTIF(Q:Q,A27)</f>
        <v>13</v>
      </c>
      <c r="F27" s="45">
        <f>IFERROR(B27/E27,0)</f>
        <v>2.9999999999999997E-4</v>
      </c>
      <c r="G27">
        <f t="shared" si="5"/>
        <v>5779.8</v>
      </c>
      <c r="H27">
        <f t="shared" ref="H27:H29" si="7">IFERROR(ROUND(G27/E27,5),0)</f>
        <v>444.6</v>
      </c>
      <c r="I27">
        <f t="shared" si="2"/>
        <v>0.60000000000002274</v>
      </c>
      <c r="J27">
        <f t="shared" ref="J27:J29" si="8">IFERROR(1/I27,1)</f>
        <v>1.6666666666666035</v>
      </c>
      <c r="L27" s="59"/>
      <c r="M27" s="59"/>
      <c r="N27" s="60"/>
      <c r="O27" s="59"/>
      <c r="P27" s="59"/>
      <c r="Q27" s="59"/>
      <c r="R27" s="61"/>
    </row>
    <row r="28" spans="1:18" x14ac:dyDescent="0.15">
      <c r="A28" s="34" t="s">
        <v>113</v>
      </c>
      <c r="B28" s="58">
        <f>E$5*E28*B$7</f>
        <v>2.0526315789473685E-4</v>
      </c>
      <c r="C28" s="78">
        <f>SUMIF(Q:Q,A28,N:N)</f>
        <v>0</v>
      </c>
      <c r="D28" s="79">
        <f t="shared" si="6"/>
        <v>2.0526315789473685E-4</v>
      </c>
      <c r="E28">
        <f>COUNTIF(tables_356010!C:C,input_356010!A28)-COUNTIF(Q:Q,A28)</f>
        <v>13</v>
      </c>
      <c r="F28" s="45">
        <f t="shared" si="4"/>
        <v>1.5789473684210526E-5</v>
      </c>
      <c r="G28">
        <f t="shared" si="5"/>
        <v>304.2</v>
      </c>
      <c r="H28">
        <f t="shared" si="7"/>
        <v>23.4</v>
      </c>
      <c r="I28">
        <f t="shared" si="2"/>
        <v>0.39999999999999858</v>
      </c>
      <c r="J28">
        <f t="shared" si="8"/>
        <v>2.5000000000000089</v>
      </c>
      <c r="L28" s="59"/>
      <c r="M28" s="59"/>
      <c r="N28" s="60"/>
      <c r="O28" s="59"/>
      <c r="P28" s="59"/>
      <c r="Q28" s="59"/>
      <c r="R28" s="61"/>
    </row>
    <row r="29" spans="1:18" x14ac:dyDescent="0.15">
      <c r="A29" s="34" t="s">
        <v>206</v>
      </c>
      <c r="B29" s="58">
        <f>E$5*COUNTIF(tables_356010!C:C,input_356010!A29)</f>
        <v>1.2631578947368421E-3</v>
      </c>
      <c r="C29" s="78">
        <f>SUMIF(Q:Q,A29,N:N)</f>
        <v>0</v>
      </c>
      <c r="D29" s="79">
        <f t="shared" si="6"/>
        <v>1.2631578947368421E-3</v>
      </c>
      <c r="E29">
        <f>COUNTIF(tables_356010!C:C,input_356010!A29)-COUNTIF(Q:Q,A29)</f>
        <v>4</v>
      </c>
      <c r="F29" s="45">
        <f t="shared" si="4"/>
        <v>3.1578947368421053E-4</v>
      </c>
      <c r="G29">
        <f t="shared" si="5"/>
        <v>1872</v>
      </c>
      <c r="H29">
        <f t="shared" si="7"/>
        <v>468</v>
      </c>
      <c r="I29">
        <f t="shared" si="2"/>
        <v>0</v>
      </c>
      <c r="J29">
        <f t="shared" si="8"/>
        <v>1</v>
      </c>
      <c r="L29" s="59"/>
      <c r="M29" s="59"/>
      <c r="N29" s="60"/>
      <c r="O29" s="59"/>
      <c r="P29" s="59"/>
      <c r="Q29" s="59"/>
      <c r="R29" s="61"/>
    </row>
    <row r="30" spans="1:18" x14ac:dyDescent="0.15">
      <c r="A30" s="34" t="s">
        <v>245</v>
      </c>
      <c r="B30" s="58">
        <f>E30*E$5</f>
        <v>0</v>
      </c>
      <c r="C30" s="78">
        <f>SUMIF(Q:Q,A30,N:N)</f>
        <v>0</v>
      </c>
      <c r="D30" s="79">
        <f t="shared" ref="D30:D44" si="9">B30-C30</f>
        <v>0</v>
      </c>
      <c r="E30">
        <f>COUNTIF(tables_356010!C:C,input_356010!A30)-COUNTIF(Q:Q,A30)</f>
        <v>0</v>
      </c>
      <c r="F30" s="45">
        <f t="shared" si="4"/>
        <v>0</v>
      </c>
      <c r="G30">
        <f t="shared" si="5"/>
        <v>0</v>
      </c>
      <c r="H30">
        <f t="shared" ref="H30:H44" si="10">IFERROR(ROUND(G30/E30,5),0)</f>
        <v>0</v>
      </c>
      <c r="I30">
        <f t="shared" si="2"/>
        <v>0</v>
      </c>
      <c r="J30">
        <f t="shared" ref="J30:J44" si="11">IFERROR(1/I30,1)</f>
        <v>1</v>
      </c>
      <c r="L30" s="59"/>
      <c r="M30" s="59"/>
      <c r="N30" s="60"/>
      <c r="O30" s="59"/>
      <c r="P30" s="59"/>
      <c r="Q30" s="59"/>
      <c r="R30" s="61"/>
    </row>
    <row r="31" spans="1:18" x14ac:dyDescent="0.15">
      <c r="A31" s="34" t="s">
        <v>246</v>
      </c>
      <c r="B31" s="58">
        <v>0</v>
      </c>
      <c r="C31" s="78">
        <f>SUMIF(Q:Q,A31,N:N)</f>
        <v>0</v>
      </c>
      <c r="D31" s="79">
        <f t="shared" si="9"/>
        <v>0</v>
      </c>
      <c r="E31">
        <f>COUNTIF(tables_356010!C:C,input_356010!A31)-COUNTIF(Q:Q,A31)</f>
        <v>0</v>
      </c>
      <c r="F31" s="45">
        <f t="shared" si="4"/>
        <v>0</v>
      </c>
      <c r="G31">
        <f t="shared" si="5"/>
        <v>0</v>
      </c>
      <c r="H31">
        <f t="shared" si="10"/>
        <v>0</v>
      </c>
      <c r="I31">
        <f t="shared" si="2"/>
        <v>0</v>
      </c>
      <c r="J31">
        <f t="shared" si="11"/>
        <v>1</v>
      </c>
      <c r="L31" s="59"/>
      <c r="M31" s="59"/>
      <c r="N31" s="60"/>
      <c r="O31" s="59"/>
      <c r="P31" s="59"/>
      <c r="Q31" s="59"/>
      <c r="R31" s="61"/>
    </row>
    <row r="32" spans="1:18" x14ac:dyDescent="0.15">
      <c r="A32" s="34" t="s">
        <v>227</v>
      </c>
      <c r="B32" s="72">
        <f>B$5*0.8-B34-B39</f>
        <v>0.152582995951417</v>
      </c>
      <c r="C32" s="78">
        <f>SUMIF(Q:Q,A32,N:N)</f>
        <v>0</v>
      </c>
      <c r="D32" s="79">
        <f t="shared" si="9"/>
        <v>0.152582995951417</v>
      </c>
      <c r="E32">
        <f>COUNTIF(tables_356010!C:C,input_356010!A32)-COUNTIF(Q:Q,A32)</f>
        <v>10</v>
      </c>
      <c r="F32" s="45">
        <f>IFERROR(B32/E32,0)</f>
        <v>1.5258299595141699E-2</v>
      </c>
      <c r="G32">
        <f>A$51*B32</f>
        <v>226128</v>
      </c>
      <c r="H32">
        <f t="shared" si="10"/>
        <v>22612.799999999999</v>
      </c>
      <c r="I32">
        <f t="shared" ref="I32:I46" si="12">MOD(H32,1)</f>
        <v>0.7999999999992724</v>
      </c>
      <c r="J32">
        <f t="shared" si="11"/>
        <v>1.2500000000011369</v>
      </c>
      <c r="M32" s="39"/>
      <c r="N32" s="65"/>
      <c r="O32" s="39"/>
      <c r="P32" s="39"/>
      <c r="Q32" s="39"/>
      <c r="R32" s="64"/>
    </row>
    <row r="33" spans="1:18" x14ac:dyDescent="0.15">
      <c r="A33" s="34" t="s">
        <v>228</v>
      </c>
      <c r="B33" s="58">
        <f>E$8*E33-B32</f>
        <v>4.4340080971659923E-2</v>
      </c>
      <c r="C33" s="78">
        <f>SUMIF(Q:Q,A33,N:N)</f>
        <v>0</v>
      </c>
      <c r="D33" s="79">
        <f t="shared" si="9"/>
        <v>4.4340080971659923E-2</v>
      </c>
      <c r="E33">
        <f>COUNTIF(tables_356010!C:C,input_356010!A33)-COUNTIF(Q:Q,A33)</f>
        <v>10</v>
      </c>
      <c r="F33" s="45">
        <f t="shared" ref="F33:F46" si="13">IFERROR(B33/E33,0)</f>
        <v>4.434008097165992E-3</v>
      </c>
      <c r="G33">
        <f t="shared" ref="G33:G46" si="14">A$51*B33</f>
        <v>65712</v>
      </c>
      <c r="H33">
        <f t="shared" si="10"/>
        <v>6571.2</v>
      </c>
      <c r="I33">
        <f t="shared" si="12"/>
        <v>0.1999999999998181</v>
      </c>
      <c r="J33">
        <f t="shared" si="11"/>
        <v>5.0000000000045475</v>
      </c>
      <c r="M33" s="39"/>
      <c r="N33" s="65"/>
      <c r="O33" s="39"/>
      <c r="P33" s="39"/>
      <c r="Q33" s="39"/>
      <c r="R33" s="64"/>
    </row>
    <row r="34" spans="1:18" x14ac:dyDescent="0.15">
      <c r="A34" s="34" t="s">
        <v>229</v>
      </c>
      <c r="B34" s="58">
        <f>(E$8)*E34*B$5</f>
        <v>0.24615384615384617</v>
      </c>
      <c r="C34" s="78">
        <f>SUMIF(Q:Q,A34,N:N)</f>
        <v>0</v>
      </c>
      <c r="D34" s="79">
        <f t="shared" si="9"/>
        <v>0.24615384615384617</v>
      </c>
      <c r="E34">
        <f>COUNTIF(tables_356010!C:C,input_356010!A34)-COUNTIF(Q:Q,A34)</f>
        <v>25</v>
      </c>
      <c r="F34" s="45">
        <f t="shared" si="13"/>
        <v>9.8461538461538465E-3</v>
      </c>
      <c r="G34">
        <f t="shared" si="14"/>
        <v>364800</v>
      </c>
      <c r="H34">
        <f t="shared" si="10"/>
        <v>14592</v>
      </c>
      <c r="I34">
        <f t="shared" si="12"/>
        <v>0</v>
      </c>
      <c r="J34">
        <f t="shared" si="11"/>
        <v>1</v>
      </c>
      <c r="M34" s="39"/>
      <c r="N34" s="65"/>
      <c r="O34" s="39"/>
      <c r="P34" s="39"/>
      <c r="Q34" s="39"/>
      <c r="R34" s="64"/>
    </row>
    <row r="35" spans="1:18" x14ac:dyDescent="0.15">
      <c r="A35" s="34" t="s">
        <v>230</v>
      </c>
      <c r="B35" s="58">
        <f>E$8*E35*B$6</f>
        <v>0.22153846153846155</v>
      </c>
      <c r="C35" s="78">
        <f>SUMIF(Q:Q,A35,N:N)</f>
        <v>0</v>
      </c>
      <c r="D35" s="79">
        <f t="shared" si="9"/>
        <v>0.22153846153846155</v>
      </c>
      <c r="E35">
        <f>COUNTIF(tables_356010!C:C,input_356010!A35)-COUNTIF(Q:Q,A35)</f>
        <v>25</v>
      </c>
      <c r="F35" s="45">
        <f t="shared" si="13"/>
        <v>8.8615384615384624E-3</v>
      </c>
      <c r="G35">
        <f t="shared" si="14"/>
        <v>328320</v>
      </c>
      <c r="H35">
        <f t="shared" si="10"/>
        <v>13132.8</v>
      </c>
      <c r="I35">
        <f t="shared" si="12"/>
        <v>0.7999999999992724</v>
      </c>
      <c r="J35">
        <f t="shared" si="11"/>
        <v>1.2500000000011369</v>
      </c>
      <c r="M35" s="39"/>
      <c r="N35" s="65"/>
      <c r="O35" s="39"/>
      <c r="P35" s="39"/>
      <c r="Q35" s="39"/>
      <c r="R35" s="64"/>
    </row>
    <row r="36" spans="1:18" x14ac:dyDescent="0.15">
      <c r="A36" s="34" t="s">
        <v>231</v>
      </c>
      <c r="B36" s="58">
        <f>E$8*E36*B$7</f>
        <v>2.4615384615384619E-2</v>
      </c>
      <c r="C36" s="78">
        <f>SUMIF(Q:Q,A36,N:N)</f>
        <v>0</v>
      </c>
      <c r="D36" s="79">
        <f t="shared" si="9"/>
        <v>2.4615384615384619E-2</v>
      </c>
      <c r="E36">
        <f>COUNTIF(tables_356010!C:C,input_356010!A36)-COUNTIF(Q:Q,A36)</f>
        <v>25</v>
      </c>
      <c r="F36" s="45">
        <f t="shared" si="13"/>
        <v>9.8461538461538478E-4</v>
      </c>
      <c r="G36">
        <f t="shared" si="14"/>
        <v>36480.000000000007</v>
      </c>
      <c r="H36">
        <f t="shared" si="10"/>
        <v>1459.2</v>
      </c>
      <c r="I36">
        <f t="shared" si="12"/>
        <v>0.20000000000004547</v>
      </c>
      <c r="J36">
        <f t="shared" si="11"/>
        <v>4.9999999999988631</v>
      </c>
      <c r="L36" s="59"/>
      <c r="M36" s="59"/>
      <c r="N36" s="60"/>
      <c r="O36" s="59"/>
      <c r="P36" s="59"/>
      <c r="Q36" s="59"/>
      <c r="R36" s="61"/>
    </row>
    <row r="37" spans="1:18" x14ac:dyDescent="0.15">
      <c r="A37" s="34" t="s">
        <v>232</v>
      </c>
      <c r="B37" s="80">
        <f>E$8*COUNTIF(tables_356010!C:C,input_356010!A37)-B38</f>
        <v>6.6984615384615379E-2</v>
      </c>
      <c r="C37" s="78">
        <f>SUMIF(Q:Q,A37,N:N)</f>
        <v>0</v>
      </c>
      <c r="D37" s="79">
        <f t="shared" si="9"/>
        <v>6.6984615384615379E-2</v>
      </c>
      <c r="E37">
        <f>COUNTIF(tables_356010!C:C,input_356010!A37)-COUNTIF(Q:Q,A37)</f>
        <v>4</v>
      </c>
      <c r="F37" s="45">
        <f t="shared" si="13"/>
        <v>1.6746153846153845E-2</v>
      </c>
      <c r="G37">
        <f t="shared" si="14"/>
        <v>99271.2</v>
      </c>
      <c r="H37">
        <f t="shared" si="10"/>
        <v>24817.8</v>
      </c>
      <c r="I37">
        <f t="shared" si="12"/>
        <v>0.7999999999992724</v>
      </c>
      <c r="J37">
        <f t="shared" si="11"/>
        <v>1.2500000000011369</v>
      </c>
      <c r="L37" s="59"/>
      <c r="M37" s="59"/>
      <c r="N37" s="60"/>
      <c r="O37" s="59"/>
      <c r="P37" s="59"/>
      <c r="Q37" s="59"/>
      <c r="R37" s="61"/>
    </row>
    <row r="38" spans="1:18" x14ac:dyDescent="0.15">
      <c r="A38" s="34" t="s">
        <v>233</v>
      </c>
      <c r="B38" s="73">
        <f>B$7*0.8-B41-B43-B44-B36-V21</f>
        <v>1.178461538461539E-2</v>
      </c>
      <c r="C38" s="78">
        <f>SUMIF(Q:Q,A38,N:N)</f>
        <v>0</v>
      </c>
      <c r="D38" s="79">
        <f t="shared" si="9"/>
        <v>1.178461538461539E-2</v>
      </c>
      <c r="E38">
        <f>COUNTIF(tables_356010!C:C,input_356010!A38)-COUNTIF(Q:Q,A38)</f>
        <v>4</v>
      </c>
      <c r="F38" s="45">
        <f t="shared" si="13"/>
        <v>2.9461538461538475E-3</v>
      </c>
      <c r="G38">
        <f t="shared" si="14"/>
        <v>17464.800000000007</v>
      </c>
      <c r="H38">
        <f t="shared" si="10"/>
        <v>4366.2</v>
      </c>
      <c r="I38">
        <f t="shared" si="12"/>
        <v>0.1999999999998181</v>
      </c>
      <c r="J38">
        <f t="shared" si="11"/>
        <v>5.0000000000045475</v>
      </c>
      <c r="L38" s="59"/>
      <c r="M38" s="59"/>
      <c r="N38" s="60"/>
      <c r="O38" s="59"/>
      <c r="P38" s="59"/>
      <c r="Q38" s="59"/>
      <c r="R38" s="61"/>
    </row>
    <row r="39" spans="1:18" x14ac:dyDescent="0.15">
      <c r="A39" s="34" t="s">
        <v>234</v>
      </c>
      <c r="B39" s="58">
        <f>E$6*B$5*E39</f>
        <v>1.2631578947368421E-3</v>
      </c>
      <c r="C39" s="78">
        <f>SUMIF(Q:Q,A39,N:N)</f>
        <v>0</v>
      </c>
      <c r="D39" s="79">
        <f t="shared" si="9"/>
        <v>1.2631578947368421E-3</v>
      </c>
      <c r="E39">
        <f>COUNTIF(tables_356010!C:C,input_356010!A39)-COUNTIF(Q:Q,A39)</f>
        <v>2</v>
      </c>
      <c r="F39" s="45">
        <f t="shared" si="13"/>
        <v>6.3157894736842106E-4</v>
      </c>
      <c r="G39">
        <f t="shared" si="14"/>
        <v>1872</v>
      </c>
      <c r="H39">
        <f t="shared" si="10"/>
        <v>936</v>
      </c>
      <c r="I39">
        <f t="shared" si="12"/>
        <v>0</v>
      </c>
      <c r="J39">
        <f t="shared" si="11"/>
        <v>1</v>
      </c>
      <c r="L39" s="59"/>
      <c r="M39" s="59"/>
      <c r="N39" s="60"/>
      <c r="O39" s="59"/>
      <c r="P39" s="59"/>
      <c r="Q39" s="59"/>
      <c r="R39" s="61"/>
    </row>
    <row r="40" spans="1:18" x14ac:dyDescent="0.15">
      <c r="A40" s="34" t="s">
        <v>235</v>
      </c>
      <c r="B40" s="58">
        <f>E$6*B$6*E40</f>
        <v>1.1368421052631579E-3</v>
      </c>
      <c r="C40" s="78">
        <f>SUMIF(Q:Q,A40,N:N)</f>
        <v>0</v>
      </c>
      <c r="D40" s="79">
        <f t="shared" si="9"/>
        <v>1.1368421052631579E-3</v>
      </c>
      <c r="E40">
        <f>COUNTIF(tables_356010!C:C,input_356010!A40)-COUNTIF(Q:Q,A40)</f>
        <v>2</v>
      </c>
      <c r="F40" s="45">
        <f t="shared" si="13"/>
        <v>5.6842105263157894E-4</v>
      </c>
      <c r="G40">
        <f t="shared" si="14"/>
        <v>1684.8</v>
      </c>
      <c r="H40">
        <f t="shared" si="10"/>
        <v>842.4</v>
      </c>
      <c r="I40">
        <f t="shared" si="12"/>
        <v>0.39999999999997726</v>
      </c>
      <c r="J40">
        <f t="shared" si="11"/>
        <v>2.5000000000001421</v>
      </c>
      <c r="L40" s="59"/>
      <c r="M40" s="59"/>
      <c r="N40" s="60"/>
      <c r="O40" s="59"/>
      <c r="P40" s="59"/>
      <c r="Q40" s="59"/>
      <c r="R40" s="61"/>
    </row>
    <row r="41" spans="1:18" x14ac:dyDescent="0.15">
      <c r="A41" s="34" t="s">
        <v>236</v>
      </c>
      <c r="B41" s="58">
        <f>E$6*B$7*E41</f>
        <v>1.2631578947368421E-4</v>
      </c>
      <c r="C41" s="78">
        <f>SUMIF(Q:Q,A41,N:N)</f>
        <v>0</v>
      </c>
      <c r="D41" s="79">
        <f t="shared" si="9"/>
        <v>1.2631578947368421E-4</v>
      </c>
      <c r="E41">
        <f>COUNTIF(tables_356010!C:C,input_356010!A41)-COUNTIF(Q:Q,A41)</f>
        <v>2</v>
      </c>
      <c r="F41" s="45">
        <f t="shared" si="13"/>
        <v>6.3157894736842103E-5</v>
      </c>
      <c r="G41">
        <f t="shared" si="14"/>
        <v>187.2</v>
      </c>
      <c r="H41">
        <f t="shared" si="10"/>
        <v>93.6</v>
      </c>
      <c r="I41">
        <f t="shared" si="12"/>
        <v>0.59999999999999432</v>
      </c>
      <c r="J41">
        <f t="shared" si="11"/>
        <v>1.6666666666666825</v>
      </c>
      <c r="L41" s="59"/>
      <c r="M41" s="59"/>
      <c r="N41" s="60"/>
      <c r="O41" s="59"/>
      <c r="P41" s="59"/>
      <c r="Q41" s="59"/>
      <c r="R41" s="61"/>
    </row>
    <row r="42" spans="1:18" x14ac:dyDescent="0.15">
      <c r="A42" s="34" t="s">
        <v>237</v>
      </c>
      <c r="B42" s="58">
        <f>E$6*E42*(B$5+B$6)</f>
        <v>1.8000000000000002E-2</v>
      </c>
      <c r="C42" s="78">
        <f>SUMIF(Q:Q,A42,N:N)</f>
        <v>0</v>
      </c>
      <c r="D42" s="79">
        <f t="shared" si="9"/>
        <v>1.8000000000000002E-2</v>
      </c>
      <c r="E42">
        <f>COUNTIF(tables_356010!C:C,input_356010!A42)-COUNTIF(Q:Q,A42)</f>
        <v>15</v>
      </c>
      <c r="F42" s="45">
        <f>IFERROR(B42/E42,0)</f>
        <v>1.2000000000000001E-3</v>
      </c>
      <c r="G42">
        <f t="shared" si="14"/>
        <v>26676.000000000004</v>
      </c>
      <c r="H42">
        <f t="shared" si="10"/>
        <v>1778.4</v>
      </c>
      <c r="I42">
        <f t="shared" si="12"/>
        <v>0.40000000000009095</v>
      </c>
      <c r="J42">
        <f t="shared" si="11"/>
        <v>2.4999999999994316</v>
      </c>
      <c r="L42" s="59"/>
      <c r="M42" s="59"/>
      <c r="N42" s="60"/>
      <c r="O42" s="59"/>
      <c r="P42" s="59"/>
      <c r="Q42" s="59"/>
      <c r="R42" s="61"/>
    </row>
    <row r="43" spans="1:18" x14ac:dyDescent="0.15">
      <c r="A43" s="34" t="s">
        <v>238</v>
      </c>
      <c r="B43" s="58">
        <f>E$6*E43*B$7</f>
        <v>9.4736842105263164E-4</v>
      </c>
      <c r="C43" s="78">
        <f>SUMIF(Q:Q,A43,N:N)</f>
        <v>0</v>
      </c>
      <c r="D43" s="79">
        <f t="shared" si="9"/>
        <v>9.4736842105263164E-4</v>
      </c>
      <c r="E43">
        <f>COUNTIF(tables_356010!C:C,input_356010!A43)-COUNTIF(Q:Q,A43)</f>
        <v>15</v>
      </c>
      <c r="F43" s="45">
        <f t="shared" ref="F43:F46" si="15">IFERROR(B43/E43,0)</f>
        <v>6.3157894736842103E-5</v>
      </c>
      <c r="G43">
        <f t="shared" si="14"/>
        <v>1404</v>
      </c>
      <c r="H43">
        <f t="shared" si="10"/>
        <v>93.6</v>
      </c>
      <c r="I43">
        <f t="shared" si="12"/>
        <v>0.59999999999999432</v>
      </c>
      <c r="J43">
        <f t="shared" si="11"/>
        <v>1.6666666666666825</v>
      </c>
      <c r="L43" s="59"/>
      <c r="M43" s="59"/>
      <c r="N43" s="60"/>
      <c r="O43" s="59"/>
      <c r="P43" s="59"/>
      <c r="Q43" s="59"/>
      <c r="R43" s="61"/>
    </row>
    <row r="44" spans="1:18" x14ac:dyDescent="0.15">
      <c r="A44" s="34" t="s">
        <v>239</v>
      </c>
      <c r="B44" s="58">
        <f>E$6*COUNTIF(tables_356010!C:C,input_356010!A44)</f>
        <v>2.5263157894736842E-3</v>
      </c>
      <c r="C44" s="78">
        <f>SUMIF(Q:Q,A44,N:N)</f>
        <v>0</v>
      </c>
      <c r="D44" s="79">
        <f t="shared" si="9"/>
        <v>2.5263157894736842E-3</v>
      </c>
      <c r="E44">
        <f>COUNTIF(tables_356010!C:C,input_356010!A44)-COUNTIF(Q:Q,A44)</f>
        <v>2</v>
      </c>
      <c r="F44" s="45">
        <f t="shared" si="15"/>
        <v>1.2631578947368421E-3</v>
      </c>
      <c r="G44">
        <f t="shared" si="14"/>
        <v>3744</v>
      </c>
      <c r="H44">
        <f t="shared" si="10"/>
        <v>1872</v>
      </c>
      <c r="I44">
        <f t="shared" si="12"/>
        <v>0</v>
      </c>
      <c r="J44">
        <f t="shared" si="11"/>
        <v>1</v>
      </c>
      <c r="L44" s="59"/>
      <c r="M44" s="59"/>
      <c r="N44" s="60"/>
      <c r="O44" s="59"/>
      <c r="P44" s="59"/>
      <c r="Q44" s="59"/>
      <c r="R44" s="61"/>
    </row>
    <row r="45" spans="1:18" x14ac:dyDescent="0.15">
      <c r="A45" s="34" t="s">
        <v>244</v>
      </c>
      <c r="B45" s="58">
        <f>E45*E$6</f>
        <v>0</v>
      </c>
      <c r="C45" s="78">
        <f>SUMIF(Q:Q,A45,N:N)</f>
        <v>0</v>
      </c>
      <c r="D45" s="79">
        <f t="shared" ref="D45:D46" si="16">B45-C45</f>
        <v>0</v>
      </c>
      <c r="E45">
        <f>COUNTIF(tables_356010!C:C,input_356010!A45)-COUNTIF(Q:Q,A45)</f>
        <v>0</v>
      </c>
      <c r="F45" s="45">
        <f t="shared" si="15"/>
        <v>0</v>
      </c>
      <c r="G45">
        <f t="shared" si="14"/>
        <v>0</v>
      </c>
      <c r="H45">
        <f t="shared" ref="H45:H46" si="17">IFERROR(ROUND(G45/E45,5),0)</f>
        <v>0</v>
      </c>
      <c r="I45">
        <f t="shared" si="12"/>
        <v>0</v>
      </c>
      <c r="J45">
        <f t="shared" ref="J45:J46" si="18">IFERROR(1/I45,1)</f>
        <v>1</v>
      </c>
      <c r="L45" s="59"/>
      <c r="M45" s="59"/>
      <c r="N45" s="60"/>
      <c r="O45" s="59"/>
      <c r="P45" s="59"/>
      <c r="Q45" s="59"/>
      <c r="R45" s="61"/>
    </row>
    <row r="46" spans="1:18" x14ac:dyDescent="0.15">
      <c r="A46" s="34" t="s">
        <v>243</v>
      </c>
      <c r="B46" s="58">
        <v>0.01</v>
      </c>
      <c r="C46" s="78">
        <f>SUMIF(Q:Q,A46,N:N)</f>
        <v>0</v>
      </c>
      <c r="D46" s="79">
        <f t="shared" si="16"/>
        <v>0.01</v>
      </c>
      <c r="E46">
        <f>COUNTIF(tables_356010!C:C,input_356010!A46)-COUNTIF(Q:Q,A46)</f>
        <v>2</v>
      </c>
      <c r="F46" s="45">
        <f t="shared" si="15"/>
        <v>5.0000000000000001E-3</v>
      </c>
      <c r="G46">
        <f t="shared" si="14"/>
        <v>14820</v>
      </c>
      <c r="H46">
        <f t="shared" si="17"/>
        <v>7410</v>
      </c>
      <c r="I46">
        <f t="shared" si="12"/>
        <v>0</v>
      </c>
      <c r="J46">
        <f t="shared" si="18"/>
        <v>1</v>
      </c>
      <c r="L46" s="59"/>
      <c r="M46" s="59"/>
      <c r="N46" s="60"/>
      <c r="O46" s="59"/>
      <c r="P46" s="59"/>
      <c r="Q46" s="59"/>
      <c r="R46" s="61"/>
    </row>
    <row r="47" spans="1:18" x14ac:dyDescent="0.15">
      <c r="A47" s="41" t="s">
        <v>62</v>
      </c>
      <c r="B47" s="42">
        <f>SUM(B17:B46)</f>
        <v>1</v>
      </c>
      <c r="C47" s="43">
        <f>SUM(C19:C31)</f>
        <v>0</v>
      </c>
      <c r="D47" s="44">
        <f t="shared" ref="D47" si="19">B47-C47</f>
        <v>1</v>
      </c>
      <c r="L47" s="59"/>
      <c r="M47" s="59"/>
      <c r="N47" s="59"/>
      <c r="O47" s="59"/>
      <c r="P47" s="59"/>
      <c r="Q47" s="59"/>
      <c r="R47" s="61"/>
    </row>
    <row r="50" spans="1:7" x14ac:dyDescent="0.15">
      <c r="A50" t="s">
        <v>76</v>
      </c>
    </row>
    <row r="51" spans="1:7" x14ac:dyDescent="0.15">
      <c r="A51" s="31">
        <f>LCM(F5-I5,F7-I6)*1000*2</f>
        <v>1482000</v>
      </c>
    </row>
    <row r="53" spans="1:7" x14ac:dyDescent="0.15">
      <c r="A53" s="49" t="s">
        <v>80</v>
      </c>
    </row>
    <row r="54" spans="1:7" x14ac:dyDescent="0.15">
      <c r="A54" s="34" t="s">
        <v>63</v>
      </c>
      <c r="B54" t="s">
        <v>77</v>
      </c>
      <c r="C54" t="s">
        <v>105</v>
      </c>
      <c r="E54" t="s">
        <v>106</v>
      </c>
      <c r="F54" t="s">
        <v>215</v>
      </c>
      <c r="G54" t="s">
        <v>66</v>
      </c>
    </row>
    <row r="55" spans="1:7" x14ac:dyDescent="0.15">
      <c r="A55" s="34" t="s">
        <v>109</v>
      </c>
      <c r="B55">
        <f ca="1">SUMIF(tables_356010!C:C,input_356010!A55,tables_356010!O:O)</f>
        <v>98496</v>
      </c>
      <c r="C55" s="56">
        <f t="shared" ref="C55:C61" ca="1" si="20">B55/B$62</f>
        <v>0.48502038645630213</v>
      </c>
      <c r="E55">
        <v>3</v>
      </c>
      <c r="F55">
        <f ca="1">SUMIF(tables_356010!J:J,input_356010!E55,tables_356010!O:O)</f>
        <v>741000</v>
      </c>
      <c r="G55">
        <f ca="1">F55/A51</f>
        <v>0.5</v>
      </c>
    </row>
    <row r="56" spans="1:7" x14ac:dyDescent="0.15">
      <c r="A56" s="34" t="s">
        <v>110</v>
      </c>
      <c r="B56">
        <f ca="1">SUMIF(tables_356010!C:C,input_356010!A56,tables_356010!O:O)</f>
        <v>88646.399999999951</v>
      </c>
      <c r="C56" s="56">
        <f t="shared" ca="1" si="20"/>
        <v>0.43651834781067167</v>
      </c>
      <c r="E56">
        <v>4</v>
      </c>
      <c r="F56">
        <f ca="1">SUMIF(tables_356010!J:J,input_356010!E56,tables_356010!O:O)</f>
        <v>652080.00000000023</v>
      </c>
      <c r="G56">
        <f ca="1">F56/A51</f>
        <v>0.44000000000000017</v>
      </c>
    </row>
    <row r="57" spans="1:7" x14ac:dyDescent="0.15">
      <c r="A57" s="34" t="s">
        <v>114</v>
      </c>
      <c r="B57">
        <f ca="1">SUMIF(tables_356010!C:C,input_356010!A57,tables_356010!O:O)</f>
        <v>5779.8000000000011</v>
      </c>
      <c r="C57" s="56">
        <f t="shared" ca="1" si="20"/>
        <v>2.846126573302607E-2</v>
      </c>
      <c r="E57">
        <v>5</v>
      </c>
      <c r="F57">
        <f ca="1">SUMIF(tables_356010!J:J,input_356010!E57,tables_356010!O:O)</f>
        <v>88919.999999999985</v>
      </c>
      <c r="G57">
        <f ca="1">F57/A51</f>
        <v>5.9999999999999991E-2</v>
      </c>
    </row>
    <row r="58" spans="1:7" x14ac:dyDescent="0.15">
      <c r="A58" s="34" t="s">
        <v>115</v>
      </c>
      <c r="B58">
        <f>SUMIF(tables_356010!C:C,input_356010!A58,tables_356010!O:O)</f>
        <v>0</v>
      </c>
      <c r="C58" s="56">
        <f t="shared" ca="1" si="20"/>
        <v>0</v>
      </c>
      <c r="F58" s="57"/>
    </row>
    <row r="59" spans="1:7" x14ac:dyDescent="0.15">
      <c r="A59" s="34" t="s">
        <v>111</v>
      </c>
      <c r="B59">
        <f ca="1">SUMIF(tables_356010!C:C,input_356010!A59,tables_356010!O:O)</f>
        <v>9849.6</v>
      </c>
      <c r="C59" s="56">
        <f t="shared" ca="1" si="20"/>
        <v>4.8502038645630213E-2</v>
      </c>
      <c r="E59" t="s">
        <v>107</v>
      </c>
      <c r="F59" s="57"/>
    </row>
    <row r="60" spans="1:7" x14ac:dyDescent="0.15">
      <c r="A60" s="34" t="s">
        <v>116</v>
      </c>
      <c r="B60">
        <f ca="1">SUMIF(tables_356010!C:C,input_356010!A60,tables_356010!O:O)</f>
        <v>304.2</v>
      </c>
      <c r="C60" s="56">
        <f t="shared" ca="1" si="20"/>
        <v>1.4979613543697928E-3</v>
      </c>
      <c r="E60" t="s">
        <v>211</v>
      </c>
      <c r="F60" s="57">
        <f ca="1">SUMIF(tables_356010!I:I,input_356010!E60,tables_356010!P:P)</f>
        <v>0.23521619433198371</v>
      </c>
    </row>
    <row r="61" spans="1:7" x14ac:dyDescent="0.15">
      <c r="A61" s="34" t="s">
        <v>117</v>
      </c>
      <c r="B61">
        <f>SUMIF(tables_356010!C:C,input_356010!A61,tables_356010!O:O)</f>
        <v>0</v>
      </c>
      <c r="C61" s="56">
        <f t="shared" ca="1" si="20"/>
        <v>0</v>
      </c>
      <c r="E61" t="s">
        <v>212</v>
      </c>
      <c r="F61" s="57">
        <f ca="1">SUMIF(tables_356010!I:I,input_356010!E61,tables_356010!P:P)</f>
        <v>0.20468825910931168</v>
      </c>
    </row>
    <row r="62" spans="1:7" x14ac:dyDescent="0.15">
      <c r="A62" s="41" t="s">
        <v>62</v>
      </c>
      <c r="B62">
        <f ca="1">SUM(B55:B61)</f>
        <v>203075.99999999997</v>
      </c>
      <c r="C62" s="57">
        <f ca="1">SUM(C55:C61)</f>
        <v>0.99999999999999989</v>
      </c>
      <c r="E62" t="s">
        <v>213</v>
      </c>
      <c r="F62" s="57">
        <f ca="1">SUMIF(tables_356010!I:I,input_356010!E62,tables_356010!P:P)</f>
        <v>0.51231578947368406</v>
      </c>
    </row>
    <row r="63" spans="1:7" x14ac:dyDescent="0.15">
      <c r="E63" t="s">
        <v>214</v>
      </c>
      <c r="F63" s="57">
        <f ca="1">SUMIF(tables_356010!I:I,input_356010!E63,tables_356010!P:P)</f>
        <v>2.6842105263157896E-2</v>
      </c>
    </row>
  </sheetData>
  <phoneticPr fontId="17"/>
  <pageMargins left="0.7" right="0.7" top="0.75" bottom="0.75" header="0.3" footer="0.3"/>
  <pageSetup paperSize="9" orientation="portrait" horizontalDpi="4294967292" verticalDpi="429496729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2" enableFormatConditionsCalculation="0">
    <tabColor rgb="FF0000FF"/>
    <outlinePr summaryBelow="0" summaryRight="0"/>
  </sheetPr>
  <dimension ref="A1:V285"/>
  <sheetViews>
    <sheetView showGridLines="0" topLeftCell="D1" zoomScale="90" zoomScaleNormal="90" zoomScalePageLayoutView="90" workbookViewId="0">
      <pane ySplit="1" topLeftCell="A266" activePane="bottomLeft" state="frozen"/>
      <selection activeCell="B45" sqref="B45"/>
      <selection pane="bottomLeft" activeCell="B45" sqref="B45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88</v>
      </c>
      <c r="B1" s="15" t="s">
        <v>32</v>
      </c>
      <c r="C1" s="3" t="s">
        <v>31</v>
      </c>
      <c r="D1" s="3" t="s">
        <v>100</v>
      </c>
      <c r="E1" s="3" t="s">
        <v>196</v>
      </c>
      <c r="F1" s="3" t="s">
        <v>197</v>
      </c>
      <c r="G1" s="3" t="s">
        <v>108</v>
      </c>
      <c r="H1" s="3" t="s">
        <v>33</v>
      </c>
      <c r="I1" s="3" t="s">
        <v>34</v>
      </c>
      <c r="J1" s="3" t="s">
        <v>35</v>
      </c>
      <c r="K1" s="3" t="s">
        <v>53</v>
      </c>
      <c r="L1" s="3" t="s">
        <v>36</v>
      </c>
      <c r="M1" s="3" t="s">
        <v>37</v>
      </c>
      <c r="N1" s="3" t="s">
        <v>61</v>
      </c>
      <c r="O1" s="15" t="s">
        <v>39</v>
      </c>
      <c r="P1" s="3" t="s">
        <v>79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input_356010!A$2</f>
        <v>356010</v>
      </c>
      <c r="B2" s="6">
        <v>126</v>
      </c>
      <c r="C2" s="7" t="str">
        <f t="shared" ref="C2:C65" si="0">D2&amp;J2&amp;E2&amp;F2&amp;G2</f>
        <v>PremiumW3color</v>
      </c>
      <c r="D2" s="7" t="str">
        <f>IF(I2="PremiumSS",I2,IF(I2="PremiumSSS",I2,IF(I2="PremiumW",I2,"Premium")))</f>
        <v>PremiumW</v>
      </c>
      <c r="E2" s="7" t="str">
        <f>IF(COUNTIF('R6追加前'!A:A,B2)=0,IF(I2="PremiumSS","R5only","R3less"),"")</f>
        <v/>
      </c>
      <c r="F2" s="7" t="str">
        <f>IF(COUNTIF('R6開放'!A:A,B2)&gt;0,"R6release","")</f>
        <v/>
      </c>
      <c r="G2" s="7" t="s">
        <v>240</v>
      </c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7">
        <f ca="1">IFERROR(VLOOKUP(B2,input_356010!L:R,7,FALSE),VLOOKUP(tables_356010!C2,input_356010!A:H,8,FALSE))</f>
        <v>22612.799999999999</v>
      </c>
      <c r="P2" s="48">
        <v>1E-3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input_356010!A$2</f>
        <v>356010</v>
      </c>
      <c r="B3" s="6">
        <v>127</v>
      </c>
      <c r="C3" s="7" t="str">
        <f t="shared" si="0"/>
        <v>PremiumW4color</v>
      </c>
      <c r="D3" s="7" t="str">
        <f t="shared" ref="D3:D66" si="1">IF(I3="PremiumSS",I3,IF(I3="PremiumSSS",I3,IF(I3="PremiumW",I3,"Premium")))</f>
        <v>PremiumW</v>
      </c>
      <c r="E3" s="7" t="str">
        <f>IF(COUNTIF('R6追加前'!A:A,B3)=0,IF(I3="PremiumSS","R5only","R3less"),"")</f>
        <v/>
      </c>
      <c r="F3" s="7" t="str">
        <f>IF(COUNTIF('R6開放'!A:A,B3)&gt;0,"R6release","")</f>
        <v/>
      </c>
      <c r="G3" s="7" t="s">
        <v>240</v>
      </c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7">
        <f ca="1">IFERROR(VLOOKUP(B3,input_356010!L:R,7,FALSE),VLOOKUP(tables_356010!C3,input_356010!A:H,8,FALSE))</f>
        <v>6571.2</v>
      </c>
      <c r="P3" s="48">
        <v>1E-3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input_356010!A$2</f>
        <v>356010</v>
      </c>
      <c r="B4" s="6">
        <v>128</v>
      </c>
      <c r="C4" s="7" t="str">
        <f t="shared" si="0"/>
        <v>PremiumW3color</v>
      </c>
      <c r="D4" s="7" t="str">
        <f t="shared" si="1"/>
        <v>PremiumW</v>
      </c>
      <c r="E4" s="7" t="str">
        <f>IF(COUNTIF('R6追加前'!A:A,B4)=0,IF(I4="PremiumSS","R5only","R3less"),"")</f>
        <v/>
      </c>
      <c r="F4" s="7" t="str">
        <f>IF(COUNTIF('R6開放'!A:A,B4)&gt;0,"R6release","")</f>
        <v/>
      </c>
      <c r="G4" s="7" t="s">
        <v>240</v>
      </c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7">
        <f ca="1">IFERROR(VLOOKUP(B4,input_356010!L:R,7,FALSE),VLOOKUP(tables_356010!C4,input_356010!A:H,8,FALSE))</f>
        <v>22612.799999999999</v>
      </c>
      <c r="P4" s="48">
        <v>0.01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input_356010!A$2</f>
        <v>356010</v>
      </c>
      <c r="B5" s="6">
        <v>129</v>
      </c>
      <c r="C5" s="7" t="str">
        <f t="shared" si="0"/>
        <v>PremiumW4color</v>
      </c>
      <c r="D5" s="7" t="str">
        <f t="shared" si="1"/>
        <v>PremiumW</v>
      </c>
      <c r="E5" s="7" t="str">
        <f>IF(COUNTIF('R6追加前'!A:A,B5)=0,IF(I5="PremiumSS","R5only","R3less"),"")</f>
        <v/>
      </c>
      <c r="F5" s="7" t="str">
        <f>IF(COUNTIF('R6開放'!A:A,B5)&gt;0,"R6release","")</f>
        <v/>
      </c>
      <c r="G5" s="7" t="s">
        <v>240</v>
      </c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7">
        <f ca="1">IFERROR(VLOOKUP(B5,input_356010!L:R,7,FALSE),VLOOKUP(tables_356010!C5,input_356010!A:H,8,FALSE))</f>
        <v>6571.2</v>
      </c>
      <c r="P5" s="48">
        <v>8.9999999999999993E-3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input_356010!A$2</f>
        <v>356010</v>
      </c>
      <c r="B6" s="6">
        <v>130</v>
      </c>
      <c r="C6" s="7" t="str">
        <f t="shared" si="0"/>
        <v>PremiumW3</v>
      </c>
      <c r="D6" s="7" t="str">
        <f t="shared" si="1"/>
        <v>PremiumW</v>
      </c>
      <c r="E6" s="7" t="str">
        <f>IF(COUNTIF('R6追加前'!A:A,B6)=0,IF(I6="PremiumSS","R5only","R3less"),"")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7">
        <f ca="1">IFERROR(VLOOKUP(B6,input_356010!L:R,7,FALSE),VLOOKUP(tables_356010!C6,input_356010!A:H,8,FALSE))</f>
        <v>4923.6000000000004</v>
      </c>
      <c r="P6" s="48">
        <v>1E-3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input_356010!A$2</f>
        <v>356010</v>
      </c>
      <c r="B7" s="6">
        <v>131</v>
      </c>
      <c r="C7" s="7" t="str">
        <f t="shared" si="0"/>
        <v>PremiumW4</v>
      </c>
      <c r="D7" s="7" t="str">
        <f t="shared" si="1"/>
        <v>PremiumW</v>
      </c>
      <c r="E7" s="7" t="str">
        <f>IF(COUNTIF('R6追加前'!A:A,B7)=0,IF(I7="PremiumSS","R5only","R3less"),"")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7">
        <f ca="1">IFERROR(VLOOKUP(B7,input_356010!L:R,7,FALSE),VLOOKUP(tables_356010!C7,input_356010!A:H,8,FALSE))</f>
        <v>2372.4</v>
      </c>
      <c r="P7" s="48">
        <v>0.01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input_356010!A$2</f>
        <v>356010</v>
      </c>
      <c r="B8" s="6">
        <v>132</v>
      </c>
      <c r="C8" s="7" t="str">
        <f t="shared" si="0"/>
        <v>PremiumW3</v>
      </c>
      <c r="D8" s="7" t="str">
        <f t="shared" si="1"/>
        <v>PremiumW</v>
      </c>
      <c r="E8" s="7" t="str">
        <f>IF(COUNTIF('R6追加前'!A:A,B8)=0,IF(I8="PremiumSS","R5only","R3less"),"")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7">
        <f ca="1">IFERROR(VLOOKUP(B8,input_356010!L:R,7,FALSE),VLOOKUP(tables_356010!C8,input_356010!A:H,8,FALSE))</f>
        <v>4923.6000000000004</v>
      </c>
      <c r="P8" s="48">
        <v>8.9999999999999993E-3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input_356010!A$2</f>
        <v>356010</v>
      </c>
      <c r="B9" s="6">
        <v>133</v>
      </c>
      <c r="C9" s="7" t="str">
        <f t="shared" si="0"/>
        <v>PremiumW4</v>
      </c>
      <c r="D9" s="7" t="str">
        <f t="shared" si="1"/>
        <v>PremiumW</v>
      </c>
      <c r="E9" s="7" t="str">
        <f>IF(COUNTIF('R6追加前'!A:A,B9)=0,IF(I9="PremiumSS","R5only","R3less"),"")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7">
        <f ca="1">IFERROR(VLOOKUP(B9,input_356010!L:R,7,FALSE),VLOOKUP(tables_356010!C9,input_356010!A:H,8,FALSE))</f>
        <v>2372.4</v>
      </c>
      <c r="P9" s="48">
        <v>1E-3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input_356010!A$2</f>
        <v>356010</v>
      </c>
      <c r="B10" s="6">
        <v>134</v>
      </c>
      <c r="C10" s="7" t="str">
        <f t="shared" si="0"/>
        <v>PremiumW3color</v>
      </c>
      <c r="D10" s="7" t="str">
        <f t="shared" si="1"/>
        <v>PremiumW</v>
      </c>
      <c r="E10" s="7" t="str">
        <f>IF(COUNTIF('R6追加前'!A:A,B10)=0,IF(I10="PremiumSS","R5only","R3less"),"")</f>
        <v/>
      </c>
      <c r="F10" s="7" t="str">
        <f>IF(COUNTIF('R6開放'!A:A,B10)&gt;0,"R6release","")</f>
        <v/>
      </c>
      <c r="G10" s="7" t="s">
        <v>240</v>
      </c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7">
        <f ca="1">IFERROR(VLOOKUP(B10,input_356010!L:R,7,FALSE),VLOOKUP(tables_356010!C10,input_356010!A:H,8,FALSE))</f>
        <v>22612.799999999999</v>
      </c>
      <c r="P10" s="48">
        <v>0.01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input_356010!A$2</f>
        <v>356010</v>
      </c>
      <c r="B11" s="6">
        <v>135</v>
      </c>
      <c r="C11" s="7" t="str">
        <f t="shared" si="0"/>
        <v>PremiumW4color</v>
      </c>
      <c r="D11" s="7" t="str">
        <f t="shared" si="1"/>
        <v>PremiumW</v>
      </c>
      <c r="E11" s="7" t="str">
        <f>IF(COUNTIF('R6追加前'!A:A,B11)=0,IF(I11="PremiumSS","R5only","R3less"),"")</f>
        <v/>
      </c>
      <c r="F11" s="7" t="str">
        <f>IF(COUNTIF('R6開放'!A:A,B11)&gt;0,"R6release","")</f>
        <v/>
      </c>
      <c r="G11" s="7" t="s">
        <v>240</v>
      </c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7">
        <f ca="1">IFERROR(VLOOKUP(B11,input_356010!L:R,7,FALSE),VLOOKUP(tables_356010!C11,input_356010!A:H,8,FALSE))</f>
        <v>6571.2</v>
      </c>
      <c r="P11" s="48">
        <v>8.9999999999999993E-3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input_356010!A$2</f>
        <v>356010</v>
      </c>
      <c r="B12" s="8">
        <v>136</v>
      </c>
      <c r="C12" s="7" t="str">
        <f t="shared" si="0"/>
        <v>PremiumW3color</v>
      </c>
      <c r="D12" s="7" t="str">
        <f t="shared" si="1"/>
        <v>PremiumW</v>
      </c>
      <c r="E12" s="7" t="str">
        <f>IF(COUNTIF('R6追加前'!A:A,B12)=0,IF(I12="PremiumSS","R5only","R3less"),"")</f>
        <v/>
      </c>
      <c r="F12" s="7" t="str">
        <f>IF(COUNTIF('R6開放'!A:A,B12)&gt;0,"R6release","")</f>
        <v/>
      </c>
      <c r="G12" s="7" t="s">
        <v>240</v>
      </c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7">
        <f ca="1">IFERROR(VLOOKUP(B12,input_356010!L:R,7,FALSE),VLOOKUP(tables_356010!C12,input_356010!A:H,8,FALSE))</f>
        <v>22612.799999999999</v>
      </c>
      <c r="P12" s="48">
        <v>1E-3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input_356010!A$2</f>
        <v>356010</v>
      </c>
      <c r="B13" s="8">
        <v>137</v>
      </c>
      <c r="C13" s="7" t="str">
        <f t="shared" si="0"/>
        <v>PremiumW4color</v>
      </c>
      <c r="D13" s="7" t="str">
        <f t="shared" si="1"/>
        <v>PremiumW</v>
      </c>
      <c r="E13" s="7" t="str">
        <f>IF(COUNTIF('R6追加前'!A:A,B13)=0,IF(I13="PremiumSS","R5only","R3less"),"")</f>
        <v/>
      </c>
      <c r="F13" s="7" t="str">
        <f>IF(COUNTIF('R6開放'!A:A,B13)&gt;0,"R6release","")</f>
        <v/>
      </c>
      <c r="G13" s="7" t="s">
        <v>240</v>
      </c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7">
        <f ca="1">IFERROR(VLOOKUP(B13,input_356010!L:R,7,FALSE),VLOOKUP(tables_356010!C13,input_356010!A:H,8,FALSE))</f>
        <v>6571.2</v>
      </c>
      <c r="P13" s="48">
        <v>0.01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input_356010!A$2</f>
        <v>356010</v>
      </c>
      <c r="B14" s="6">
        <v>138</v>
      </c>
      <c r="C14" s="7" t="str">
        <f t="shared" si="0"/>
        <v>PremiumW3</v>
      </c>
      <c r="D14" s="7" t="str">
        <f t="shared" si="1"/>
        <v>PremiumW</v>
      </c>
      <c r="E14" s="7" t="str">
        <f>IF(COUNTIF('R6追加前'!A:A,B14)=0,IF(I14="PremiumSS","R5only","R3less"),"")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7">
        <f ca="1">IFERROR(VLOOKUP(B14,input_356010!L:R,7,FALSE),VLOOKUP(tables_356010!C14,input_356010!A:H,8,FALSE))</f>
        <v>4923.6000000000004</v>
      </c>
      <c r="P14" s="48">
        <v>8.9999999999999993E-3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input_356010!A$2</f>
        <v>356010</v>
      </c>
      <c r="B15" s="6">
        <v>139</v>
      </c>
      <c r="C15" s="7" t="str">
        <f t="shared" si="0"/>
        <v>PremiumW4</v>
      </c>
      <c r="D15" s="7" t="str">
        <f t="shared" si="1"/>
        <v>PremiumW</v>
      </c>
      <c r="E15" s="7" t="str">
        <f>IF(COUNTIF('R6追加前'!A:A,B15)=0,IF(I15="PremiumSS","R5only","R3less"),"")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7">
        <f ca="1">IFERROR(VLOOKUP(B15,input_356010!L:R,7,FALSE),VLOOKUP(tables_356010!C15,input_356010!A:H,8,FALSE))</f>
        <v>2372.4</v>
      </c>
      <c r="P15" s="48">
        <f t="shared" ref="P15:P78" ca="1" si="2">O15/SUM(O:O)</f>
        <v>1.6008097165991903E-3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input_356010!A$2</f>
        <v>356010</v>
      </c>
      <c r="B16" s="10">
        <v>140</v>
      </c>
      <c r="C16" s="7" t="str">
        <f t="shared" si="0"/>
        <v>PremiumW3</v>
      </c>
      <c r="D16" s="7" t="str">
        <f t="shared" si="1"/>
        <v>PremiumW</v>
      </c>
      <c r="E16" s="7" t="str">
        <f>IF(COUNTIF('R6追加前'!A:A,B16)=0,IF(I16="PremiumSS","R5only","R3less"),"")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7">
        <f ca="1">IFERROR(VLOOKUP(B16,input_356010!L:R,7,FALSE),VLOOKUP(tables_356010!C16,input_356010!A:H,8,FALSE))</f>
        <v>4923.6000000000004</v>
      </c>
      <c r="P16" s="48">
        <f t="shared" ca="1" si="2"/>
        <v>3.3222672064777332E-3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input_356010!A$2</f>
        <v>356010</v>
      </c>
      <c r="B17" s="11">
        <v>141</v>
      </c>
      <c r="C17" s="7" t="str">
        <f t="shared" si="0"/>
        <v>PremiumW4</v>
      </c>
      <c r="D17" s="7" t="str">
        <f t="shared" si="1"/>
        <v>PremiumW</v>
      </c>
      <c r="E17" s="7" t="str">
        <f>IF(COUNTIF('R6追加前'!A:A,B17)=0,IF(I17="PremiumSS","R5only","R3less"),"")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7">
        <f ca="1">IFERROR(VLOOKUP(B17,input_356010!L:R,7,FALSE),VLOOKUP(tables_356010!C17,input_356010!A:H,8,FALSE))</f>
        <v>2372.4</v>
      </c>
      <c r="P17" s="48">
        <f t="shared" ca="1" si="2"/>
        <v>1.6008097165991903E-3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input_356010!A$2</f>
        <v>356010</v>
      </c>
      <c r="B18" s="6">
        <v>142</v>
      </c>
      <c r="C18" s="7" t="str">
        <f t="shared" si="0"/>
        <v>PremiumW3color</v>
      </c>
      <c r="D18" s="7" t="str">
        <f t="shared" si="1"/>
        <v>PremiumW</v>
      </c>
      <c r="E18" s="7" t="str">
        <f>IF(COUNTIF('R6追加前'!A:A,B18)=0,IF(I18="PremiumSS","R5only","R3less"),"")</f>
        <v/>
      </c>
      <c r="F18" s="7" t="str">
        <f>IF(COUNTIF('R6開放'!A:A,B18)&gt;0,"R6release","")</f>
        <v/>
      </c>
      <c r="G18" s="7" t="s">
        <v>240</v>
      </c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7">
        <f ca="1">IFERROR(VLOOKUP(B18,input_356010!L:R,7,FALSE),VLOOKUP(tables_356010!C18,input_356010!A:H,8,FALSE))</f>
        <v>22612.799999999999</v>
      </c>
      <c r="P18" s="48">
        <f t="shared" ca="1" si="2"/>
        <v>1.5258299595141699E-2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input_356010!A$2</f>
        <v>356010</v>
      </c>
      <c r="B19" s="6">
        <v>143</v>
      </c>
      <c r="C19" s="7" t="str">
        <f t="shared" si="0"/>
        <v>PremiumW4color</v>
      </c>
      <c r="D19" s="7" t="str">
        <f t="shared" si="1"/>
        <v>PremiumW</v>
      </c>
      <c r="E19" s="7" t="str">
        <f>IF(COUNTIF('R6追加前'!A:A,B19)=0,IF(I19="PremiumSS","R5only","R3less"),"")</f>
        <v/>
      </c>
      <c r="F19" s="7" t="str">
        <f>IF(COUNTIF('R6開放'!A:A,B19)&gt;0,"R6release","")</f>
        <v/>
      </c>
      <c r="G19" s="7" t="s">
        <v>240</v>
      </c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7">
        <f ca="1">IFERROR(VLOOKUP(B19,input_356010!L:R,7,FALSE),VLOOKUP(tables_356010!C19,input_356010!A:H,8,FALSE))</f>
        <v>6571.2</v>
      </c>
      <c r="P19" s="48">
        <f t="shared" ca="1" si="2"/>
        <v>4.434008097165992E-3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input_356010!A$2</f>
        <v>356010</v>
      </c>
      <c r="B20" s="10">
        <v>144</v>
      </c>
      <c r="C20" s="7" t="str">
        <f t="shared" si="0"/>
        <v>PremiumW3color</v>
      </c>
      <c r="D20" s="7" t="str">
        <f t="shared" si="1"/>
        <v>PremiumW</v>
      </c>
      <c r="E20" s="7" t="str">
        <f>IF(COUNTIF('R6追加前'!A:A,B20)=0,IF(I20="PremiumSS","R5only","R3less"),"")</f>
        <v/>
      </c>
      <c r="F20" s="7" t="str">
        <f>IF(COUNTIF('R6開放'!A:A,B20)&gt;0,"R6release","")</f>
        <v/>
      </c>
      <c r="G20" s="7" t="s">
        <v>240</v>
      </c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7">
        <f ca="1">IFERROR(VLOOKUP(B20,input_356010!L:R,7,FALSE),VLOOKUP(tables_356010!C20,input_356010!A:H,8,FALSE))</f>
        <v>22612.799999999999</v>
      </c>
      <c r="P20" s="48">
        <f t="shared" ca="1" si="2"/>
        <v>1.5258299595141699E-2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input_356010!A$2</f>
        <v>356010</v>
      </c>
      <c r="B21" s="6">
        <v>145</v>
      </c>
      <c r="C21" s="7" t="str">
        <f t="shared" si="0"/>
        <v>PremiumW4color</v>
      </c>
      <c r="D21" s="7" t="str">
        <f t="shared" si="1"/>
        <v>PremiumW</v>
      </c>
      <c r="E21" s="7" t="str">
        <f>IF(COUNTIF('R6追加前'!A:A,B21)=0,IF(I21="PremiumSS","R5only","R3less"),"")</f>
        <v/>
      </c>
      <c r="F21" s="7" t="str">
        <f>IF(COUNTIF('R6開放'!A:A,B21)&gt;0,"R6release","")</f>
        <v/>
      </c>
      <c r="G21" s="7" t="s">
        <v>240</v>
      </c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7">
        <f ca="1">IFERROR(VLOOKUP(B21,input_356010!L:R,7,FALSE),VLOOKUP(tables_356010!C21,input_356010!A:H,8,FALSE))</f>
        <v>6571.2</v>
      </c>
      <c r="P21" s="48">
        <f t="shared" ca="1" si="2"/>
        <v>4.434008097165992E-3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input_356010!A$2</f>
        <v>356010</v>
      </c>
      <c r="B22" s="6">
        <v>146</v>
      </c>
      <c r="C22" s="7" t="str">
        <f t="shared" si="0"/>
        <v>PremiumW3</v>
      </c>
      <c r="D22" s="7" t="str">
        <f t="shared" si="1"/>
        <v>PremiumW</v>
      </c>
      <c r="E22" s="7" t="str">
        <f>IF(COUNTIF('R6追加前'!A:A,B22)=0,IF(I22="PremiumSS","R5only","R3less"),"")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7">
        <f ca="1">IFERROR(VLOOKUP(B22,input_356010!L:R,7,FALSE),VLOOKUP(tables_356010!C22,input_356010!A:H,8,FALSE))</f>
        <v>4923.6000000000004</v>
      </c>
      <c r="P22" s="48">
        <f t="shared" ca="1" si="2"/>
        <v>3.3222672064777332E-3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input_356010!A$2</f>
        <v>356010</v>
      </c>
      <c r="B23" s="6">
        <v>147</v>
      </c>
      <c r="C23" s="7" t="str">
        <f t="shared" si="0"/>
        <v>PremiumW4</v>
      </c>
      <c r="D23" s="7" t="str">
        <f t="shared" si="1"/>
        <v>PremiumW</v>
      </c>
      <c r="E23" s="7" t="str">
        <f>IF(COUNTIF('R6追加前'!A:A,B23)=0,IF(I23="PremiumSS","R5only","R3less"),"")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7">
        <f ca="1">IFERROR(VLOOKUP(B23,input_356010!L:R,7,FALSE),VLOOKUP(tables_356010!C23,input_356010!A:H,8,FALSE))</f>
        <v>2372.4</v>
      </c>
      <c r="P23" s="48">
        <f t="shared" ca="1" si="2"/>
        <v>1.6008097165991903E-3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input_356010!A$2</f>
        <v>356010</v>
      </c>
      <c r="B24" s="6">
        <v>148</v>
      </c>
      <c r="C24" s="7" t="str">
        <f t="shared" si="0"/>
        <v>PremiumW3</v>
      </c>
      <c r="D24" s="7" t="str">
        <f t="shared" si="1"/>
        <v>PremiumW</v>
      </c>
      <c r="E24" s="7" t="str">
        <f>IF(COUNTIF('R6追加前'!A:A,B24)=0,IF(I24="PremiumSS","R5only","R3less"),"")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7">
        <f ca="1">IFERROR(VLOOKUP(B24,input_356010!L:R,7,FALSE),VLOOKUP(tables_356010!C24,input_356010!A:H,8,FALSE))</f>
        <v>4923.6000000000004</v>
      </c>
      <c r="P24" s="48">
        <f t="shared" ca="1" si="2"/>
        <v>3.3222672064777332E-3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input_356010!A$2</f>
        <v>356010</v>
      </c>
      <c r="B25" s="6">
        <v>149</v>
      </c>
      <c r="C25" s="7" t="str">
        <f t="shared" si="0"/>
        <v>PremiumW4</v>
      </c>
      <c r="D25" s="7" t="str">
        <f t="shared" si="1"/>
        <v>PremiumW</v>
      </c>
      <c r="E25" s="7" t="str">
        <f>IF(COUNTIF('R6追加前'!A:A,B25)=0,IF(I25="PremiumSS","R5only","R3less"),"")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7">
        <f ca="1">IFERROR(VLOOKUP(B25,input_356010!L:R,7,FALSE),VLOOKUP(tables_356010!C25,input_356010!A:H,8,FALSE))</f>
        <v>2372.4</v>
      </c>
      <c r="P25" s="48">
        <f t="shared" ca="1" si="2"/>
        <v>1.6008097165991903E-3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input_356010!A$2</f>
        <v>356010</v>
      </c>
      <c r="B26" s="6">
        <v>150</v>
      </c>
      <c r="C26" s="7" t="str">
        <f t="shared" si="0"/>
        <v>PremiumW3color</v>
      </c>
      <c r="D26" s="7" t="str">
        <f t="shared" si="1"/>
        <v>PremiumW</v>
      </c>
      <c r="E26" s="7" t="str">
        <f>IF(COUNTIF('R6追加前'!A:A,B26)=0,IF(I26="PremiumSS","R5only","R3less"),"")</f>
        <v/>
      </c>
      <c r="F26" s="7" t="str">
        <f>IF(COUNTIF('R6開放'!A:A,B26)&gt;0,"R6release","")</f>
        <v/>
      </c>
      <c r="G26" s="7" t="s">
        <v>240</v>
      </c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7">
        <f ca="1">IFERROR(VLOOKUP(B26,input_356010!L:R,7,FALSE),VLOOKUP(tables_356010!C26,input_356010!A:H,8,FALSE))</f>
        <v>22612.799999999999</v>
      </c>
      <c r="P26" s="48">
        <f t="shared" ca="1" si="2"/>
        <v>1.5258299595141699E-2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input_356010!A$2</f>
        <v>356010</v>
      </c>
      <c r="B27" s="6">
        <v>151</v>
      </c>
      <c r="C27" s="7" t="str">
        <f t="shared" si="0"/>
        <v>PremiumW4color</v>
      </c>
      <c r="D27" s="7" t="str">
        <f t="shared" si="1"/>
        <v>PremiumW</v>
      </c>
      <c r="E27" s="7" t="str">
        <f>IF(COUNTIF('R6追加前'!A:A,B27)=0,IF(I27="PremiumSS","R5only","R3less"),"")</f>
        <v/>
      </c>
      <c r="F27" s="7" t="str">
        <f>IF(COUNTIF('R6開放'!A:A,B27)&gt;0,"R6release","")</f>
        <v/>
      </c>
      <c r="G27" s="7" t="s">
        <v>240</v>
      </c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7">
        <f ca="1">IFERROR(VLOOKUP(B27,input_356010!L:R,7,FALSE),VLOOKUP(tables_356010!C27,input_356010!A:H,8,FALSE))</f>
        <v>6571.2</v>
      </c>
      <c r="P27" s="48">
        <f t="shared" ca="1" si="2"/>
        <v>4.434008097165992E-3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input_356010!A$2</f>
        <v>356010</v>
      </c>
      <c r="B28" s="6">
        <v>152</v>
      </c>
      <c r="C28" s="7" t="str">
        <f t="shared" si="0"/>
        <v>PremiumW3color</v>
      </c>
      <c r="D28" s="7" t="str">
        <f t="shared" si="1"/>
        <v>PremiumW</v>
      </c>
      <c r="E28" s="7" t="str">
        <f>IF(COUNTIF('R6追加前'!A:A,B28)=0,IF(I28="PremiumSS","R5only","R3less"),"")</f>
        <v/>
      </c>
      <c r="F28" s="7" t="str">
        <f>IF(COUNTIF('R6開放'!A:A,B28)&gt;0,"R6release","")</f>
        <v/>
      </c>
      <c r="G28" s="7" t="s">
        <v>240</v>
      </c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7">
        <f ca="1">IFERROR(VLOOKUP(B28,input_356010!L:R,7,FALSE),VLOOKUP(tables_356010!C28,input_356010!A:H,8,FALSE))</f>
        <v>22612.799999999999</v>
      </c>
      <c r="P28" s="48">
        <f t="shared" ca="1" si="2"/>
        <v>1.5258299595141699E-2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input_356010!A$2</f>
        <v>356010</v>
      </c>
      <c r="B29" s="6">
        <v>153</v>
      </c>
      <c r="C29" s="7" t="str">
        <f t="shared" si="0"/>
        <v>PremiumW4color</v>
      </c>
      <c r="D29" s="7" t="str">
        <f t="shared" si="1"/>
        <v>PremiumW</v>
      </c>
      <c r="E29" s="7" t="str">
        <f>IF(COUNTIF('R6追加前'!A:A,B29)=0,IF(I29="PremiumSS","R5only","R3less"),"")</f>
        <v/>
      </c>
      <c r="F29" s="7" t="str">
        <f>IF(COUNTIF('R6開放'!A:A,B29)&gt;0,"R6release","")</f>
        <v/>
      </c>
      <c r="G29" s="7" t="s">
        <v>240</v>
      </c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7">
        <f ca="1">IFERROR(VLOOKUP(B29,input_356010!L:R,7,FALSE),VLOOKUP(tables_356010!C29,input_356010!A:H,8,FALSE))</f>
        <v>6571.2</v>
      </c>
      <c r="P29" s="48">
        <f t="shared" ca="1" si="2"/>
        <v>4.434008097165992E-3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input_356010!A$2</f>
        <v>356010</v>
      </c>
      <c r="B30" s="6">
        <v>154</v>
      </c>
      <c r="C30" s="7" t="str">
        <f t="shared" si="0"/>
        <v>PremiumW3</v>
      </c>
      <c r="D30" s="7" t="str">
        <f t="shared" si="1"/>
        <v>PremiumW</v>
      </c>
      <c r="E30" s="7" t="str">
        <f>IF(COUNTIF('R6追加前'!A:A,B30)=0,IF(I30="PremiumSS","R5only","R3less"),"")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7">
        <f ca="1">IFERROR(VLOOKUP(B30,input_356010!L:R,7,FALSE),VLOOKUP(tables_356010!C30,input_356010!A:H,8,FALSE))</f>
        <v>4923.6000000000004</v>
      </c>
      <c r="P30" s="48">
        <f t="shared" ca="1" si="2"/>
        <v>3.3222672064777332E-3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input_356010!A$2</f>
        <v>356010</v>
      </c>
      <c r="B31" s="6">
        <v>155</v>
      </c>
      <c r="C31" s="7" t="str">
        <f t="shared" si="0"/>
        <v>PremiumW4</v>
      </c>
      <c r="D31" s="7" t="str">
        <f t="shared" si="1"/>
        <v>PremiumW</v>
      </c>
      <c r="E31" s="7" t="str">
        <f>IF(COUNTIF('R6追加前'!A:A,B31)=0,IF(I31="PremiumSS","R5only","R3less"),"")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7">
        <f ca="1">IFERROR(VLOOKUP(B31,input_356010!L:R,7,FALSE),VLOOKUP(tables_356010!C31,input_356010!A:H,8,FALSE))</f>
        <v>2372.4</v>
      </c>
      <c r="P31" s="48">
        <f t="shared" ca="1" si="2"/>
        <v>1.6008097165991903E-3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input_356010!A$2</f>
        <v>356010</v>
      </c>
      <c r="B32" s="6">
        <v>156</v>
      </c>
      <c r="C32" s="7" t="str">
        <f t="shared" si="0"/>
        <v>PremiumW3</v>
      </c>
      <c r="D32" s="7" t="str">
        <f t="shared" si="1"/>
        <v>PremiumW</v>
      </c>
      <c r="E32" s="7" t="str">
        <f>IF(COUNTIF('R6追加前'!A:A,B32)=0,IF(I32="PremiumSS","R5only","R3less"),"")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7">
        <f ca="1">IFERROR(VLOOKUP(B32,input_356010!L:R,7,FALSE),VLOOKUP(tables_356010!C32,input_356010!A:H,8,FALSE))</f>
        <v>4923.6000000000004</v>
      </c>
      <c r="P32" s="48">
        <f t="shared" ca="1" si="2"/>
        <v>3.3222672064777332E-3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input_356010!A$2</f>
        <v>356010</v>
      </c>
      <c r="B33" s="6">
        <v>157</v>
      </c>
      <c r="C33" s="7" t="str">
        <f t="shared" si="0"/>
        <v>PremiumW4</v>
      </c>
      <c r="D33" s="7" t="str">
        <f t="shared" si="1"/>
        <v>PremiumW</v>
      </c>
      <c r="E33" s="7" t="str">
        <f>IF(COUNTIF('R6追加前'!A:A,B33)=0,IF(I33="PremiumSS","R5only","R3less"),"")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7">
        <f ca="1">IFERROR(VLOOKUP(B33,input_356010!L:R,7,FALSE),VLOOKUP(tables_356010!C33,input_356010!A:H,8,FALSE))</f>
        <v>2372.4</v>
      </c>
      <c r="P33" s="48">
        <f t="shared" ca="1" si="2"/>
        <v>1.6008097165991903E-3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input_356010!A$2</f>
        <v>356010</v>
      </c>
      <c r="B34" s="6">
        <v>158</v>
      </c>
      <c r="C34" s="7" t="str">
        <f t="shared" si="0"/>
        <v>PremiumW3color</v>
      </c>
      <c r="D34" s="7" t="str">
        <f t="shared" si="1"/>
        <v>PremiumW</v>
      </c>
      <c r="E34" s="7" t="str">
        <f>IF(COUNTIF('R6追加前'!A:A,B34)=0,IF(I34="PremiumSS","R5only","R3less"),"")</f>
        <v/>
      </c>
      <c r="F34" s="7" t="str">
        <f>IF(COUNTIF('R6開放'!A:A,B34)&gt;0,"R6release","")</f>
        <v/>
      </c>
      <c r="G34" s="7" t="s">
        <v>240</v>
      </c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7">
        <f ca="1">IFERROR(VLOOKUP(B34,input_356010!L:R,7,FALSE),VLOOKUP(tables_356010!C34,input_356010!A:H,8,FALSE))</f>
        <v>22612.799999999999</v>
      </c>
      <c r="P34" s="48">
        <f t="shared" ca="1" si="2"/>
        <v>1.5258299595141699E-2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input_356010!A$2</f>
        <v>356010</v>
      </c>
      <c r="B35" s="6">
        <v>159</v>
      </c>
      <c r="C35" s="7" t="str">
        <f t="shared" si="0"/>
        <v>PremiumW4color</v>
      </c>
      <c r="D35" s="7" t="str">
        <f t="shared" si="1"/>
        <v>PremiumW</v>
      </c>
      <c r="E35" s="7" t="str">
        <f>IF(COUNTIF('R6追加前'!A:A,B35)=0,IF(I35="PremiumSS","R5only","R3less"),"")</f>
        <v/>
      </c>
      <c r="F35" s="7" t="str">
        <f>IF(COUNTIF('R6開放'!A:A,B35)&gt;0,"R6release","")</f>
        <v/>
      </c>
      <c r="G35" s="7" t="s">
        <v>240</v>
      </c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7">
        <f ca="1">IFERROR(VLOOKUP(B35,input_356010!L:R,7,FALSE),VLOOKUP(tables_356010!C35,input_356010!A:H,8,FALSE))</f>
        <v>6571.2</v>
      </c>
      <c r="P35" s="48">
        <f t="shared" ca="1" si="2"/>
        <v>4.434008097165992E-3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input_356010!A$2</f>
        <v>356010</v>
      </c>
      <c r="B36" s="6">
        <v>160</v>
      </c>
      <c r="C36" s="7" t="str">
        <f t="shared" si="0"/>
        <v>PremiumW3color</v>
      </c>
      <c r="D36" s="7" t="str">
        <f t="shared" si="1"/>
        <v>PremiumW</v>
      </c>
      <c r="E36" s="7" t="str">
        <f>IF(COUNTIF('R6追加前'!A:A,B36)=0,IF(I36="PremiumSS","R5only","R3less"),"")</f>
        <v/>
      </c>
      <c r="F36" s="7" t="str">
        <f>IF(COUNTIF('R6開放'!A:A,B36)&gt;0,"R6release","")</f>
        <v/>
      </c>
      <c r="G36" s="7" t="s">
        <v>240</v>
      </c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7">
        <f ca="1">IFERROR(VLOOKUP(B36,input_356010!L:R,7,FALSE),VLOOKUP(tables_356010!C36,input_356010!A:H,8,FALSE))</f>
        <v>22612.799999999999</v>
      </c>
      <c r="P36" s="48">
        <f t="shared" ca="1" si="2"/>
        <v>1.5258299595141699E-2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input_356010!A$2</f>
        <v>356010</v>
      </c>
      <c r="B37" s="6">
        <v>161</v>
      </c>
      <c r="C37" s="7" t="str">
        <f t="shared" si="0"/>
        <v>PremiumW4color</v>
      </c>
      <c r="D37" s="7" t="str">
        <f t="shared" si="1"/>
        <v>PremiumW</v>
      </c>
      <c r="E37" s="7" t="str">
        <f>IF(COUNTIF('R6追加前'!A:A,B37)=0,IF(I37="PremiumSS","R5only","R3less"),"")</f>
        <v/>
      </c>
      <c r="F37" s="7" t="str">
        <f>IF(COUNTIF('R6開放'!A:A,B37)&gt;0,"R6release","")</f>
        <v/>
      </c>
      <c r="G37" s="7" t="s">
        <v>240</v>
      </c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7">
        <f ca="1">IFERROR(VLOOKUP(B37,input_356010!L:R,7,FALSE),VLOOKUP(tables_356010!C37,input_356010!A:H,8,FALSE))</f>
        <v>6571.2</v>
      </c>
      <c r="P37" s="48">
        <f t="shared" ca="1" si="2"/>
        <v>4.434008097165992E-3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input_356010!A$2</f>
        <v>356010</v>
      </c>
      <c r="B38" s="6">
        <v>162</v>
      </c>
      <c r="C38" s="7" t="str">
        <f t="shared" si="0"/>
        <v>PremiumW3</v>
      </c>
      <c r="D38" s="7" t="str">
        <f t="shared" si="1"/>
        <v>PremiumW</v>
      </c>
      <c r="E38" s="7" t="str">
        <f>IF(COUNTIF('R6追加前'!A:A,B38)=0,IF(I38="PremiumSS","R5only","R3less"),"")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7">
        <f ca="1">IFERROR(VLOOKUP(B38,input_356010!L:R,7,FALSE),VLOOKUP(tables_356010!C38,input_356010!A:H,8,FALSE))</f>
        <v>4923.6000000000004</v>
      </c>
      <c r="P38" s="48">
        <f t="shared" ca="1" si="2"/>
        <v>3.3222672064777332E-3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input_356010!A$2</f>
        <v>356010</v>
      </c>
      <c r="B39" s="6">
        <v>163</v>
      </c>
      <c r="C39" s="7" t="str">
        <f t="shared" si="0"/>
        <v>PremiumW4</v>
      </c>
      <c r="D39" s="7" t="str">
        <f t="shared" si="1"/>
        <v>PremiumW</v>
      </c>
      <c r="E39" s="7" t="str">
        <f>IF(COUNTIF('R6追加前'!A:A,B39)=0,IF(I39="PremiumSS","R5only","R3less"),"")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7">
        <f ca="1">IFERROR(VLOOKUP(B39,input_356010!L:R,7,FALSE),VLOOKUP(tables_356010!C39,input_356010!A:H,8,FALSE))</f>
        <v>2372.4</v>
      </c>
      <c r="P39" s="48">
        <f t="shared" ca="1" si="2"/>
        <v>1.6008097165991903E-3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input_356010!A$2</f>
        <v>356010</v>
      </c>
      <c r="B40" s="6">
        <v>164</v>
      </c>
      <c r="C40" s="7" t="str">
        <f t="shared" si="0"/>
        <v>PremiumW3</v>
      </c>
      <c r="D40" s="7" t="str">
        <f t="shared" si="1"/>
        <v>PremiumW</v>
      </c>
      <c r="E40" s="7" t="str">
        <f>IF(COUNTIF('R6追加前'!A:A,B40)=0,IF(I40="PremiumSS","R5only","R3less"),"")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7">
        <f ca="1">IFERROR(VLOOKUP(B40,input_356010!L:R,7,FALSE),VLOOKUP(tables_356010!C40,input_356010!A:H,8,FALSE))</f>
        <v>4923.6000000000004</v>
      </c>
      <c r="P40" s="48">
        <f t="shared" ca="1" si="2"/>
        <v>3.3222672064777332E-3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input_356010!A$2</f>
        <v>356010</v>
      </c>
      <c r="B41" s="6">
        <v>165</v>
      </c>
      <c r="C41" s="7" t="str">
        <f t="shared" si="0"/>
        <v>PremiumW4</v>
      </c>
      <c r="D41" s="7" t="str">
        <f t="shared" si="1"/>
        <v>PremiumW</v>
      </c>
      <c r="E41" s="7" t="str">
        <f>IF(COUNTIF('R6追加前'!A:A,B41)=0,IF(I41="PremiumSS","R5only","R3less"),"")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7">
        <f ca="1">IFERROR(VLOOKUP(B41,input_356010!L:R,7,FALSE),VLOOKUP(tables_356010!C41,input_356010!A:H,8,FALSE))</f>
        <v>2372.4</v>
      </c>
      <c r="P41" s="48">
        <f t="shared" ca="1" si="2"/>
        <v>1.6008097165991903E-3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input_356010!A$2</f>
        <v>356010</v>
      </c>
      <c r="B42" s="6">
        <v>166</v>
      </c>
      <c r="C42" s="7" t="str">
        <f t="shared" si="0"/>
        <v>Premium3R6releasecolor</v>
      </c>
      <c r="D42" s="7" t="str">
        <f t="shared" si="1"/>
        <v>Premium</v>
      </c>
      <c r="E42" s="7" t="str">
        <f>IF(COUNTIF('R6追加前'!A:A,B42)=0,IF(I42="PremiumSS","R5only","R3less"),"")</f>
        <v/>
      </c>
      <c r="F42" s="7" t="str">
        <f>IF(COUNTIF('R6開放'!A:A,B42)&gt;0,"R6release","")</f>
        <v>R6release</v>
      </c>
      <c r="G42" s="7" t="s">
        <v>240</v>
      </c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7">
        <f ca="1">IFERROR(VLOOKUP(B42,input_356010!L:R,7,FALSE),VLOOKUP(tables_356010!C42,input_356010!A:H,8,FALSE))</f>
        <v>936</v>
      </c>
      <c r="P42" s="48">
        <f t="shared" ca="1" si="2"/>
        <v>6.3157894736842106E-4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input_356010!A$2</f>
        <v>356010</v>
      </c>
      <c r="B43" s="6">
        <v>167</v>
      </c>
      <c r="C43" s="7" t="str">
        <f t="shared" si="0"/>
        <v>Premium4R6releasecolor</v>
      </c>
      <c r="D43" s="7" t="str">
        <f t="shared" si="1"/>
        <v>Premium</v>
      </c>
      <c r="E43" s="7" t="str">
        <f>IF(COUNTIF('R6追加前'!A:A,B43)=0,IF(I43="PremiumSS","R5only","R3less"),"")</f>
        <v/>
      </c>
      <c r="F43" s="7" t="str">
        <f>IF(COUNTIF('R6開放'!A:A,B43)&gt;0,"R6release","")</f>
        <v>R6release</v>
      </c>
      <c r="G43" s="7" t="s">
        <v>240</v>
      </c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7">
        <f ca="1">IFERROR(VLOOKUP(B43,input_356010!L:R,7,FALSE),VLOOKUP(tables_356010!C43,input_356010!A:H,8,FALSE))</f>
        <v>842.4</v>
      </c>
      <c r="P43" s="48">
        <f t="shared" ca="1" si="2"/>
        <v>5.6842105263157894E-4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input_356010!A$2</f>
        <v>356010</v>
      </c>
      <c r="B44" s="6">
        <v>168</v>
      </c>
      <c r="C44" s="7" t="str">
        <f t="shared" si="0"/>
        <v>Premium5R6releasecolor</v>
      </c>
      <c r="D44" s="7" t="str">
        <f t="shared" si="1"/>
        <v>Premium</v>
      </c>
      <c r="E44" s="7" t="str">
        <f>IF(COUNTIF('R6追加前'!A:A,B44)=0,IF(I44="PremiumSS","R5only","R3less"),"")</f>
        <v/>
      </c>
      <c r="F44" s="7" t="str">
        <f>IF(COUNTIF('R6開放'!A:A,B44)&gt;0,"R6release","")</f>
        <v>R6release</v>
      </c>
      <c r="G44" s="7" t="s">
        <v>240</v>
      </c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7">
        <f ca="1">IFERROR(VLOOKUP(B44,input_356010!L:R,7,FALSE),VLOOKUP(tables_356010!C44,input_356010!A:H,8,FALSE))</f>
        <v>93.6</v>
      </c>
      <c r="P44" s="48">
        <f t="shared" ca="1" si="2"/>
        <v>6.3157894736842103E-5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input_356010!A$2</f>
        <v>356010</v>
      </c>
      <c r="B45" s="6">
        <v>169</v>
      </c>
      <c r="C45" s="7" t="str">
        <f t="shared" si="0"/>
        <v>Premium3R6releasecolor</v>
      </c>
      <c r="D45" s="7" t="str">
        <f t="shared" si="1"/>
        <v>Premium</v>
      </c>
      <c r="E45" s="7" t="str">
        <f>IF(COUNTIF('R6追加前'!A:A,B45)=0,IF(I45="PremiumSS","R5only","R3less"),"")</f>
        <v/>
      </c>
      <c r="F45" s="7" t="str">
        <f>IF(COUNTIF('R6開放'!A:A,B45)&gt;0,"R6release","")</f>
        <v>R6release</v>
      </c>
      <c r="G45" s="7" t="s">
        <v>240</v>
      </c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7">
        <f ca="1">IFERROR(VLOOKUP(B45,input_356010!L:R,7,FALSE),VLOOKUP(tables_356010!C45,input_356010!A:H,8,FALSE))</f>
        <v>936</v>
      </c>
      <c r="P45" s="48">
        <f t="shared" ca="1" si="2"/>
        <v>6.3157894736842106E-4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input_356010!A$2</f>
        <v>356010</v>
      </c>
      <c r="B46" s="6">
        <v>170</v>
      </c>
      <c r="C46" s="7" t="str">
        <f t="shared" si="0"/>
        <v>Premium4R6releasecolor</v>
      </c>
      <c r="D46" s="7" t="str">
        <f t="shared" si="1"/>
        <v>Premium</v>
      </c>
      <c r="E46" s="7" t="str">
        <f>IF(COUNTIF('R6追加前'!A:A,B46)=0,IF(I46="PremiumSS","R5only","R3less"),"")</f>
        <v/>
      </c>
      <c r="F46" s="7" t="str">
        <f>IF(COUNTIF('R6開放'!A:A,B46)&gt;0,"R6release","")</f>
        <v>R6release</v>
      </c>
      <c r="G46" s="7" t="s">
        <v>240</v>
      </c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7">
        <f ca="1">IFERROR(VLOOKUP(B46,input_356010!L:R,7,FALSE),VLOOKUP(tables_356010!C46,input_356010!A:H,8,FALSE))</f>
        <v>842.4</v>
      </c>
      <c r="P46" s="48">
        <f t="shared" ca="1" si="2"/>
        <v>5.6842105263157894E-4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input_356010!A$2</f>
        <v>356010</v>
      </c>
      <c r="B47" s="6">
        <v>171</v>
      </c>
      <c r="C47" s="7" t="str">
        <f t="shared" si="0"/>
        <v>Premium5R6releasecolor</v>
      </c>
      <c r="D47" s="7" t="str">
        <f t="shared" si="1"/>
        <v>Premium</v>
      </c>
      <c r="E47" s="7" t="str">
        <f>IF(COUNTIF('R6追加前'!A:A,B47)=0,IF(I47="PremiumSS","R5only","R3less"),"")</f>
        <v/>
      </c>
      <c r="F47" s="7" t="str">
        <f>IF(COUNTIF('R6開放'!A:A,B47)&gt;0,"R6release","")</f>
        <v>R6release</v>
      </c>
      <c r="G47" s="7" t="s">
        <v>240</v>
      </c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7">
        <f ca="1">IFERROR(VLOOKUP(B47,input_356010!L:R,7,FALSE),VLOOKUP(tables_356010!C47,input_356010!A:H,8,FALSE))</f>
        <v>93.6</v>
      </c>
      <c r="P47" s="48">
        <f t="shared" ca="1" si="2"/>
        <v>6.3157894736842103E-5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input_356010!A$2</f>
        <v>356010</v>
      </c>
      <c r="B48" s="6">
        <v>172</v>
      </c>
      <c r="C48" s="7" t="str">
        <f t="shared" si="0"/>
        <v>Premium3R6release</v>
      </c>
      <c r="D48" s="7" t="str">
        <f t="shared" si="1"/>
        <v>Premium</v>
      </c>
      <c r="E48" s="7" t="str">
        <f>IF(COUNTIF('R6追加前'!A:A,B48)=0,IF(I48="PremiumSS","R5only","R3less"),"")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7">
        <f ca="1">IFERROR(VLOOKUP(B48,input_356010!L:R,7,FALSE),VLOOKUP(tables_356010!C48,input_356010!A:H,8,FALSE))</f>
        <v>234</v>
      </c>
      <c r="P48" s="48">
        <f t="shared" ca="1" si="2"/>
        <v>1.5789473684210527E-4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input_356010!A$2</f>
        <v>356010</v>
      </c>
      <c r="B49" s="6">
        <v>173</v>
      </c>
      <c r="C49" s="7" t="str">
        <f t="shared" si="0"/>
        <v>Premium4R6release</v>
      </c>
      <c r="D49" s="7" t="str">
        <f t="shared" si="1"/>
        <v>Premium</v>
      </c>
      <c r="E49" s="7" t="str">
        <f>IF(COUNTIF('R6追加前'!A:A,B49)=0,IF(I49="PremiumSS","R5only","R3less"),"")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7">
        <f ca="1">IFERROR(VLOOKUP(B49,input_356010!L:R,7,FALSE),VLOOKUP(tables_356010!C49,input_356010!A:H,8,FALSE))</f>
        <v>210.6</v>
      </c>
      <c r="P49" s="48">
        <f t="shared" ca="1" si="2"/>
        <v>1.4210526315789474E-4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input_356010!A$2</f>
        <v>356010</v>
      </c>
      <c r="B50" s="6">
        <v>174</v>
      </c>
      <c r="C50" s="7" t="str">
        <f t="shared" si="0"/>
        <v>Premium5R6release</v>
      </c>
      <c r="D50" s="7" t="str">
        <f t="shared" si="1"/>
        <v>Premium</v>
      </c>
      <c r="E50" s="7" t="str">
        <f>IF(COUNTIF('R6追加前'!A:A,B50)=0,IF(I50="PremiumSS","R5only","R3less"),"")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7">
        <f ca="1">IFERROR(VLOOKUP(B50,input_356010!L:R,7,FALSE),VLOOKUP(tables_356010!C50,input_356010!A:H,8,FALSE))</f>
        <v>23.4</v>
      </c>
      <c r="P50" s="48">
        <f t="shared" ca="1" si="2"/>
        <v>1.5789473684210526E-5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input_356010!A$2</f>
        <v>356010</v>
      </c>
      <c r="B51" s="6">
        <v>175</v>
      </c>
      <c r="C51" s="7" t="str">
        <f t="shared" si="0"/>
        <v>Premium3</v>
      </c>
      <c r="D51" s="7" t="str">
        <f t="shared" si="1"/>
        <v>Premium</v>
      </c>
      <c r="E51" s="7" t="str">
        <f>IF(COUNTIF('R6追加前'!A:A,B51)=0,IF(I51="PremiumSS","R5only","R3less"),"")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7">
        <f ca="1">IFERROR(VLOOKUP(B51,input_356010!L:R,7,FALSE),VLOOKUP(tables_356010!C51,input_356010!A:H,8,FALSE))</f>
        <v>3648</v>
      </c>
      <c r="P51" s="48">
        <f t="shared" ca="1" si="2"/>
        <v>2.4615384615384616E-3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input_356010!A$2</f>
        <v>356010</v>
      </c>
      <c r="B52" s="6">
        <v>176</v>
      </c>
      <c r="C52" s="7" t="str">
        <f t="shared" si="0"/>
        <v>Premium4</v>
      </c>
      <c r="D52" s="7" t="str">
        <f t="shared" si="1"/>
        <v>Premium</v>
      </c>
      <c r="E52" s="7" t="str">
        <f>IF(COUNTIF('R6追加前'!A:A,B52)=0,IF(I52="PremiumSS","R5only","R3less"),"")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7">
        <f ca="1">IFERROR(VLOOKUP(B52,input_356010!L:R,7,FALSE),VLOOKUP(tables_356010!C52,input_356010!A:H,8,FALSE))</f>
        <v>3283.2</v>
      </c>
      <c r="P52" s="48">
        <f t="shared" ca="1" si="2"/>
        <v>2.2153846153846152E-3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input_356010!A$2</f>
        <v>356010</v>
      </c>
      <c r="B53" s="6">
        <v>177</v>
      </c>
      <c r="C53" s="7" t="str">
        <f t="shared" si="0"/>
        <v>Premium5</v>
      </c>
      <c r="D53" s="7" t="str">
        <f t="shared" si="1"/>
        <v>Premium</v>
      </c>
      <c r="E53" s="7" t="str">
        <f>IF(COUNTIF('R6追加前'!A:A,B53)=0,IF(I53="PremiumSS","R5only","R3less"),"")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7">
        <f ca="1">IFERROR(VLOOKUP(B53,input_356010!L:R,7,FALSE),VLOOKUP(tables_356010!C53,input_356010!A:H,8,FALSE))</f>
        <v>364.8</v>
      </c>
      <c r="P53" s="48">
        <f t="shared" ca="1" si="2"/>
        <v>2.4615384615384614E-4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input_356010!A$2</f>
        <v>356010</v>
      </c>
      <c r="B54" s="6">
        <v>178</v>
      </c>
      <c r="C54" s="7" t="str">
        <f t="shared" si="0"/>
        <v>Premium3color</v>
      </c>
      <c r="D54" s="7" t="str">
        <f t="shared" si="1"/>
        <v>Premium</v>
      </c>
      <c r="E54" s="7" t="str">
        <f>IF(COUNTIF('R6追加前'!A:A,B54)=0,IF(I54="PremiumSS","R5only","R3less"),"")</f>
        <v/>
      </c>
      <c r="F54" s="7" t="str">
        <f>IF(COUNTIF('R6開放'!A:A,B54)&gt;0,"R6release","")</f>
        <v/>
      </c>
      <c r="G54" s="7" t="s">
        <v>240</v>
      </c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7">
        <f ca="1">IFERROR(VLOOKUP(B54,input_356010!L:R,7,FALSE),VLOOKUP(tables_356010!C54,input_356010!A:H,8,FALSE))</f>
        <v>14592</v>
      </c>
      <c r="P54" s="48">
        <f t="shared" ca="1" si="2"/>
        <v>9.8461538461538465E-3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input_356010!A$2</f>
        <v>356010</v>
      </c>
      <c r="B55" s="6">
        <v>179</v>
      </c>
      <c r="C55" s="7" t="str">
        <f t="shared" si="0"/>
        <v>Premium4color</v>
      </c>
      <c r="D55" s="7" t="str">
        <f t="shared" si="1"/>
        <v>Premium</v>
      </c>
      <c r="E55" s="7" t="str">
        <f>IF(COUNTIF('R6追加前'!A:A,B55)=0,IF(I55="PremiumSS","R5only","R3less"),"")</f>
        <v/>
      </c>
      <c r="F55" s="7" t="str">
        <f>IF(COUNTIF('R6開放'!A:A,B55)&gt;0,"R6release","")</f>
        <v/>
      </c>
      <c r="G55" s="7" t="s">
        <v>240</v>
      </c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7">
        <f ca="1">IFERROR(VLOOKUP(B55,input_356010!L:R,7,FALSE),VLOOKUP(tables_356010!C55,input_356010!A:H,8,FALSE))</f>
        <v>13132.8</v>
      </c>
      <c r="P55" s="48">
        <f t="shared" ca="1" si="2"/>
        <v>8.8615384615384606E-3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input_356010!A$2</f>
        <v>356010</v>
      </c>
      <c r="B56" s="6">
        <v>180</v>
      </c>
      <c r="C56" s="7" t="str">
        <f t="shared" si="0"/>
        <v>Premium5color</v>
      </c>
      <c r="D56" s="7" t="str">
        <f t="shared" si="1"/>
        <v>Premium</v>
      </c>
      <c r="E56" s="7" t="str">
        <f>IF(COUNTIF('R6追加前'!A:A,B56)=0,IF(I56="PremiumSS","R5only","R3less"),"")</f>
        <v/>
      </c>
      <c r="F56" s="7" t="str">
        <f>IF(COUNTIF('R6開放'!A:A,B56)&gt;0,"R6release","")</f>
        <v/>
      </c>
      <c r="G56" s="7" t="s">
        <v>240</v>
      </c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7">
        <f ca="1">IFERROR(VLOOKUP(B56,input_356010!L:R,7,FALSE),VLOOKUP(tables_356010!C56,input_356010!A:H,8,FALSE))</f>
        <v>1459.2</v>
      </c>
      <c r="P56" s="48">
        <f t="shared" ca="1" si="2"/>
        <v>9.8461538461538456E-4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input_356010!A$2</f>
        <v>356010</v>
      </c>
      <c r="B57" s="6">
        <v>181</v>
      </c>
      <c r="C57" s="7" t="str">
        <f t="shared" si="0"/>
        <v>Premium3color</v>
      </c>
      <c r="D57" s="7" t="str">
        <f t="shared" si="1"/>
        <v>Premium</v>
      </c>
      <c r="E57" s="7" t="str">
        <f>IF(COUNTIF('R6追加前'!A:A,B57)=0,IF(I57="PremiumSS","R5only","R3less"),"")</f>
        <v/>
      </c>
      <c r="F57" s="7" t="str">
        <f>IF(COUNTIF('R6開放'!A:A,B57)&gt;0,"R6release","")</f>
        <v/>
      </c>
      <c r="G57" s="7" t="s">
        <v>240</v>
      </c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7">
        <f ca="1">IFERROR(VLOOKUP(B57,input_356010!L:R,7,FALSE),VLOOKUP(tables_356010!C57,input_356010!A:H,8,FALSE))</f>
        <v>14592</v>
      </c>
      <c r="P57" s="48">
        <f t="shared" ca="1" si="2"/>
        <v>9.8461538461538465E-3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input_356010!A$2</f>
        <v>356010</v>
      </c>
      <c r="B58" s="6">
        <v>182</v>
      </c>
      <c r="C58" s="7" t="str">
        <f t="shared" si="0"/>
        <v>Premium4color</v>
      </c>
      <c r="D58" s="7" t="str">
        <f t="shared" si="1"/>
        <v>Premium</v>
      </c>
      <c r="E58" s="7" t="str">
        <f>IF(COUNTIF('R6追加前'!A:A,B58)=0,IF(I58="PremiumSS","R5only","R3less"),"")</f>
        <v/>
      </c>
      <c r="F58" s="7" t="str">
        <f>IF(COUNTIF('R6開放'!A:A,B58)&gt;0,"R6release","")</f>
        <v/>
      </c>
      <c r="G58" s="7" t="s">
        <v>240</v>
      </c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7">
        <f ca="1">IFERROR(VLOOKUP(B58,input_356010!L:R,7,FALSE),VLOOKUP(tables_356010!C58,input_356010!A:H,8,FALSE))</f>
        <v>13132.8</v>
      </c>
      <c r="P58" s="48">
        <f t="shared" ca="1" si="2"/>
        <v>8.8615384615384606E-3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input_356010!A$2</f>
        <v>356010</v>
      </c>
      <c r="B59" s="6">
        <v>183</v>
      </c>
      <c r="C59" s="7" t="str">
        <f t="shared" si="0"/>
        <v>Premium5color</v>
      </c>
      <c r="D59" s="7" t="str">
        <f t="shared" si="1"/>
        <v>Premium</v>
      </c>
      <c r="E59" s="7" t="str">
        <f>IF(COUNTIF('R6追加前'!A:A,B59)=0,IF(I59="PremiumSS","R5only","R3less"),"")</f>
        <v/>
      </c>
      <c r="F59" s="7" t="str">
        <f>IF(COUNTIF('R6開放'!A:A,B59)&gt;0,"R6release","")</f>
        <v/>
      </c>
      <c r="G59" s="7" t="s">
        <v>240</v>
      </c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7">
        <f ca="1">IFERROR(VLOOKUP(B59,input_356010!L:R,7,FALSE),VLOOKUP(tables_356010!C59,input_356010!A:H,8,FALSE))</f>
        <v>1459.2</v>
      </c>
      <c r="P59" s="48">
        <f t="shared" ca="1" si="2"/>
        <v>9.8461538461538456E-4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input_356010!A$2</f>
        <v>356010</v>
      </c>
      <c r="B60" s="6">
        <v>184</v>
      </c>
      <c r="C60" s="7" t="str">
        <f t="shared" si="0"/>
        <v>Premium3</v>
      </c>
      <c r="D60" s="7" t="str">
        <f t="shared" si="1"/>
        <v>Premium</v>
      </c>
      <c r="E60" s="7" t="str">
        <f>IF(COUNTIF('R6追加前'!A:A,B60)=0,IF(I60="PremiumSS","R5only","R3less"),"")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7">
        <f ca="1">IFERROR(VLOOKUP(B60,input_356010!L:R,7,FALSE),VLOOKUP(tables_356010!C60,input_356010!A:H,8,FALSE))</f>
        <v>3648</v>
      </c>
      <c r="P60" s="48">
        <f t="shared" ca="1" si="2"/>
        <v>2.4615384615384616E-3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input_356010!A$2</f>
        <v>356010</v>
      </c>
      <c r="B61" s="6">
        <v>185</v>
      </c>
      <c r="C61" s="7" t="str">
        <f t="shared" si="0"/>
        <v>Premium4</v>
      </c>
      <c r="D61" s="7" t="str">
        <f t="shared" si="1"/>
        <v>Premium</v>
      </c>
      <c r="E61" s="7" t="str">
        <f>IF(COUNTIF('R6追加前'!A:A,B61)=0,IF(I61="PremiumSS","R5only","R3less"),"")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7">
        <f ca="1">IFERROR(VLOOKUP(B61,input_356010!L:R,7,FALSE),VLOOKUP(tables_356010!C61,input_356010!A:H,8,FALSE))</f>
        <v>3283.2</v>
      </c>
      <c r="P61" s="48">
        <f t="shared" ca="1" si="2"/>
        <v>2.2153846153846152E-3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input_356010!A$2</f>
        <v>356010</v>
      </c>
      <c r="B62" s="8">
        <v>186</v>
      </c>
      <c r="C62" s="7" t="str">
        <f t="shared" si="0"/>
        <v>Premium5</v>
      </c>
      <c r="D62" s="7" t="str">
        <f t="shared" si="1"/>
        <v>Premium</v>
      </c>
      <c r="E62" s="7" t="str">
        <f>IF(COUNTIF('R6追加前'!A:A,B62)=0,IF(I62="PremiumSS","R5only","R3less"),"")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7">
        <f ca="1">IFERROR(VLOOKUP(B62,input_356010!L:R,7,FALSE),VLOOKUP(tables_356010!C62,input_356010!A:H,8,FALSE))</f>
        <v>364.8</v>
      </c>
      <c r="P62" s="48">
        <f t="shared" ca="1" si="2"/>
        <v>2.4615384615384614E-4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input_356010!A$2</f>
        <v>356010</v>
      </c>
      <c r="B63" s="8">
        <v>187</v>
      </c>
      <c r="C63" s="7" t="str">
        <f t="shared" si="0"/>
        <v>Premium3</v>
      </c>
      <c r="D63" s="7" t="str">
        <f t="shared" si="1"/>
        <v>Premium</v>
      </c>
      <c r="E63" s="7" t="str">
        <f>IF(COUNTIF('R6追加前'!A:A,B63)=0,IF(I63="PremiumSS","R5only","R3less"),"")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7">
        <f ca="1">IFERROR(VLOOKUP(B63,input_356010!L:R,7,FALSE),VLOOKUP(tables_356010!C63,input_356010!A:H,8,FALSE))</f>
        <v>3648</v>
      </c>
      <c r="P63" s="48">
        <f t="shared" ca="1" si="2"/>
        <v>2.4615384615384616E-3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input_356010!A$2</f>
        <v>356010</v>
      </c>
      <c r="B64" s="8">
        <v>188</v>
      </c>
      <c r="C64" s="7" t="str">
        <f t="shared" si="0"/>
        <v>Premium4</v>
      </c>
      <c r="D64" s="7" t="str">
        <f t="shared" si="1"/>
        <v>Premium</v>
      </c>
      <c r="E64" s="7" t="str">
        <f>IF(COUNTIF('R6追加前'!A:A,B64)=0,IF(I64="PremiumSS","R5only","R3less"),"")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7">
        <f ca="1">IFERROR(VLOOKUP(B64,input_356010!L:R,7,FALSE),VLOOKUP(tables_356010!C64,input_356010!A:H,8,FALSE))</f>
        <v>3283.2</v>
      </c>
      <c r="P64" s="48">
        <f t="shared" ca="1" si="2"/>
        <v>2.2153846153846152E-3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input_356010!A$2</f>
        <v>356010</v>
      </c>
      <c r="B65" s="8">
        <v>189</v>
      </c>
      <c r="C65" s="7" t="str">
        <f t="shared" si="0"/>
        <v>Premium5</v>
      </c>
      <c r="D65" s="7" t="str">
        <f t="shared" si="1"/>
        <v>Premium</v>
      </c>
      <c r="E65" s="7" t="str">
        <f>IF(COUNTIF('R6追加前'!A:A,B65)=0,IF(I65="PremiumSS","R5only","R3less"),"")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7">
        <f ca="1">IFERROR(VLOOKUP(B65,input_356010!L:R,7,FALSE),VLOOKUP(tables_356010!C65,input_356010!A:H,8,FALSE))</f>
        <v>364.8</v>
      </c>
      <c r="P65" s="48">
        <f t="shared" ca="1" si="2"/>
        <v>2.4615384615384614E-4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input_356010!A$2</f>
        <v>356010</v>
      </c>
      <c r="B66" s="6">
        <v>190</v>
      </c>
      <c r="C66" s="7" t="str">
        <f t="shared" ref="C66:C129" si="3">D66&amp;J66&amp;E66&amp;F66&amp;G66</f>
        <v>Premium3color</v>
      </c>
      <c r="D66" s="7" t="str">
        <f t="shared" si="1"/>
        <v>Premium</v>
      </c>
      <c r="E66" s="7" t="str">
        <f>IF(COUNTIF('R6追加前'!A:A,B66)=0,IF(I66="PremiumSS","R5only","R3less"),"")</f>
        <v/>
      </c>
      <c r="F66" s="7" t="str">
        <f>IF(COUNTIF('R6開放'!A:A,B66)&gt;0,"R6release","")</f>
        <v/>
      </c>
      <c r="G66" s="7" t="s">
        <v>240</v>
      </c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7">
        <f ca="1">IFERROR(VLOOKUP(B66,input_356010!L:R,7,FALSE),VLOOKUP(tables_356010!C66,input_356010!A:H,8,FALSE))</f>
        <v>14592</v>
      </c>
      <c r="P66" s="48">
        <f t="shared" ca="1" si="2"/>
        <v>9.8461538461538465E-3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input_356010!A$2</f>
        <v>356010</v>
      </c>
      <c r="B67" s="6">
        <v>191</v>
      </c>
      <c r="C67" s="7" t="str">
        <f t="shared" si="3"/>
        <v>Premium4color</v>
      </c>
      <c r="D67" s="7" t="str">
        <f t="shared" ref="D67:D130" si="4">IF(I67="PremiumSS",I67,IF(I67="PremiumSSS",I67,IF(I67="PremiumW",I67,"Premium")))</f>
        <v>Premium</v>
      </c>
      <c r="E67" s="7" t="str">
        <f>IF(COUNTIF('R6追加前'!A:A,B67)=0,IF(I67="PremiumSS","R5only","R3less"),"")</f>
        <v/>
      </c>
      <c r="F67" s="7" t="str">
        <f>IF(COUNTIF('R6開放'!A:A,B67)&gt;0,"R6release","")</f>
        <v/>
      </c>
      <c r="G67" s="7" t="s">
        <v>240</v>
      </c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7">
        <f ca="1">IFERROR(VLOOKUP(B67,input_356010!L:R,7,FALSE),VLOOKUP(tables_356010!C67,input_356010!A:H,8,FALSE))</f>
        <v>13132.8</v>
      </c>
      <c r="P67" s="48">
        <f t="shared" ca="1" si="2"/>
        <v>8.8615384615384606E-3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input_356010!A$2</f>
        <v>356010</v>
      </c>
      <c r="B68" s="6">
        <v>192</v>
      </c>
      <c r="C68" s="7" t="str">
        <f t="shared" si="3"/>
        <v>Premium5color</v>
      </c>
      <c r="D68" s="7" t="str">
        <f t="shared" si="4"/>
        <v>Premium</v>
      </c>
      <c r="E68" s="7" t="str">
        <f>IF(COUNTIF('R6追加前'!A:A,B68)=0,IF(I68="PremiumSS","R5only","R3less"),"")</f>
        <v/>
      </c>
      <c r="F68" s="7" t="str">
        <f>IF(COUNTIF('R6開放'!A:A,B68)&gt;0,"R6release","")</f>
        <v/>
      </c>
      <c r="G68" s="7" t="s">
        <v>240</v>
      </c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7">
        <f ca="1">IFERROR(VLOOKUP(B68,input_356010!L:R,7,FALSE),VLOOKUP(tables_356010!C68,input_356010!A:H,8,FALSE))</f>
        <v>1459.2</v>
      </c>
      <c r="P68" s="48">
        <f t="shared" ca="1" si="2"/>
        <v>9.8461538461538456E-4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input_356010!A$2</f>
        <v>356010</v>
      </c>
      <c r="B69" s="6">
        <v>193</v>
      </c>
      <c r="C69" s="7" t="str">
        <f t="shared" si="3"/>
        <v>Premium3color</v>
      </c>
      <c r="D69" s="7" t="str">
        <f t="shared" si="4"/>
        <v>Premium</v>
      </c>
      <c r="E69" s="7" t="str">
        <f>IF(COUNTIF('R6追加前'!A:A,B69)=0,IF(I69="PremiumSS","R5only","R3less"),"")</f>
        <v/>
      </c>
      <c r="F69" s="7" t="str">
        <f>IF(COUNTIF('R6開放'!A:A,B69)&gt;0,"R6release","")</f>
        <v/>
      </c>
      <c r="G69" s="7" t="s">
        <v>240</v>
      </c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7">
        <f ca="1">IFERROR(VLOOKUP(B69,input_356010!L:R,7,FALSE),VLOOKUP(tables_356010!C69,input_356010!A:H,8,FALSE))</f>
        <v>14592</v>
      </c>
      <c r="P69" s="48">
        <f t="shared" ca="1" si="2"/>
        <v>9.8461538461538465E-3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input_356010!A$2</f>
        <v>356010</v>
      </c>
      <c r="B70" s="10">
        <v>194</v>
      </c>
      <c r="C70" s="7" t="str">
        <f t="shared" si="3"/>
        <v>Premium4color</v>
      </c>
      <c r="D70" s="7" t="str">
        <f t="shared" si="4"/>
        <v>Premium</v>
      </c>
      <c r="E70" s="7" t="str">
        <f>IF(COUNTIF('R6追加前'!A:A,B70)=0,IF(I70="PremiumSS","R5only","R3less"),"")</f>
        <v/>
      </c>
      <c r="F70" s="7" t="str">
        <f>IF(COUNTIF('R6開放'!A:A,B70)&gt;0,"R6release","")</f>
        <v/>
      </c>
      <c r="G70" s="7" t="s">
        <v>240</v>
      </c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7">
        <f ca="1">IFERROR(VLOOKUP(B70,input_356010!L:R,7,FALSE),VLOOKUP(tables_356010!C70,input_356010!A:H,8,FALSE))</f>
        <v>13132.8</v>
      </c>
      <c r="P70" s="48">
        <f t="shared" ca="1" si="2"/>
        <v>8.8615384615384606E-3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input_356010!A$2</f>
        <v>356010</v>
      </c>
      <c r="B71" s="6">
        <v>195</v>
      </c>
      <c r="C71" s="7" t="str">
        <f t="shared" si="3"/>
        <v>Premium5color</v>
      </c>
      <c r="D71" s="7" t="str">
        <f t="shared" si="4"/>
        <v>Premium</v>
      </c>
      <c r="E71" s="7" t="str">
        <f>IF(COUNTIF('R6追加前'!A:A,B71)=0,IF(I71="PremiumSS","R5only","R3less"),"")</f>
        <v/>
      </c>
      <c r="F71" s="7" t="str">
        <f>IF(COUNTIF('R6開放'!A:A,B71)&gt;0,"R6release","")</f>
        <v/>
      </c>
      <c r="G71" s="7" t="s">
        <v>240</v>
      </c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7">
        <f ca="1">IFERROR(VLOOKUP(B71,input_356010!L:R,7,FALSE),VLOOKUP(tables_356010!C71,input_356010!A:H,8,FALSE))</f>
        <v>1459.2</v>
      </c>
      <c r="P71" s="48">
        <f t="shared" ca="1" si="2"/>
        <v>9.8461538461538456E-4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input_356010!A$2</f>
        <v>356010</v>
      </c>
      <c r="B72" s="10">
        <v>196</v>
      </c>
      <c r="C72" s="7" t="str">
        <f t="shared" si="3"/>
        <v>Premium3</v>
      </c>
      <c r="D72" s="7" t="str">
        <f t="shared" si="4"/>
        <v>Premium</v>
      </c>
      <c r="E72" s="7" t="str">
        <f>IF(COUNTIF('R6追加前'!A:A,B72)=0,IF(I72="PremiumSS","R5only","R3less"),"")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7">
        <f ca="1">IFERROR(VLOOKUP(B72,input_356010!L:R,7,FALSE),VLOOKUP(tables_356010!C72,input_356010!A:H,8,FALSE))</f>
        <v>3648</v>
      </c>
      <c r="P72" s="48">
        <f t="shared" ca="1" si="2"/>
        <v>2.4615384615384616E-3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input_356010!A$2</f>
        <v>356010</v>
      </c>
      <c r="B73" s="11">
        <v>197</v>
      </c>
      <c r="C73" s="7" t="str">
        <f t="shared" si="3"/>
        <v>Premium4</v>
      </c>
      <c r="D73" s="7" t="str">
        <f t="shared" si="4"/>
        <v>Premium</v>
      </c>
      <c r="E73" s="7" t="str">
        <f>IF(COUNTIF('R6追加前'!A:A,B73)=0,IF(I73="PremiumSS","R5only","R3less"),"")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7">
        <f ca="1">IFERROR(VLOOKUP(B73,input_356010!L:R,7,FALSE),VLOOKUP(tables_356010!C73,input_356010!A:H,8,FALSE))</f>
        <v>3283.2</v>
      </c>
      <c r="P73" s="48">
        <f t="shared" ca="1" si="2"/>
        <v>2.2153846153846152E-3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input_356010!A$2</f>
        <v>356010</v>
      </c>
      <c r="B74" s="6">
        <v>198</v>
      </c>
      <c r="C74" s="7" t="str">
        <f t="shared" si="3"/>
        <v>Premium5</v>
      </c>
      <c r="D74" s="7" t="str">
        <f t="shared" si="4"/>
        <v>Premium</v>
      </c>
      <c r="E74" s="7" t="str">
        <f>IF(COUNTIF('R6追加前'!A:A,B74)=0,IF(I74="PremiumSS","R5only","R3less"),"")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7">
        <f ca="1">IFERROR(VLOOKUP(B74,input_356010!L:R,7,FALSE),VLOOKUP(tables_356010!C74,input_356010!A:H,8,FALSE))</f>
        <v>364.8</v>
      </c>
      <c r="P74" s="48">
        <f t="shared" ca="1" si="2"/>
        <v>2.4615384615384614E-4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input_356010!A$2</f>
        <v>356010</v>
      </c>
      <c r="B75" s="6">
        <v>199</v>
      </c>
      <c r="C75" s="7" t="str">
        <f t="shared" si="3"/>
        <v>Premium3</v>
      </c>
      <c r="D75" s="7" t="str">
        <f t="shared" si="4"/>
        <v>Premium</v>
      </c>
      <c r="E75" s="7" t="str">
        <f>IF(COUNTIF('R6追加前'!A:A,B75)=0,IF(I75="PremiumSS","R5only","R3less"),"")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7">
        <f ca="1">IFERROR(VLOOKUP(B75,input_356010!L:R,7,FALSE),VLOOKUP(tables_356010!C75,input_356010!A:H,8,FALSE))</f>
        <v>3648</v>
      </c>
      <c r="P75" s="48">
        <f t="shared" ca="1" si="2"/>
        <v>2.4615384615384616E-3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input_356010!A$2</f>
        <v>356010</v>
      </c>
      <c r="B76" s="6">
        <v>200</v>
      </c>
      <c r="C76" s="7" t="str">
        <f t="shared" si="3"/>
        <v>Premium4</v>
      </c>
      <c r="D76" s="7" t="str">
        <f t="shared" si="4"/>
        <v>Premium</v>
      </c>
      <c r="E76" s="7" t="str">
        <f>IF(COUNTIF('R6追加前'!A:A,B76)=0,IF(I76="PremiumSS","R5only","R3less"),"")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7">
        <f ca="1">IFERROR(VLOOKUP(B76,input_356010!L:R,7,FALSE),VLOOKUP(tables_356010!C76,input_356010!A:H,8,FALSE))</f>
        <v>3283.2</v>
      </c>
      <c r="P76" s="48">
        <f t="shared" ca="1" si="2"/>
        <v>2.2153846153846152E-3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input_356010!A$2</f>
        <v>356010</v>
      </c>
      <c r="B77" s="5">
        <v>201</v>
      </c>
      <c r="C77" s="7" t="str">
        <f t="shared" si="3"/>
        <v>Premium5</v>
      </c>
      <c r="D77" s="7" t="str">
        <f t="shared" si="4"/>
        <v>Premium</v>
      </c>
      <c r="E77" s="7" t="str">
        <f>IF(COUNTIF('R6追加前'!A:A,B77)=0,IF(I77="PremiumSS","R5only","R3less"),"")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7">
        <f ca="1">IFERROR(VLOOKUP(B77,input_356010!L:R,7,FALSE),VLOOKUP(tables_356010!C77,input_356010!A:H,8,FALSE))</f>
        <v>364.8</v>
      </c>
      <c r="P77" s="48">
        <f t="shared" ca="1" si="2"/>
        <v>2.4615384615384614E-4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input_356010!A$2</f>
        <v>356010</v>
      </c>
      <c r="B78" s="5">
        <v>202</v>
      </c>
      <c r="C78" s="7" t="str">
        <f t="shared" si="3"/>
        <v>Premium3color</v>
      </c>
      <c r="D78" s="7" t="str">
        <f t="shared" si="4"/>
        <v>Premium</v>
      </c>
      <c r="E78" s="7" t="str">
        <f>IF(COUNTIF('R6追加前'!A:A,B78)=0,IF(I78="PremiumSS","R5only","R3less"),"")</f>
        <v/>
      </c>
      <c r="F78" s="7" t="str">
        <f>IF(COUNTIF('R6開放'!A:A,B78)&gt;0,"R6release","")</f>
        <v/>
      </c>
      <c r="G78" s="7" t="s">
        <v>240</v>
      </c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7">
        <f ca="1">IFERROR(VLOOKUP(B78,input_356010!L:R,7,FALSE),VLOOKUP(tables_356010!C78,input_356010!A:H,8,FALSE))</f>
        <v>14592</v>
      </c>
      <c r="P78" s="48">
        <f t="shared" ca="1" si="2"/>
        <v>9.8461538461538465E-3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input_356010!A$2</f>
        <v>356010</v>
      </c>
      <c r="B79" s="5">
        <v>203</v>
      </c>
      <c r="C79" s="7" t="str">
        <f t="shared" si="3"/>
        <v>Premium4color</v>
      </c>
      <c r="D79" s="7" t="str">
        <f t="shared" si="4"/>
        <v>Premium</v>
      </c>
      <c r="E79" s="7" t="str">
        <f>IF(COUNTIF('R6追加前'!A:A,B79)=0,IF(I79="PremiumSS","R5only","R3less"),"")</f>
        <v/>
      </c>
      <c r="F79" s="7" t="str">
        <f>IF(COUNTIF('R6開放'!A:A,B79)&gt;0,"R6release","")</f>
        <v/>
      </c>
      <c r="G79" s="7" t="s">
        <v>240</v>
      </c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7">
        <f ca="1">IFERROR(VLOOKUP(B79,input_356010!L:R,7,FALSE),VLOOKUP(tables_356010!C79,input_356010!A:H,8,FALSE))</f>
        <v>13132.8</v>
      </c>
      <c r="P79" s="48">
        <f t="shared" ref="P79:P142" ca="1" si="5">O79/SUM(O:O)</f>
        <v>8.8615384615384606E-3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input_356010!A$2</f>
        <v>356010</v>
      </c>
      <c r="B80" s="5">
        <v>204</v>
      </c>
      <c r="C80" s="7" t="str">
        <f t="shared" si="3"/>
        <v>Premium5color</v>
      </c>
      <c r="D80" s="7" t="str">
        <f t="shared" si="4"/>
        <v>Premium</v>
      </c>
      <c r="E80" s="7" t="str">
        <f>IF(COUNTIF('R6追加前'!A:A,B80)=0,IF(I80="PremiumSS","R5only","R3less"),"")</f>
        <v/>
      </c>
      <c r="F80" s="7" t="str">
        <f>IF(COUNTIF('R6開放'!A:A,B80)&gt;0,"R6release","")</f>
        <v/>
      </c>
      <c r="G80" s="7" t="s">
        <v>240</v>
      </c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7">
        <f ca="1">IFERROR(VLOOKUP(B80,input_356010!L:R,7,FALSE),VLOOKUP(tables_356010!C80,input_356010!A:H,8,FALSE))</f>
        <v>1459.2</v>
      </c>
      <c r="P80" s="48">
        <f t="shared" ca="1" si="5"/>
        <v>9.8461538461538456E-4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input_356010!A$2</f>
        <v>356010</v>
      </c>
      <c r="B81" s="5">
        <v>205</v>
      </c>
      <c r="C81" s="7" t="str">
        <f t="shared" si="3"/>
        <v>Premium3color</v>
      </c>
      <c r="D81" s="7" t="str">
        <f t="shared" si="4"/>
        <v>Premium</v>
      </c>
      <c r="E81" s="7" t="str">
        <f>IF(COUNTIF('R6追加前'!A:A,B81)=0,IF(I81="PremiumSS","R5only","R3less"),"")</f>
        <v/>
      </c>
      <c r="F81" s="7" t="str">
        <f>IF(COUNTIF('R6開放'!A:A,B81)&gt;0,"R6release","")</f>
        <v/>
      </c>
      <c r="G81" s="7" t="s">
        <v>240</v>
      </c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7">
        <f ca="1">IFERROR(VLOOKUP(B81,input_356010!L:R,7,FALSE),VLOOKUP(tables_356010!C81,input_356010!A:H,8,FALSE))</f>
        <v>14592</v>
      </c>
      <c r="P81" s="48">
        <f t="shared" ca="1" si="5"/>
        <v>9.8461538461538465E-3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input_356010!A$2</f>
        <v>356010</v>
      </c>
      <c r="B82" s="5">
        <v>206</v>
      </c>
      <c r="C82" s="7" t="str">
        <f t="shared" si="3"/>
        <v>Premium4color</v>
      </c>
      <c r="D82" s="7" t="str">
        <f t="shared" si="4"/>
        <v>Premium</v>
      </c>
      <c r="E82" s="7" t="str">
        <f>IF(COUNTIF('R6追加前'!A:A,B82)=0,IF(I82="PremiumSS","R5only","R3less"),"")</f>
        <v/>
      </c>
      <c r="F82" s="7" t="str">
        <f>IF(COUNTIF('R6開放'!A:A,B82)&gt;0,"R6release","")</f>
        <v/>
      </c>
      <c r="G82" s="7" t="s">
        <v>240</v>
      </c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7">
        <f ca="1">IFERROR(VLOOKUP(B82,input_356010!L:R,7,FALSE),VLOOKUP(tables_356010!C82,input_356010!A:H,8,FALSE))</f>
        <v>13132.8</v>
      </c>
      <c r="P82" s="48">
        <f t="shared" ca="1" si="5"/>
        <v>8.8615384615384606E-3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input_356010!A$2</f>
        <v>356010</v>
      </c>
      <c r="B83" s="5">
        <v>207</v>
      </c>
      <c r="C83" s="7" t="str">
        <f t="shared" si="3"/>
        <v>Premium5color</v>
      </c>
      <c r="D83" s="7" t="str">
        <f t="shared" si="4"/>
        <v>Premium</v>
      </c>
      <c r="E83" s="7" t="str">
        <f>IF(COUNTIF('R6追加前'!A:A,B83)=0,IF(I83="PremiumSS","R5only","R3less"),"")</f>
        <v/>
      </c>
      <c r="F83" s="7" t="str">
        <f>IF(COUNTIF('R6開放'!A:A,B83)&gt;0,"R6release","")</f>
        <v/>
      </c>
      <c r="G83" s="7" t="s">
        <v>240</v>
      </c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7">
        <f ca="1">IFERROR(VLOOKUP(B83,input_356010!L:R,7,FALSE),VLOOKUP(tables_356010!C83,input_356010!A:H,8,FALSE))</f>
        <v>1459.2</v>
      </c>
      <c r="P83" s="48">
        <f t="shared" ca="1" si="5"/>
        <v>9.8461538461538456E-4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input_356010!A$2</f>
        <v>356010</v>
      </c>
      <c r="B84" s="5">
        <v>208</v>
      </c>
      <c r="C84" s="7" t="str">
        <f t="shared" si="3"/>
        <v>Premium3</v>
      </c>
      <c r="D84" s="7" t="str">
        <f t="shared" si="4"/>
        <v>Premium</v>
      </c>
      <c r="E84" s="7" t="str">
        <f>IF(COUNTIF('R6追加前'!A:A,B84)=0,IF(I84="PremiumSS","R5only","R3less"),"")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7">
        <f ca="1">IFERROR(VLOOKUP(B84,input_356010!L:R,7,FALSE),VLOOKUP(tables_356010!C84,input_356010!A:H,8,FALSE))</f>
        <v>3648</v>
      </c>
      <c r="P84" s="48">
        <f t="shared" ca="1" si="5"/>
        <v>2.4615384615384616E-3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input_356010!A$2</f>
        <v>356010</v>
      </c>
      <c r="B85" s="5">
        <v>209</v>
      </c>
      <c r="C85" s="7" t="str">
        <f t="shared" si="3"/>
        <v>Premium4</v>
      </c>
      <c r="D85" s="7" t="str">
        <f t="shared" si="4"/>
        <v>Premium</v>
      </c>
      <c r="E85" s="7" t="str">
        <f>IF(COUNTIF('R6追加前'!A:A,B85)=0,IF(I85="PremiumSS","R5only","R3less"),"")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7">
        <f ca="1">IFERROR(VLOOKUP(B85,input_356010!L:R,7,FALSE),VLOOKUP(tables_356010!C85,input_356010!A:H,8,FALSE))</f>
        <v>3283.2</v>
      </c>
      <c r="P85" s="48">
        <f t="shared" ca="1" si="5"/>
        <v>2.2153846153846152E-3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input_356010!A$2</f>
        <v>356010</v>
      </c>
      <c r="B86" s="5">
        <v>210</v>
      </c>
      <c r="C86" s="7" t="str">
        <f t="shared" si="3"/>
        <v>Premium5</v>
      </c>
      <c r="D86" s="7" t="str">
        <f t="shared" si="4"/>
        <v>Premium</v>
      </c>
      <c r="E86" s="7" t="str">
        <f>IF(COUNTIF('R6追加前'!A:A,B86)=0,IF(I86="PremiumSS","R5only","R3less"),"")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7">
        <f ca="1">IFERROR(VLOOKUP(B86,input_356010!L:R,7,FALSE),VLOOKUP(tables_356010!C86,input_356010!A:H,8,FALSE))</f>
        <v>364.8</v>
      </c>
      <c r="P86" s="48">
        <f t="shared" ca="1" si="5"/>
        <v>2.4615384615384614E-4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input_356010!A$2</f>
        <v>356010</v>
      </c>
      <c r="B87" s="5">
        <v>211</v>
      </c>
      <c r="C87" s="7" t="str">
        <f t="shared" si="3"/>
        <v>Premium3</v>
      </c>
      <c r="D87" s="7" t="str">
        <f t="shared" si="4"/>
        <v>Premium</v>
      </c>
      <c r="E87" s="7" t="str">
        <f>IF(COUNTIF('R6追加前'!A:A,B87)=0,IF(I87="PremiumSS","R5only","R3less"),"")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7">
        <f ca="1">IFERROR(VLOOKUP(B87,input_356010!L:R,7,FALSE),VLOOKUP(tables_356010!C87,input_356010!A:H,8,FALSE))</f>
        <v>3648</v>
      </c>
      <c r="P87" s="48">
        <f t="shared" ca="1" si="5"/>
        <v>2.4615384615384616E-3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input_356010!A$2</f>
        <v>356010</v>
      </c>
      <c r="B88" s="5">
        <v>212</v>
      </c>
      <c r="C88" s="7" t="str">
        <f t="shared" si="3"/>
        <v>Premium4</v>
      </c>
      <c r="D88" s="7" t="str">
        <f t="shared" si="4"/>
        <v>Premium</v>
      </c>
      <c r="E88" s="7" t="str">
        <f>IF(COUNTIF('R6追加前'!A:A,B88)=0,IF(I88="PremiumSS","R5only","R3less"),"")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7">
        <f ca="1">IFERROR(VLOOKUP(B88,input_356010!L:R,7,FALSE),VLOOKUP(tables_356010!C88,input_356010!A:H,8,FALSE))</f>
        <v>3283.2</v>
      </c>
      <c r="P88" s="48">
        <f t="shared" ca="1" si="5"/>
        <v>2.2153846153846152E-3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input_356010!A$2</f>
        <v>356010</v>
      </c>
      <c r="B89" s="5">
        <v>213</v>
      </c>
      <c r="C89" s="7" t="str">
        <f t="shared" si="3"/>
        <v>Premium5</v>
      </c>
      <c r="D89" s="7" t="str">
        <f t="shared" si="4"/>
        <v>Premium</v>
      </c>
      <c r="E89" s="7" t="str">
        <f>IF(COUNTIF('R6追加前'!A:A,B89)=0,IF(I89="PremiumSS","R5only","R3less"),"")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7">
        <f ca="1">IFERROR(VLOOKUP(B89,input_356010!L:R,7,FALSE),VLOOKUP(tables_356010!C89,input_356010!A:H,8,FALSE))</f>
        <v>364.8</v>
      </c>
      <c r="P89" s="48">
        <f t="shared" ca="1" si="5"/>
        <v>2.4615384615384614E-4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input_356010!A$2</f>
        <v>356010</v>
      </c>
      <c r="B90" s="5">
        <v>214</v>
      </c>
      <c r="C90" s="7" t="str">
        <f t="shared" si="3"/>
        <v>Premium3color</v>
      </c>
      <c r="D90" s="7" t="str">
        <f t="shared" si="4"/>
        <v>Premium</v>
      </c>
      <c r="E90" s="7" t="str">
        <f>IF(COUNTIF('R6追加前'!A:A,B90)=0,IF(I90="PremiumSS","R5only","R3less"),"")</f>
        <v/>
      </c>
      <c r="F90" s="7" t="str">
        <f>IF(COUNTIF('R6開放'!A:A,B90)&gt;0,"R6release","")</f>
        <v/>
      </c>
      <c r="G90" s="7" t="s">
        <v>240</v>
      </c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7">
        <f ca="1">IFERROR(VLOOKUP(B90,input_356010!L:R,7,FALSE),VLOOKUP(tables_356010!C90,input_356010!A:H,8,FALSE))</f>
        <v>14592</v>
      </c>
      <c r="P90" s="48">
        <f t="shared" ca="1" si="5"/>
        <v>9.8461538461538465E-3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input_356010!A$2</f>
        <v>356010</v>
      </c>
      <c r="B91" s="5">
        <v>215</v>
      </c>
      <c r="C91" s="7" t="str">
        <f t="shared" si="3"/>
        <v>Premium4color</v>
      </c>
      <c r="D91" s="7" t="str">
        <f t="shared" si="4"/>
        <v>Premium</v>
      </c>
      <c r="E91" s="7" t="str">
        <f>IF(COUNTIF('R6追加前'!A:A,B91)=0,IF(I91="PremiumSS","R5only","R3less"),"")</f>
        <v/>
      </c>
      <c r="F91" s="7" t="str">
        <f>IF(COUNTIF('R6開放'!A:A,B91)&gt;0,"R6release","")</f>
        <v/>
      </c>
      <c r="G91" s="7" t="s">
        <v>240</v>
      </c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7">
        <f ca="1">IFERROR(VLOOKUP(B91,input_356010!L:R,7,FALSE),VLOOKUP(tables_356010!C91,input_356010!A:H,8,FALSE))</f>
        <v>13132.8</v>
      </c>
      <c r="P91" s="48">
        <f t="shared" ca="1" si="5"/>
        <v>8.8615384615384606E-3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input_356010!A$2</f>
        <v>356010</v>
      </c>
      <c r="B92" s="5">
        <v>216</v>
      </c>
      <c r="C92" s="7" t="str">
        <f t="shared" si="3"/>
        <v>Premium5color</v>
      </c>
      <c r="D92" s="7" t="str">
        <f t="shared" si="4"/>
        <v>Premium</v>
      </c>
      <c r="E92" s="7" t="str">
        <f>IF(COUNTIF('R6追加前'!A:A,B92)=0,IF(I92="PremiumSS","R5only","R3less"),"")</f>
        <v/>
      </c>
      <c r="F92" s="7" t="str">
        <f>IF(COUNTIF('R6開放'!A:A,B92)&gt;0,"R6release","")</f>
        <v/>
      </c>
      <c r="G92" s="7" t="s">
        <v>240</v>
      </c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7">
        <f ca="1">IFERROR(VLOOKUP(B92,input_356010!L:R,7,FALSE),VLOOKUP(tables_356010!C92,input_356010!A:H,8,FALSE))</f>
        <v>1459.2</v>
      </c>
      <c r="P92" s="48">
        <f t="shared" ca="1" si="5"/>
        <v>9.8461538461538456E-4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input_356010!A$2</f>
        <v>356010</v>
      </c>
      <c r="B93" s="5">
        <v>217</v>
      </c>
      <c r="C93" s="7" t="str">
        <f t="shared" si="3"/>
        <v>Premium3color</v>
      </c>
      <c r="D93" s="7" t="str">
        <f t="shared" si="4"/>
        <v>Premium</v>
      </c>
      <c r="E93" s="7" t="str">
        <f>IF(COUNTIF('R6追加前'!A:A,B93)=0,IF(I93="PremiumSS","R5only","R3less"),"")</f>
        <v/>
      </c>
      <c r="F93" s="7" t="str">
        <f>IF(COUNTIF('R6開放'!A:A,B93)&gt;0,"R6release","")</f>
        <v/>
      </c>
      <c r="G93" s="7" t="s">
        <v>240</v>
      </c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7">
        <f ca="1">IFERROR(VLOOKUP(B93,input_356010!L:R,7,FALSE),VLOOKUP(tables_356010!C93,input_356010!A:H,8,FALSE))</f>
        <v>14592</v>
      </c>
      <c r="P93" s="48">
        <f t="shared" ca="1" si="5"/>
        <v>9.8461538461538465E-3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input_356010!A$2</f>
        <v>356010</v>
      </c>
      <c r="B94" s="5">
        <v>218</v>
      </c>
      <c r="C94" s="7" t="str">
        <f t="shared" si="3"/>
        <v>Premium4color</v>
      </c>
      <c r="D94" s="7" t="str">
        <f t="shared" si="4"/>
        <v>Premium</v>
      </c>
      <c r="E94" s="7" t="str">
        <f>IF(COUNTIF('R6追加前'!A:A,B94)=0,IF(I94="PremiumSS","R5only","R3less"),"")</f>
        <v/>
      </c>
      <c r="F94" s="7" t="str">
        <f>IF(COUNTIF('R6開放'!A:A,B94)&gt;0,"R6release","")</f>
        <v/>
      </c>
      <c r="G94" s="7" t="s">
        <v>240</v>
      </c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7">
        <f ca="1">IFERROR(VLOOKUP(B94,input_356010!L:R,7,FALSE),VLOOKUP(tables_356010!C94,input_356010!A:H,8,FALSE))</f>
        <v>13132.8</v>
      </c>
      <c r="P94" s="48">
        <f t="shared" ca="1" si="5"/>
        <v>8.8615384615384606E-3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input_356010!A$2</f>
        <v>356010</v>
      </c>
      <c r="B95" s="5">
        <v>219</v>
      </c>
      <c r="C95" s="7" t="str">
        <f t="shared" si="3"/>
        <v>Premium5color</v>
      </c>
      <c r="D95" s="7" t="str">
        <f t="shared" si="4"/>
        <v>Premium</v>
      </c>
      <c r="E95" s="7" t="str">
        <f>IF(COUNTIF('R6追加前'!A:A,B95)=0,IF(I95="PremiumSS","R5only","R3less"),"")</f>
        <v/>
      </c>
      <c r="F95" s="7" t="str">
        <f>IF(COUNTIF('R6開放'!A:A,B95)&gt;0,"R6release","")</f>
        <v/>
      </c>
      <c r="G95" s="7" t="s">
        <v>240</v>
      </c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7">
        <f ca="1">IFERROR(VLOOKUP(B95,input_356010!L:R,7,FALSE),VLOOKUP(tables_356010!C95,input_356010!A:H,8,FALSE))</f>
        <v>1459.2</v>
      </c>
      <c r="P95" s="48">
        <f t="shared" ca="1" si="5"/>
        <v>9.8461538461538456E-4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input_356010!A$2</f>
        <v>356010</v>
      </c>
      <c r="B96" s="5">
        <v>220</v>
      </c>
      <c r="C96" s="7" t="str">
        <f t="shared" si="3"/>
        <v>Premium3</v>
      </c>
      <c r="D96" s="7" t="str">
        <f t="shared" si="4"/>
        <v>Premium</v>
      </c>
      <c r="E96" s="7" t="str">
        <f>IF(COUNTIF('R6追加前'!A:A,B96)=0,IF(I96="PremiumSS","R5only","R3less"),"")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7">
        <f ca="1">IFERROR(VLOOKUP(B96,input_356010!L:R,7,FALSE),VLOOKUP(tables_356010!C96,input_356010!A:H,8,FALSE))</f>
        <v>3648</v>
      </c>
      <c r="P96" s="48">
        <f t="shared" ca="1" si="5"/>
        <v>2.4615384615384616E-3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input_356010!A$2</f>
        <v>356010</v>
      </c>
      <c r="B97" s="5">
        <v>221</v>
      </c>
      <c r="C97" s="7" t="str">
        <f t="shared" si="3"/>
        <v>Premium4</v>
      </c>
      <c r="D97" s="7" t="str">
        <f t="shared" si="4"/>
        <v>Premium</v>
      </c>
      <c r="E97" s="7" t="str">
        <f>IF(COUNTIF('R6追加前'!A:A,B97)=0,IF(I97="PremiumSS","R5only","R3less"),"")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7">
        <f ca="1">IFERROR(VLOOKUP(B97,input_356010!L:R,7,FALSE),VLOOKUP(tables_356010!C97,input_356010!A:H,8,FALSE))</f>
        <v>3283.2</v>
      </c>
      <c r="P97" s="48">
        <f t="shared" ca="1" si="5"/>
        <v>2.2153846153846152E-3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input_356010!A$2</f>
        <v>356010</v>
      </c>
      <c r="B98" s="5">
        <v>222</v>
      </c>
      <c r="C98" s="7" t="str">
        <f t="shared" si="3"/>
        <v>Premium5</v>
      </c>
      <c r="D98" s="7" t="str">
        <f t="shared" si="4"/>
        <v>Premium</v>
      </c>
      <c r="E98" s="7" t="str">
        <f>IF(COUNTIF('R6追加前'!A:A,B98)=0,IF(I98="PremiumSS","R5only","R3less"),"")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7">
        <f ca="1">IFERROR(VLOOKUP(B98,input_356010!L:R,7,FALSE),VLOOKUP(tables_356010!C98,input_356010!A:H,8,FALSE))</f>
        <v>364.8</v>
      </c>
      <c r="P98" s="48">
        <f t="shared" ca="1" si="5"/>
        <v>2.4615384615384614E-4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input_356010!A$2</f>
        <v>356010</v>
      </c>
      <c r="B99" s="5">
        <v>223</v>
      </c>
      <c r="C99" s="7" t="str">
        <f t="shared" si="3"/>
        <v>Premium3</v>
      </c>
      <c r="D99" s="7" t="str">
        <f t="shared" si="4"/>
        <v>Premium</v>
      </c>
      <c r="E99" s="7" t="str">
        <f>IF(COUNTIF('R6追加前'!A:A,B99)=0,IF(I99="PremiumSS","R5only","R3less"),"")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7">
        <f ca="1">IFERROR(VLOOKUP(B99,input_356010!L:R,7,FALSE),VLOOKUP(tables_356010!C99,input_356010!A:H,8,FALSE))</f>
        <v>3648</v>
      </c>
      <c r="P99" s="48">
        <f t="shared" ca="1" si="5"/>
        <v>2.4615384615384616E-3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input_356010!A$2</f>
        <v>356010</v>
      </c>
      <c r="B100" s="5">
        <v>224</v>
      </c>
      <c r="C100" s="7" t="str">
        <f t="shared" si="3"/>
        <v>Premium4</v>
      </c>
      <c r="D100" s="7" t="str">
        <f t="shared" si="4"/>
        <v>Premium</v>
      </c>
      <c r="E100" s="7" t="str">
        <f>IF(COUNTIF('R6追加前'!A:A,B100)=0,IF(I100="PremiumSS","R5only","R3less"),"")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7">
        <f ca="1">IFERROR(VLOOKUP(B100,input_356010!L:R,7,FALSE),VLOOKUP(tables_356010!C100,input_356010!A:H,8,FALSE))</f>
        <v>3283.2</v>
      </c>
      <c r="P100" s="48">
        <f t="shared" ca="1" si="5"/>
        <v>2.2153846153846152E-3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input_356010!A$2</f>
        <v>356010</v>
      </c>
      <c r="B101" s="5">
        <v>225</v>
      </c>
      <c r="C101" s="7" t="str">
        <f t="shared" si="3"/>
        <v>Premium5</v>
      </c>
      <c r="D101" s="7" t="str">
        <f t="shared" si="4"/>
        <v>Premium</v>
      </c>
      <c r="E101" s="7" t="str">
        <f>IF(COUNTIF('R6追加前'!A:A,B101)=0,IF(I101="PremiumSS","R5only","R3less"),"")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7">
        <f ca="1">IFERROR(VLOOKUP(B101,input_356010!L:R,7,FALSE),VLOOKUP(tables_356010!C101,input_356010!A:H,8,FALSE))</f>
        <v>364.8</v>
      </c>
      <c r="P101" s="48">
        <f t="shared" ca="1" si="5"/>
        <v>2.4615384615384614E-4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input_356010!A$2</f>
        <v>356010</v>
      </c>
      <c r="B102" s="5">
        <v>226</v>
      </c>
      <c r="C102" s="7" t="str">
        <f t="shared" si="3"/>
        <v>Premium3color</v>
      </c>
      <c r="D102" s="7" t="str">
        <f t="shared" si="4"/>
        <v>Premium</v>
      </c>
      <c r="E102" s="7" t="str">
        <f>IF(COUNTIF('R6追加前'!A:A,B102)=0,IF(I102="PremiumSS","R5only","R3less"),"")</f>
        <v/>
      </c>
      <c r="F102" s="7" t="str">
        <f>IF(COUNTIF('R6開放'!A:A,B102)&gt;0,"R6release","")</f>
        <v/>
      </c>
      <c r="G102" s="7" t="s">
        <v>240</v>
      </c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7">
        <f ca="1">IFERROR(VLOOKUP(B102,input_356010!L:R,7,FALSE),VLOOKUP(tables_356010!C102,input_356010!A:H,8,FALSE))</f>
        <v>14592</v>
      </c>
      <c r="P102" s="48">
        <f t="shared" ca="1" si="5"/>
        <v>9.8461538461538465E-3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input_356010!A$2</f>
        <v>356010</v>
      </c>
      <c r="B103" s="5">
        <v>227</v>
      </c>
      <c r="C103" s="7" t="str">
        <f t="shared" si="3"/>
        <v>Premium4color</v>
      </c>
      <c r="D103" s="7" t="str">
        <f t="shared" si="4"/>
        <v>Premium</v>
      </c>
      <c r="E103" s="7" t="str">
        <f>IF(COUNTIF('R6追加前'!A:A,B103)=0,IF(I103="PremiumSS","R5only","R3less"),"")</f>
        <v/>
      </c>
      <c r="F103" s="7" t="str">
        <f>IF(COUNTIF('R6開放'!A:A,B103)&gt;0,"R6release","")</f>
        <v/>
      </c>
      <c r="G103" s="7" t="s">
        <v>240</v>
      </c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7">
        <f ca="1">IFERROR(VLOOKUP(B103,input_356010!L:R,7,FALSE),VLOOKUP(tables_356010!C103,input_356010!A:H,8,FALSE))</f>
        <v>13132.8</v>
      </c>
      <c r="P103" s="48">
        <f t="shared" ca="1" si="5"/>
        <v>8.8615384615384606E-3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input_356010!A$2</f>
        <v>356010</v>
      </c>
      <c r="B104" s="5">
        <v>228</v>
      </c>
      <c r="C104" s="7" t="str">
        <f t="shared" si="3"/>
        <v>Premium5color</v>
      </c>
      <c r="D104" s="7" t="str">
        <f t="shared" si="4"/>
        <v>Premium</v>
      </c>
      <c r="E104" s="7" t="str">
        <f>IF(COUNTIF('R6追加前'!A:A,B104)=0,IF(I104="PremiumSS","R5only","R3less"),"")</f>
        <v/>
      </c>
      <c r="F104" s="7" t="str">
        <f>IF(COUNTIF('R6開放'!A:A,B104)&gt;0,"R6release","")</f>
        <v/>
      </c>
      <c r="G104" s="7" t="s">
        <v>240</v>
      </c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7">
        <f ca="1">IFERROR(VLOOKUP(B104,input_356010!L:R,7,FALSE),VLOOKUP(tables_356010!C104,input_356010!A:H,8,FALSE))</f>
        <v>1459.2</v>
      </c>
      <c r="P104" s="48">
        <f t="shared" ca="1" si="5"/>
        <v>9.8461538461538456E-4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input_356010!A$2</f>
        <v>356010</v>
      </c>
      <c r="B105" s="5">
        <v>229</v>
      </c>
      <c r="C105" s="7" t="str">
        <f t="shared" si="3"/>
        <v>Premium3color</v>
      </c>
      <c r="D105" s="7" t="str">
        <f t="shared" si="4"/>
        <v>Premium</v>
      </c>
      <c r="E105" s="7" t="str">
        <f>IF(COUNTIF('R6追加前'!A:A,B105)=0,IF(I105="PremiumSS","R5only","R3less"),"")</f>
        <v/>
      </c>
      <c r="F105" s="7" t="str">
        <f>IF(COUNTIF('R6開放'!A:A,B105)&gt;0,"R6release","")</f>
        <v/>
      </c>
      <c r="G105" s="7" t="s">
        <v>240</v>
      </c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7">
        <f ca="1">IFERROR(VLOOKUP(B105,input_356010!L:R,7,FALSE),VLOOKUP(tables_356010!C105,input_356010!A:H,8,FALSE))</f>
        <v>14592</v>
      </c>
      <c r="P105" s="48">
        <f t="shared" ca="1" si="5"/>
        <v>9.8461538461538465E-3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input_356010!A$2</f>
        <v>356010</v>
      </c>
      <c r="B106" s="5">
        <v>230</v>
      </c>
      <c r="C106" s="7" t="str">
        <f t="shared" si="3"/>
        <v>Premium4color</v>
      </c>
      <c r="D106" s="7" t="str">
        <f t="shared" si="4"/>
        <v>Premium</v>
      </c>
      <c r="E106" s="7" t="str">
        <f>IF(COUNTIF('R6追加前'!A:A,B106)=0,IF(I106="PremiumSS","R5only","R3less"),"")</f>
        <v/>
      </c>
      <c r="F106" s="7" t="str">
        <f>IF(COUNTIF('R6開放'!A:A,B106)&gt;0,"R6release","")</f>
        <v/>
      </c>
      <c r="G106" s="7" t="s">
        <v>240</v>
      </c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7">
        <f ca="1">IFERROR(VLOOKUP(B106,input_356010!L:R,7,FALSE),VLOOKUP(tables_356010!C106,input_356010!A:H,8,FALSE))</f>
        <v>13132.8</v>
      </c>
      <c r="P106" s="48">
        <f t="shared" ca="1" si="5"/>
        <v>8.8615384615384606E-3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input_356010!A$2</f>
        <v>356010</v>
      </c>
      <c r="B107" s="5">
        <v>231</v>
      </c>
      <c r="C107" s="7" t="str">
        <f t="shared" si="3"/>
        <v>Premium5color</v>
      </c>
      <c r="D107" s="7" t="str">
        <f t="shared" si="4"/>
        <v>Premium</v>
      </c>
      <c r="E107" s="7" t="str">
        <f>IF(COUNTIF('R6追加前'!A:A,B107)=0,IF(I107="PremiumSS","R5only","R3less"),"")</f>
        <v/>
      </c>
      <c r="F107" s="7" t="str">
        <f>IF(COUNTIF('R6開放'!A:A,B107)&gt;0,"R6release","")</f>
        <v/>
      </c>
      <c r="G107" s="7" t="s">
        <v>240</v>
      </c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7">
        <f ca="1">IFERROR(VLOOKUP(B107,input_356010!L:R,7,FALSE),VLOOKUP(tables_356010!C107,input_356010!A:H,8,FALSE))</f>
        <v>1459.2</v>
      </c>
      <c r="P107" s="48">
        <f t="shared" ca="1" si="5"/>
        <v>9.8461538461538456E-4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input_356010!A$2</f>
        <v>356010</v>
      </c>
      <c r="B108" s="5">
        <v>232</v>
      </c>
      <c r="C108" s="7" t="str">
        <f t="shared" si="3"/>
        <v>Premium3</v>
      </c>
      <c r="D108" s="7" t="str">
        <f t="shared" si="4"/>
        <v>Premium</v>
      </c>
      <c r="E108" s="7" t="str">
        <f>IF(COUNTIF('R6追加前'!A:A,B108)=0,IF(I108="PremiumSS","R5only","R3less"),"")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7">
        <f ca="1">IFERROR(VLOOKUP(B108,input_356010!L:R,7,FALSE),VLOOKUP(tables_356010!C108,input_356010!A:H,8,FALSE))</f>
        <v>3648</v>
      </c>
      <c r="P108" s="48">
        <f t="shared" ca="1" si="5"/>
        <v>2.4615384615384616E-3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input_356010!A$2</f>
        <v>356010</v>
      </c>
      <c r="B109" s="5">
        <v>233</v>
      </c>
      <c r="C109" s="7" t="str">
        <f t="shared" si="3"/>
        <v>Premium4</v>
      </c>
      <c r="D109" s="7" t="str">
        <f t="shared" si="4"/>
        <v>Premium</v>
      </c>
      <c r="E109" s="7" t="str">
        <f>IF(COUNTIF('R6追加前'!A:A,B109)=0,IF(I109="PremiumSS","R5only","R3less"),"")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7">
        <f ca="1">IFERROR(VLOOKUP(B109,input_356010!L:R,7,FALSE),VLOOKUP(tables_356010!C109,input_356010!A:H,8,FALSE))</f>
        <v>3283.2</v>
      </c>
      <c r="P109" s="48">
        <f t="shared" ca="1" si="5"/>
        <v>2.2153846153846152E-3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input_356010!A$2</f>
        <v>356010</v>
      </c>
      <c r="B110" s="5">
        <v>234</v>
      </c>
      <c r="C110" s="7" t="str">
        <f t="shared" si="3"/>
        <v>Premium5</v>
      </c>
      <c r="D110" s="7" t="str">
        <f t="shared" si="4"/>
        <v>Premium</v>
      </c>
      <c r="E110" s="7" t="str">
        <f>IF(COUNTIF('R6追加前'!A:A,B110)=0,IF(I110="PremiumSS","R5only","R3less"),"")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7">
        <f ca="1">IFERROR(VLOOKUP(B110,input_356010!L:R,7,FALSE),VLOOKUP(tables_356010!C110,input_356010!A:H,8,FALSE))</f>
        <v>364.8</v>
      </c>
      <c r="P110" s="48">
        <f t="shared" ca="1" si="5"/>
        <v>2.4615384615384614E-4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input_356010!A$2</f>
        <v>356010</v>
      </c>
      <c r="B111" s="5">
        <v>235</v>
      </c>
      <c r="C111" s="7" t="str">
        <f t="shared" si="3"/>
        <v>Premium3R6release</v>
      </c>
      <c r="D111" s="7" t="str">
        <f t="shared" si="4"/>
        <v>Premium</v>
      </c>
      <c r="E111" s="7" t="str">
        <f>IF(COUNTIF('R6追加前'!A:A,B111)=0,IF(I111="PremiumSS","R5only","R3less"),"")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7">
        <f ca="1">IFERROR(VLOOKUP(B111,input_356010!L:R,7,FALSE),VLOOKUP(tables_356010!C111,input_356010!A:H,8,FALSE))</f>
        <v>234</v>
      </c>
      <c r="P111" s="48">
        <f t="shared" ca="1" si="5"/>
        <v>1.5789473684210527E-4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input_356010!A$2</f>
        <v>356010</v>
      </c>
      <c r="B112" s="5">
        <v>236</v>
      </c>
      <c r="C112" s="7" t="str">
        <f t="shared" si="3"/>
        <v>Premium4R6release</v>
      </c>
      <c r="D112" s="7" t="str">
        <f t="shared" si="4"/>
        <v>Premium</v>
      </c>
      <c r="E112" s="7" t="str">
        <f>IF(COUNTIF('R6追加前'!A:A,B112)=0,IF(I112="PremiumSS","R5only","R3less"),"")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7">
        <f ca="1">IFERROR(VLOOKUP(B112,input_356010!L:R,7,FALSE),VLOOKUP(tables_356010!C112,input_356010!A:H,8,FALSE))</f>
        <v>210.6</v>
      </c>
      <c r="P112" s="48">
        <f t="shared" ca="1" si="5"/>
        <v>1.4210526315789474E-4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input_356010!A$2</f>
        <v>356010</v>
      </c>
      <c r="B113" s="5">
        <v>237</v>
      </c>
      <c r="C113" s="7" t="str">
        <f t="shared" si="3"/>
        <v>Premium5R6release</v>
      </c>
      <c r="D113" s="7" t="str">
        <f t="shared" si="4"/>
        <v>Premium</v>
      </c>
      <c r="E113" s="7" t="str">
        <f>IF(COUNTIF('R6追加前'!A:A,B113)=0,IF(I113="PremiumSS","R5only","R3less"),"")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7">
        <f ca="1">IFERROR(VLOOKUP(B113,input_356010!L:R,7,FALSE),VLOOKUP(tables_356010!C113,input_356010!A:H,8,FALSE))</f>
        <v>23.4</v>
      </c>
      <c r="P113" s="48">
        <f t="shared" ca="1" si="5"/>
        <v>1.5789473684210526E-5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input_356010!A$2</f>
        <v>356010</v>
      </c>
      <c r="B114" s="5">
        <v>238</v>
      </c>
      <c r="C114" s="7" t="str">
        <f t="shared" si="3"/>
        <v>Premium3color</v>
      </c>
      <c r="D114" s="7" t="str">
        <f t="shared" si="4"/>
        <v>Premium</v>
      </c>
      <c r="E114" s="7" t="str">
        <f>IF(COUNTIF('R6追加前'!A:A,B114)=0,IF(I114="PremiumSS","R5only","R3less"),"")</f>
        <v/>
      </c>
      <c r="F114" s="7" t="str">
        <f>IF(COUNTIF('R6開放'!A:A,B114)&gt;0,"R6release","")</f>
        <v/>
      </c>
      <c r="G114" s="7" t="s">
        <v>240</v>
      </c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7">
        <f ca="1">IFERROR(VLOOKUP(B114,input_356010!L:R,7,FALSE),VLOOKUP(tables_356010!C114,input_356010!A:H,8,FALSE))</f>
        <v>14592</v>
      </c>
      <c r="P114" s="48">
        <f t="shared" ca="1" si="5"/>
        <v>9.8461538461538465E-3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input_356010!A$2</f>
        <v>356010</v>
      </c>
      <c r="B115" s="5">
        <v>239</v>
      </c>
      <c r="C115" s="7" t="str">
        <f t="shared" si="3"/>
        <v>Premium4color</v>
      </c>
      <c r="D115" s="7" t="str">
        <f t="shared" si="4"/>
        <v>Premium</v>
      </c>
      <c r="E115" s="7" t="str">
        <f>IF(COUNTIF('R6追加前'!A:A,B115)=0,IF(I115="PremiumSS","R5only","R3less"),"")</f>
        <v/>
      </c>
      <c r="F115" s="7" t="str">
        <f>IF(COUNTIF('R6開放'!A:A,B115)&gt;0,"R6release","")</f>
        <v/>
      </c>
      <c r="G115" s="7" t="s">
        <v>240</v>
      </c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7">
        <f ca="1">IFERROR(VLOOKUP(B115,input_356010!L:R,7,FALSE),VLOOKUP(tables_356010!C115,input_356010!A:H,8,FALSE))</f>
        <v>13132.8</v>
      </c>
      <c r="P115" s="48">
        <f t="shared" ca="1" si="5"/>
        <v>8.8615384615384606E-3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input_356010!A$2</f>
        <v>356010</v>
      </c>
      <c r="B116" s="5">
        <v>240</v>
      </c>
      <c r="C116" s="7" t="str">
        <f t="shared" si="3"/>
        <v>Premium5color</v>
      </c>
      <c r="D116" s="7" t="str">
        <f t="shared" si="4"/>
        <v>Premium</v>
      </c>
      <c r="E116" s="7" t="str">
        <f>IF(COUNTIF('R6追加前'!A:A,B116)=0,IF(I116="PremiumSS","R5only","R3less"),"")</f>
        <v/>
      </c>
      <c r="F116" s="7" t="str">
        <f>IF(COUNTIF('R6開放'!A:A,B116)&gt;0,"R6release","")</f>
        <v/>
      </c>
      <c r="G116" s="7" t="s">
        <v>240</v>
      </c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7">
        <f ca="1">IFERROR(VLOOKUP(B116,input_356010!L:R,7,FALSE),VLOOKUP(tables_356010!C116,input_356010!A:H,8,FALSE))</f>
        <v>1459.2</v>
      </c>
      <c r="P116" s="48">
        <f t="shared" ca="1" si="5"/>
        <v>9.8461538461538456E-4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input_356010!A$2</f>
        <v>356010</v>
      </c>
      <c r="B117" s="5">
        <v>241</v>
      </c>
      <c r="C117" s="7" t="str">
        <f t="shared" si="3"/>
        <v>Premium3color</v>
      </c>
      <c r="D117" s="7" t="str">
        <f t="shared" si="4"/>
        <v>Premium</v>
      </c>
      <c r="E117" s="7" t="str">
        <f>IF(COUNTIF('R6追加前'!A:A,B117)=0,IF(I117="PremiumSS","R5only","R3less"),"")</f>
        <v/>
      </c>
      <c r="F117" s="7" t="str">
        <f>IF(COUNTIF('R6開放'!A:A,B117)&gt;0,"R6release","")</f>
        <v/>
      </c>
      <c r="G117" s="7" t="s">
        <v>240</v>
      </c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7">
        <f ca="1">IFERROR(VLOOKUP(B117,input_356010!L:R,7,FALSE),VLOOKUP(tables_356010!C117,input_356010!A:H,8,FALSE))</f>
        <v>14592</v>
      </c>
      <c r="P117" s="48">
        <f t="shared" ca="1" si="5"/>
        <v>9.8461538461538465E-3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input_356010!A$2</f>
        <v>356010</v>
      </c>
      <c r="B118" s="5">
        <v>242</v>
      </c>
      <c r="C118" s="7" t="str">
        <f t="shared" si="3"/>
        <v>Premium4color</v>
      </c>
      <c r="D118" s="7" t="str">
        <f t="shared" si="4"/>
        <v>Premium</v>
      </c>
      <c r="E118" s="7" t="str">
        <f>IF(COUNTIF('R6追加前'!A:A,B118)=0,IF(I118="PremiumSS","R5only","R3less"),"")</f>
        <v/>
      </c>
      <c r="F118" s="7" t="str">
        <f>IF(COUNTIF('R6開放'!A:A,B118)&gt;0,"R6release","")</f>
        <v/>
      </c>
      <c r="G118" s="7" t="s">
        <v>240</v>
      </c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7">
        <f ca="1">IFERROR(VLOOKUP(B118,input_356010!L:R,7,FALSE),VLOOKUP(tables_356010!C118,input_356010!A:H,8,FALSE))</f>
        <v>13132.8</v>
      </c>
      <c r="P118" s="48">
        <f t="shared" ca="1" si="5"/>
        <v>8.8615384615384606E-3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input_356010!A$2</f>
        <v>356010</v>
      </c>
      <c r="B119" s="5">
        <v>243</v>
      </c>
      <c r="C119" s="7" t="str">
        <f t="shared" si="3"/>
        <v>Premium5color</v>
      </c>
      <c r="D119" s="7" t="str">
        <f t="shared" si="4"/>
        <v>Premium</v>
      </c>
      <c r="E119" s="7" t="str">
        <f>IF(COUNTIF('R6追加前'!A:A,B119)=0,IF(I119="PremiumSS","R5only","R3less"),"")</f>
        <v/>
      </c>
      <c r="F119" s="7" t="str">
        <f>IF(COUNTIF('R6開放'!A:A,B119)&gt;0,"R6release","")</f>
        <v/>
      </c>
      <c r="G119" s="7" t="s">
        <v>240</v>
      </c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7">
        <f ca="1">IFERROR(VLOOKUP(B119,input_356010!L:R,7,FALSE),VLOOKUP(tables_356010!C119,input_356010!A:H,8,FALSE))</f>
        <v>1459.2</v>
      </c>
      <c r="P119" s="48">
        <f t="shared" ca="1" si="5"/>
        <v>9.8461538461538456E-4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input_356010!A$2</f>
        <v>356010</v>
      </c>
      <c r="B120" s="5">
        <v>244</v>
      </c>
      <c r="C120" s="7" t="str">
        <f t="shared" si="3"/>
        <v>Premium3</v>
      </c>
      <c r="D120" s="7" t="str">
        <f t="shared" si="4"/>
        <v>Premium</v>
      </c>
      <c r="E120" s="7" t="str">
        <f>IF(COUNTIF('R6追加前'!A:A,B120)=0,IF(I120="PremiumSS","R5only","R3less"),"")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7">
        <f ca="1">IFERROR(VLOOKUP(B120,input_356010!L:R,7,FALSE),VLOOKUP(tables_356010!C120,input_356010!A:H,8,FALSE))</f>
        <v>3648</v>
      </c>
      <c r="P120" s="48">
        <f t="shared" ca="1" si="5"/>
        <v>2.4615384615384616E-3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input_356010!A$2</f>
        <v>356010</v>
      </c>
      <c r="B121" s="5">
        <v>245</v>
      </c>
      <c r="C121" s="7" t="str">
        <f t="shared" si="3"/>
        <v>Premium4</v>
      </c>
      <c r="D121" s="7" t="str">
        <f t="shared" si="4"/>
        <v>Premium</v>
      </c>
      <c r="E121" s="7" t="str">
        <f>IF(COUNTIF('R6追加前'!A:A,B121)=0,IF(I121="PremiumSS","R5only","R3less"),"")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7">
        <f ca="1">IFERROR(VLOOKUP(B121,input_356010!L:R,7,FALSE),VLOOKUP(tables_356010!C121,input_356010!A:H,8,FALSE))</f>
        <v>3283.2</v>
      </c>
      <c r="P121" s="48">
        <f t="shared" ca="1" si="5"/>
        <v>2.2153846153846152E-3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input_356010!A$2</f>
        <v>356010</v>
      </c>
      <c r="B122" s="5">
        <v>246</v>
      </c>
      <c r="C122" s="7" t="str">
        <f t="shared" si="3"/>
        <v>Premium5</v>
      </c>
      <c r="D122" s="7" t="str">
        <f t="shared" si="4"/>
        <v>Premium</v>
      </c>
      <c r="E122" s="7" t="str">
        <f>IF(COUNTIF('R6追加前'!A:A,B122)=0,IF(I122="PremiumSS","R5only","R3less"),"")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7">
        <f ca="1">IFERROR(VLOOKUP(B122,input_356010!L:R,7,FALSE),VLOOKUP(tables_356010!C122,input_356010!A:H,8,FALSE))</f>
        <v>364.8</v>
      </c>
      <c r="P122" s="48">
        <f t="shared" ca="1" si="5"/>
        <v>2.4615384615384614E-4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input_356010!A$2</f>
        <v>356010</v>
      </c>
      <c r="B123" s="5">
        <v>247</v>
      </c>
      <c r="C123" s="7" t="str">
        <f t="shared" si="3"/>
        <v>Premium3</v>
      </c>
      <c r="D123" s="7" t="str">
        <f t="shared" si="4"/>
        <v>Premium</v>
      </c>
      <c r="E123" s="7" t="str">
        <f>IF(COUNTIF('R6追加前'!A:A,B123)=0,IF(I123="PremiumSS","R5only","R3less"),"")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7">
        <f ca="1">IFERROR(VLOOKUP(B123,input_356010!L:R,7,FALSE),VLOOKUP(tables_356010!C123,input_356010!A:H,8,FALSE))</f>
        <v>3648</v>
      </c>
      <c r="P123" s="48">
        <f t="shared" ca="1" si="5"/>
        <v>2.4615384615384616E-3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input_356010!A$2</f>
        <v>356010</v>
      </c>
      <c r="B124" s="5">
        <v>248</v>
      </c>
      <c r="C124" s="7" t="str">
        <f t="shared" si="3"/>
        <v>Premium4</v>
      </c>
      <c r="D124" s="7" t="str">
        <f t="shared" si="4"/>
        <v>Premium</v>
      </c>
      <c r="E124" s="7" t="str">
        <f>IF(COUNTIF('R6追加前'!A:A,B124)=0,IF(I124="PremiumSS","R5only","R3less"),"")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7">
        <f ca="1">IFERROR(VLOOKUP(B124,input_356010!L:R,7,FALSE),VLOOKUP(tables_356010!C124,input_356010!A:H,8,FALSE))</f>
        <v>3283.2</v>
      </c>
      <c r="P124" s="48">
        <f t="shared" ca="1" si="5"/>
        <v>2.2153846153846152E-3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input_356010!A$2</f>
        <v>356010</v>
      </c>
      <c r="B125" s="6">
        <v>249</v>
      </c>
      <c r="C125" s="7" t="str">
        <f t="shared" si="3"/>
        <v>Premium5</v>
      </c>
      <c r="D125" s="7" t="str">
        <f t="shared" si="4"/>
        <v>Premium</v>
      </c>
      <c r="E125" s="7" t="str">
        <f>IF(COUNTIF('R6追加前'!A:A,B125)=0,IF(I125="PremiumSS","R5only","R3less"),"")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7">
        <f ca="1">IFERROR(VLOOKUP(B125,input_356010!L:R,7,FALSE),VLOOKUP(tables_356010!C125,input_356010!A:H,8,FALSE))</f>
        <v>364.8</v>
      </c>
      <c r="P125" s="48">
        <f t="shared" ca="1" si="5"/>
        <v>2.4615384615384614E-4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input_356010!A$2</f>
        <v>356010</v>
      </c>
      <c r="B126" s="6">
        <v>250</v>
      </c>
      <c r="C126" s="7" t="str">
        <f t="shared" si="3"/>
        <v>Premium3color</v>
      </c>
      <c r="D126" s="7" t="str">
        <f t="shared" si="4"/>
        <v>Premium</v>
      </c>
      <c r="E126" s="7" t="str">
        <f>IF(COUNTIF('R6追加前'!A:A,B126)=0,IF(I126="PremiumSS","R5only","R3less"),"")</f>
        <v/>
      </c>
      <c r="F126" s="7" t="str">
        <f>IF(COUNTIF('R6開放'!A:A,B126)&gt;0,"R6release","")</f>
        <v/>
      </c>
      <c r="G126" s="7" t="s">
        <v>240</v>
      </c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7">
        <f ca="1">IFERROR(VLOOKUP(B126,input_356010!L:R,7,FALSE),VLOOKUP(tables_356010!C126,input_356010!A:H,8,FALSE))</f>
        <v>14592</v>
      </c>
      <c r="P126" s="48">
        <f t="shared" ca="1" si="5"/>
        <v>9.8461538461538465E-3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input_356010!A$2</f>
        <v>356010</v>
      </c>
      <c r="B127" s="6">
        <v>251</v>
      </c>
      <c r="C127" s="7" t="str">
        <f t="shared" si="3"/>
        <v>Premium4color</v>
      </c>
      <c r="D127" s="7" t="str">
        <f t="shared" si="4"/>
        <v>Premium</v>
      </c>
      <c r="E127" s="7" t="str">
        <f>IF(COUNTIF('R6追加前'!A:A,B127)=0,IF(I127="PremiumSS","R5only","R3less"),"")</f>
        <v/>
      </c>
      <c r="F127" s="7" t="str">
        <f>IF(COUNTIF('R6開放'!A:A,B127)&gt;0,"R6release","")</f>
        <v/>
      </c>
      <c r="G127" s="7" t="s">
        <v>240</v>
      </c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7">
        <f ca="1">IFERROR(VLOOKUP(B127,input_356010!L:R,7,FALSE),VLOOKUP(tables_356010!C127,input_356010!A:H,8,FALSE))</f>
        <v>13132.8</v>
      </c>
      <c r="P127" s="48">
        <f t="shared" ca="1" si="5"/>
        <v>8.8615384615384606E-3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input_356010!A$2</f>
        <v>356010</v>
      </c>
      <c r="B128" s="6">
        <v>252</v>
      </c>
      <c r="C128" s="7" t="str">
        <f t="shared" si="3"/>
        <v>Premium5color</v>
      </c>
      <c r="D128" s="7" t="str">
        <f t="shared" si="4"/>
        <v>Premium</v>
      </c>
      <c r="E128" s="7" t="str">
        <f>IF(COUNTIF('R6追加前'!A:A,B128)=0,IF(I128="PremiumSS","R5only","R3less"),"")</f>
        <v/>
      </c>
      <c r="F128" s="7" t="str">
        <f>IF(COUNTIF('R6開放'!A:A,B128)&gt;0,"R6release","")</f>
        <v/>
      </c>
      <c r="G128" s="7" t="s">
        <v>240</v>
      </c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7">
        <f ca="1">IFERROR(VLOOKUP(B128,input_356010!L:R,7,FALSE),VLOOKUP(tables_356010!C128,input_356010!A:H,8,FALSE))</f>
        <v>1459.2</v>
      </c>
      <c r="P128" s="48">
        <f t="shared" ca="1" si="5"/>
        <v>9.8461538461538456E-4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input_356010!A$2</f>
        <v>356010</v>
      </c>
      <c r="B129" s="6">
        <v>253</v>
      </c>
      <c r="C129" s="7" t="str">
        <f t="shared" si="3"/>
        <v>Premium3color</v>
      </c>
      <c r="D129" s="7" t="str">
        <f t="shared" si="4"/>
        <v>Premium</v>
      </c>
      <c r="E129" s="7" t="str">
        <f>IF(COUNTIF('R6追加前'!A:A,B129)=0,IF(I129="PremiumSS","R5only","R3less"),"")</f>
        <v/>
      </c>
      <c r="F129" s="7" t="str">
        <f>IF(COUNTIF('R6開放'!A:A,B129)&gt;0,"R6release","")</f>
        <v/>
      </c>
      <c r="G129" s="7" t="s">
        <v>240</v>
      </c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7">
        <f ca="1">IFERROR(VLOOKUP(B129,input_356010!L:R,7,FALSE),VLOOKUP(tables_356010!C129,input_356010!A:H,8,FALSE))</f>
        <v>14592</v>
      </c>
      <c r="P129" s="48">
        <f t="shared" ca="1" si="5"/>
        <v>9.8461538461538465E-3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input_356010!A$2</f>
        <v>356010</v>
      </c>
      <c r="B130" s="6">
        <v>254</v>
      </c>
      <c r="C130" s="7" t="str">
        <f t="shared" ref="C130:C193" si="6">D130&amp;J130&amp;E130&amp;F130&amp;G130</f>
        <v>Premium4color</v>
      </c>
      <c r="D130" s="7" t="str">
        <f t="shared" si="4"/>
        <v>Premium</v>
      </c>
      <c r="E130" s="7" t="str">
        <f>IF(COUNTIF('R6追加前'!A:A,B130)=0,IF(I130="PremiumSS","R5only","R3less"),"")</f>
        <v/>
      </c>
      <c r="F130" s="7" t="str">
        <f>IF(COUNTIF('R6開放'!A:A,B130)&gt;0,"R6release","")</f>
        <v/>
      </c>
      <c r="G130" s="7" t="s">
        <v>240</v>
      </c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7">
        <f ca="1">IFERROR(VLOOKUP(B130,input_356010!L:R,7,FALSE),VLOOKUP(tables_356010!C130,input_356010!A:H,8,FALSE))</f>
        <v>13132.8</v>
      </c>
      <c r="P130" s="48">
        <f t="shared" ca="1" si="5"/>
        <v>8.8615384615384606E-3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input_356010!A$2</f>
        <v>356010</v>
      </c>
      <c r="B131" s="6">
        <v>255</v>
      </c>
      <c r="C131" s="7" t="str">
        <f t="shared" si="6"/>
        <v>Premium5color</v>
      </c>
      <c r="D131" s="7" t="str">
        <f t="shared" ref="D131:D194" si="7">IF(I131="PremiumSS",I131,IF(I131="PremiumSSS",I131,IF(I131="PremiumW",I131,"Premium")))</f>
        <v>Premium</v>
      </c>
      <c r="E131" s="7" t="str">
        <f>IF(COUNTIF('R6追加前'!A:A,B131)=0,IF(I131="PremiumSS","R5only","R3less"),"")</f>
        <v/>
      </c>
      <c r="F131" s="7" t="str">
        <f>IF(COUNTIF('R6開放'!A:A,B131)&gt;0,"R6release","")</f>
        <v/>
      </c>
      <c r="G131" s="7" t="s">
        <v>240</v>
      </c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7">
        <f ca="1">IFERROR(VLOOKUP(B131,input_356010!L:R,7,FALSE),VLOOKUP(tables_356010!C131,input_356010!A:H,8,FALSE))</f>
        <v>1459.2</v>
      </c>
      <c r="P131" s="48">
        <f t="shared" ca="1" si="5"/>
        <v>9.8461538461538456E-4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input_356010!A$2</f>
        <v>356010</v>
      </c>
      <c r="B132" s="6">
        <v>256</v>
      </c>
      <c r="C132" s="7" t="str">
        <f t="shared" si="6"/>
        <v>Premium3</v>
      </c>
      <c r="D132" s="7" t="str">
        <f t="shared" si="7"/>
        <v>Premium</v>
      </c>
      <c r="E132" s="7" t="str">
        <f>IF(COUNTIF('R6追加前'!A:A,B132)=0,IF(I132="PremiumSS","R5only","R3less"),"")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7">
        <f ca="1">IFERROR(VLOOKUP(B132,input_356010!L:R,7,FALSE),VLOOKUP(tables_356010!C132,input_356010!A:H,8,FALSE))</f>
        <v>3648</v>
      </c>
      <c r="P132" s="48">
        <f t="shared" ca="1" si="5"/>
        <v>2.4615384615384616E-3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input_356010!A$2</f>
        <v>356010</v>
      </c>
      <c r="B133" s="6">
        <v>257</v>
      </c>
      <c r="C133" s="7" t="str">
        <f t="shared" si="6"/>
        <v>Premium4</v>
      </c>
      <c r="D133" s="7" t="str">
        <f t="shared" si="7"/>
        <v>Premium</v>
      </c>
      <c r="E133" s="7" t="str">
        <f>IF(COUNTIF('R6追加前'!A:A,B133)=0,IF(I133="PremiumSS","R5only","R3less"),"")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7">
        <f ca="1">IFERROR(VLOOKUP(B133,input_356010!L:R,7,FALSE),VLOOKUP(tables_356010!C133,input_356010!A:H,8,FALSE))</f>
        <v>3283.2</v>
      </c>
      <c r="P133" s="48">
        <f t="shared" ca="1" si="5"/>
        <v>2.2153846153846152E-3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input_356010!A$2</f>
        <v>356010</v>
      </c>
      <c r="B134" s="6">
        <v>258</v>
      </c>
      <c r="C134" s="7" t="str">
        <f t="shared" si="6"/>
        <v>Premium5</v>
      </c>
      <c r="D134" s="7" t="str">
        <f t="shared" si="7"/>
        <v>Premium</v>
      </c>
      <c r="E134" s="7" t="str">
        <f>IF(COUNTIF('R6追加前'!A:A,B134)=0,IF(I134="PremiumSS","R5only","R3less"),"")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7">
        <f ca="1">IFERROR(VLOOKUP(B134,input_356010!L:R,7,FALSE),VLOOKUP(tables_356010!C134,input_356010!A:H,8,FALSE))</f>
        <v>364.8</v>
      </c>
      <c r="P134" s="48">
        <f t="shared" ca="1" si="5"/>
        <v>2.4615384615384614E-4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input_356010!A$2</f>
        <v>356010</v>
      </c>
      <c r="B135" s="6">
        <v>259</v>
      </c>
      <c r="C135" s="7" t="str">
        <f t="shared" si="6"/>
        <v>Premium3</v>
      </c>
      <c r="D135" s="7" t="str">
        <f t="shared" si="7"/>
        <v>Premium</v>
      </c>
      <c r="E135" s="7" t="str">
        <f>IF(COUNTIF('R6追加前'!A:A,B135)=0,IF(I135="PremiumSS","R5only","R3less"),"")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7">
        <f ca="1">IFERROR(VLOOKUP(B135,input_356010!L:R,7,FALSE),VLOOKUP(tables_356010!C135,input_356010!A:H,8,FALSE))</f>
        <v>3648</v>
      </c>
      <c r="P135" s="48">
        <f t="shared" ca="1" si="5"/>
        <v>2.4615384615384616E-3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input_356010!A$2</f>
        <v>356010</v>
      </c>
      <c r="B136" s="8">
        <v>260</v>
      </c>
      <c r="C136" s="7" t="str">
        <f t="shared" si="6"/>
        <v>Premium4</v>
      </c>
      <c r="D136" s="7" t="str">
        <f t="shared" si="7"/>
        <v>Premium</v>
      </c>
      <c r="E136" s="7" t="str">
        <f>IF(COUNTIF('R6追加前'!A:A,B136)=0,IF(I136="PremiumSS","R5only","R3less"),"")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7">
        <f ca="1">IFERROR(VLOOKUP(B136,input_356010!L:R,7,FALSE),VLOOKUP(tables_356010!C136,input_356010!A:H,8,FALSE))</f>
        <v>3283.2</v>
      </c>
      <c r="P136" s="48">
        <f t="shared" ca="1" si="5"/>
        <v>2.2153846153846152E-3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input_356010!A$2</f>
        <v>356010</v>
      </c>
      <c r="B137" s="8">
        <v>261</v>
      </c>
      <c r="C137" s="7" t="str">
        <f t="shared" si="6"/>
        <v>Premium5</v>
      </c>
      <c r="D137" s="7" t="str">
        <f t="shared" si="7"/>
        <v>Premium</v>
      </c>
      <c r="E137" s="7" t="str">
        <f>IF(COUNTIF('R6追加前'!A:A,B137)=0,IF(I137="PremiumSS","R5only","R3less"),"")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7">
        <f ca="1">IFERROR(VLOOKUP(B137,input_356010!L:R,7,FALSE),VLOOKUP(tables_356010!C137,input_356010!A:H,8,FALSE))</f>
        <v>364.8</v>
      </c>
      <c r="P137" s="48">
        <f t="shared" ca="1" si="5"/>
        <v>2.4615384615384614E-4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input_356010!A$2</f>
        <v>356010</v>
      </c>
      <c r="B138" s="6">
        <v>320</v>
      </c>
      <c r="C138" s="7" t="str">
        <f t="shared" si="6"/>
        <v>PremiumSS4color</v>
      </c>
      <c r="D138" s="7" t="str">
        <f t="shared" si="7"/>
        <v>PremiumSS</v>
      </c>
      <c r="E138" s="7" t="str">
        <f>IF(COUNTIF('R6追加前'!A:A,B138)=0,IF(I138="PremiumSS","R5only","R3less"),"")</f>
        <v/>
      </c>
      <c r="F138" s="7" t="str">
        <f>IF(COUNTIF('R6開放'!A:A,B138)&gt;0,"R6release","")</f>
        <v/>
      </c>
      <c r="G138" s="7" t="s">
        <v>240</v>
      </c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7">
        <f ca="1">IFERROR(VLOOKUP(B138,input_356010!L:R,7,FALSE),VLOOKUP(tables_356010!C138,input_356010!A:H,8,FALSE))</f>
        <v>1778.4</v>
      </c>
      <c r="P138" s="48">
        <f t="shared" ca="1" si="5"/>
        <v>1.2000000000000001E-3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input_356010!A$2</f>
        <v>356010</v>
      </c>
      <c r="B139" s="6">
        <v>321</v>
      </c>
      <c r="C139" s="7" t="str">
        <f t="shared" si="6"/>
        <v>PremiumSS5color</v>
      </c>
      <c r="D139" s="7" t="str">
        <f t="shared" si="7"/>
        <v>PremiumSS</v>
      </c>
      <c r="E139" s="7" t="str">
        <f>IF(COUNTIF('R6追加前'!A:A,B139)=0,IF(I139="PremiumSS","R5only","R3less"),"")</f>
        <v/>
      </c>
      <c r="F139" s="7" t="str">
        <f>IF(COUNTIF('R6開放'!A:A,B139)&gt;0,"R6release","")</f>
        <v/>
      </c>
      <c r="G139" s="7" t="s">
        <v>240</v>
      </c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7">
        <f ca="1">IFERROR(VLOOKUP(B139,input_356010!L:R,7,FALSE),VLOOKUP(tables_356010!C139,input_356010!A:H,8,FALSE))</f>
        <v>93.6</v>
      </c>
      <c r="P139" s="48">
        <f t="shared" ca="1" si="5"/>
        <v>6.3157894736842103E-5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input_356010!A$2</f>
        <v>356010</v>
      </c>
      <c r="B140" s="6">
        <v>322</v>
      </c>
      <c r="C140" s="7" t="str">
        <f t="shared" si="6"/>
        <v>PremiumSS4color</v>
      </c>
      <c r="D140" s="7" t="str">
        <f t="shared" si="7"/>
        <v>PremiumSS</v>
      </c>
      <c r="E140" s="7" t="str">
        <f>IF(COUNTIF('R6追加前'!A:A,B140)=0,IF(I140="PremiumSS","R5only","R3less"),"")</f>
        <v/>
      </c>
      <c r="F140" s="7" t="str">
        <f>IF(COUNTIF('R6開放'!A:A,B140)&gt;0,"R6release","")</f>
        <v/>
      </c>
      <c r="G140" s="7" t="s">
        <v>240</v>
      </c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7">
        <f ca="1">IFERROR(VLOOKUP(B140,input_356010!L:R,7,FALSE),VLOOKUP(tables_356010!C140,input_356010!A:H,8,FALSE))</f>
        <v>1778.4</v>
      </c>
      <c r="P140" s="48">
        <f t="shared" ca="1" si="5"/>
        <v>1.2000000000000001E-3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input_356010!A$2</f>
        <v>356010</v>
      </c>
      <c r="B141" s="6">
        <v>323</v>
      </c>
      <c r="C141" s="7" t="str">
        <f t="shared" si="6"/>
        <v>PremiumSS5color</v>
      </c>
      <c r="D141" s="7" t="str">
        <f t="shared" si="7"/>
        <v>PremiumSS</v>
      </c>
      <c r="E141" s="7" t="str">
        <f>IF(COUNTIF('R6追加前'!A:A,B141)=0,IF(I141="PremiumSS","R5only","R3less"),"")</f>
        <v/>
      </c>
      <c r="F141" s="7" t="str">
        <f>IF(COUNTIF('R6開放'!A:A,B141)&gt;0,"R6release","")</f>
        <v/>
      </c>
      <c r="G141" s="7" t="s">
        <v>240</v>
      </c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7">
        <f ca="1">IFERROR(VLOOKUP(B141,input_356010!L:R,7,FALSE),VLOOKUP(tables_356010!C141,input_356010!A:H,8,FALSE))</f>
        <v>93.6</v>
      </c>
      <c r="P141" s="48">
        <f t="shared" ca="1" si="5"/>
        <v>6.3157894736842103E-5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input_356010!A$2</f>
        <v>356010</v>
      </c>
      <c r="B142" s="6">
        <v>324</v>
      </c>
      <c r="C142" s="7" t="str">
        <f t="shared" si="6"/>
        <v>PremiumSS4</v>
      </c>
      <c r="D142" s="7" t="str">
        <f t="shared" si="7"/>
        <v>PremiumSS</v>
      </c>
      <c r="E142" s="7" t="str">
        <f>IF(COUNTIF('R6追加前'!A:A,B142)=0,IF(I142="PremiumSS","R5only","R3less"),"")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7">
        <f ca="1">IFERROR(VLOOKUP(B142,input_356010!L:R,7,FALSE),VLOOKUP(tables_356010!C142,input_356010!A:H,8,FALSE))</f>
        <v>444.6</v>
      </c>
      <c r="P142" s="48">
        <f t="shared" ca="1" si="5"/>
        <v>3.0000000000000003E-4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input_356010!A$2</f>
        <v>356010</v>
      </c>
      <c r="B143" s="6">
        <v>325</v>
      </c>
      <c r="C143" s="7" t="str">
        <f t="shared" si="6"/>
        <v>PremiumSS5</v>
      </c>
      <c r="D143" s="7" t="str">
        <f t="shared" si="7"/>
        <v>PremiumSS</v>
      </c>
      <c r="E143" s="7" t="str">
        <f>IF(COUNTIF('R6追加前'!A:A,B143)=0,IF(I143="PremiumSS","R5only","R3less"),"")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7">
        <f ca="1">IFERROR(VLOOKUP(B143,input_356010!L:R,7,FALSE),VLOOKUP(tables_356010!C143,input_356010!A:H,8,FALSE))</f>
        <v>23.4</v>
      </c>
      <c r="P143" s="48">
        <f t="shared" ref="P143:P206" ca="1" si="8">O143/SUM(O:O)</f>
        <v>1.5789473684210526E-5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input_356010!A$2</f>
        <v>356010</v>
      </c>
      <c r="B144" s="6">
        <v>326</v>
      </c>
      <c r="C144" s="7" t="str">
        <f t="shared" si="6"/>
        <v>PremiumSS4</v>
      </c>
      <c r="D144" s="7" t="str">
        <f t="shared" si="7"/>
        <v>PremiumSS</v>
      </c>
      <c r="E144" s="7" t="str">
        <f>IF(COUNTIF('R6追加前'!A:A,B144)=0,IF(I144="PremiumSS","R5only","R3less"),"")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7">
        <f ca="1">IFERROR(VLOOKUP(B144,input_356010!L:R,7,FALSE),VLOOKUP(tables_356010!C144,input_356010!A:H,8,FALSE))</f>
        <v>444.6</v>
      </c>
      <c r="P144" s="48">
        <f t="shared" ca="1" si="8"/>
        <v>3.0000000000000003E-4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input_356010!A$2</f>
        <v>356010</v>
      </c>
      <c r="B145" s="6">
        <v>327</v>
      </c>
      <c r="C145" s="7" t="str">
        <f t="shared" si="6"/>
        <v>PremiumSS5</v>
      </c>
      <c r="D145" s="7" t="str">
        <f t="shared" si="7"/>
        <v>PremiumSS</v>
      </c>
      <c r="E145" s="7" t="str">
        <f>IF(COUNTIF('R6追加前'!A:A,B145)=0,IF(I145="PremiumSS","R5only","R3less"),"")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7">
        <f ca="1">IFERROR(VLOOKUP(B145,input_356010!L:R,7,FALSE),VLOOKUP(tables_356010!C145,input_356010!A:H,8,FALSE))</f>
        <v>23.4</v>
      </c>
      <c r="P145" s="48">
        <f t="shared" ca="1" si="8"/>
        <v>1.5789473684210526E-5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input_356010!A$2</f>
        <v>356010</v>
      </c>
      <c r="B146" s="6">
        <v>380</v>
      </c>
      <c r="C146" s="7" t="str">
        <f t="shared" si="6"/>
        <v>Premium3color</v>
      </c>
      <c r="D146" s="7" t="str">
        <f t="shared" si="7"/>
        <v>Premium</v>
      </c>
      <c r="E146" s="7" t="str">
        <f>IF(COUNTIF('R6追加前'!A:A,B146)=0,IF(I146="PremiumSS","R5only","R3less"),"")</f>
        <v/>
      </c>
      <c r="F146" s="7" t="str">
        <f>IF(COUNTIF('R6開放'!A:A,B146)&gt;0,"R6release","")</f>
        <v/>
      </c>
      <c r="G146" s="7" t="s">
        <v>240</v>
      </c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7">
        <f ca="1">IFERROR(VLOOKUP(B146,input_356010!L:R,7,FALSE),VLOOKUP(tables_356010!C146,input_356010!A:H,8,FALSE))</f>
        <v>14592</v>
      </c>
      <c r="P146" s="48">
        <f t="shared" ca="1" si="8"/>
        <v>9.8461538461538465E-3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input_356010!A$2</f>
        <v>356010</v>
      </c>
      <c r="B147" s="6">
        <v>381</v>
      </c>
      <c r="C147" s="7" t="str">
        <f t="shared" si="6"/>
        <v>Premium4color</v>
      </c>
      <c r="D147" s="7" t="str">
        <f t="shared" si="7"/>
        <v>Premium</v>
      </c>
      <c r="E147" s="7" t="str">
        <f>IF(COUNTIF('R6追加前'!A:A,B147)=0,IF(I147="PremiumSS","R5only","R3less"),"")</f>
        <v/>
      </c>
      <c r="F147" s="7" t="str">
        <f>IF(COUNTIF('R6開放'!A:A,B147)&gt;0,"R6release","")</f>
        <v/>
      </c>
      <c r="G147" s="7" t="s">
        <v>240</v>
      </c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7">
        <f ca="1">IFERROR(VLOOKUP(B147,input_356010!L:R,7,FALSE),VLOOKUP(tables_356010!C147,input_356010!A:H,8,FALSE))</f>
        <v>13132.8</v>
      </c>
      <c r="P147" s="48">
        <f t="shared" ca="1" si="8"/>
        <v>8.8615384615384606E-3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input_356010!A$2</f>
        <v>356010</v>
      </c>
      <c r="B148" s="6">
        <v>382</v>
      </c>
      <c r="C148" s="7" t="str">
        <f t="shared" si="6"/>
        <v>Premium5color</v>
      </c>
      <c r="D148" s="7" t="str">
        <f t="shared" si="7"/>
        <v>Premium</v>
      </c>
      <c r="E148" s="7" t="str">
        <f>IF(COUNTIF('R6追加前'!A:A,B148)=0,IF(I148="PremiumSS","R5only","R3less"),"")</f>
        <v/>
      </c>
      <c r="F148" s="7" t="str">
        <f>IF(COUNTIF('R6開放'!A:A,B148)&gt;0,"R6release","")</f>
        <v/>
      </c>
      <c r="G148" s="7" t="s">
        <v>240</v>
      </c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7">
        <f ca="1">IFERROR(VLOOKUP(B148,input_356010!L:R,7,FALSE),VLOOKUP(tables_356010!C148,input_356010!A:H,8,FALSE))</f>
        <v>1459.2</v>
      </c>
      <c r="P148" s="48">
        <f t="shared" ca="1" si="8"/>
        <v>9.8461538461538456E-4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input_356010!A$2</f>
        <v>356010</v>
      </c>
      <c r="B149" s="6">
        <v>383</v>
      </c>
      <c r="C149" s="7" t="str">
        <f t="shared" si="6"/>
        <v>PremiumSS4color</v>
      </c>
      <c r="D149" s="7" t="str">
        <f t="shared" si="7"/>
        <v>PremiumSS</v>
      </c>
      <c r="E149" s="7" t="str">
        <f>IF(COUNTIF('R6追加前'!A:A,B149)=0,IF(I149="PremiumSS","R5only","R3less"),"")</f>
        <v/>
      </c>
      <c r="F149" s="7" t="str">
        <f>IF(COUNTIF('R6開放'!A:A,B149)&gt;0,"R6release","")</f>
        <v/>
      </c>
      <c r="G149" s="7" t="s">
        <v>240</v>
      </c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7">
        <f ca="1">IFERROR(VLOOKUP(B149,input_356010!L:R,7,FALSE),VLOOKUP(tables_356010!C149,input_356010!A:H,8,FALSE))</f>
        <v>1778.4</v>
      </c>
      <c r="P149" s="48">
        <f t="shared" ca="1" si="8"/>
        <v>1.2000000000000001E-3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input_356010!A$2</f>
        <v>356010</v>
      </c>
      <c r="B150" s="6">
        <v>384</v>
      </c>
      <c r="C150" s="7" t="str">
        <f t="shared" si="6"/>
        <v>PremiumSS5color</v>
      </c>
      <c r="D150" s="7" t="str">
        <f t="shared" si="7"/>
        <v>PremiumSS</v>
      </c>
      <c r="E150" s="7" t="str">
        <f>IF(COUNTIF('R6追加前'!A:A,B150)=0,IF(I150="PremiumSS","R5only","R3less"),"")</f>
        <v/>
      </c>
      <c r="F150" s="7" t="str">
        <f>IF(COUNTIF('R6開放'!A:A,B150)&gt;0,"R6release","")</f>
        <v/>
      </c>
      <c r="G150" s="7" t="s">
        <v>240</v>
      </c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7">
        <f ca="1">IFERROR(VLOOKUP(B150,input_356010!L:R,7,FALSE),VLOOKUP(tables_356010!C150,input_356010!A:H,8,FALSE))</f>
        <v>93.6</v>
      </c>
      <c r="P150" s="48">
        <f t="shared" ca="1" si="8"/>
        <v>6.3157894736842103E-5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input_356010!A$2</f>
        <v>356010</v>
      </c>
      <c r="B151" s="6">
        <v>385</v>
      </c>
      <c r="C151" s="7" t="str">
        <f t="shared" si="6"/>
        <v>PremiumSS4</v>
      </c>
      <c r="D151" s="7" t="str">
        <f t="shared" si="7"/>
        <v>PremiumSS</v>
      </c>
      <c r="E151" s="7" t="str">
        <f>IF(COUNTIF('R6追加前'!A:A,B151)=0,IF(I151="PremiumSS","R5only","R3less"),"")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7">
        <f ca="1">IFERROR(VLOOKUP(B151,input_356010!L:R,7,FALSE),VLOOKUP(tables_356010!C151,input_356010!A:H,8,FALSE))</f>
        <v>444.6</v>
      </c>
      <c r="P151" s="48">
        <f t="shared" ca="1" si="8"/>
        <v>3.0000000000000003E-4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input_356010!A$2</f>
        <v>356010</v>
      </c>
      <c r="B152" s="6">
        <v>386</v>
      </c>
      <c r="C152" s="7" t="str">
        <f t="shared" si="6"/>
        <v>PremiumSS5</v>
      </c>
      <c r="D152" s="7" t="str">
        <f t="shared" si="7"/>
        <v>PremiumSS</v>
      </c>
      <c r="E152" s="7" t="str">
        <f>IF(COUNTIF('R6追加前'!A:A,B152)=0,IF(I152="PremiumSS","R5only","R3less"),"")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7">
        <f ca="1">IFERROR(VLOOKUP(B152,input_356010!L:R,7,FALSE),VLOOKUP(tables_356010!C152,input_356010!A:H,8,FALSE))</f>
        <v>23.4</v>
      </c>
      <c r="P152" s="48">
        <f t="shared" ca="1" si="8"/>
        <v>1.5789473684210526E-5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input_356010!A$2</f>
        <v>356010</v>
      </c>
      <c r="B153" s="6">
        <v>387</v>
      </c>
      <c r="C153" s="7" t="str">
        <f t="shared" si="6"/>
        <v>Premium3</v>
      </c>
      <c r="D153" s="7" t="str">
        <f t="shared" si="7"/>
        <v>Premium</v>
      </c>
      <c r="E153" s="7" t="str">
        <f>IF(COUNTIF('R6追加前'!A:A,B153)=0,IF(I153="PremiumSS","R5only","R3less"),"")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7">
        <f ca="1">IFERROR(VLOOKUP(B153,input_356010!L:R,7,FALSE),VLOOKUP(tables_356010!C153,input_356010!A:H,8,FALSE))</f>
        <v>3648</v>
      </c>
      <c r="P153" s="48">
        <f t="shared" ca="1" si="8"/>
        <v>2.4615384615384616E-3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input_356010!A$2</f>
        <v>356010</v>
      </c>
      <c r="B154" s="6">
        <v>388</v>
      </c>
      <c r="C154" s="7" t="str">
        <f t="shared" si="6"/>
        <v>Premium4</v>
      </c>
      <c r="D154" s="7" t="str">
        <f t="shared" si="7"/>
        <v>Premium</v>
      </c>
      <c r="E154" s="7" t="str">
        <f>IF(COUNTIF('R6追加前'!A:A,B154)=0,IF(I154="PremiumSS","R5only","R3less"),"")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7">
        <f ca="1">IFERROR(VLOOKUP(B154,input_356010!L:R,7,FALSE),VLOOKUP(tables_356010!C154,input_356010!A:H,8,FALSE))</f>
        <v>3283.2</v>
      </c>
      <c r="P154" s="48">
        <f t="shared" ca="1" si="8"/>
        <v>2.2153846153846152E-3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input_356010!A$2</f>
        <v>356010</v>
      </c>
      <c r="B155" s="6">
        <v>389</v>
      </c>
      <c r="C155" s="7" t="str">
        <f t="shared" si="6"/>
        <v>Premium5</v>
      </c>
      <c r="D155" s="7" t="str">
        <f t="shared" si="7"/>
        <v>Premium</v>
      </c>
      <c r="E155" s="7" t="str">
        <f>IF(COUNTIF('R6追加前'!A:A,B155)=0,IF(I155="PremiumSS","R5only","R3less"),"")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7">
        <f ca="1">IFERROR(VLOOKUP(B155,input_356010!L:R,7,FALSE),VLOOKUP(tables_356010!C155,input_356010!A:H,8,FALSE))</f>
        <v>364.8</v>
      </c>
      <c r="P155" s="48">
        <f t="shared" ca="1" si="8"/>
        <v>2.4615384615384614E-4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input_356010!A$2</f>
        <v>356010</v>
      </c>
      <c r="B156" s="6">
        <v>390</v>
      </c>
      <c r="C156" s="7" t="str">
        <f t="shared" si="6"/>
        <v>PremiumSS4color</v>
      </c>
      <c r="D156" s="7" t="str">
        <f t="shared" si="7"/>
        <v>PremiumSS</v>
      </c>
      <c r="E156" s="7" t="str">
        <f>IF(COUNTIF('R6追加前'!A:A,B156)=0,IF(I156="PremiumSS","R5only","R3less"),"")</f>
        <v/>
      </c>
      <c r="F156" s="7" t="str">
        <f>IF(COUNTIF('R6開放'!A:A,B156)&gt;0,"R6release","")</f>
        <v/>
      </c>
      <c r="G156" s="7" t="s">
        <v>240</v>
      </c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7">
        <f ca="1">IFERROR(VLOOKUP(B156,input_356010!L:R,7,FALSE),VLOOKUP(tables_356010!C156,input_356010!A:H,8,FALSE))</f>
        <v>1778.4</v>
      </c>
      <c r="P156" s="48">
        <f t="shared" ca="1" si="8"/>
        <v>1.2000000000000001E-3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input_356010!A$2</f>
        <v>356010</v>
      </c>
      <c r="B157" s="6">
        <v>391</v>
      </c>
      <c r="C157" s="7" t="str">
        <f t="shared" si="6"/>
        <v>PremiumSS5color</v>
      </c>
      <c r="D157" s="7" t="str">
        <f t="shared" si="7"/>
        <v>PremiumSS</v>
      </c>
      <c r="E157" s="7" t="str">
        <f>IF(COUNTIF('R6追加前'!A:A,B157)=0,IF(I157="PremiumSS","R5only","R3less"),"")</f>
        <v/>
      </c>
      <c r="F157" s="7" t="str">
        <f>IF(COUNTIF('R6開放'!A:A,B157)&gt;0,"R6release","")</f>
        <v/>
      </c>
      <c r="G157" s="7" t="s">
        <v>240</v>
      </c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7">
        <f ca="1">IFERROR(VLOOKUP(B157,input_356010!L:R,7,FALSE),VLOOKUP(tables_356010!C157,input_356010!A:H,8,FALSE))</f>
        <v>93.6</v>
      </c>
      <c r="P157" s="48">
        <f t="shared" ca="1" si="8"/>
        <v>6.3157894736842103E-5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input_356010!A$2</f>
        <v>356010</v>
      </c>
      <c r="B158" s="6">
        <v>392</v>
      </c>
      <c r="C158" s="7" t="str">
        <f t="shared" si="6"/>
        <v>Premium3color</v>
      </c>
      <c r="D158" s="7" t="str">
        <f t="shared" si="7"/>
        <v>Premium</v>
      </c>
      <c r="E158" s="7" t="str">
        <f>IF(COUNTIF('R6追加前'!A:A,B158)=0,IF(I158="PremiumSS","R5only","R3less"),"")</f>
        <v/>
      </c>
      <c r="F158" s="7" t="str">
        <f>IF(COUNTIF('R6開放'!A:A,B158)&gt;0,"R6release","")</f>
        <v/>
      </c>
      <c r="G158" s="7" t="s">
        <v>240</v>
      </c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7">
        <f ca="1">IFERROR(VLOOKUP(B158,input_356010!L:R,7,FALSE),VLOOKUP(tables_356010!C158,input_356010!A:H,8,FALSE))</f>
        <v>14592</v>
      </c>
      <c r="P158" s="48">
        <f t="shared" ca="1" si="8"/>
        <v>9.8461538461538465E-3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input_356010!A$2</f>
        <v>356010</v>
      </c>
      <c r="B159" s="6">
        <v>393</v>
      </c>
      <c r="C159" s="7" t="str">
        <f t="shared" si="6"/>
        <v>Premium4color</v>
      </c>
      <c r="D159" s="7" t="str">
        <f t="shared" si="7"/>
        <v>Premium</v>
      </c>
      <c r="E159" s="7" t="str">
        <f>IF(COUNTIF('R6追加前'!A:A,B159)=0,IF(I159="PremiumSS","R5only","R3less"),"")</f>
        <v/>
      </c>
      <c r="F159" s="7" t="str">
        <f>IF(COUNTIF('R6開放'!A:A,B159)&gt;0,"R6release","")</f>
        <v/>
      </c>
      <c r="G159" s="7" t="s">
        <v>240</v>
      </c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7">
        <f ca="1">IFERROR(VLOOKUP(B159,input_356010!L:R,7,FALSE),VLOOKUP(tables_356010!C159,input_356010!A:H,8,FALSE))</f>
        <v>13132.8</v>
      </c>
      <c r="P159" s="48">
        <f t="shared" ca="1" si="8"/>
        <v>8.8615384615384606E-3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input_356010!A$2</f>
        <v>356010</v>
      </c>
      <c r="B160" s="6">
        <v>394</v>
      </c>
      <c r="C160" s="7" t="str">
        <f t="shared" si="6"/>
        <v>Premium5color</v>
      </c>
      <c r="D160" s="7" t="str">
        <f t="shared" si="7"/>
        <v>Premium</v>
      </c>
      <c r="E160" s="7" t="str">
        <f>IF(COUNTIF('R6追加前'!A:A,B160)=0,IF(I160="PremiumSS","R5only","R3less"),"")</f>
        <v/>
      </c>
      <c r="F160" s="7" t="str">
        <f>IF(COUNTIF('R6開放'!A:A,B160)&gt;0,"R6release","")</f>
        <v/>
      </c>
      <c r="G160" s="7" t="s">
        <v>240</v>
      </c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7">
        <f ca="1">IFERROR(VLOOKUP(B160,input_356010!L:R,7,FALSE),VLOOKUP(tables_356010!C160,input_356010!A:H,8,FALSE))</f>
        <v>1459.2</v>
      </c>
      <c r="P160" s="48">
        <f t="shared" ca="1" si="8"/>
        <v>9.8461538461538456E-4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input_356010!A$2</f>
        <v>356010</v>
      </c>
      <c r="B161" s="6">
        <v>395</v>
      </c>
      <c r="C161" s="7" t="str">
        <f t="shared" si="6"/>
        <v>Premium3</v>
      </c>
      <c r="D161" s="7" t="str">
        <f t="shared" si="7"/>
        <v>Premium</v>
      </c>
      <c r="E161" s="7" t="str">
        <f>IF(COUNTIF('R6追加前'!A:A,B161)=0,IF(I161="PremiumSS","R5only","R3less"),"")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7">
        <f ca="1">IFERROR(VLOOKUP(B161,input_356010!L:R,7,FALSE),VLOOKUP(tables_356010!C161,input_356010!A:H,8,FALSE))</f>
        <v>3648</v>
      </c>
      <c r="P161" s="48">
        <f t="shared" ca="1" si="8"/>
        <v>2.4615384615384616E-3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input_356010!A$2</f>
        <v>356010</v>
      </c>
      <c r="B162" s="6">
        <v>396</v>
      </c>
      <c r="C162" s="7" t="str">
        <f t="shared" si="6"/>
        <v>Premium4</v>
      </c>
      <c r="D162" s="7" t="str">
        <f t="shared" si="7"/>
        <v>Premium</v>
      </c>
      <c r="E162" s="7" t="str">
        <f>IF(COUNTIF('R6追加前'!A:A,B162)=0,IF(I162="PremiumSS","R5only","R3less"),"")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7">
        <f ca="1">IFERROR(VLOOKUP(B162,input_356010!L:R,7,FALSE),VLOOKUP(tables_356010!C162,input_356010!A:H,8,FALSE))</f>
        <v>3283.2</v>
      </c>
      <c r="P162" s="48">
        <f t="shared" ca="1" si="8"/>
        <v>2.2153846153846152E-3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input_356010!A$2</f>
        <v>356010</v>
      </c>
      <c r="B163" s="6">
        <v>397</v>
      </c>
      <c r="C163" s="7" t="str">
        <f t="shared" si="6"/>
        <v>Premium5</v>
      </c>
      <c r="D163" s="7" t="str">
        <f t="shared" si="7"/>
        <v>Premium</v>
      </c>
      <c r="E163" s="7" t="str">
        <f>IF(COUNTIF('R6追加前'!A:A,B163)=0,IF(I163="PremiumSS","R5only","R3less"),"")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7">
        <f ca="1">IFERROR(VLOOKUP(B163,input_356010!L:R,7,FALSE),VLOOKUP(tables_356010!C163,input_356010!A:H,8,FALSE))</f>
        <v>364.8</v>
      </c>
      <c r="P163" s="48">
        <f t="shared" ca="1" si="8"/>
        <v>2.4615384615384614E-4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input_356010!A$2</f>
        <v>356010</v>
      </c>
      <c r="B164" s="6">
        <v>398</v>
      </c>
      <c r="C164" s="7" t="str">
        <f t="shared" si="6"/>
        <v>PremiumSS4</v>
      </c>
      <c r="D164" s="7" t="str">
        <f t="shared" si="7"/>
        <v>PremiumSS</v>
      </c>
      <c r="E164" s="7" t="str">
        <f>IF(COUNTIF('R6追加前'!A:A,B164)=0,IF(I164="PremiumSS","R5only","R3less"),"")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7">
        <f ca="1">IFERROR(VLOOKUP(B164,input_356010!L:R,7,FALSE),VLOOKUP(tables_356010!C164,input_356010!A:H,8,FALSE))</f>
        <v>444.6</v>
      </c>
      <c r="P164" s="48">
        <f t="shared" ca="1" si="8"/>
        <v>3.0000000000000003E-4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input_356010!A$2</f>
        <v>356010</v>
      </c>
      <c r="B165" s="6">
        <v>399</v>
      </c>
      <c r="C165" s="7" t="str">
        <f t="shared" si="6"/>
        <v>PremiumSS5</v>
      </c>
      <c r="D165" s="7" t="str">
        <f t="shared" si="7"/>
        <v>PremiumSS</v>
      </c>
      <c r="E165" s="7" t="str">
        <f>IF(COUNTIF('R6追加前'!A:A,B165)=0,IF(I165="PremiumSS","R5only","R3less"),"")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7">
        <f ca="1">IFERROR(VLOOKUP(B165,input_356010!L:R,7,FALSE),VLOOKUP(tables_356010!C165,input_356010!A:H,8,FALSE))</f>
        <v>23.4</v>
      </c>
      <c r="P165" s="48">
        <f t="shared" ca="1" si="8"/>
        <v>1.5789473684210526E-5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input_356010!A$2</f>
        <v>356010</v>
      </c>
      <c r="B166" s="6">
        <v>400</v>
      </c>
      <c r="C166" s="7" t="str">
        <f t="shared" si="6"/>
        <v>Premium3color</v>
      </c>
      <c r="D166" s="7" t="str">
        <f t="shared" si="7"/>
        <v>Premium</v>
      </c>
      <c r="E166" s="7" t="str">
        <f>IF(COUNTIF('R6追加前'!A:A,B166)=0,IF(I166="PremiumSS","R5only","R3less"),"")</f>
        <v/>
      </c>
      <c r="F166" s="7" t="str">
        <f>IF(COUNTIF('R6開放'!A:A,B166)&gt;0,"R6release","")</f>
        <v/>
      </c>
      <c r="G166" s="7" t="s">
        <v>240</v>
      </c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7">
        <f ca="1">IFERROR(VLOOKUP(B166,input_356010!L:R,7,FALSE),VLOOKUP(tables_356010!C166,input_356010!A:H,8,FALSE))</f>
        <v>14592</v>
      </c>
      <c r="P166" s="48">
        <f t="shared" ca="1" si="8"/>
        <v>9.8461538461538465E-3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input_356010!A$2</f>
        <v>356010</v>
      </c>
      <c r="B167" s="6">
        <v>401</v>
      </c>
      <c r="C167" s="7" t="str">
        <f t="shared" si="6"/>
        <v>Premium4color</v>
      </c>
      <c r="D167" s="7" t="str">
        <f t="shared" si="7"/>
        <v>Premium</v>
      </c>
      <c r="E167" s="7" t="str">
        <f>IF(COUNTIF('R6追加前'!A:A,B167)=0,IF(I167="PremiumSS","R5only","R3less"),"")</f>
        <v/>
      </c>
      <c r="F167" s="7" t="str">
        <f>IF(COUNTIF('R6開放'!A:A,B167)&gt;0,"R6release","")</f>
        <v/>
      </c>
      <c r="G167" s="7" t="s">
        <v>240</v>
      </c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7">
        <f ca="1">IFERROR(VLOOKUP(B167,input_356010!L:R,7,FALSE),VLOOKUP(tables_356010!C167,input_356010!A:H,8,FALSE))</f>
        <v>13132.8</v>
      </c>
      <c r="P167" s="48">
        <f t="shared" ca="1" si="8"/>
        <v>8.8615384615384606E-3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input_356010!A$2</f>
        <v>356010</v>
      </c>
      <c r="B168" s="6">
        <v>402</v>
      </c>
      <c r="C168" s="7" t="str">
        <f t="shared" si="6"/>
        <v>Premium5color</v>
      </c>
      <c r="D168" s="7" t="str">
        <f t="shared" si="7"/>
        <v>Premium</v>
      </c>
      <c r="E168" s="7" t="str">
        <f>IF(COUNTIF('R6追加前'!A:A,B168)=0,IF(I168="PremiumSS","R5only","R3less"),"")</f>
        <v/>
      </c>
      <c r="F168" s="7" t="str">
        <f>IF(COUNTIF('R6開放'!A:A,B168)&gt;0,"R6release","")</f>
        <v/>
      </c>
      <c r="G168" s="7" t="s">
        <v>240</v>
      </c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7">
        <f ca="1">IFERROR(VLOOKUP(B168,input_356010!L:R,7,FALSE),VLOOKUP(tables_356010!C168,input_356010!A:H,8,FALSE))</f>
        <v>1459.2</v>
      </c>
      <c r="P168" s="48">
        <f t="shared" ca="1" si="8"/>
        <v>9.8461538461538456E-4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input_356010!A$2</f>
        <v>356010</v>
      </c>
      <c r="B169" s="6">
        <v>403</v>
      </c>
      <c r="C169" s="7" t="str">
        <f t="shared" si="6"/>
        <v>PremiumSS4color</v>
      </c>
      <c r="D169" s="7" t="str">
        <f t="shared" si="7"/>
        <v>PremiumSS</v>
      </c>
      <c r="E169" s="7" t="str">
        <f>IF(COUNTIF('R6追加前'!A:A,B169)=0,IF(I169="PremiumSS","R5only","R3less"),"")</f>
        <v/>
      </c>
      <c r="F169" s="7" t="str">
        <f>IF(COUNTIF('R6開放'!A:A,B169)&gt;0,"R6release","")</f>
        <v/>
      </c>
      <c r="G169" s="7" t="s">
        <v>240</v>
      </c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7">
        <f ca="1">IFERROR(VLOOKUP(B169,input_356010!L:R,7,FALSE),VLOOKUP(tables_356010!C169,input_356010!A:H,8,FALSE))</f>
        <v>1778.4</v>
      </c>
      <c r="P169" s="48">
        <f t="shared" ca="1" si="8"/>
        <v>1.2000000000000001E-3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input_356010!A$2</f>
        <v>356010</v>
      </c>
      <c r="B170" s="6">
        <v>404</v>
      </c>
      <c r="C170" s="7" t="str">
        <f t="shared" si="6"/>
        <v>PremiumSS5color</v>
      </c>
      <c r="D170" s="7" t="str">
        <f t="shared" si="7"/>
        <v>PremiumSS</v>
      </c>
      <c r="E170" s="7" t="str">
        <f>IF(COUNTIF('R6追加前'!A:A,B170)=0,IF(I170="PremiumSS","R5only","R3less"),"")</f>
        <v/>
      </c>
      <c r="F170" s="7" t="str">
        <f>IF(COUNTIF('R6開放'!A:A,B170)&gt;0,"R6release","")</f>
        <v/>
      </c>
      <c r="G170" s="7" t="s">
        <v>240</v>
      </c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7">
        <f ca="1">IFERROR(VLOOKUP(B170,input_356010!L:R,7,FALSE),VLOOKUP(tables_356010!C170,input_356010!A:H,8,FALSE))</f>
        <v>93.6</v>
      </c>
      <c r="P170" s="48">
        <f t="shared" ca="1" si="8"/>
        <v>6.3157894736842103E-5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input_356010!A$2</f>
        <v>356010</v>
      </c>
      <c r="B171" s="6">
        <v>405</v>
      </c>
      <c r="C171" s="7" t="str">
        <f t="shared" si="6"/>
        <v>Premium3</v>
      </c>
      <c r="D171" s="7" t="str">
        <f t="shared" si="7"/>
        <v>Premium</v>
      </c>
      <c r="E171" s="7" t="str">
        <f>IF(COUNTIF('R6追加前'!A:A,B171)=0,IF(I171="PremiumSS","R5only","R3less"),"")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7">
        <f ca="1">IFERROR(VLOOKUP(B171,input_356010!L:R,7,FALSE),VLOOKUP(tables_356010!C171,input_356010!A:H,8,FALSE))</f>
        <v>3648</v>
      </c>
      <c r="P171" s="48">
        <f t="shared" ca="1" si="8"/>
        <v>2.4615384615384616E-3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input_356010!A$2</f>
        <v>356010</v>
      </c>
      <c r="B172" s="6">
        <v>406</v>
      </c>
      <c r="C172" s="7" t="str">
        <f t="shared" si="6"/>
        <v>Premium4</v>
      </c>
      <c r="D172" s="7" t="str">
        <f t="shared" si="7"/>
        <v>Premium</v>
      </c>
      <c r="E172" s="7" t="str">
        <f>IF(COUNTIF('R6追加前'!A:A,B172)=0,IF(I172="PremiumSS","R5only","R3less"),"")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7">
        <f ca="1">IFERROR(VLOOKUP(B172,input_356010!L:R,7,FALSE),VLOOKUP(tables_356010!C172,input_356010!A:H,8,FALSE))</f>
        <v>3283.2</v>
      </c>
      <c r="P172" s="48">
        <f t="shared" ca="1" si="8"/>
        <v>2.2153846153846152E-3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input_356010!A$2</f>
        <v>356010</v>
      </c>
      <c r="B173" s="6">
        <v>407</v>
      </c>
      <c r="C173" s="7" t="str">
        <f t="shared" si="6"/>
        <v>Premium5</v>
      </c>
      <c r="D173" s="7" t="str">
        <f t="shared" si="7"/>
        <v>Premium</v>
      </c>
      <c r="E173" s="7" t="str">
        <f>IF(COUNTIF('R6追加前'!A:A,B173)=0,IF(I173="PremiumSS","R5only","R3less"),"")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7">
        <f ca="1">IFERROR(VLOOKUP(B173,input_356010!L:R,7,FALSE),VLOOKUP(tables_356010!C173,input_356010!A:H,8,FALSE))</f>
        <v>364.8</v>
      </c>
      <c r="P173" s="48">
        <f t="shared" ca="1" si="8"/>
        <v>2.4615384615384614E-4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input_356010!A$2</f>
        <v>356010</v>
      </c>
      <c r="B174" s="6">
        <v>408</v>
      </c>
      <c r="C174" s="7" t="str">
        <f t="shared" si="6"/>
        <v>PremiumSS4</v>
      </c>
      <c r="D174" s="7" t="str">
        <f t="shared" si="7"/>
        <v>PremiumSS</v>
      </c>
      <c r="E174" s="7" t="str">
        <f>IF(COUNTIF('R6追加前'!A:A,B174)=0,IF(I174="PremiumSS","R5only","R3less"),"")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7">
        <f ca="1">IFERROR(VLOOKUP(B174,input_356010!L:R,7,FALSE),VLOOKUP(tables_356010!C174,input_356010!A:H,8,FALSE))</f>
        <v>444.6</v>
      </c>
      <c r="P174" s="48">
        <f t="shared" ca="1" si="8"/>
        <v>3.0000000000000003E-4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input_356010!A$2</f>
        <v>356010</v>
      </c>
      <c r="B175" s="6">
        <v>409</v>
      </c>
      <c r="C175" s="7" t="str">
        <f t="shared" si="6"/>
        <v>PremiumSS5</v>
      </c>
      <c r="D175" s="7" t="str">
        <f t="shared" si="7"/>
        <v>PremiumSS</v>
      </c>
      <c r="E175" s="7" t="str">
        <f>IF(COUNTIF('R6追加前'!A:A,B175)=0,IF(I175="PremiumSS","R5only","R3less"),"")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7">
        <f ca="1">IFERROR(VLOOKUP(B175,input_356010!L:R,7,FALSE),VLOOKUP(tables_356010!C175,input_356010!A:H,8,FALSE))</f>
        <v>23.4</v>
      </c>
      <c r="P175" s="48">
        <f t="shared" ca="1" si="8"/>
        <v>1.5789473684210526E-5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input_356010!A$2</f>
        <v>356010</v>
      </c>
      <c r="B176" s="6">
        <v>434</v>
      </c>
      <c r="C176" s="7" t="str">
        <f t="shared" si="6"/>
        <v>PremiumSS4color</v>
      </c>
      <c r="D176" s="7" t="str">
        <f t="shared" si="7"/>
        <v>PremiumSS</v>
      </c>
      <c r="E176" s="7" t="str">
        <f>IF(COUNTIF('R6追加前'!A:A,B176)=0,IF(I176="PremiumSS","R5only","R3less"),"")</f>
        <v/>
      </c>
      <c r="F176" s="7" t="str">
        <f>IF(COUNTIF('R6開放'!A:A,B176)&gt;0,"R6release","")</f>
        <v/>
      </c>
      <c r="G176" s="7" t="s">
        <v>240</v>
      </c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7">
        <f ca="1">IFERROR(VLOOKUP(B176,input_356010!L:R,7,FALSE),VLOOKUP(tables_356010!C176,input_356010!A:H,8,FALSE))</f>
        <v>1778.4</v>
      </c>
      <c r="P176" s="48">
        <f t="shared" ca="1" si="8"/>
        <v>1.2000000000000001E-3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input_356010!A$2</f>
        <v>356010</v>
      </c>
      <c r="B177" s="6">
        <v>435</v>
      </c>
      <c r="C177" s="7" t="str">
        <f t="shared" si="6"/>
        <v>PremiumSS5color</v>
      </c>
      <c r="D177" s="7" t="str">
        <f t="shared" si="7"/>
        <v>PremiumSS</v>
      </c>
      <c r="E177" s="7" t="str">
        <f>IF(COUNTIF('R6追加前'!A:A,B177)=0,IF(I177="PremiumSS","R5only","R3less"),"")</f>
        <v/>
      </c>
      <c r="F177" s="7" t="str">
        <f>IF(COUNTIF('R6開放'!A:A,B177)&gt;0,"R6release","")</f>
        <v/>
      </c>
      <c r="G177" s="7" t="s">
        <v>240</v>
      </c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7">
        <f ca="1">IFERROR(VLOOKUP(B177,input_356010!L:R,7,FALSE),VLOOKUP(tables_356010!C177,input_356010!A:H,8,FALSE))</f>
        <v>93.6</v>
      </c>
      <c r="P177" s="48">
        <f t="shared" ca="1" si="8"/>
        <v>6.3157894736842103E-5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input_356010!A$2</f>
        <v>356010</v>
      </c>
      <c r="B178" s="6">
        <v>436</v>
      </c>
      <c r="C178" s="7" t="str">
        <f t="shared" si="6"/>
        <v>Premium3color</v>
      </c>
      <c r="D178" s="7" t="str">
        <f t="shared" si="7"/>
        <v>Premium</v>
      </c>
      <c r="E178" s="7" t="str">
        <f>IF(COUNTIF('R6追加前'!A:A,B178)=0,IF(I178="PremiumSS","R5only","R3less"),"")</f>
        <v/>
      </c>
      <c r="F178" s="7" t="str">
        <f>IF(COUNTIF('R6開放'!A:A,B178)&gt;0,"R6release","")</f>
        <v/>
      </c>
      <c r="G178" s="7" t="s">
        <v>240</v>
      </c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7">
        <f ca="1">IFERROR(VLOOKUP(B178,input_356010!L:R,7,FALSE),VLOOKUP(tables_356010!C178,input_356010!A:H,8,FALSE))</f>
        <v>14592</v>
      </c>
      <c r="P178" s="48">
        <f t="shared" ca="1" si="8"/>
        <v>9.8461538461538465E-3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input_356010!A$2</f>
        <v>356010</v>
      </c>
      <c r="B179" s="6">
        <v>437</v>
      </c>
      <c r="C179" s="7" t="str">
        <f t="shared" si="6"/>
        <v>Premium4color</v>
      </c>
      <c r="D179" s="7" t="str">
        <f t="shared" si="7"/>
        <v>Premium</v>
      </c>
      <c r="E179" s="7" t="str">
        <f>IF(COUNTIF('R6追加前'!A:A,B179)=0,IF(I179="PremiumSS","R5only","R3less"),"")</f>
        <v/>
      </c>
      <c r="F179" s="7" t="str">
        <f>IF(COUNTIF('R6開放'!A:A,B179)&gt;0,"R6release","")</f>
        <v/>
      </c>
      <c r="G179" s="7" t="s">
        <v>240</v>
      </c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7">
        <f ca="1">IFERROR(VLOOKUP(B179,input_356010!L:R,7,FALSE),VLOOKUP(tables_356010!C179,input_356010!A:H,8,FALSE))</f>
        <v>13132.8</v>
      </c>
      <c r="P179" s="48">
        <f t="shared" ca="1" si="8"/>
        <v>8.8615384615384606E-3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input_356010!A$2</f>
        <v>356010</v>
      </c>
      <c r="B180" s="6">
        <v>438</v>
      </c>
      <c r="C180" s="7" t="str">
        <f t="shared" si="6"/>
        <v>Premium5color</v>
      </c>
      <c r="D180" s="7" t="str">
        <f t="shared" si="7"/>
        <v>Premium</v>
      </c>
      <c r="E180" s="7" t="str">
        <f>IF(COUNTIF('R6追加前'!A:A,B180)=0,IF(I180="PremiumSS","R5only","R3less"),"")</f>
        <v/>
      </c>
      <c r="F180" s="7" t="str">
        <f>IF(COUNTIF('R6開放'!A:A,B180)&gt;0,"R6release","")</f>
        <v/>
      </c>
      <c r="G180" s="7" t="s">
        <v>240</v>
      </c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7">
        <f ca="1">IFERROR(VLOOKUP(B180,input_356010!L:R,7,FALSE),VLOOKUP(tables_356010!C180,input_356010!A:H,8,FALSE))</f>
        <v>1459.2</v>
      </c>
      <c r="P180" s="48">
        <f t="shared" ca="1" si="8"/>
        <v>9.8461538461538456E-4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input_356010!A$2</f>
        <v>356010</v>
      </c>
      <c r="B181" s="6">
        <v>439</v>
      </c>
      <c r="C181" s="7" t="str">
        <f t="shared" si="6"/>
        <v>Premium3</v>
      </c>
      <c r="D181" s="7" t="str">
        <f t="shared" si="7"/>
        <v>Premium</v>
      </c>
      <c r="E181" s="7" t="str">
        <f>IF(COUNTIF('R6追加前'!A:A,B181)=0,IF(I181="PremiumSS","R5only","R3less"),"")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7">
        <f ca="1">IFERROR(VLOOKUP(B181,input_356010!L:R,7,FALSE),VLOOKUP(tables_356010!C181,input_356010!A:H,8,FALSE))</f>
        <v>3648</v>
      </c>
      <c r="P181" s="48">
        <f t="shared" ca="1" si="8"/>
        <v>2.4615384615384616E-3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input_356010!A$2</f>
        <v>356010</v>
      </c>
      <c r="B182" s="6">
        <v>440</v>
      </c>
      <c r="C182" s="7" t="str">
        <f t="shared" si="6"/>
        <v>Premium4</v>
      </c>
      <c r="D182" s="7" t="str">
        <f t="shared" si="7"/>
        <v>Premium</v>
      </c>
      <c r="E182" s="7" t="str">
        <f>IF(COUNTIF('R6追加前'!A:A,B182)=0,IF(I182="PremiumSS","R5only","R3less"),"")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7">
        <f ca="1">IFERROR(VLOOKUP(B182,input_356010!L:R,7,FALSE),VLOOKUP(tables_356010!C182,input_356010!A:H,8,FALSE))</f>
        <v>3283.2</v>
      </c>
      <c r="P182" s="48">
        <f t="shared" ca="1" si="8"/>
        <v>2.2153846153846152E-3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input_356010!A$2</f>
        <v>356010</v>
      </c>
      <c r="B183" s="6">
        <v>441</v>
      </c>
      <c r="C183" s="7" t="str">
        <f t="shared" si="6"/>
        <v>Premium5</v>
      </c>
      <c r="D183" s="7" t="str">
        <f t="shared" si="7"/>
        <v>Premium</v>
      </c>
      <c r="E183" s="7" t="str">
        <f>IF(COUNTIF('R6追加前'!A:A,B183)=0,IF(I183="PremiumSS","R5only","R3less"),"")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7">
        <f ca="1">IFERROR(VLOOKUP(B183,input_356010!L:R,7,FALSE),VLOOKUP(tables_356010!C183,input_356010!A:H,8,FALSE))</f>
        <v>364.8</v>
      </c>
      <c r="P183" s="48">
        <f t="shared" ca="1" si="8"/>
        <v>2.4615384615384614E-4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input_356010!A$2</f>
        <v>356010</v>
      </c>
      <c r="B184" s="6">
        <v>442</v>
      </c>
      <c r="C184" s="7" t="str">
        <f t="shared" si="6"/>
        <v>PremiumSS4</v>
      </c>
      <c r="D184" s="7" t="str">
        <f t="shared" si="7"/>
        <v>PremiumSS</v>
      </c>
      <c r="E184" s="7" t="str">
        <f>IF(COUNTIF('R6追加前'!A:A,B184)=0,IF(I184="PremiumSS","R5only","R3less"),"")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7">
        <f ca="1">IFERROR(VLOOKUP(B184,input_356010!L:R,7,FALSE),VLOOKUP(tables_356010!C184,input_356010!A:H,8,FALSE))</f>
        <v>444.6</v>
      </c>
      <c r="P184" s="48">
        <f t="shared" ca="1" si="8"/>
        <v>3.0000000000000003E-4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input_356010!A$2</f>
        <v>356010</v>
      </c>
      <c r="B185" s="6">
        <v>443</v>
      </c>
      <c r="C185" s="7" t="str">
        <f t="shared" si="6"/>
        <v>PremiumSS5</v>
      </c>
      <c r="D185" s="7" t="str">
        <f t="shared" si="7"/>
        <v>PremiumSS</v>
      </c>
      <c r="E185" s="7" t="str">
        <f>IF(COUNTIF('R6追加前'!A:A,B185)=0,IF(I185="PremiumSS","R5only","R3less"),"")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7">
        <f ca="1">IFERROR(VLOOKUP(B185,input_356010!L:R,7,FALSE),VLOOKUP(tables_356010!C185,input_356010!A:H,8,FALSE))</f>
        <v>23.4</v>
      </c>
      <c r="P185" s="48">
        <f t="shared" ca="1" si="8"/>
        <v>1.5789473684210526E-5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input_356010!A$2</f>
        <v>356010</v>
      </c>
      <c r="B186" s="8">
        <v>462</v>
      </c>
      <c r="C186" s="7" t="str">
        <f t="shared" si="6"/>
        <v>Premium3color</v>
      </c>
      <c r="D186" s="7" t="str">
        <f t="shared" si="7"/>
        <v>Premium</v>
      </c>
      <c r="E186" s="7" t="str">
        <f>IF(COUNTIF('R6追加前'!A:A,B186)=0,IF(I186="PremiumSS","R5only","R3less"),"")</f>
        <v/>
      </c>
      <c r="F186" s="7" t="str">
        <f>IF(COUNTIF('R6開放'!A:A,B186)&gt;0,"R6release","")</f>
        <v/>
      </c>
      <c r="G186" s="7" t="s">
        <v>240</v>
      </c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7">
        <f ca="1">IFERROR(VLOOKUP(B186,input_356010!L:R,7,FALSE),VLOOKUP(tables_356010!C186,input_356010!A:H,8,FALSE))</f>
        <v>14592</v>
      </c>
      <c r="P186" s="48">
        <f t="shared" ca="1" si="8"/>
        <v>9.8461538461538465E-3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input_356010!A$2</f>
        <v>356010</v>
      </c>
      <c r="B187" s="8">
        <v>463</v>
      </c>
      <c r="C187" s="7" t="str">
        <f t="shared" si="6"/>
        <v>Premium4color</v>
      </c>
      <c r="D187" s="7" t="str">
        <f t="shared" si="7"/>
        <v>Premium</v>
      </c>
      <c r="E187" s="7" t="str">
        <f>IF(COUNTIF('R6追加前'!A:A,B187)=0,IF(I187="PremiumSS","R5only","R3less"),"")</f>
        <v/>
      </c>
      <c r="F187" s="7" t="str">
        <f>IF(COUNTIF('R6開放'!A:A,B187)&gt;0,"R6release","")</f>
        <v/>
      </c>
      <c r="G187" s="7" t="s">
        <v>240</v>
      </c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7">
        <f ca="1">IFERROR(VLOOKUP(B187,input_356010!L:R,7,FALSE),VLOOKUP(tables_356010!C187,input_356010!A:H,8,FALSE))</f>
        <v>13132.8</v>
      </c>
      <c r="P187" s="48">
        <f t="shared" ca="1" si="8"/>
        <v>8.8615384615384606E-3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input_356010!A$2</f>
        <v>356010</v>
      </c>
      <c r="B188" s="8">
        <v>464</v>
      </c>
      <c r="C188" s="7" t="str">
        <f t="shared" si="6"/>
        <v>Premium5color</v>
      </c>
      <c r="D188" s="7" t="str">
        <f t="shared" si="7"/>
        <v>Premium</v>
      </c>
      <c r="E188" s="7" t="str">
        <f>IF(COUNTIF('R6追加前'!A:A,B188)=0,IF(I188="PremiumSS","R5only","R3less"),"")</f>
        <v/>
      </c>
      <c r="F188" s="7" t="str">
        <f>IF(COUNTIF('R6開放'!A:A,B188)&gt;0,"R6release","")</f>
        <v/>
      </c>
      <c r="G188" s="7" t="s">
        <v>240</v>
      </c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7">
        <f ca="1">IFERROR(VLOOKUP(B188,input_356010!L:R,7,FALSE),VLOOKUP(tables_356010!C188,input_356010!A:H,8,FALSE))</f>
        <v>1459.2</v>
      </c>
      <c r="P188" s="48">
        <f t="shared" ca="1" si="8"/>
        <v>9.8461538461538456E-4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input_356010!A$2</f>
        <v>356010</v>
      </c>
      <c r="B189" s="8">
        <v>465</v>
      </c>
      <c r="C189" s="7" t="str">
        <f t="shared" si="6"/>
        <v>PremiumSS4color</v>
      </c>
      <c r="D189" s="7" t="str">
        <f t="shared" si="7"/>
        <v>PremiumSS</v>
      </c>
      <c r="E189" s="7" t="str">
        <f>IF(COUNTIF('R6追加前'!A:A,B189)=0,IF(I189="PremiumSS","R5only","R3less"),"")</f>
        <v/>
      </c>
      <c r="F189" s="7" t="str">
        <f>IF(COUNTIF('R6開放'!A:A,B189)&gt;0,"R6release","")</f>
        <v/>
      </c>
      <c r="G189" s="7" t="s">
        <v>240</v>
      </c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7">
        <f ca="1">IFERROR(VLOOKUP(B189,input_356010!L:R,7,FALSE),VLOOKUP(tables_356010!C189,input_356010!A:H,8,FALSE))</f>
        <v>1778.4</v>
      </c>
      <c r="P189" s="48">
        <f t="shared" ca="1" si="8"/>
        <v>1.2000000000000001E-3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input_356010!A$2</f>
        <v>356010</v>
      </c>
      <c r="B190" s="6">
        <v>466</v>
      </c>
      <c r="C190" s="7" t="str">
        <f t="shared" si="6"/>
        <v>PremiumSS5color</v>
      </c>
      <c r="D190" s="7" t="str">
        <f t="shared" si="7"/>
        <v>PremiumSS</v>
      </c>
      <c r="E190" s="7" t="str">
        <f>IF(COUNTIF('R6追加前'!A:A,B190)=0,IF(I190="PremiumSS","R5only","R3less"),"")</f>
        <v/>
      </c>
      <c r="F190" s="7" t="str">
        <f>IF(COUNTIF('R6開放'!A:A,B190)&gt;0,"R6release","")</f>
        <v/>
      </c>
      <c r="G190" s="7" t="s">
        <v>240</v>
      </c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7">
        <f ca="1">IFERROR(VLOOKUP(B190,input_356010!L:R,7,FALSE),VLOOKUP(tables_356010!C190,input_356010!A:H,8,FALSE))</f>
        <v>93.6</v>
      </c>
      <c r="P190" s="48">
        <f t="shared" ca="1" si="8"/>
        <v>6.3157894736842103E-5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input_356010!A$2</f>
        <v>356010</v>
      </c>
      <c r="B191" s="6">
        <v>467</v>
      </c>
      <c r="C191" s="7" t="str">
        <f t="shared" si="6"/>
        <v>PremiumSS4</v>
      </c>
      <c r="D191" s="7" t="str">
        <f t="shared" si="7"/>
        <v>PremiumSS</v>
      </c>
      <c r="E191" s="7" t="str">
        <f>IF(COUNTIF('R6追加前'!A:A,B191)=0,IF(I191="PremiumSS","R5only","R3less"),"")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7">
        <f ca="1">IFERROR(VLOOKUP(B191,input_356010!L:R,7,FALSE),VLOOKUP(tables_356010!C191,input_356010!A:H,8,FALSE))</f>
        <v>444.6</v>
      </c>
      <c r="P191" s="48">
        <f t="shared" ca="1" si="8"/>
        <v>3.0000000000000003E-4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input_356010!A$2</f>
        <v>356010</v>
      </c>
      <c r="B192" s="6">
        <v>468</v>
      </c>
      <c r="C192" s="7" t="str">
        <f t="shared" si="6"/>
        <v>PremiumSS5</v>
      </c>
      <c r="D192" s="7" t="str">
        <f t="shared" si="7"/>
        <v>PremiumSS</v>
      </c>
      <c r="E192" s="7" t="str">
        <f>IF(COUNTIF('R6追加前'!A:A,B192)=0,IF(I192="PremiumSS","R5only","R3less"),"")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7">
        <f ca="1">IFERROR(VLOOKUP(B192,input_356010!L:R,7,FALSE),VLOOKUP(tables_356010!C192,input_356010!A:H,8,FALSE))</f>
        <v>23.4</v>
      </c>
      <c r="P192" s="48">
        <f t="shared" ca="1" si="8"/>
        <v>1.5789473684210526E-5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input_356010!A$2</f>
        <v>356010</v>
      </c>
      <c r="B193" s="6">
        <v>469</v>
      </c>
      <c r="C193" s="7" t="str">
        <f t="shared" si="6"/>
        <v>Premium3</v>
      </c>
      <c r="D193" s="7" t="str">
        <f t="shared" si="7"/>
        <v>Premium</v>
      </c>
      <c r="E193" s="7" t="str">
        <f>IF(COUNTIF('R6追加前'!A:A,B193)=0,IF(I193="PremiumSS","R5only","R3less"),"")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7">
        <f ca="1">IFERROR(VLOOKUP(B193,input_356010!L:R,7,FALSE),VLOOKUP(tables_356010!C193,input_356010!A:H,8,FALSE))</f>
        <v>3648</v>
      </c>
      <c r="P193" s="48">
        <f t="shared" ca="1" si="8"/>
        <v>2.4615384615384616E-3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input_356010!A$2</f>
        <v>356010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si="7"/>
        <v>Premium</v>
      </c>
      <c r="E194" s="7" t="str">
        <f>IF(COUNTIF('R6追加前'!A:A,B194)=0,IF(I194="PremiumSS","R5only","R3less"),"")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7">
        <f ca="1">IFERROR(VLOOKUP(B194,input_356010!L:R,7,FALSE),VLOOKUP(tables_356010!C194,input_356010!A:H,8,FALSE))</f>
        <v>3283.2</v>
      </c>
      <c r="P194" s="48">
        <f t="shared" ca="1" si="8"/>
        <v>2.2153846153846152E-3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input_356010!A$2</f>
        <v>356010</v>
      </c>
      <c r="B195" s="6">
        <v>471</v>
      </c>
      <c r="C195" s="7" t="str">
        <f t="shared" si="9"/>
        <v>Premium5</v>
      </c>
      <c r="D195" s="7" t="str">
        <f t="shared" ref="D195:D258" si="10">IF(I195="PremiumSS",I195,IF(I195="PremiumSSS",I195,IF(I195="PremiumW",I195,"Premium")))</f>
        <v>Premium</v>
      </c>
      <c r="E195" s="7" t="str">
        <f>IF(COUNTIF('R6追加前'!A:A,B195)=0,IF(I195="PremiumSS","R5only","R3less"),"")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7">
        <f ca="1">IFERROR(VLOOKUP(B195,input_356010!L:R,7,FALSE),VLOOKUP(tables_356010!C195,input_356010!A:H,8,FALSE))</f>
        <v>364.8</v>
      </c>
      <c r="P195" s="48">
        <f t="shared" ca="1" si="8"/>
        <v>2.4615384615384614E-4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input_356010!A$2</f>
        <v>356010</v>
      </c>
      <c r="B196" s="6">
        <v>474</v>
      </c>
      <c r="C196" s="7" t="str">
        <f t="shared" si="9"/>
        <v>PremiumSS4color</v>
      </c>
      <c r="D196" s="7" t="str">
        <f t="shared" si="10"/>
        <v>PremiumSS</v>
      </c>
      <c r="E196" s="7" t="str">
        <f>IF(COUNTIF('R6追加前'!A:A,B196)=0,IF(I196="PremiumSS","R5only","R3less"),"")</f>
        <v/>
      </c>
      <c r="F196" s="7" t="str">
        <f>IF(COUNTIF('R6開放'!A:A,B196)&gt;0,"R6release","")</f>
        <v/>
      </c>
      <c r="G196" s="7" t="s">
        <v>240</v>
      </c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7">
        <f ca="1">IFERROR(VLOOKUP(B196,input_356010!L:R,7,FALSE),VLOOKUP(tables_356010!C196,input_356010!A:H,8,FALSE))</f>
        <v>1778.4</v>
      </c>
      <c r="P196" s="48">
        <f t="shared" ca="1" si="8"/>
        <v>1.2000000000000001E-3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input_356010!A$2</f>
        <v>356010</v>
      </c>
      <c r="B197" s="6">
        <v>475</v>
      </c>
      <c r="C197" s="7" t="str">
        <f t="shared" si="9"/>
        <v>PremiumSS5color</v>
      </c>
      <c r="D197" s="7" t="str">
        <f t="shared" si="10"/>
        <v>PremiumSS</v>
      </c>
      <c r="E197" s="7" t="str">
        <f>IF(COUNTIF('R6追加前'!A:A,B197)=0,IF(I197="PremiumSS","R5only","R3less"),"")</f>
        <v/>
      </c>
      <c r="F197" s="7" t="str">
        <f>IF(COUNTIF('R6開放'!A:A,B197)&gt;0,"R6release","")</f>
        <v/>
      </c>
      <c r="G197" s="7" t="s">
        <v>240</v>
      </c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7">
        <f ca="1">IFERROR(VLOOKUP(B197,input_356010!L:R,7,FALSE),VLOOKUP(tables_356010!C197,input_356010!A:H,8,FALSE))</f>
        <v>93.6</v>
      </c>
      <c r="P197" s="48">
        <f t="shared" ca="1" si="8"/>
        <v>6.3157894736842103E-5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input_356010!A$2</f>
        <v>356010</v>
      </c>
      <c r="B198" s="6">
        <v>476</v>
      </c>
      <c r="C198" s="7" t="str">
        <f t="shared" si="9"/>
        <v>Premium3color</v>
      </c>
      <c r="D198" s="7" t="str">
        <f t="shared" si="10"/>
        <v>Premium</v>
      </c>
      <c r="E198" s="7" t="str">
        <f>IF(COUNTIF('R6追加前'!A:A,B198)=0,IF(I198="PremiumSS","R5only","R3less"),"")</f>
        <v/>
      </c>
      <c r="F198" s="7" t="str">
        <f>IF(COUNTIF('R6開放'!A:A,B198)&gt;0,"R6release","")</f>
        <v/>
      </c>
      <c r="G198" s="7" t="s">
        <v>240</v>
      </c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7">
        <f ca="1">IFERROR(VLOOKUP(B198,input_356010!L:R,7,FALSE),VLOOKUP(tables_356010!C198,input_356010!A:H,8,FALSE))</f>
        <v>14592</v>
      </c>
      <c r="P198" s="48">
        <f t="shared" ca="1" si="8"/>
        <v>9.8461538461538465E-3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input_356010!A$2</f>
        <v>356010</v>
      </c>
      <c r="B199" s="6">
        <v>477</v>
      </c>
      <c r="C199" s="7" t="str">
        <f t="shared" si="9"/>
        <v>Premium4color</v>
      </c>
      <c r="D199" s="7" t="str">
        <f t="shared" si="10"/>
        <v>Premium</v>
      </c>
      <c r="E199" s="7" t="str">
        <f>IF(COUNTIF('R6追加前'!A:A,B199)=0,IF(I199="PremiumSS","R5only","R3less"),"")</f>
        <v/>
      </c>
      <c r="F199" s="7" t="str">
        <f>IF(COUNTIF('R6開放'!A:A,B199)&gt;0,"R6release","")</f>
        <v/>
      </c>
      <c r="G199" s="7" t="s">
        <v>240</v>
      </c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7">
        <f ca="1">IFERROR(VLOOKUP(B199,input_356010!L:R,7,FALSE),VLOOKUP(tables_356010!C199,input_356010!A:H,8,FALSE))</f>
        <v>13132.8</v>
      </c>
      <c r="P199" s="48">
        <f t="shared" ca="1" si="8"/>
        <v>8.8615384615384606E-3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input_356010!A$2</f>
        <v>356010</v>
      </c>
      <c r="B200" s="6">
        <v>478</v>
      </c>
      <c r="C200" s="7" t="str">
        <f t="shared" si="9"/>
        <v>Premium5color</v>
      </c>
      <c r="D200" s="7" t="str">
        <f t="shared" si="10"/>
        <v>Premium</v>
      </c>
      <c r="E200" s="7" t="str">
        <f>IF(COUNTIF('R6追加前'!A:A,B200)=0,IF(I200="PremiumSS","R5only","R3less"),"")</f>
        <v/>
      </c>
      <c r="F200" s="7" t="str">
        <f>IF(COUNTIF('R6開放'!A:A,B200)&gt;0,"R6release","")</f>
        <v/>
      </c>
      <c r="G200" s="7" t="s">
        <v>240</v>
      </c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7">
        <f ca="1">IFERROR(VLOOKUP(B200,input_356010!L:R,7,FALSE),VLOOKUP(tables_356010!C200,input_356010!A:H,8,FALSE))</f>
        <v>1459.2</v>
      </c>
      <c r="P200" s="48">
        <f t="shared" ca="1" si="8"/>
        <v>9.8461538461538456E-4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input_356010!A$2</f>
        <v>356010</v>
      </c>
      <c r="B201" s="6">
        <v>479</v>
      </c>
      <c r="C201" s="7" t="str">
        <f t="shared" si="9"/>
        <v>PremiumSS4</v>
      </c>
      <c r="D201" s="7" t="str">
        <f t="shared" si="10"/>
        <v>PremiumSS</v>
      </c>
      <c r="E201" s="7" t="str">
        <f>IF(COUNTIF('R6追加前'!A:A,B201)=0,IF(I201="PremiumSS","R5only","R3less"),"")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7">
        <f ca="1">IFERROR(VLOOKUP(B201,input_356010!L:R,7,FALSE),VLOOKUP(tables_356010!C201,input_356010!A:H,8,FALSE))</f>
        <v>444.6</v>
      </c>
      <c r="P201" s="48">
        <f t="shared" ca="1" si="8"/>
        <v>3.0000000000000003E-4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input_356010!A$2</f>
        <v>356010</v>
      </c>
      <c r="B202" s="6">
        <v>480</v>
      </c>
      <c r="C202" s="7" t="str">
        <f t="shared" si="9"/>
        <v>PremiumSS5</v>
      </c>
      <c r="D202" s="7" t="str">
        <f t="shared" si="10"/>
        <v>PremiumSS</v>
      </c>
      <c r="E202" s="7" t="str">
        <f>IF(COUNTIF('R6追加前'!A:A,B202)=0,IF(I202="PremiumSS","R5only","R3less"),"")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7">
        <f ca="1">IFERROR(VLOOKUP(B202,input_356010!L:R,7,FALSE),VLOOKUP(tables_356010!C202,input_356010!A:H,8,FALSE))</f>
        <v>23.4</v>
      </c>
      <c r="P202" s="48">
        <f t="shared" ca="1" si="8"/>
        <v>1.5789473684210526E-5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input_356010!A$2</f>
        <v>356010</v>
      </c>
      <c r="B203" s="6">
        <v>481</v>
      </c>
      <c r="C203" s="7" t="str">
        <f t="shared" si="9"/>
        <v>Premium3</v>
      </c>
      <c r="D203" s="7" t="str">
        <f t="shared" si="10"/>
        <v>Premium</v>
      </c>
      <c r="E203" s="7" t="str">
        <f>IF(COUNTIF('R6追加前'!A:A,B203)=0,IF(I203="PremiumSS","R5only","R3less"),"")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7">
        <f ca="1">IFERROR(VLOOKUP(B203,input_356010!L:R,7,FALSE),VLOOKUP(tables_356010!C203,input_356010!A:H,8,FALSE))</f>
        <v>3648</v>
      </c>
      <c r="P203" s="48">
        <f t="shared" ca="1" si="8"/>
        <v>2.4615384615384616E-3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input_356010!A$2</f>
        <v>356010</v>
      </c>
      <c r="B204" s="6">
        <v>482</v>
      </c>
      <c r="C204" s="7" t="str">
        <f t="shared" si="9"/>
        <v>Premium4</v>
      </c>
      <c r="D204" s="7" t="str">
        <f t="shared" si="10"/>
        <v>Premium</v>
      </c>
      <c r="E204" s="7" t="str">
        <f>IF(COUNTIF('R6追加前'!A:A,B204)=0,IF(I204="PremiumSS","R5only","R3less"),"")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7">
        <f ca="1">IFERROR(VLOOKUP(B204,input_356010!L:R,7,FALSE),VLOOKUP(tables_356010!C204,input_356010!A:H,8,FALSE))</f>
        <v>3283.2</v>
      </c>
      <c r="P204" s="48">
        <f t="shared" ca="1" si="8"/>
        <v>2.2153846153846152E-3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input_356010!A$2</f>
        <v>356010</v>
      </c>
      <c r="B205" s="6">
        <v>483</v>
      </c>
      <c r="C205" s="7" t="str">
        <f t="shared" si="9"/>
        <v>Premium5</v>
      </c>
      <c r="D205" s="7" t="str">
        <f t="shared" si="10"/>
        <v>Premium</v>
      </c>
      <c r="E205" s="7" t="str">
        <f>IF(COUNTIF('R6追加前'!A:A,B205)=0,IF(I205="PremiumSS","R5only","R3less"),"")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7">
        <f ca="1">IFERROR(VLOOKUP(B205,input_356010!L:R,7,FALSE),VLOOKUP(tables_356010!C205,input_356010!A:H,8,FALSE))</f>
        <v>364.8</v>
      </c>
      <c r="P205" s="48">
        <f t="shared" ca="1" si="8"/>
        <v>2.4615384615384614E-4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input_356010!A$2</f>
        <v>356010</v>
      </c>
      <c r="B206" s="6">
        <v>492</v>
      </c>
      <c r="C206" s="7" t="str">
        <f t="shared" si="9"/>
        <v>PremiumSS4color</v>
      </c>
      <c r="D206" s="7" t="str">
        <f t="shared" si="10"/>
        <v>PremiumSS</v>
      </c>
      <c r="E206" s="7" t="str">
        <f>IF(COUNTIF('R6追加前'!A:A,B206)=0,IF(I206="PremiumSS","R5only","R3less"),"")</f>
        <v/>
      </c>
      <c r="F206" s="7" t="str">
        <f>IF(COUNTIF('R6開放'!A:A,B206)&gt;0,"R6release","")</f>
        <v/>
      </c>
      <c r="G206" s="7" t="s">
        <v>240</v>
      </c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7">
        <f ca="1">IFERROR(VLOOKUP(B206,input_356010!L:R,7,FALSE),VLOOKUP(tables_356010!C206,input_356010!A:H,8,FALSE))</f>
        <v>1778.4</v>
      </c>
      <c r="P206" s="48">
        <f t="shared" ca="1" si="8"/>
        <v>1.2000000000000001E-3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input_356010!A$2</f>
        <v>356010</v>
      </c>
      <c r="B207" s="6">
        <v>493</v>
      </c>
      <c r="C207" s="7" t="str">
        <f t="shared" si="9"/>
        <v>PremiumSS5color</v>
      </c>
      <c r="D207" s="7" t="str">
        <f t="shared" si="10"/>
        <v>PremiumSS</v>
      </c>
      <c r="E207" s="7" t="str">
        <f>IF(COUNTIF('R6追加前'!A:A,B207)=0,IF(I207="PremiumSS","R5only","R3less"),"")</f>
        <v/>
      </c>
      <c r="F207" s="7" t="str">
        <f>IF(COUNTIF('R6開放'!A:A,B207)&gt;0,"R6release","")</f>
        <v/>
      </c>
      <c r="G207" s="7" t="s">
        <v>240</v>
      </c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7">
        <f ca="1">IFERROR(VLOOKUP(B207,input_356010!L:R,7,FALSE),VLOOKUP(tables_356010!C207,input_356010!A:H,8,FALSE))</f>
        <v>93.6</v>
      </c>
      <c r="P207" s="48">
        <f t="shared" ref="P207:P270" ca="1" si="11">O207/SUM(O:O)</f>
        <v>6.3157894736842103E-5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input_356010!A$2</f>
        <v>356010</v>
      </c>
      <c r="B208" s="6">
        <v>494</v>
      </c>
      <c r="C208" s="7" t="str">
        <f t="shared" si="9"/>
        <v>PremiumSS4color</v>
      </c>
      <c r="D208" s="7" t="str">
        <f t="shared" si="10"/>
        <v>PremiumSS</v>
      </c>
      <c r="E208" s="7" t="str">
        <f>IF(COUNTIF('R6追加前'!A:A,B208)=0,IF(I208="PremiumSS","R5only","R3less"),"")</f>
        <v/>
      </c>
      <c r="F208" s="7" t="str">
        <f>IF(COUNTIF('R6開放'!A:A,B208)&gt;0,"R6release","")</f>
        <v/>
      </c>
      <c r="G208" s="7" t="s">
        <v>240</v>
      </c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7">
        <f ca="1">IFERROR(VLOOKUP(B208,input_356010!L:R,7,FALSE),VLOOKUP(tables_356010!C208,input_356010!A:H,8,FALSE))</f>
        <v>1778.4</v>
      </c>
      <c r="P208" s="48">
        <f t="shared" ca="1" si="11"/>
        <v>1.2000000000000001E-3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input_356010!A$2</f>
        <v>356010</v>
      </c>
      <c r="B209" s="6">
        <v>495</v>
      </c>
      <c r="C209" s="7" t="str">
        <f t="shared" si="9"/>
        <v>PremiumSS5color</v>
      </c>
      <c r="D209" s="7" t="str">
        <f t="shared" si="10"/>
        <v>PremiumSS</v>
      </c>
      <c r="E209" s="7" t="str">
        <f>IF(COUNTIF('R6追加前'!A:A,B209)=0,IF(I209="PremiumSS","R5only","R3less"),"")</f>
        <v/>
      </c>
      <c r="F209" s="7" t="str">
        <f>IF(COUNTIF('R6開放'!A:A,B209)&gt;0,"R6release","")</f>
        <v/>
      </c>
      <c r="G209" s="7" t="s">
        <v>240</v>
      </c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7">
        <f ca="1">IFERROR(VLOOKUP(B209,input_356010!L:R,7,FALSE),VLOOKUP(tables_356010!C209,input_356010!A:H,8,FALSE))</f>
        <v>93.6</v>
      </c>
      <c r="P209" s="48">
        <f t="shared" ca="1" si="11"/>
        <v>6.3157894736842103E-5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input_356010!A$2</f>
        <v>356010</v>
      </c>
      <c r="B210" s="6">
        <v>496</v>
      </c>
      <c r="C210" s="7" t="str">
        <f t="shared" si="9"/>
        <v>Premium3</v>
      </c>
      <c r="D210" s="7" t="str">
        <f t="shared" si="10"/>
        <v>Premium</v>
      </c>
      <c r="E210" s="7" t="str">
        <f>IF(COUNTIF('R6追加前'!A:A,B210)=0,IF(I210="PremiumSS","R5only","R3less"),"")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7">
        <f ca="1">IFERROR(VLOOKUP(B210,input_356010!L:R,7,FALSE),VLOOKUP(tables_356010!C210,input_356010!A:H,8,FALSE))</f>
        <v>3648</v>
      </c>
      <c r="P210" s="48">
        <f t="shared" ca="1" si="11"/>
        <v>2.4615384615384616E-3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input_356010!A$2</f>
        <v>356010</v>
      </c>
      <c r="B211" s="6">
        <v>497</v>
      </c>
      <c r="C211" s="7" t="str">
        <f t="shared" si="9"/>
        <v>Premium4</v>
      </c>
      <c r="D211" s="7" t="str">
        <f t="shared" si="10"/>
        <v>Premium</v>
      </c>
      <c r="E211" s="7" t="str">
        <f>IF(COUNTIF('R6追加前'!A:A,B211)=0,IF(I211="PremiumSS","R5only","R3less"),"")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7">
        <f ca="1">IFERROR(VLOOKUP(B211,input_356010!L:R,7,FALSE),VLOOKUP(tables_356010!C211,input_356010!A:H,8,FALSE))</f>
        <v>3283.2</v>
      </c>
      <c r="P211" s="48">
        <f t="shared" ca="1" si="11"/>
        <v>2.2153846153846152E-3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input_356010!A$2</f>
        <v>356010</v>
      </c>
      <c r="B212" s="6">
        <v>498</v>
      </c>
      <c r="C212" s="7" t="str">
        <f t="shared" si="9"/>
        <v>Premium5</v>
      </c>
      <c r="D212" s="7" t="str">
        <f t="shared" si="10"/>
        <v>Premium</v>
      </c>
      <c r="E212" s="7" t="str">
        <f>IF(COUNTIF('R6追加前'!A:A,B212)=0,IF(I212="PremiumSS","R5only","R3less"),"")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7">
        <f ca="1">IFERROR(VLOOKUP(B212,input_356010!L:R,7,FALSE),VLOOKUP(tables_356010!C212,input_356010!A:H,8,FALSE))</f>
        <v>364.8</v>
      </c>
      <c r="P212" s="48">
        <f t="shared" ca="1" si="11"/>
        <v>2.4615384615384614E-4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input_356010!A$2</f>
        <v>356010</v>
      </c>
      <c r="B213" s="6">
        <v>499</v>
      </c>
      <c r="C213" s="7" t="str">
        <f t="shared" si="9"/>
        <v>PremiumSS4</v>
      </c>
      <c r="D213" s="7" t="str">
        <f t="shared" si="10"/>
        <v>PremiumSS</v>
      </c>
      <c r="E213" s="7" t="str">
        <f>IF(COUNTIF('R6追加前'!A:A,B213)=0,IF(I213="PremiumSS","R5only","R3less"),"")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7">
        <f ca="1">IFERROR(VLOOKUP(B213,input_356010!L:R,7,FALSE),VLOOKUP(tables_356010!C213,input_356010!A:H,8,FALSE))</f>
        <v>444.6</v>
      </c>
      <c r="P213" s="48">
        <f t="shared" ca="1" si="11"/>
        <v>3.0000000000000003E-4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input_356010!A$2</f>
        <v>356010</v>
      </c>
      <c r="B214" s="6">
        <v>500</v>
      </c>
      <c r="C214" s="7" t="str">
        <f t="shared" si="9"/>
        <v>PremiumSS5</v>
      </c>
      <c r="D214" s="7" t="str">
        <f t="shared" si="10"/>
        <v>PremiumSS</v>
      </c>
      <c r="E214" s="7" t="str">
        <f>IF(COUNTIF('R6追加前'!A:A,B214)=0,IF(I214="PremiumSS","R5only","R3less"),"")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7">
        <f ca="1">IFERROR(VLOOKUP(B214,input_356010!L:R,7,FALSE),VLOOKUP(tables_356010!C214,input_356010!A:H,8,FALSE))</f>
        <v>23.4</v>
      </c>
      <c r="P214" s="48">
        <f t="shared" ca="1" si="11"/>
        <v>1.5789473684210526E-5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input_356010!A$2</f>
        <v>356010</v>
      </c>
      <c r="B215" s="6">
        <v>586</v>
      </c>
      <c r="C215" s="7" t="str">
        <f t="shared" si="9"/>
        <v>PremiumSS4color</v>
      </c>
      <c r="D215" s="7" t="str">
        <f t="shared" si="10"/>
        <v>PremiumSS</v>
      </c>
      <c r="E215" s="7" t="str">
        <f>IF(COUNTIF('R6追加前'!A:A,B215)=0,IF(I215="PremiumSS","R5only","R3less"),"")</f>
        <v/>
      </c>
      <c r="F215" s="7" t="str">
        <f>IF(COUNTIF('R6開放'!A:A,B215)&gt;0,"R6release","")</f>
        <v/>
      </c>
      <c r="G215" s="7" t="s">
        <v>240</v>
      </c>
      <c r="H215" s="7" t="str">
        <f>VLOOKUP(B215,[1]characters!$A:$C,3,FALSE)</f>
        <v>ユミル</v>
      </c>
      <c r="I215" s="7" t="str">
        <f>VLOOKUP(B215,[1]characters!$A:$J,10,FALSE)</f>
        <v>PremiumSS</v>
      </c>
      <c r="J215" s="7">
        <f>VLOOKUP(B215,[1]characters!$A:$I,9,FALSE)</f>
        <v>4</v>
      </c>
      <c r="K215" s="7" t="str">
        <f>VLOOKUP(B215,[1]characters!$A:$H,8,FALSE)</f>
        <v>red</v>
      </c>
      <c r="L215" s="7" t="str">
        <f>VLOOKUP(B215,[1]characters!$A:$K,11,FALSE)</f>
        <v>hp</v>
      </c>
      <c r="M215" s="7" t="str">
        <f>VLOOKUP(B215,[1]characters!$A:$M,13,FALSE)</f>
        <v>machine</v>
      </c>
      <c r="N215" s="7" t="str">
        <f>VLOOKUP(B215,[1]characters!$A:$G,7,FALSE)</f>
        <v>不明</v>
      </c>
      <c r="O215" s="47">
        <f ca="1">IFERROR(VLOOKUP(B215,input_356010!L:R,7,FALSE),VLOOKUP(tables_356010!C215,input_356010!A:H,8,FALSE))</f>
        <v>1778.4</v>
      </c>
      <c r="P215" s="48">
        <f t="shared" ca="1" si="11"/>
        <v>1.2000000000000001E-3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input_356010!A$2</f>
        <v>356010</v>
      </c>
      <c r="B216" s="6">
        <v>587</v>
      </c>
      <c r="C216" s="7" t="str">
        <f t="shared" si="9"/>
        <v>PremiumSS5color</v>
      </c>
      <c r="D216" s="7" t="str">
        <f t="shared" si="10"/>
        <v>PremiumSS</v>
      </c>
      <c r="E216" s="7" t="str">
        <f>IF(COUNTIF('R6追加前'!A:A,B216)=0,IF(I216="PremiumSS","R5only","R3less"),"")</f>
        <v/>
      </c>
      <c r="F216" s="7" t="str">
        <f>IF(COUNTIF('R6開放'!A:A,B216)&gt;0,"R6release","")</f>
        <v/>
      </c>
      <c r="G216" s="7" t="s">
        <v>240</v>
      </c>
      <c r="H216" s="7" t="str">
        <f>VLOOKUP(B216,[1]characters!$A:$C,3,FALSE)</f>
        <v>原初の煉鋼巨刃 ユミル</v>
      </c>
      <c r="I216" s="7" t="str">
        <f>VLOOKUP(B216,[1]characters!$A:$J,10,FALSE)</f>
        <v>PremiumSS</v>
      </c>
      <c r="J216" s="7">
        <f>VLOOKUP(B216,[1]characters!$A:$I,9,FALSE)</f>
        <v>5</v>
      </c>
      <c r="K216" s="7" t="str">
        <f>VLOOKUP(B216,[1]characters!$A:$H,8,FALSE)</f>
        <v>red</v>
      </c>
      <c r="L216" s="7" t="str">
        <f>VLOOKUP(B216,[1]characters!$A:$K,11,FALSE)</f>
        <v>hp</v>
      </c>
      <c r="M216" s="7" t="str">
        <f>VLOOKUP(B216,[1]characters!$A:$M,13,FALSE)</f>
        <v>machine</v>
      </c>
      <c r="N216" s="7" t="str">
        <f>VLOOKUP(B216,[1]characters!$A:$G,7,FALSE)</f>
        <v>不明</v>
      </c>
      <c r="O216" s="47">
        <f ca="1">IFERROR(VLOOKUP(B216,input_356010!L:R,7,FALSE),VLOOKUP(tables_356010!C216,input_356010!A:H,8,FALSE))</f>
        <v>93.6</v>
      </c>
      <c r="P216" s="48">
        <f t="shared" ca="1" si="11"/>
        <v>6.3157894736842103E-5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input_356010!A$2</f>
        <v>356010</v>
      </c>
      <c r="B217" s="6">
        <v>588</v>
      </c>
      <c r="C217" s="7" t="str">
        <f t="shared" si="9"/>
        <v>Premium3color</v>
      </c>
      <c r="D217" s="7" t="str">
        <f t="shared" si="10"/>
        <v>Premium</v>
      </c>
      <c r="E217" s="7" t="str">
        <f>IF(COUNTIF('R6追加前'!A:A,B217)=0,IF(I217="PremiumSS","R5only","R3less"),"")</f>
        <v/>
      </c>
      <c r="F217" s="7" t="str">
        <f>IF(COUNTIF('R6開放'!A:A,B217)&gt;0,"R6release","")</f>
        <v/>
      </c>
      <c r="G217" s="7" t="s">
        <v>240</v>
      </c>
      <c r="H217" s="7" t="str">
        <f>VLOOKUP(B217,[1]characters!$A:$C,3,FALSE)</f>
        <v>ニーベルゲン</v>
      </c>
      <c r="I217" s="7" t="str">
        <f>VLOOKUP(B217,[1]characters!$A:$J,10,FALSE)</f>
        <v>PremiumS</v>
      </c>
      <c r="J217" s="7">
        <f>VLOOKUP(B217,[1]characters!$A:$I,9,FALSE)</f>
        <v>3</v>
      </c>
      <c r="K217" s="7" t="str">
        <f>VLOOKUP(B217,[1]characters!$A:$H,8,FALSE)</f>
        <v>green</v>
      </c>
      <c r="L217" s="7" t="str">
        <f>VLOOKUP(B217,[1]characters!$A:$K,11,FALSE)</f>
        <v>balance</v>
      </c>
      <c r="M217" s="7" t="str">
        <f>VLOOKUP(B217,[1]characters!$A:$M,13,FALSE)</f>
        <v>unknown</v>
      </c>
      <c r="N217" s="7" t="str">
        <f>VLOOKUP(B217,[1]characters!$A:$G,7,FALSE)</f>
        <v>女性</v>
      </c>
      <c r="O217" s="47">
        <f ca="1">IFERROR(VLOOKUP(B217,input_356010!L:R,7,FALSE),VLOOKUP(tables_356010!C217,input_356010!A:H,8,FALSE))</f>
        <v>14592</v>
      </c>
      <c r="P217" s="48">
        <f t="shared" ca="1" si="11"/>
        <v>9.8461538461538465E-3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input_356010!A$2</f>
        <v>356010</v>
      </c>
      <c r="B218" s="6">
        <v>589</v>
      </c>
      <c r="C218" s="7" t="str">
        <f t="shared" si="9"/>
        <v>Premium4color</v>
      </c>
      <c r="D218" s="7" t="str">
        <f t="shared" si="10"/>
        <v>Premium</v>
      </c>
      <c r="E218" s="7" t="str">
        <f>IF(COUNTIF('R6追加前'!A:A,B218)=0,IF(I218="PremiumSS","R5only","R3less"),"")</f>
        <v/>
      </c>
      <c r="F218" s="7" t="str">
        <f>IF(COUNTIF('R6開放'!A:A,B218)&gt;0,"R6release","")</f>
        <v/>
      </c>
      <c r="G218" s="7" t="s">
        <v>240</v>
      </c>
      <c r="H218" s="7" t="str">
        <f>VLOOKUP(B218,[1]characters!$A:$C,3,FALSE)</f>
        <v>不幸の円環 ニーベルゲン</v>
      </c>
      <c r="I218" s="7" t="str">
        <f>VLOOKUP(B218,[1]characters!$A:$J,10,FALSE)</f>
        <v>PremiumS</v>
      </c>
      <c r="J218" s="7">
        <f>VLOOKUP(B218,[1]characters!$A:$I,9,FALSE)</f>
        <v>4</v>
      </c>
      <c r="K218" s="7" t="str">
        <f>VLOOKUP(B218,[1]characters!$A:$H,8,FALSE)</f>
        <v>green</v>
      </c>
      <c r="L218" s="7" t="str">
        <f>VLOOKUP(B218,[1]characters!$A:$K,11,FALSE)</f>
        <v>balance</v>
      </c>
      <c r="M218" s="7" t="str">
        <f>VLOOKUP(B218,[1]characters!$A:$M,13,FALSE)</f>
        <v>unknown</v>
      </c>
      <c r="N218" s="7" t="str">
        <f>VLOOKUP(B218,[1]characters!$A:$G,7,FALSE)</f>
        <v>女性</v>
      </c>
      <c r="O218" s="47">
        <f ca="1">IFERROR(VLOOKUP(B218,input_356010!L:R,7,FALSE),VLOOKUP(tables_356010!C218,input_356010!A:H,8,FALSE))</f>
        <v>13132.8</v>
      </c>
      <c r="P218" s="48">
        <f t="shared" ca="1" si="11"/>
        <v>8.8615384615384606E-3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input_356010!A$2</f>
        <v>356010</v>
      </c>
      <c r="B219" s="6">
        <v>590</v>
      </c>
      <c r="C219" s="7" t="str">
        <f t="shared" si="9"/>
        <v>Premium5color</v>
      </c>
      <c r="D219" s="7" t="str">
        <f t="shared" si="10"/>
        <v>Premium</v>
      </c>
      <c r="E219" s="7" t="str">
        <f>IF(COUNTIF('R6追加前'!A:A,B219)=0,IF(I219="PremiumSS","R5only","R3less"),"")</f>
        <v/>
      </c>
      <c r="F219" s="7" t="str">
        <f>IF(COUNTIF('R6開放'!A:A,B219)&gt;0,"R6release","")</f>
        <v/>
      </c>
      <c r="G219" s="7" t="s">
        <v>240</v>
      </c>
      <c r="H219" s="7" t="str">
        <f>VLOOKUP(B219,[1]characters!$A:$C,3,FALSE)</f>
        <v>永遠を廻る呪い ニーベルゲン</v>
      </c>
      <c r="I219" s="7" t="str">
        <f>VLOOKUP(B219,[1]characters!$A:$J,10,FALSE)</f>
        <v>PremiumS</v>
      </c>
      <c r="J219" s="7">
        <f>VLOOKUP(B219,[1]characters!$A:$I,9,FALSE)</f>
        <v>5</v>
      </c>
      <c r="K219" s="7" t="str">
        <f>VLOOKUP(B219,[1]characters!$A:$H,8,FALSE)</f>
        <v>green</v>
      </c>
      <c r="L219" s="7" t="str">
        <f>VLOOKUP(B219,[1]characters!$A:$K,11,FALSE)</f>
        <v>balance</v>
      </c>
      <c r="M219" s="7" t="str">
        <f>VLOOKUP(B219,[1]characters!$A:$M,13,FALSE)</f>
        <v>unknown</v>
      </c>
      <c r="N219" s="7" t="str">
        <f>VLOOKUP(B219,[1]characters!$A:$G,7,FALSE)</f>
        <v>女性</v>
      </c>
      <c r="O219" s="47">
        <f ca="1">IFERROR(VLOOKUP(B219,input_356010!L:R,7,FALSE),VLOOKUP(tables_356010!C219,input_356010!A:H,8,FALSE))</f>
        <v>1459.2</v>
      </c>
      <c r="P219" s="48">
        <f t="shared" ca="1" si="11"/>
        <v>9.8461538461538456E-4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input_356010!A$2</f>
        <v>356010</v>
      </c>
      <c r="B220" s="6">
        <v>591</v>
      </c>
      <c r="C220" s="7" t="str">
        <f t="shared" si="9"/>
        <v>Premium3</v>
      </c>
      <c r="D220" s="7" t="str">
        <f t="shared" si="10"/>
        <v>Premium</v>
      </c>
      <c r="E220" s="7" t="str">
        <f>IF(COUNTIF('R6追加前'!A:A,B220)=0,IF(I220="PremiumSS","R5only","R3less"),"")</f>
        <v/>
      </c>
      <c r="F220" s="7" t="str">
        <f>IF(COUNTIF('R6開放'!A:A,B220)&gt;0,"R6release","")</f>
        <v/>
      </c>
      <c r="G220" s="7"/>
      <c r="H220" s="7" t="str">
        <f>VLOOKUP(B220,[1]characters!$A:$C,3,FALSE)</f>
        <v>ファフニール</v>
      </c>
      <c r="I220" s="7" t="str">
        <f>VLOOKUP(B220,[1]characters!$A:$J,10,FALSE)</f>
        <v>PremiumS</v>
      </c>
      <c r="J220" s="7">
        <f>VLOOKUP(B220,[1]characters!$A:$I,9,FALSE)</f>
        <v>3</v>
      </c>
      <c r="K220" s="7" t="str">
        <f>VLOOKUP(B220,[1]characters!$A:$H,8,FALSE)</f>
        <v>blue</v>
      </c>
      <c r="L220" s="7" t="str">
        <f>VLOOKUP(B220,[1]characters!$A:$K,11,FALSE)</f>
        <v>technical</v>
      </c>
      <c r="M220" s="7" t="str">
        <f>VLOOKUP(B220,[1]characters!$A:$M,13,FALSE)</f>
        <v>dragon</v>
      </c>
      <c r="N220" s="7" t="str">
        <f>VLOOKUP(B220,[1]characters!$A:$G,7,FALSE)</f>
        <v>不明</v>
      </c>
      <c r="O220" s="47">
        <f ca="1">IFERROR(VLOOKUP(B220,input_356010!L:R,7,FALSE),VLOOKUP(tables_356010!C220,input_356010!A:H,8,FALSE))</f>
        <v>3648</v>
      </c>
      <c r="P220" s="48">
        <f t="shared" ca="1" si="11"/>
        <v>2.4615384615384616E-3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input_356010!A$2</f>
        <v>356010</v>
      </c>
      <c r="B221" s="6">
        <v>592</v>
      </c>
      <c r="C221" s="7" t="str">
        <f t="shared" si="9"/>
        <v>Premium4</v>
      </c>
      <c r="D221" s="7" t="str">
        <f t="shared" si="10"/>
        <v>Premium</v>
      </c>
      <c r="E221" s="7" t="str">
        <f>IF(COUNTIF('R6追加前'!A:A,B221)=0,IF(I221="PremiumSS","R5only","R3less"),"")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財宝への執着 ファフニール</v>
      </c>
      <c r="I221" s="7" t="str">
        <f>VLOOKUP(B221,[1]characters!$A:$J,10,FALSE)</f>
        <v>PremiumS</v>
      </c>
      <c r="J221" s="7">
        <f>VLOOKUP(B221,[1]characters!$A:$I,9,FALSE)</f>
        <v>4</v>
      </c>
      <c r="K221" s="7" t="str">
        <f>VLOOKUP(B221,[1]characters!$A:$H,8,FALSE)</f>
        <v>blue</v>
      </c>
      <c r="L221" s="7" t="str">
        <f>VLOOKUP(B221,[1]characters!$A:$K,11,FALSE)</f>
        <v>technical</v>
      </c>
      <c r="M221" s="7" t="str">
        <f>VLOOKUP(B221,[1]characters!$A:$M,13,FALSE)</f>
        <v>dragon</v>
      </c>
      <c r="N221" s="7" t="str">
        <f>VLOOKUP(B221,[1]characters!$A:$G,7,FALSE)</f>
        <v>不明</v>
      </c>
      <c r="O221" s="47">
        <f ca="1">IFERROR(VLOOKUP(B221,input_356010!L:R,7,FALSE),VLOOKUP(tables_356010!C221,input_356010!A:H,8,FALSE))</f>
        <v>3283.2</v>
      </c>
      <c r="P221" s="48">
        <f t="shared" ca="1" si="11"/>
        <v>2.2153846153846152E-3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input_356010!A$2</f>
        <v>356010</v>
      </c>
      <c r="B222" s="6">
        <v>593</v>
      </c>
      <c r="C222" s="7" t="str">
        <f t="shared" si="9"/>
        <v>Premium5</v>
      </c>
      <c r="D222" s="7" t="str">
        <f t="shared" si="10"/>
        <v>Premium</v>
      </c>
      <c r="E222" s="7" t="str">
        <f>IF(COUNTIF('R6追加前'!A:A,B222)=0,IF(I222="PremiumSS","R5only","R3less"),"")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妄執する邪毒龍 ファフニール</v>
      </c>
      <c r="I222" s="7" t="str">
        <f>VLOOKUP(B222,[1]characters!$A:$J,10,FALSE)</f>
        <v>PremiumS</v>
      </c>
      <c r="J222" s="7">
        <f>VLOOKUP(B222,[1]characters!$A:$I,9,FALSE)</f>
        <v>5</v>
      </c>
      <c r="K222" s="7" t="str">
        <f>VLOOKUP(B222,[1]characters!$A:$H,8,FALSE)</f>
        <v>blue</v>
      </c>
      <c r="L222" s="7" t="str">
        <f>VLOOKUP(B222,[1]characters!$A:$K,11,FALSE)</f>
        <v>technical</v>
      </c>
      <c r="M222" s="7" t="str">
        <f>VLOOKUP(B222,[1]characters!$A:$M,13,FALSE)</f>
        <v>dragon</v>
      </c>
      <c r="N222" s="7" t="str">
        <f>VLOOKUP(B222,[1]characters!$A:$G,7,FALSE)</f>
        <v>不明</v>
      </c>
      <c r="O222" s="47">
        <f ca="1">IFERROR(VLOOKUP(B222,input_356010!L:R,7,FALSE),VLOOKUP(tables_356010!C222,input_356010!A:H,8,FALSE))</f>
        <v>364.8</v>
      </c>
      <c r="P222" s="48">
        <f t="shared" ca="1" si="11"/>
        <v>2.4615384615384614E-4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input_356010!A$2</f>
        <v>356010</v>
      </c>
      <c r="B223" s="6">
        <v>594</v>
      </c>
      <c r="C223" s="7" t="str">
        <f t="shared" si="9"/>
        <v>PremiumSS4</v>
      </c>
      <c r="D223" s="7" t="str">
        <f t="shared" si="10"/>
        <v>PremiumSS</v>
      </c>
      <c r="E223" s="7" t="str">
        <f>IF(COUNTIF('R6追加前'!A:A,B223)=0,IF(I223="PremiumSS","R5only","R3less"),"")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アルフヘイム</v>
      </c>
      <c r="I223" s="7" t="str">
        <f>VLOOKUP(B223,[1]characters!$A:$J,10,FALSE)</f>
        <v>PremiumSS</v>
      </c>
      <c r="J223" s="7">
        <f>VLOOKUP(B223,[1]characters!$A:$I,9,FALSE)</f>
        <v>4</v>
      </c>
      <c r="K223" s="7" t="str">
        <f>VLOOKUP(B223,[1]characters!$A:$H,8,FALSE)</f>
        <v>yellow</v>
      </c>
      <c r="L223" s="7" t="str">
        <f>VLOOKUP(B223,[1]characters!$A:$K,11,FALSE)</f>
        <v>attack</v>
      </c>
      <c r="M223" s="7" t="str">
        <f>VLOOKUP(B223,[1]characters!$A:$M,13,FALSE)</f>
        <v>dragon</v>
      </c>
      <c r="N223" s="7" t="str">
        <f>VLOOKUP(B223,[1]characters!$A:$G,7,FALSE)</f>
        <v>不明</v>
      </c>
      <c r="O223" s="47">
        <f ca="1">IFERROR(VLOOKUP(B223,input_356010!L:R,7,FALSE),VLOOKUP(tables_356010!C223,input_356010!A:H,8,FALSE))</f>
        <v>444.6</v>
      </c>
      <c r="P223" s="48">
        <f t="shared" ca="1" si="11"/>
        <v>3.0000000000000003E-4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input_356010!A$2</f>
        <v>356010</v>
      </c>
      <c r="B224" s="6">
        <v>595</v>
      </c>
      <c r="C224" s="7" t="str">
        <f t="shared" si="9"/>
        <v>PremiumSS5</v>
      </c>
      <c r="D224" s="7" t="str">
        <f t="shared" si="10"/>
        <v>PremiumSS</v>
      </c>
      <c r="E224" s="7" t="str">
        <f>IF(COUNTIF('R6追加前'!A:A,B224)=0,IF(I224="PremiumSS","R5only","R3less"),"")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光華なる神域 アルフヘイム</v>
      </c>
      <c r="I224" s="7" t="str">
        <f>VLOOKUP(B224,[1]characters!$A:$J,10,FALSE)</f>
        <v>PremiumSS</v>
      </c>
      <c r="J224" s="7">
        <f>VLOOKUP(B224,[1]characters!$A:$I,9,FALSE)</f>
        <v>5</v>
      </c>
      <c r="K224" s="7" t="str">
        <f>VLOOKUP(B224,[1]characters!$A:$H,8,FALSE)</f>
        <v>yellow</v>
      </c>
      <c r="L224" s="7" t="str">
        <f>VLOOKUP(B224,[1]characters!$A:$K,11,FALSE)</f>
        <v>attack</v>
      </c>
      <c r="M224" s="7" t="str">
        <f>VLOOKUP(B224,[1]characters!$A:$M,13,FALSE)</f>
        <v>dragon</v>
      </c>
      <c r="N224" s="7" t="str">
        <f>VLOOKUP(B224,[1]characters!$A:$G,7,FALSE)</f>
        <v>不明</v>
      </c>
      <c r="O224" s="47">
        <f ca="1">IFERROR(VLOOKUP(B224,input_356010!L:R,7,FALSE),VLOOKUP(tables_356010!C224,input_356010!A:H,8,FALSE))</f>
        <v>23.4</v>
      </c>
      <c r="P224" s="48">
        <f t="shared" ca="1" si="11"/>
        <v>1.5789473684210526E-5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input_356010!A$2</f>
        <v>356010</v>
      </c>
      <c r="B225" s="6">
        <v>596</v>
      </c>
      <c r="C225" s="7" t="str">
        <f t="shared" si="9"/>
        <v>Premium3color</v>
      </c>
      <c r="D225" s="7" t="str">
        <f t="shared" si="10"/>
        <v>Premium</v>
      </c>
      <c r="E225" s="7" t="str">
        <f>IF(COUNTIF('R6追加前'!A:A,B225)=0,IF(I225="PremiumSS","R5only","R3less"),"")</f>
        <v/>
      </c>
      <c r="F225" s="7" t="str">
        <f>IF(COUNTIF('R6開放'!A:A,B225)&gt;0,"R6release","")</f>
        <v/>
      </c>
      <c r="G225" s="7" t="s">
        <v>240</v>
      </c>
      <c r="H225" s="7" t="str">
        <f>VLOOKUP(B225,[1]characters!$A:$C,3,FALSE)</f>
        <v>ムスペルヘイム</v>
      </c>
      <c r="I225" s="7" t="str">
        <f>VLOOKUP(B225,[1]characters!$A:$J,10,FALSE)</f>
        <v>PremiumS</v>
      </c>
      <c r="J225" s="7">
        <f>VLOOKUP(B225,[1]characters!$A:$I,9,FALSE)</f>
        <v>3</v>
      </c>
      <c r="K225" s="7" t="str">
        <f>VLOOKUP(B225,[1]characters!$A:$H,8,FALSE)</f>
        <v>red</v>
      </c>
      <c r="L225" s="7" t="str">
        <f>VLOOKUP(B225,[1]characters!$A:$K,11,FALSE)</f>
        <v>balance</v>
      </c>
      <c r="M225" s="7" t="str">
        <f>VLOOKUP(B225,[1]characters!$A:$M,13,FALSE)</f>
        <v>human</v>
      </c>
      <c r="N225" s="7" t="str">
        <f>VLOOKUP(B225,[1]characters!$A:$G,7,FALSE)</f>
        <v>男性</v>
      </c>
      <c r="O225" s="47">
        <f ca="1">IFERROR(VLOOKUP(B225,input_356010!L:R,7,FALSE),VLOOKUP(tables_356010!C225,input_356010!A:H,8,FALSE))</f>
        <v>14592</v>
      </c>
      <c r="P225" s="48">
        <f t="shared" ca="1" si="11"/>
        <v>9.8461538461538465E-3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input_356010!A$2</f>
        <v>356010</v>
      </c>
      <c r="B226" s="6">
        <v>597</v>
      </c>
      <c r="C226" s="7" t="str">
        <f t="shared" si="9"/>
        <v>Premium4color</v>
      </c>
      <c r="D226" s="7" t="str">
        <f t="shared" si="10"/>
        <v>Premium</v>
      </c>
      <c r="E226" s="7" t="str">
        <f>IF(COUNTIF('R6追加前'!A:A,B226)=0,IF(I226="PremiumSS","R5only","R3less"),"")</f>
        <v/>
      </c>
      <c r="F226" s="7" t="str">
        <f>IF(COUNTIF('R6開放'!A:A,B226)&gt;0,"R6release","")</f>
        <v/>
      </c>
      <c r="G226" s="7" t="s">
        <v>240</v>
      </c>
      <c r="H226" s="7" t="str">
        <f>VLOOKUP(B226,[1]characters!$A:$C,3,FALSE)</f>
        <v>灼熱の魂 ムスペルヘイム</v>
      </c>
      <c r="I226" s="7" t="str">
        <f>VLOOKUP(B226,[1]characters!$A:$J,10,FALSE)</f>
        <v>PremiumS</v>
      </c>
      <c r="J226" s="7">
        <f>VLOOKUP(B226,[1]characters!$A:$I,9,FALSE)</f>
        <v>4</v>
      </c>
      <c r="K226" s="7" t="str">
        <f>VLOOKUP(B226,[1]characters!$A:$H,8,FALSE)</f>
        <v>red</v>
      </c>
      <c r="L226" s="7" t="str">
        <f>VLOOKUP(B226,[1]characters!$A:$K,11,FALSE)</f>
        <v>balance</v>
      </c>
      <c r="M226" s="7" t="str">
        <f>VLOOKUP(B226,[1]characters!$A:$M,13,FALSE)</f>
        <v>human</v>
      </c>
      <c r="N226" s="7" t="str">
        <f>VLOOKUP(B226,[1]characters!$A:$G,7,FALSE)</f>
        <v>男性</v>
      </c>
      <c r="O226" s="47">
        <f ca="1">IFERROR(VLOOKUP(B226,input_356010!L:R,7,FALSE),VLOOKUP(tables_356010!C226,input_356010!A:H,8,FALSE))</f>
        <v>13132.8</v>
      </c>
      <c r="P226" s="48">
        <f t="shared" ca="1" si="11"/>
        <v>8.8615384615384606E-3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input_356010!A$2</f>
        <v>356010</v>
      </c>
      <c r="B227" s="6">
        <v>598</v>
      </c>
      <c r="C227" s="7" t="str">
        <f t="shared" si="9"/>
        <v>Premium5color</v>
      </c>
      <c r="D227" s="7" t="str">
        <f t="shared" si="10"/>
        <v>Premium</v>
      </c>
      <c r="E227" s="7" t="str">
        <f>IF(COUNTIF('R6追加前'!A:A,B227)=0,IF(I227="PremiumSS","R5only","R3less"),"")</f>
        <v/>
      </c>
      <c r="F227" s="7" t="str">
        <f>IF(COUNTIF('R6開放'!A:A,B227)&gt;0,"R6release","")</f>
        <v/>
      </c>
      <c r="G227" s="7" t="s">
        <v>240</v>
      </c>
      <c r="H227" s="7" t="str">
        <f>VLOOKUP(B227,[1]characters!$A:$C,3,FALSE)</f>
        <v>焼燃の情熱 ムスペルヘイム</v>
      </c>
      <c r="I227" s="7" t="str">
        <f>VLOOKUP(B227,[1]characters!$A:$J,10,FALSE)</f>
        <v>PremiumS</v>
      </c>
      <c r="J227" s="7">
        <f>VLOOKUP(B227,[1]characters!$A:$I,9,FALSE)</f>
        <v>5</v>
      </c>
      <c r="K227" s="7" t="str">
        <f>VLOOKUP(B227,[1]characters!$A:$H,8,FALSE)</f>
        <v>red</v>
      </c>
      <c r="L227" s="7" t="str">
        <f>VLOOKUP(B227,[1]characters!$A:$K,11,FALSE)</f>
        <v>balance</v>
      </c>
      <c r="M227" s="7" t="str">
        <f>VLOOKUP(B227,[1]characters!$A:$M,13,FALSE)</f>
        <v>human</v>
      </c>
      <c r="N227" s="7" t="str">
        <f>VLOOKUP(B227,[1]characters!$A:$G,7,FALSE)</f>
        <v>男性</v>
      </c>
      <c r="O227" s="47">
        <f ca="1">IFERROR(VLOOKUP(B227,input_356010!L:R,7,FALSE),VLOOKUP(tables_356010!C227,input_356010!A:H,8,FALSE))</f>
        <v>1459.2</v>
      </c>
      <c r="P227" s="48">
        <f t="shared" ca="1" si="11"/>
        <v>9.8461538461538456E-4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input_356010!A$2</f>
        <v>356010</v>
      </c>
      <c r="B228" s="6">
        <v>599</v>
      </c>
      <c r="C228" s="7" t="str">
        <f t="shared" si="9"/>
        <v>Premium3color</v>
      </c>
      <c r="D228" s="7" t="str">
        <f t="shared" si="10"/>
        <v>Premium</v>
      </c>
      <c r="E228" s="7" t="str">
        <f>IF(COUNTIF('R6追加前'!A:A,B228)=0,IF(I228="PremiumSS","R5only","R3less"),"")</f>
        <v/>
      </c>
      <c r="F228" s="7" t="str">
        <f>IF(COUNTIF('R6開放'!A:A,B228)&gt;0,"R6release","")</f>
        <v/>
      </c>
      <c r="G228" s="7" t="s">
        <v>240</v>
      </c>
      <c r="H228" s="7" t="str">
        <f>VLOOKUP(B228,[1]characters!$A:$C,3,FALSE)</f>
        <v>ニーズヘッグ</v>
      </c>
      <c r="I228" s="7" t="str">
        <f>VLOOKUP(B228,[1]characters!$A:$J,10,FALSE)</f>
        <v>PremiumS</v>
      </c>
      <c r="J228" s="7">
        <f>VLOOKUP(B228,[1]characters!$A:$I,9,FALSE)</f>
        <v>3</v>
      </c>
      <c r="K228" s="7" t="str">
        <f>VLOOKUP(B228,[1]characters!$A:$H,8,FALSE)</f>
        <v>green</v>
      </c>
      <c r="L228" s="7" t="str">
        <f>VLOOKUP(B228,[1]characters!$A:$K,11,FALSE)</f>
        <v>attack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7">
        <f ca="1">IFERROR(VLOOKUP(B228,input_356010!L:R,7,FALSE),VLOOKUP(tables_356010!C228,input_356010!A:H,8,FALSE))</f>
        <v>14592</v>
      </c>
      <c r="P228" s="48">
        <f t="shared" ca="1" si="11"/>
        <v>9.8461538461538465E-3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input_356010!A$2</f>
        <v>356010</v>
      </c>
      <c r="B229" s="6">
        <v>600</v>
      </c>
      <c r="C229" s="7" t="str">
        <f t="shared" si="9"/>
        <v>Premium4color</v>
      </c>
      <c r="D229" s="7" t="str">
        <f t="shared" si="10"/>
        <v>Premium</v>
      </c>
      <c r="E229" s="7" t="str">
        <f>IF(COUNTIF('R6追加前'!A:A,B229)=0,IF(I229="PremiumSS","R5only","R3less"),"")</f>
        <v/>
      </c>
      <c r="F229" s="7" t="str">
        <f>IF(COUNTIF('R6開放'!A:A,B229)&gt;0,"R6release","")</f>
        <v/>
      </c>
      <c r="G229" s="7" t="s">
        <v>240</v>
      </c>
      <c r="H229" s="7" t="str">
        <f>VLOOKUP(B229,[1]characters!$A:$C,3,FALSE)</f>
        <v>界下に潜む蛇 ニーズヘッグ</v>
      </c>
      <c r="I229" s="7" t="str">
        <f>VLOOKUP(B229,[1]characters!$A:$J,10,FALSE)</f>
        <v>PremiumS</v>
      </c>
      <c r="J229" s="7">
        <f>VLOOKUP(B229,[1]characters!$A:$I,9,FALSE)</f>
        <v>4</v>
      </c>
      <c r="K229" s="7" t="str">
        <f>VLOOKUP(B229,[1]characters!$A:$H,8,FALSE)</f>
        <v>green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7">
        <f ca="1">IFERROR(VLOOKUP(B229,input_356010!L:R,7,FALSE),VLOOKUP(tables_356010!C229,input_356010!A:H,8,FALSE))</f>
        <v>13132.8</v>
      </c>
      <c r="P229" s="48">
        <f t="shared" ca="1" si="11"/>
        <v>8.8615384615384606E-3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input_356010!A$2</f>
        <v>356010</v>
      </c>
      <c r="B230" s="6">
        <v>601</v>
      </c>
      <c r="C230" s="7" t="str">
        <f t="shared" si="9"/>
        <v>Premium5color</v>
      </c>
      <c r="D230" s="7" t="str">
        <f t="shared" si="10"/>
        <v>Premium</v>
      </c>
      <c r="E230" s="7" t="str">
        <f>IF(COUNTIF('R6追加前'!A:A,B230)=0,IF(I230="PremiumSS","R5only","R3less"),"")</f>
        <v/>
      </c>
      <c r="F230" s="7" t="str">
        <f>IF(COUNTIF('R6開放'!A:A,B230)&gt;0,"R6release","")</f>
        <v/>
      </c>
      <c r="G230" s="7" t="s">
        <v>240</v>
      </c>
      <c r="H230" s="7" t="str">
        <f>VLOOKUP(B230,[1]characters!$A:$C,3,FALSE)</f>
        <v>界根蝕む悪食 ニーズヘッグ</v>
      </c>
      <c r="I230" s="7" t="str">
        <f>VLOOKUP(B230,[1]characters!$A:$J,10,FALSE)</f>
        <v>PremiumS</v>
      </c>
      <c r="J230" s="7">
        <f>VLOOKUP(B230,[1]characters!$A:$I,9,FALSE)</f>
        <v>5</v>
      </c>
      <c r="K230" s="7" t="str">
        <f>VLOOKUP(B230,[1]characters!$A:$H,8,FALSE)</f>
        <v>green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7">
        <f ca="1">IFERROR(VLOOKUP(B230,input_356010!L:R,7,FALSE),VLOOKUP(tables_356010!C230,input_356010!A:H,8,FALSE))</f>
        <v>1459.2</v>
      </c>
      <c r="P230" s="48">
        <f t="shared" ca="1" si="11"/>
        <v>9.8461538461538456E-4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input_356010!A$2</f>
        <v>356010</v>
      </c>
      <c r="B231" s="6">
        <v>602</v>
      </c>
      <c r="C231" s="7" t="str">
        <f t="shared" si="9"/>
        <v>PremiumSS4</v>
      </c>
      <c r="D231" s="7" t="str">
        <f t="shared" si="10"/>
        <v>PremiumSS</v>
      </c>
      <c r="E231" s="7" t="str">
        <f>IF(COUNTIF('R6追加前'!A:A,B231)=0,IF(I231="PremiumSS","R5only","R3less"),"")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フレイヤ</v>
      </c>
      <c r="I231" s="7" t="str">
        <f>VLOOKUP(B231,[1]characters!$A:$J,10,FALSE)</f>
        <v>PremiumSS</v>
      </c>
      <c r="J231" s="7">
        <f>VLOOKUP(B231,[1]characters!$A:$I,9,FALSE)</f>
        <v>4</v>
      </c>
      <c r="K231" s="7" t="str">
        <f>VLOOKUP(B231,[1]characters!$A:$H,8,FALSE)</f>
        <v>blue</v>
      </c>
      <c r="L231" s="7" t="str">
        <f>VLOOKUP(B231,[1]characters!$A:$K,11,FALSE)</f>
        <v>heal</v>
      </c>
      <c r="M231" s="7" t="str">
        <f>VLOOKUP(B231,[1]characters!$A:$M,13,FALSE)</f>
        <v>animal</v>
      </c>
      <c r="N231" s="7" t="str">
        <f>VLOOKUP(B231,[1]characters!$A:$G,7,FALSE)</f>
        <v>女性</v>
      </c>
      <c r="O231" s="47">
        <f ca="1">IFERROR(VLOOKUP(B231,input_356010!L:R,7,FALSE),VLOOKUP(tables_356010!C231,input_356010!A:H,8,FALSE))</f>
        <v>444.6</v>
      </c>
      <c r="P231" s="48">
        <f t="shared" ca="1" si="11"/>
        <v>3.0000000000000003E-4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input_356010!A$2</f>
        <v>356010</v>
      </c>
      <c r="B232" s="6">
        <v>603</v>
      </c>
      <c r="C232" s="7" t="str">
        <f t="shared" si="9"/>
        <v>PremiumSS5</v>
      </c>
      <c r="D232" s="7" t="str">
        <f t="shared" si="10"/>
        <v>PremiumSS</v>
      </c>
      <c r="E232" s="7" t="str">
        <f>IF(COUNTIF('R6追加前'!A:A,B232)=0,IF(I232="PremiumSS","R5only","R3less"),"")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掌愛の豊穣女神 フレイヤ</v>
      </c>
      <c r="I232" s="7" t="str">
        <f>VLOOKUP(B232,[1]characters!$A:$J,10,FALSE)</f>
        <v>PremiumSS</v>
      </c>
      <c r="J232" s="7">
        <f>VLOOKUP(B232,[1]characters!$A:$I,9,FALSE)</f>
        <v>5</v>
      </c>
      <c r="K232" s="7" t="str">
        <f>VLOOKUP(B232,[1]characters!$A:$H,8,FALSE)</f>
        <v>blue</v>
      </c>
      <c r="L232" s="7" t="str">
        <f>VLOOKUP(B232,[1]characters!$A:$K,11,FALSE)</f>
        <v>heal</v>
      </c>
      <c r="M232" s="7" t="str">
        <f>VLOOKUP(B232,[1]characters!$A:$M,13,FALSE)</f>
        <v>animal</v>
      </c>
      <c r="N232" s="7" t="str">
        <f>VLOOKUP(B232,[1]characters!$A:$G,7,FALSE)</f>
        <v>女性</v>
      </c>
      <c r="O232" s="47">
        <f ca="1">IFERROR(VLOOKUP(B232,input_356010!L:R,7,FALSE),VLOOKUP(tables_356010!C232,input_356010!A:H,8,FALSE))</f>
        <v>23.4</v>
      </c>
      <c r="P232" s="48">
        <f t="shared" ca="1" si="11"/>
        <v>1.5789473684210526E-5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input_356010!A$2</f>
        <v>356010</v>
      </c>
      <c r="B233" s="6">
        <v>604</v>
      </c>
      <c r="C233" s="7" t="str">
        <f t="shared" si="9"/>
        <v>Premium3</v>
      </c>
      <c r="D233" s="7" t="str">
        <f t="shared" si="10"/>
        <v>Premium</v>
      </c>
      <c r="E233" s="7" t="str">
        <f>IF(COUNTIF('R6追加前'!A:A,B233)=0,IF(I233="PremiumSS","R5only","R3less"),"")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バルドル</v>
      </c>
      <c r="I233" s="7" t="str">
        <f>VLOOKUP(B233,[1]characters!$A:$J,10,FALSE)</f>
        <v>PremiumS</v>
      </c>
      <c r="J233" s="7">
        <f>VLOOKUP(B233,[1]characters!$A:$I,9,FALSE)</f>
        <v>3</v>
      </c>
      <c r="K233" s="7" t="str">
        <f>VLOOKUP(B233,[1]characters!$A:$H,8,FALSE)</f>
        <v>yellow</v>
      </c>
      <c r="L233" s="7" t="str">
        <f>VLOOKUP(B233,[1]characters!$A:$K,11,FALSE)</f>
        <v>heal</v>
      </c>
      <c r="M233" s="7" t="str">
        <f>VLOOKUP(B233,[1]characters!$A:$M,13,FALSE)</f>
        <v>god</v>
      </c>
      <c r="N233" s="7" t="str">
        <f>VLOOKUP(B233,[1]characters!$A:$G,7,FALSE)</f>
        <v>男性</v>
      </c>
      <c r="O233" s="47">
        <f ca="1">IFERROR(VLOOKUP(B233,input_356010!L:R,7,FALSE),VLOOKUP(tables_356010!C233,input_356010!A:H,8,FALSE))</f>
        <v>3648</v>
      </c>
      <c r="P233" s="48">
        <f t="shared" ca="1" si="11"/>
        <v>2.4615384615384616E-3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input_356010!A$2</f>
        <v>356010</v>
      </c>
      <c r="B234" s="6">
        <v>605</v>
      </c>
      <c r="C234" s="7" t="str">
        <f t="shared" si="9"/>
        <v>Premium4</v>
      </c>
      <c r="D234" s="7" t="str">
        <f t="shared" si="10"/>
        <v>Premium</v>
      </c>
      <c r="E234" s="7" t="str">
        <f>IF(COUNTIF('R6追加前'!A:A,B234)=0,IF(I234="PremiumSS","R5only","R3less"),"")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祝福される光耀 バルドル</v>
      </c>
      <c r="I234" s="7" t="str">
        <f>VLOOKUP(B234,[1]characters!$A:$J,10,FALSE)</f>
        <v>PremiumS</v>
      </c>
      <c r="J234" s="7">
        <f>VLOOKUP(B234,[1]characters!$A:$I,9,FALSE)</f>
        <v>4</v>
      </c>
      <c r="K234" s="7" t="str">
        <f>VLOOKUP(B234,[1]characters!$A:$H,8,FALSE)</f>
        <v>yellow</v>
      </c>
      <c r="L234" s="7" t="str">
        <f>VLOOKUP(B234,[1]characters!$A:$K,11,FALSE)</f>
        <v>heal</v>
      </c>
      <c r="M234" s="7" t="str">
        <f>VLOOKUP(B234,[1]characters!$A:$M,13,FALSE)</f>
        <v>god</v>
      </c>
      <c r="N234" s="7" t="str">
        <f>VLOOKUP(B234,[1]characters!$A:$G,7,FALSE)</f>
        <v>男性</v>
      </c>
      <c r="O234" s="47">
        <f ca="1">IFERROR(VLOOKUP(B234,input_356010!L:R,7,FALSE),VLOOKUP(tables_356010!C234,input_356010!A:H,8,FALSE))</f>
        <v>3283.2</v>
      </c>
      <c r="P234" s="48">
        <f t="shared" ca="1" si="11"/>
        <v>2.2153846153846152E-3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input_356010!A$2</f>
        <v>356010</v>
      </c>
      <c r="B235" s="6">
        <v>606</v>
      </c>
      <c r="C235" s="7" t="str">
        <f t="shared" si="9"/>
        <v>Premium5</v>
      </c>
      <c r="D235" s="7" t="str">
        <f t="shared" si="10"/>
        <v>Premium</v>
      </c>
      <c r="E235" s="7" t="str">
        <f>IF(COUNTIF('R6追加前'!A:A,B235)=0,IF(I235="PremiumSS","R5only","R3less"),"")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冀望の光芒 バルドル</v>
      </c>
      <c r="I235" s="7" t="str">
        <f>VLOOKUP(B235,[1]characters!$A:$J,10,FALSE)</f>
        <v>PremiumS</v>
      </c>
      <c r="J235" s="7">
        <f>VLOOKUP(B235,[1]characters!$A:$I,9,FALSE)</f>
        <v>5</v>
      </c>
      <c r="K235" s="7" t="str">
        <f>VLOOKUP(B235,[1]characters!$A:$H,8,FALSE)</f>
        <v>yellow</v>
      </c>
      <c r="L235" s="7" t="str">
        <f>VLOOKUP(B235,[1]characters!$A:$K,11,FALSE)</f>
        <v>heal</v>
      </c>
      <c r="M235" s="7" t="str">
        <f>VLOOKUP(B235,[1]characters!$A:$M,13,FALSE)</f>
        <v>god</v>
      </c>
      <c r="N235" s="7" t="str">
        <f>VLOOKUP(B235,[1]characters!$A:$G,7,FALSE)</f>
        <v>男性</v>
      </c>
      <c r="O235" s="47">
        <f ca="1">IFERROR(VLOOKUP(B235,input_356010!L:R,7,FALSE),VLOOKUP(tables_356010!C235,input_356010!A:H,8,FALSE))</f>
        <v>364.8</v>
      </c>
      <c r="P235" s="48">
        <f t="shared" ca="1" si="11"/>
        <v>2.4615384615384614E-4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input_356010!A$2</f>
        <v>356010</v>
      </c>
      <c r="B236" s="6">
        <v>658</v>
      </c>
      <c r="C236" s="7" t="str">
        <f t="shared" si="9"/>
        <v>PremiumSS4color</v>
      </c>
      <c r="D236" s="7" t="str">
        <f t="shared" si="10"/>
        <v>PremiumSS</v>
      </c>
      <c r="E236" s="7" t="str">
        <f>IF(COUNTIF('R6追加前'!A:A,B236)=0,IF(I236="PremiumSS","R5only","R3less"),"")</f>
        <v/>
      </c>
      <c r="F236" s="7" t="str">
        <f>IF(COUNTIF('R6開放'!A:A,B236)&gt;0,"R6release","")</f>
        <v/>
      </c>
      <c r="G236" s="7" t="s">
        <v>240</v>
      </c>
      <c r="H236" s="7" t="str">
        <f>VLOOKUP(B236,[1]characters!$A:$C,3,FALSE)</f>
        <v>猫又 クルミ</v>
      </c>
      <c r="I236" s="7" t="str">
        <f>VLOOKUP(B236,[1]characters!$A:$J,10,FALSE)</f>
        <v>PremiumSS</v>
      </c>
      <c r="J236" s="7">
        <f>VLOOKUP(B236,[1]characters!$A:$I,9,FALSE)</f>
        <v>4</v>
      </c>
      <c r="K236" s="7" t="str">
        <f>VLOOKUP(B236,[1]characters!$A:$H,8,FALSE)</f>
        <v>red</v>
      </c>
      <c r="L236" s="7" t="str">
        <f>VLOOKUP(B236,[1]characters!$A:$K,11,FALSE)</f>
        <v>attack</v>
      </c>
      <c r="M236" s="7" t="str">
        <f>VLOOKUP(B236,[1]characters!$A:$M,13,FALSE)</f>
        <v>animal</v>
      </c>
      <c r="N236" s="7" t="str">
        <f>VLOOKUP(B236,[1]characters!$A:$G,7,FALSE)</f>
        <v>女性</v>
      </c>
      <c r="O236" s="47">
        <f ca="1">IFERROR(VLOOKUP(B236,input_356010!L:R,7,FALSE),VLOOKUP(tables_356010!C236,input_356010!A:H,8,FALSE))</f>
        <v>1778.4</v>
      </c>
      <c r="P236" s="48">
        <f t="shared" ca="1" si="11"/>
        <v>1.2000000000000001E-3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input_356010!A$2</f>
        <v>356010</v>
      </c>
      <c r="B237" s="6">
        <v>659</v>
      </c>
      <c r="C237" s="7" t="str">
        <f t="shared" si="9"/>
        <v>PremiumSS5color</v>
      </c>
      <c r="D237" s="7" t="str">
        <f t="shared" si="10"/>
        <v>PremiumSS</v>
      </c>
      <c r="E237" s="7" t="str">
        <f>IF(COUNTIF('R6追加前'!A:A,B237)=0,IF(I237="PremiumSS","R5only","R3less"),"")</f>
        <v/>
      </c>
      <c r="F237" s="7" t="str">
        <f>IF(COUNTIF('R6開放'!A:A,B237)&gt;0,"R6release","")</f>
        <v/>
      </c>
      <c r="G237" s="7" t="s">
        <v>240</v>
      </c>
      <c r="H237" s="7" t="str">
        <f>VLOOKUP(B237,[1]characters!$A:$C,3,FALSE)</f>
        <v>跳梁する化猫 クルミ</v>
      </c>
      <c r="I237" s="7" t="str">
        <f>VLOOKUP(B237,[1]characters!$A:$J,10,FALSE)</f>
        <v>PremiumSS</v>
      </c>
      <c r="J237" s="7">
        <f>VLOOKUP(B237,[1]characters!$A:$I,9,FALSE)</f>
        <v>5</v>
      </c>
      <c r="K237" s="7" t="str">
        <f>VLOOKUP(B237,[1]characters!$A:$H,8,FALSE)</f>
        <v>red</v>
      </c>
      <c r="L237" s="7" t="str">
        <f>VLOOKUP(B237,[1]characters!$A:$K,11,FALSE)</f>
        <v>attack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7">
        <f ca="1">IFERROR(VLOOKUP(B237,input_356010!L:R,7,FALSE),VLOOKUP(tables_356010!C237,input_356010!A:H,8,FALSE))</f>
        <v>93.6</v>
      </c>
      <c r="P237" s="48">
        <f t="shared" ca="1" si="11"/>
        <v>6.3157894736842103E-5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input_356010!A$2</f>
        <v>356010</v>
      </c>
      <c r="B238" s="6">
        <v>660</v>
      </c>
      <c r="C238" s="7" t="str">
        <f t="shared" si="9"/>
        <v>PremiumSS4color</v>
      </c>
      <c r="D238" s="7" t="str">
        <f t="shared" si="10"/>
        <v>PremiumSS</v>
      </c>
      <c r="E238" s="7" t="str">
        <f>IF(COUNTIF('R6追加前'!A:A,B238)=0,IF(I238="PremiumSS","R5only","R3less"),"")</f>
        <v/>
      </c>
      <c r="F238" s="7" t="str">
        <f>IF(COUNTIF('R6開放'!A:A,B238)&gt;0,"R6release","")</f>
        <v/>
      </c>
      <c r="G238" s="7" t="s">
        <v>240</v>
      </c>
      <c r="H238" s="7" t="str">
        <f>VLOOKUP(B238,[1]characters!$A:$C,3,FALSE)</f>
        <v>烏天狗 フウガ</v>
      </c>
      <c r="I238" s="7" t="str">
        <f>VLOOKUP(B238,[1]characters!$A:$J,10,FALSE)</f>
        <v>PremiumSS</v>
      </c>
      <c r="J238" s="7">
        <f>VLOOKUP(B238,[1]characters!$A:$I,9,FALSE)</f>
        <v>4</v>
      </c>
      <c r="K238" s="7" t="str">
        <f>VLOOKUP(B238,[1]characters!$A:$H,8,FALSE)</f>
        <v>green</v>
      </c>
      <c r="L238" s="7" t="str">
        <f>VLOOKUP(B238,[1]characters!$A:$K,11,FALSE)</f>
        <v>balance</v>
      </c>
      <c r="M238" s="7" t="str">
        <f>VLOOKUP(B238,[1]characters!$A:$M,13,FALSE)</f>
        <v>animal</v>
      </c>
      <c r="N238" s="7" t="str">
        <f>VLOOKUP(B238,[1]characters!$A:$G,7,FALSE)</f>
        <v>男性</v>
      </c>
      <c r="O238" s="47">
        <f ca="1">IFERROR(VLOOKUP(B238,input_356010!L:R,7,FALSE),VLOOKUP(tables_356010!C238,input_356010!A:H,8,FALSE))</f>
        <v>1778.4</v>
      </c>
      <c r="P238" s="48">
        <f t="shared" ca="1" si="11"/>
        <v>1.2000000000000001E-3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input_356010!A$2</f>
        <v>356010</v>
      </c>
      <c r="B239" s="6">
        <v>661</v>
      </c>
      <c r="C239" s="7" t="str">
        <f t="shared" si="9"/>
        <v>PremiumSS5color</v>
      </c>
      <c r="D239" s="7" t="str">
        <f t="shared" si="10"/>
        <v>PremiumSS</v>
      </c>
      <c r="E239" s="7" t="str">
        <f>IF(COUNTIF('R6追加前'!A:A,B239)=0,IF(I239="PremiumSS","R5only","R3less"),"")</f>
        <v/>
      </c>
      <c r="F239" s="7" t="str">
        <f>IF(COUNTIF('R6開放'!A:A,B239)&gt;0,"R6release","")</f>
        <v/>
      </c>
      <c r="G239" s="7" t="s">
        <v>240</v>
      </c>
      <c r="H239" s="7" t="str">
        <f>VLOOKUP(B239,[1]characters!$A:$C,3,FALSE)</f>
        <v>疾風の天狗礫 フウガ</v>
      </c>
      <c r="I239" s="7" t="str">
        <f>VLOOKUP(B239,[1]characters!$A:$J,10,FALSE)</f>
        <v>PremiumSS</v>
      </c>
      <c r="J239" s="7">
        <f>VLOOKUP(B239,[1]characters!$A:$I,9,FALSE)</f>
        <v>5</v>
      </c>
      <c r="K239" s="7" t="str">
        <f>VLOOKUP(B239,[1]characters!$A:$H,8,FALSE)</f>
        <v>green</v>
      </c>
      <c r="L239" s="7" t="str">
        <f>VLOOKUP(B239,[1]characters!$A:$K,11,FALSE)</f>
        <v>balance</v>
      </c>
      <c r="M239" s="7" t="str">
        <f>VLOOKUP(B239,[1]characters!$A:$M,13,FALSE)</f>
        <v>animal</v>
      </c>
      <c r="N239" s="7" t="str">
        <f>VLOOKUP(B239,[1]characters!$A:$G,7,FALSE)</f>
        <v>男性</v>
      </c>
      <c r="O239" s="47">
        <f ca="1">IFERROR(VLOOKUP(B239,input_356010!L:R,7,FALSE),VLOOKUP(tables_356010!C239,input_356010!A:H,8,FALSE))</f>
        <v>93.6</v>
      </c>
      <c r="P239" s="48">
        <f t="shared" ca="1" si="11"/>
        <v>6.3157894736842103E-5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input_356010!A$2</f>
        <v>356010</v>
      </c>
      <c r="B240" s="6">
        <v>662</v>
      </c>
      <c r="C240" s="7" t="str">
        <f t="shared" si="9"/>
        <v>Premium3</v>
      </c>
      <c r="D240" s="7" t="str">
        <f t="shared" si="10"/>
        <v>Premium</v>
      </c>
      <c r="E240" s="7" t="str">
        <f>IF(COUNTIF('R6追加前'!A:A,B240)=0,IF(I240="PremiumSS","R5only","R3less"),"")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ダイダラ</v>
      </c>
      <c r="I240" s="7" t="str">
        <f>VLOOKUP(B240,[1]characters!$A:$J,10,FALSE)</f>
        <v>PremiumS</v>
      </c>
      <c r="J240" s="7">
        <f>VLOOKUP(B240,[1]characters!$A:$I,9,FALSE)</f>
        <v>3</v>
      </c>
      <c r="K240" s="7" t="str">
        <f>VLOOKUP(B240,[1]characters!$A:$H,8,FALSE)</f>
        <v>blue</v>
      </c>
      <c r="L240" s="7" t="str">
        <f>VLOOKUP(B240,[1]characters!$A:$K,11,FALSE)</f>
        <v>hp</v>
      </c>
      <c r="M240" s="7" t="str">
        <f>VLOOKUP(B240,[1]characters!$A:$M,13,FALSE)</f>
        <v>unknown</v>
      </c>
      <c r="N240" s="7" t="str">
        <f>VLOOKUP(B240,[1]characters!$A:$G,7,FALSE)</f>
        <v>不明</v>
      </c>
      <c r="O240" s="47">
        <f ca="1">IFERROR(VLOOKUP(B240,input_356010!L:R,7,FALSE),VLOOKUP(tables_356010!C240,input_356010!A:H,8,FALSE))</f>
        <v>3648</v>
      </c>
      <c r="P240" s="48">
        <f t="shared" ca="1" si="11"/>
        <v>2.4615384615384616E-3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input_356010!A$2</f>
        <v>356010</v>
      </c>
      <c r="B241" s="6">
        <v>663</v>
      </c>
      <c r="C241" s="7" t="str">
        <f t="shared" si="9"/>
        <v>Premium4</v>
      </c>
      <c r="D241" s="7" t="str">
        <f t="shared" si="10"/>
        <v>Premium</v>
      </c>
      <c r="E241" s="7" t="str">
        <f>IF(COUNTIF('R6追加前'!A:A,B241)=0,IF(I241="PremiumSS","R5only","R3less"),"")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都揺らす地響き ダイダラ</v>
      </c>
      <c r="I241" s="7" t="str">
        <f>VLOOKUP(B241,[1]characters!$A:$J,10,FALSE)</f>
        <v>PremiumS</v>
      </c>
      <c r="J241" s="7">
        <f>VLOOKUP(B241,[1]characters!$A:$I,9,FALSE)</f>
        <v>4</v>
      </c>
      <c r="K241" s="7" t="str">
        <f>VLOOKUP(B241,[1]characters!$A:$H,8,FALSE)</f>
        <v>blue</v>
      </c>
      <c r="L241" s="7" t="str">
        <f>VLOOKUP(B241,[1]characters!$A:$K,11,FALSE)</f>
        <v>hp</v>
      </c>
      <c r="M241" s="7" t="str">
        <f>VLOOKUP(B241,[1]characters!$A:$M,13,FALSE)</f>
        <v>unknown</v>
      </c>
      <c r="N241" s="7" t="str">
        <f>VLOOKUP(B241,[1]characters!$A:$G,7,FALSE)</f>
        <v>不明</v>
      </c>
      <c r="O241" s="47">
        <f ca="1">IFERROR(VLOOKUP(B241,input_356010!L:R,7,FALSE),VLOOKUP(tables_356010!C241,input_356010!A:H,8,FALSE))</f>
        <v>3283.2</v>
      </c>
      <c r="P241" s="48">
        <f t="shared" ca="1" si="11"/>
        <v>2.2153846153846152E-3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input_356010!A$2</f>
        <v>356010</v>
      </c>
      <c r="B242" s="6">
        <v>664</v>
      </c>
      <c r="C242" s="7" t="str">
        <f t="shared" si="9"/>
        <v>Premium5</v>
      </c>
      <c r="D242" s="7" t="str">
        <f t="shared" si="10"/>
        <v>Premium</v>
      </c>
      <c r="E242" s="7" t="str">
        <f>IF(COUNTIF('R6追加前'!A:A,B242)=0,IF(I242="PremiumSS","R5only","R3less"),"")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山掴み国造り ダイダラ</v>
      </c>
      <c r="I242" s="7" t="str">
        <f>VLOOKUP(B242,[1]characters!$A:$J,10,FALSE)</f>
        <v>PremiumS</v>
      </c>
      <c r="J242" s="7">
        <f>VLOOKUP(B242,[1]characters!$A:$I,9,FALSE)</f>
        <v>5</v>
      </c>
      <c r="K242" s="7" t="str">
        <f>VLOOKUP(B242,[1]characters!$A:$H,8,FALSE)</f>
        <v>blue</v>
      </c>
      <c r="L242" s="7" t="str">
        <f>VLOOKUP(B242,[1]characters!$A:$K,11,FALSE)</f>
        <v>hp</v>
      </c>
      <c r="M242" s="7" t="str">
        <f>VLOOKUP(B242,[1]characters!$A:$M,13,FALSE)</f>
        <v>unknown</v>
      </c>
      <c r="N242" s="7" t="str">
        <f>VLOOKUP(B242,[1]characters!$A:$G,7,FALSE)</f>
        <v>不明</v>
      </c>
      <c r="O242" s="47">
        <f ca="1">IFERROR(VLOOKUP(B242,input_356010!L:R,7,FALSE),VLOOKUP(tables_356010!C242,input_356010!A:H,8,FALSE))</f>
        <v>364.8</v>
      </c>
      <c r="P242" s="48">
        <f t="shared" ca="1" si="11"/>
        <v>2.4615384615384614E-4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input_356010!A$2</f>
        <v>356010</v>
      </c>
      <c r="B243" s="6">
        <v>665</v>
      </c>
      <c r="C243" s="7" t="str">
        <f t="shared" si="9"/>
        <v>Premium3</v>
      </c>
      <c r="D243" s="7" t="str">
        <f t="shared" si="10"/>
        <v>Premium</v>
      </c>
      <c r="E243" s="7" t="str">
        <f>IF(COUNTIF('R6追加前'!A:A,B243)=0,IF(I243="PremiumSS","R5only","R3less"),"")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座敷童子 テマリ</v>
      </c>
      <c r="I243" s="7" t="str">
        <f>VLOOKUP(B243,[1]characters!$A:$J,10,FALSE)</f>
        <v>PremiumS</v>
      </c>
      <c r="J243" s="7">
        <f>VLOOKUP(B243,[1]characters!$A:$I,9,FALSE)</f>
        <v>3</v>
      </c>
      <c r="K243" s="7" t="str">
        <f>VLOOKUP(B243,[1]characters!$A:$H,8,FALSE)</f>
        <v>yellow</v>
      </c>
      <c r="L243" s="7" t="str">
        <f>VLOOKUP(B243,[1]characters!$A:$K,11,FALSE)</f>
        <v>balance</v>
      </c>
      <c r="M243" s="7" t="str">
        <f>VLOOKUP(B243,[1]characters!$A:$M,13,FALSE)</f>
        <v>unknown</v>
      </c>
      <c r="N243" s="7" t="str">
        <f>VLOOKUP(B243,[1]characters!$A:$G,7,FALSE)</f>
        <v>女性</v>
      </c>
      <c r="O243" s="47">
        <f ca="1">IFERROR(VLOOKUP(B243,input_356010!L:R,7,FALSE),VLOOKUP(tables_356010!C243,input_356010!A:H,8,FALSE))</f>
        <v>3648</v>
      </c>
      <c r="P243" s="48">
        <f t="shared" ca="1" si="11"/>
        <v>2.4615384615384616E-3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input_356010!A$2</f>
        <v>356010</v>
      </c>
      <c r="B244" s="6">
        <v>666</v>
      </c>
      <c r="C244" s="7" t="str">
        <f t="shared" si="9"/>
        <v>Premium4</v>
      </c>
      <c r="D244" s="7" t="str">
        <f t="shared" si="10"/>
        <v>Premium</v>
      </c>
      <c r="E244" s="7" t="str">
        <f>IF(COUNTIF('R6追加前'!A:A,B244)=0,IF(I244="PremiumSS","R5only","R3less"),"")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拡散する幸福 テマリ</v>
      </c>
      <c r="I244" s="7" t="str">
        <f>VLOOKUP(B244,[1]characters!$A:$J,10,FALSE)</f>
        <v>PremiumS</v>
      </c>
      <c r="J244" s="7">
        <f>VLOOKUP(B244,[1]characters!$A:$I,9,FALSE)</f>
        <v>4</v>
      </c>
      <c r="K244" s="7" t="str">
        <f>VLOOKUP(B244,[1]characters!$A:$H,8,FALSE)</f>
        <v>yellow</v>
      </c>
      <c r="L244" s="7" t="str">
        <f>VLOOKUP(B244,[1]characters!$A:$K,11,FALSE)</f>
        <v>balance</v>
      </c>
      <c r="M244" s="7" t="str">
        <f>VLOOKUP(B244,[1]characters!$A:$M,13,FALSE)</f>
        <v>unknown</v>
      </c>
      <c r="N244" s="7" t="str">
        <f>VLOOKUP(B244,[1]characters!$A:$G,7,FALSE)</f>
        <v>女性</v>
      </c>
      <c r="O244" s="47">
        <f ca="1">IFERROR(VLOOKUP(B244,input_356010!L:R,7,FALSE),VLOOKUP(tables_356010!C244,input_356010!A:H,8,FALSE))</f>
        <v>3283.2</v>
      </c>
      <c r="P244" s="48">
        <f t="shared" ca="1" si="11"/>
        <v>2.2153846153846152E-3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input_356010!A$2</f>
        <v>356010</v>
      </c>
      <c r="B245" s="6">
        <v>667</v>
      </c>
      <c r="C245" s="7" t="str">
        <f t="shared" si="9"/>
        <v>Premium5</v>
      </c>
      <c r="D245" s="7" t="str">
        <f t="shared" si="10"/>
        <v>Premium</v>
      </c>
      <c r="E245" s="7" t="str">
        <f>IF(COUNTIF('R6追加前'!A:A,B245)=0,IF(I245="PremiumSS","R5only","R3less"),"")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最幸運の妖童 テマリ</v>
      </c>
      <c r="I245" s="7" t="str">
        <f>VLOOKUP(B245,[1]characters!$A:$J,10,FALSE)</f>
        <v>PremiumS</v>
      </c>
      <c r="J245" s="7">
        <f>VLOOKUP(B245,[1]characters!$A:$I,9,FALSE)</f>
        <v>5</v>
      </c>
      <c r="K245" s="7" t="str">
        <f>VLOOKUP(B245,[1]characters!$A:$H,8,FALSE)</f>
        <v>yellow</v>
      </c>
      <c r="L245" s="7" t="str">
        <f>VLOOKUP(B245,[1]characters!$A:$K,11,FALSE)</f>
        <v>balance</v>
      </c>
      <c r="M245" s="7" t="str">
        <f>VLOOKUP(B245,[1]characters!$A:$M,13,FALSE)</f>
        <v>unknown</v>
      </c>
      <c r="N245" s="7" t="str">
        <f>VLOOKUP(B245,[1]characters!$A:$G,7,FALSE)</f>
        <v>女性</v>
      </c>
      <c r="O245" s="47">
        <f ca="1">IFERROR(VLOOKUP(B245,input_356010!L:R,7,FALSE),VLOOKUP(tables_356010!C245,input_356010!A:H,8,FALSE))</f>
        <v>364.8</v>
      </c>
      <c r="P245" s="48">
        <f t="shared" ca="1" si="11"/>
        <v>2.4615384615384614E-4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input_356010!A$2</f>
        <v>356010</v>
      </c>
      <c r="B246" s="62">
        <v>668</v>
      </c>
      <c r="C246" s="7" t="str">
        <f t="shared" si="9"/>
        <v>Premium3color</v>
      </c>
      <c r="D246" s="7" t="str">
        <f t="shared" si="10"/>
        <v>Premium</v>
      </c>
      <c r="E246" s="7" t="str">
        <f>IF(COUNTIF('R6追加前'!A:A,B246)=0,IF(I246="PremiumSS","R5only","R3less"),"")</f>
        <v/>
      </c>
      <c r="F246" s="7" t="str">
        <f>IF(COUNTIF('R6開放'!A:A,B246)&gt;0,"R6release","")</f>
        <v/>
      </c>
      <c r="G246" s="7" t="s">
        <v>240</v>
      </c>
      <c r="H246" s="7" t="str">
        <f>VLOOKUP(B246,[1]characters!$A:$C,3,FALSE)</f>
        <v>アグニ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red</v>
      </c>
      <c r="L246" s="7" t="str">
        <f>VLOOKUP(B246,[1]characters!$A:$K,11,FALSE)</f>
        <v>hp</v>
      </c>
      <c r="M246" s="7" t="str">
        <f>VLOOKUP(B246,[1]characters!$A:$M,13,FALSE)</f>
        <v>god</v>
      </c>
      <c r="N246" s="7" t="str">
        <f>VLOOKUP(B246,[1]characters!$A:$G,7,FALSE)</f>
        <v>男性</v>
      </c>
      <c r="O246" s="47">
        <f ca="1">IFERROR(VLOOKUP(B246,input_356010!L:R,7,FALSE),VLOOKUP(tables_356010!C246,input_356010!A:H,8,FALSE))</f>
        <v>14592</v>
      </c>
      <c r="P246" s="48">
        <f t="shared" ca="1" si="11"/>
        <v>9.8461538461538465E-3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input_356010!A$2</f>
        <v>356010</v>
      </c>
      <c r="B247" s="62">
        <v>669</v>
      </c>
      <c r="C247" s="7" t="str">
        <f t="shared" si="9"/>
        <v>Premium4color</v>
      </c>
      <c r="D247" s="7" t="str">
        <f t="shared" si="10"/>
        <v>Premium</v>
      </c>
      <c r="E247" s="7" t="str">
        <f>IF(COUNTIF('R6追加前'!A:A,B247)=0,IF(I247="PremiumSS","R5only","R3less"),"")</f>
        <v/>
      </c>
      <c r="F247" s="7" t="str">
        <f>IF(COUNTIF('R6開放'!A:A,B247)&gt;0,"R6release","")</f>
        <v/>
      </c>
      <c r="G247" s="7" t="s">
        <v>240</v>
      </c>
      <c r="H247" s="7" t="str">
        <f>VLOOKUP(B247,[1]characters!$A:$C,3,FALSE)</f>
        <v>天地の仲界 アグニ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red</v>
      </c>
      <c r="L247" s="7" t="str">
        <f>VLOOKUP(B247,[1]characters!$A:$K,11,FALSE)</f>
        <v>hp</v>
      </c>
      <c r="M247" s="7" t="str">
        <f>VLOOKUP(B247,[1]characters!$A:$M,13,FALSE)</f>
        <v>god</v>
      </c>
      <c r="N247" s="7" t="str">
        <f>VLOOKUP(B247,[1]characters!$A:$G,7,FALSE)</f>
        <v>男性</v>
      </c>
      <c r="O247" s="47">
        <f ca="1">IFERROR(VLOOKUP(B247,input_356010!L:R,7,FALSE),VLOOKUP(tables_356010!C247,input_356010!A:H,8,FALSE))</f>
        <v>13132.8</v>
      </c>
      <c r="P247" s="48">
        <f t="shared" ca="1" si="11"/>
        <v>8.8615384615384606E-3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input_356010!A$2</f>
        <v>356010</v>
      </c>
      <c r="B248" s="62">
        <v>670</v>
      </c>
      <c r="C248" s="7" t="str">
        <f t="shared" si="9"/>
        <v>Premium5color</v>
      </c>
      <c r="D248" s="7" t="str">
        <f t="shared" si="10"/>
        <v>Premium</v>
      </c>
      <c r="E248" s="7" t="str">
        <f>IF(COUNTIF('R6追加前'!A:A,B248)=0,IF(I248="PremiumSS","R5only","R3less"),"")</f>
        <v/>
      </c>
      <c r="F248" s="7" t="str">
        <f>IF(COUNTIF('R6開放'!A:A,B248)&gt;0,"R6release","")</f>
        <v/>
      </c>
      <c r="G248" s="7" t="s">
        <v>240</v>
      </c>
      <c r="H248" s="7" t="str">
        <f>VLOOKUP(B248,[1]characters!$A:$C,3,FALSE)</f>
        <v>陽天の噴煙 アグニ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red</v>
      </c>
      <c r="L248" s="7" t="str">
        <f>VLOOKUP(B248,[1]characters!$A:$K,11,FALSE)</f>
        <v>hp</v>
      </c>
      <c r="M248" s="7" t="str">
        <f>VLOOKUP(B248,[1]characters!$A:$M,13,FALSE)</f>
        <v>god</v>
      </c>
      <c r="N248" s="7" t="str">
        <f>VLOOKUP(B248,[1]characters!$A:$G,7,FALSE)</f>
        <v>男性</v>
      </c>
      <c r="O248" s="47">
        <f ca="1">IFERROR(VLOOKUP(B248,input_356010!L:R,7,FALSE),VLOOKUP(tables_356010!C248,input_356010!A:H,8,FALSE))</f>
        <v>1459.2</v>
      </c>
      <c r="P248" s="48">
        <f t="shared" ca="1" si="11"/>
        <v>9.8461538461538456E-4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input_356010!A$2</f>
        <v>356010</v>
      </c>
      <c r="B249" s="62">
        <v>671</v>
      </c>
      <c r="C249" s="7" t="str">
        <f t="shared" si="9"/>
        <v>Premium3color</v>
      </c>
      <c r="D249" s="7" t="str">
        <f t="shared" si="10"/>
        <v>Premium</v>
      </c>
      <c r="E249" s="7" t="str">
        <f>IF(COUNTIF('R6追加前'!A:A,B249)=0,IF(I249="PremiumSS","R5only","R3less"),"")</f>
        <v/>
      </c>
      <c r="F249" s="7" t="str">
        <f>IF(COUNTIF('R6開放'!A:A,B249)&gt;0,"R6release","")</f>
        <v/>
      </c>
      <c r="G249" s="7" t="s">
        <v>240</v>
      </c>
      <c r="H249" s="7" t="str">
        <f>VLOOKUP(B249,[1]characters!$A:$C,3,FALSE)</f>
        <v>ハヌマーン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green</v>
      </c>
      <c r="L249" s="7" t="str">
        <f>VLOOKUP(B249,[1]characters!$A:$K,11,FALSE)</f>
        <v>attack</v>
      </c>
      <c r="M249" s="7" t="str">
        <f>VLOOKUP(B249,[1]characters!$A:$M,13,FALSE)</f>
        <v>animal</v>
      </c>
      <c r="N249" s="7" t="str">
        <f>VLOOKUP(B249,[1]characters!$A:$G,7,FALSE)</f>
        <v>男性</v>
      </c>
      <c r="O249" s="47">
        <f ca="1">IFERROR(VLOOKUP(B249,input_356010!L:R,7,FALSE),VLOOKUP(tables_356010!C249,input_356010!A:H,8,FALSE))</f>
        <v>14592</v>
      </c>
      <c r="P249" s="48">
        <f t="shared" ca="1" si="11"/>
        <v>9.8461538461538465E-3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input_356010!A$2</f>
        <v>356010</v>
      </c>
      <c r="B250" s="62">
        <v>672</v>
      </c>
      <c r="C250" s="7" t="str">
        <f t="shared" si="9"/>
        <v>Premium4color</v>
      </c>
      <c r="D250" s="7" t="str">
        <f t="shared" si="10"/>
        <v>Premium</v>
      </c>
      <c r="E250" s="7" t="str">
        <f>IF(COUNTIF('R6追加前'!A:A,B250)=0,IF(I250="PremiumSS","R5only","R3less"),"")</f>
        <v/>
      </c>
      <c r="F250" s="7" t="str">
        <f>IF(COUNTIF('R6開放'!A:A,B250)&gt;0,"R6release","")</f>
        <v/>
      </c>
      <c r="G250" s="7" t="s">
        <v>240</v>
      </c>
      <c r="H250" s="7" t="str">
        <f>VLOOKUP(B250,[1]characters!$A:$C,3,FALSE)</f>
        <v>西遊韋駄天 ハヌマーン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green</v>
      </c>
      <c r="L250" s="7" t="str">
        <f>VLOOKUP(B250,[1]characters!$A:$K,11,FALSE)</f>
        <v>attack</v>
      </c>
      <c r="M250" s="7" t="str">
        <f>VLOOKUP(B250,[1]characters!$A:$M,13,FALSE)</f>
        <v>animal</v>
      </c>
      <c r="N250" s="7" t="str">
        <f>VLOOKUP(B250,[1]characters!$A:$G,7,FALSE)</f>
        <v>男性</v>
      </c>
      <c r="O250" s="47">
        <f ca="1">IFERROR(VLOOKUP(B250,input_356010!L:R,7,FALSE),VLOOKUP(tables_356010!C250,input_356010!A:H,8,FALSE))</f>
        <v>13132.8</v>
      </c>
      <c r="P250" s="48">
        <f t="shared" ca="1" si="11"/>
        <v>8.8615384615384606E-3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input_356010!A$2</f>
        <v>356010</v>
      </c>
      <c r="B251" s="62">
        <v>673</v>
      </c>
      <c r="C251" s="7" t="str">
        <f t="shared" si="9"/>
        <v>Premium5color</v>
      </c>
      <c r="D251" s="7" t="str">
        <f t="shared" si="10"/>
        <v>Premium</v>
      </c>
      <c r="E251" s="7" t="str">
        <f>IF(COUNTIF('R6追加前'!A:A,B251)=0,IF(I251="PremiumSS","R5only","R3less"),"")</f>
        <v/>
      </c>
      <c r="F251" s="7" t="str">
        <f>IF(COUNTIF('R6開放'!A:A,B251)&gt;0,"R6release","")</f>
        <v/>
      </c>
      <c r="G251" s="7" t="s">
        <v>240</v>
      </c>
      <c r="H251" s="7" t="str">
        <f>VLOOKUP(B251,[1]characters!$A:$C,3,FALSE)</f>
        <v>変幻自在の猿王 ハヌマーン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green</v>
      </c>
      <c r="L251" s="7" t="str">
        <f>VLOOKUP(B251,[1]characters!$A:$K,11,FALSE)</f>
        <v>attack</v>
      </c>
      <c r="M251" s="7" t="str">
        <f>VLOOKUP(B251,[1]characters!$A:$M,13,FALSE)</f>
        <v>animal</v>
      </c>
      <c r="N251" s="7" t="str">
        <f>VLOOKUP(B251,[1]characters!$A:$G,7,FALSE)</f>
        <v>男性</v>
      </c>
      <c r="O251" s="47">
        <f ca="1">IFERROR(VLOOKUP(B251,input_356010!L:R,7,FALSE),VLOOKUP(tables_356010!C251,input_356010!A:H,8,FALSE))</f>
        <v>1459.2</v>
      </c>
      <c r="P251" s="48">
        <f t="shared" ca="1" si="11"/>
        <v>9.8461538461538456E-4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input_356010!A$2</f>
        <v>356010</v>
      </c>
      <c r="B252" s="62">
        <v>674</v>
      </c>
      <c r="C252" s="7" t="str">
        <f t="shared" si="9"/>
        <v>PremiumSS4</v>
      </c>
      <c r="D252" s="7" t="str">
        <f t="shared" si="10"/>
        <v>PremiumSS</v>
      </c>
      <c r="E252" s="7" t="str">
        <f>IF(COUNTIF('R6追加前'!A:A,B252)=0,IF(I252="PremiumSS","R5only","R3less"),"")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サラスヴァティ</v>
      </c>
      <c r="I252" s="7" t="str">
        <f>VLOOKUP(B252,[1]characters!$A:$J,10,FALSE)</f>
        <v>PremiumSS</v>
      </c>
      <c r="J252" s="7">
        <f>VLOOKUP(B252,[1]characters!$A:$I,9,FALSE)</f>
        <v>4</v>
      </c>
      <c r="K252" s="7" t="str">
        <f>VLOOKUP(B252,[1]characters!$A:$H,8,FALSE)</f>
        <v>blue</v>
      </c>
      <c r="L252" s="7" t="str">
        <f>VLOOKUP(B252,[1]characters!$A:$K,11,FALSE)</f>
        <v>balance</v>
      </c>
      <c r="M252" s="7" t="str">
        <f>VLOOKUP(B252,[1]characters!$A:$M,13,FALSE)</f>
        <v>god</v>
      </c>
      <c r="N252" s="7" t="str">
        <f>VLOOKUP(B252,[1]characters!$A:$G,7,FALSE)</f>
        <v>女性</v>
      </c>
      <c r="O252" s="47">
        <f ca="1">IFERROR(VLOOKUP(B252,input_356010!L:R,7,FALSE),VLOOKUP(tables_356010!C252,input_356010!A:H,8,FALSE))</f>
        <v>444.6</v>
      </c>
      <c r="P252" s="48">
        <f t="shared" ca="1" si="11"/>
        <v>3.0000000000000003E-4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input_356010!A$2</f>
        <v>356010</v>
      </c>
      <c r="B253" s="62">
        <v>675</v>
      </c>
      <c r="C253" s="7" t="str">
        <f t="shared" si="9"/>
        <v>PremiumSS5</v>
      </c>
      <c r="D253" s="7" t="str">
        <f t="shared" si="10"/>
        <v>PremiumSS</v>
      </c>
      <c r="E253" s="7" t="str">
        <f>IF(COUNTIF('R6追加前'!A:A,B253)=0,IF(I253="PremiumSS","R5only","R3less"),"")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芸楽の奔流 サラスヴァティ</v>
      </c>
      <c r="I253" s="7" t="str">
        <f>VLOOKUP(B253,[1]characters!$A:$J,10,FALSE)</f>
        <v>PremiumSS</v>
      </c>
      <c r="J253" s="7">
        <f>VLOOKUP(B253,[1]characters!$A:$I,9,FALSE)</f>
        <v>5</v>
      </c>
      <c r="K253" s="7" t="str">
        <f>VLOOKUP(B253,[1]characters!$A:$H,8,FALSE)</f>
        <v>blue</v>
      </c>
      <c r="L253" s="7" t="str">
        <f>VLOOKUP(B253,[1]characters!$A:$K,11,FALSE)</f>
        <v>balance</v>
      </c>
      <c r="M253" s="7" t="str">
        <f>VLOOKUP(B253,[1]characters!$A:$M,13,FALSE)</f>
        <v>god</v>
      </c>
      <c r="N253" s="7" t="str">
        <f>VLOOKUP(B253,[1]characters!$A:$G,7,FALSE)</f>
        <v>女性</v>
      </c>
      <c r="O253" s="47">
        <f ca="1">IFERROR(VLOOKUP(B253,input_356010!L:R,7,FALSE),VLOOKUP(tables_356010!C253,input_356010!A:H,8,FALSE))</f>
        <v>23.4</v>
      </c>
      <c r="P253" s="48">
        <f t="shared" ca="1" si="11"/>
        <v>1.5789473684210526E-5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input_356010!A$2</f>
        <v>356010</v>
      </c>
      <c r="B254" s="62">
        <v>676</v>
      </c>
      <c r="C254" s="7" t="str">
        <f t="shared" si="9"/>
        <v>PremiumSS4</v>
      </c>
      <c r="D254" s="7" t="str">
        <f t="shared" si="10"/>
        <v>PremiumSS</v>
      </c>
      <c r="E254" s="7" t="str">
        <f>IF(COUNTIF('R6追加前'!A:A,B254)=0,IF(I254="PremiumSS","R5only","R3less"),"")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ヴィシュヌ</v>
      </c>
      <c r="I254" s="7" t="str">
        <f>VLOOKUP(B254,[1]characters!$A:$J,10,FALSE)</f>
        <v>PremiumSS</v>
      </c>
      <c r="J254" s="7">
        <f>VLOOKUP(B254,[1]characters!$A:$I,9,FALSE)</f>
        <v>4</v>
      </c>
      <c r="K254" s="7" t="str">
        <f>VLOOKUP(B254,[1]characters!$A:$H,8,FALSE)</f>
        <v>yellow</v>
      </c>
      <c r="L254" s="7" t="str">
        <f>VLOOKUP(B254,[1]characters!$A:$K,11,FALSE)</f>
        <v>attack</v>
      </c>
      <c r="M254" s="7" t="str">
        <f>VLOOKUP(B254,[1]characters!$A:$M,13,FALSE)</f>
        <v>god</v>
      </c>
      <c r="N254" s="7" t="str">
        <f>VLOOKUP(B254,[1]characters!$A:$G,7,FALSE)</f>
        <v>女性</v>
      </c>
      <c r="O254" s="47">
        <f ca="1">IFERROR(VLOOKUP(B254,input_356010!L:R,7,FALSE),VLOOKUP(tables_356010!C254,input_356010!A:H,8,FALSE))</f>
        <v>444.6</v>
      </c>
      <c r="P254" s="48">
        <f t="shared" ca="1" si="11"/>
        <v>3.0000000000000003E-4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input_356010!A$2</f>
        <v>356010</v>
      </c>
      <c r="B255" s="62">
        <v>677</v>
      </c>
      <c r="C255" s="7" t="str">
        <f t="shared" si="9"/>
        <v>PremiumSS5</v>
      </c>
      <c r="D255" s="7" t="str">
        <f t="shared" si="10"/>
        <v>PremiumSS</v>
      </c>
      <c r="E255" s="7" t="str">
        <f>IF(COUNTIF('R6追加前'!A:A,B255)=0,IF(I255="PremiumSS","R5only","R3less"),"")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武遊闊歩 ヴィシュヌ</v>
      </c>
      <c r="I255" s="7" t="str">
        <f>VLOOKUP(B255,[1]characters!$A:$J,10,FALSE)</f>
        <v>PremiumSS</v>
      </c>
      <c r="J255" s="7">
        <f>VLOOKUP(B255,[1]characters!$A:$I,9,FALSE)</f>
        <v>5</v>
      </c>
      <c r="K255" s="7" t="str">
        <f>VLOOKUP(B255,[1]characters!$A:$H,8,FALSE)</f>
        <v>yellow</v>
      </c>
      <c r="L255" s="7" t="str">
        <f>VLOOKUP(B255,[1]characters!$A:$K,11,FALSE)</f>
        <v>attack</v>
      </c>
      <c r="M255" s="7" t="str">
        <f>VLOOKUP(B255,[1]characters!$A:$M,13,FALSE)</f>
        <v>god</v>
      </c>
      <c r="N255" s="7" t="str">
        <f>VLOOKUP(B255,[1]characters!$A:$G,7,FALSE)</f>
        <v>女性</v>
      </c>
      <c r="O255" s="47">
        <f ca="1">IFERROR(VLOOKUP(B255,input_356010!L:R,7,FALSE),VLOOKUP(tables_356010!C255,input_356010!A:H,8,FALSE))</f>
        <v>23.4</v>
      </c>
      <c r="P255" s="48">
        <f t="shared" ca="1" si="11"/>
        <v>1.5789473684210526E-5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input_356010!A$2</f>
        <v>356010</v>
      </c>
      <c r="B256" s="62">
        <v>770</v>
      </c>
      <c r="C256" s="7" t="str">
        <f t="shared" si="9"/>
        <v>PremiumSS4color</v>
      </c>
      <c r="D256" s="7" t="str">
        <f t="shared" si="10"/>
        <v>PremiumSS</v>
      </c>
      <c r="E256" s="7" t="str">
        <f>IF(COUNTIF('R6追加前'!A:A,B256)=0,IF(I256="PremiumSS","R5only","R3less"),"")</f>
        <v/>
      </c>
      <c r="F256" s="7" t="str">
        <f>IF(COUNTIF('R6開放'!A:A,B256)&gt;0,"R6release","")</f>
        <v/>
      </c>
      <c r="G256" s="7" t="s">
        <v>240</v>
      </c>
      <c r="H256" s="7" t="str">
        <f>VLOOKUP(B256,[1]characters!$A:$C,3,FALSE)</f>
        <v>ハヅル</v>
      </c>
      <c r="I256" s="7" t="str">
        <f>VLOOKUP(B256,[1]characters!$A:$J,10,FALSE)</f>
        <v>PremiumSS</v>
      </c>
      <c r="J256" s="7">
        <f>VLOOKUP(B256,[1]characters!$A:$I,9,FALSE)</f>
        <v>4</v>
      </c>
      <c r="K256" s="7" t="str">
        <f>VLOOKUP(B256,[1]characters!$A:$H,8,FALSE)</f>
        <v>red</v>
      </c>
      <c r="L256" s="7" t="str">
        <f>VLOOKUP(B256,[1]characters!$A:$K,11,FALSE)</f>
        <v>balance</v>
      </c>
      <c r="M256" s="7" t="str">
        <f>VLOOKUP(B256,[1]characters!$A:$M,13,FALSE)</f>
        <v>animal</v>
      </c>
      <c r="N256" s="7" t="str">
        <f>VLOOKUP(B256,[1]characters!$A:$G,7,FALSE)</f>
        <v>女性</v>
      </c>
      <c r="O256" s="47">
        <f ca="1">IFERROR(VLOOKUP(B256,input_356010!L:R,7,FALSE),VLOOKUP(tables_356010!C256,input_356010!A:H,8,FALSE))</f>
        <v>1778.4</v>
      </c>
      <c r="P256" s="48">
        <f t="shared" ca="1" si="11"/>
        <v>1.2000000000000001E-3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input_356010!A$2</f>
        <v>356010</v>
      </c>
      <c r="B257" s="62">
        <v>771</v>
      </c>
      <c r="C257" s="7" t="str">
        <f t="shared" si="9"/>
        <v>PremiumSS5color</v>
      </c>
      <c r="D257" s="7" t="str">
        <f t="shared" si="10"/>
        <v>PremiumSS</v>
      </c>
      <c r="E257" s="7" t="str">
        <f>IF(COUNTIF('R6追加前'!A:A,B257)=0,IF(I257="PremiumSS","R5only","R3less"),"")</f>
        <v/>
      </c>
      <c r="F257" s="7" t="str">
        <f>IF(COUNTIF('R6開放'!A:A,B257)&gt;0,"R6release","")</f>
        <v/>
      </c>
      <c r="G257" s="7" t="s">
        <v>240</v>
      </c>
      <c r="H257" s="7" t="str">
        <f>VLOOKUP(B257,[1]characters!$A:$C,3,FALSE)</f>
        <v>天織羽鶴 ハヅル</v>
      </c>
      <c r="I257" s="7" t="str">
        <f>VLOOKUP(B257,[1]characters!$A:$J,10,FALSE)</f>
        <v>PremiumSS</v>
      </c>
      <c r="J257" s="7">
        <f>VLOOKUP(B257,[1]characters!$A:$I,9,FALSE)</f>
        <v>5</v>
      </c>
      <c r="K257" s="7" t="str">
        <f>VLOOKUP(B257,[1]characters!$A:$H,8,FALSE)</f>
        <v>red</v>
      </c>
      <c r="L257" s="7" t="str">
        <f>VLOOKUP(B257,[1]characters!$A:$K,11,FALSE)</f>
        <v>balance</v>
      </c>
      <c r="M257" s="7" t="str">
        <f>VLOOKUP(B257,[1]characters!$A:$M,13,FALSE)</f>
        <v>animal</v>
      </c>
      <c r="N257" s="7" t="str">
        <f>VLOOKUP(B257,[1]characters!$A:$G,7,FALSE)</f>
        <v>女性</v>
      </c>
      <c r="O257" s="47">
        <f ca="1">IFERROR(VLOOKUP(B257,input_356010!L:R,7,FALSE),VLOOKUP(tables_356010!C257,input_356010!A:H,8,FALSE))</f>
        <v>93.6</v>
      </c>
      <c r="P257" s="48">
        <f t="shared" ca="1" si="11"/>
        <v>6.3157894736842103E-5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input_356010!A$2</f>
        <v>356010</v>
      </c>
      <c r="B258" s="62">
        <v>772</v>
      </c>
      <c r="C258" s="7" t="str">
        <f t="shared" ref="C258:C271" si="12">D258&amp;J258&amp;E258&amp;F258&amp;G258</f>
        <v>PremiumSS4color</v>
      </c>
      <c r="D258" s="7" t="str">
        <f t="shared" si="10"/>
        <v>PremiumSS</v>
      </c>
      <c r="E258" s="7" t="str">
        <f>IF(COUNTIF('R6追加前'!A:A,B258)=0,IF(I258="PremiumSS","R5only","R3less"),"")</f>
        <v/>
      </c>
      <c r="F258" s="7" t="str">
        <f>IF(COUNTIF('R6開放'!A:A,B258)&gt;0,"R6release","")</f>
        <v/>
      </c>
      <c r="G258" s="7" t="s">
        <v>240</v>
      </c>
      <c r="H258" s="7" t="str">
        <f>VLOOKUP(B258,[1]characters!$A:$C,3,FALSE)</f>
        <v>イナバ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green</v>
      </c>
      <c r="L258" s="7" t="str">
        <f>VLOOKUP(B258,[1]characters!$A:$K,11,FALSE)</f>
        <v>balance</v>
      </c>
      <c r="M258" s="7" t="str">
        <f>VLOOKUP(B258,[1]characters!$A:$M,13,FALSE)</f>
        <v>animal</v>
      </c>
      <c r="N258" s="7" t="str">
        <f>VLOOKUP(B258,[1]characters!$A:$G,7,FALSE)</f>
        <v>女性</v>
      </c>
      <c r="O258" s="47">
        <f ca="1">IFERROR(VLOOKUP(B258,input_356010!L:R,7,FALSE),VLOOKUP(tables_356010!C258,input_356010!A:H,8,FALSE))</f>
        <v>1778.4</v>
      </c>
      <c r="P258" s="48">
        <f t="shared" ca="1" si="11"/>
        <v>1.2000000000000001E-3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input_356010!A$2</f>
        <v>356010</v>
      </c>
      <c r="B259" s="62">
        <v>773</v>
      </c>
      <c r="C259" s="7" t="str">
        <f t="shared" si="12"/>
        <v>PremiumSS5color</v>
      </c>
      <c r="D259" s="7" t="str">
        <f t="shared" ref="D259:D271" si="13">IF(I259="PremiumSS",I259,IF(I259="PremiumSSS",I259,IF(I259="PremiumW",I259,"Premium")))</f>
        <v>PremiumSS</v>
      </c>
      <c r="E259" s="7" t="str">
        <f>IF(COUNTIF('R6追加前'!A:A,B259)=0,IF(I259="PremiumSS","R5only","R3less"),"")</f>
        <v/>
      </c>
      <c r="F259" s="7" t="str">
        <f>IF(COUNTIF('R6開放'!A:A,B259)&gt;0,"R6release","")</f>
        <v/>
      </c>
      <c r="G259" s="7" t="s">
        <v>240</v>
      </c>
      <c r="H259" s="7" t="str">
        <f>VLOOKUP(B259,[1]characters!$A:$C,3,FALSE)</f>
        <v>浮跳天兎 イナバ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green</v>
      </c>
      <c r="L259" s="7" t="str">
        <f>VLOOKUP(B259,[1]characters!$A:$K,11,FALSE)</f>
        <v>balance</v>
      </c>
      <c r="M259" s="7" t="str">
        <f>VLOOKUP(B259,[1]characters!$A:$M,13,FALSE)</f>
        <v>animal</v>
      </c>
      <c r="N259" s="7" t="str">
        <f>VLOOKUP(B259,[1]characters!$A:$G,7,FALSE)</f>
        <v>女性</v>
      </c>
      <c r="O259" s="47">
        <f ca="1">IFERROR(VLOOKUP(B259,input_356010!L:R,7,FALSE),VLOOKUP(tables_356010!C259,input_356010!A:H,8,FALSE))</f>
        <v>93.6</v>
      </c>
      <c r="P259" s="48">
        <f t="shared" ca="1" si="11"/>
        <v>6.3157894736842103E-5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input_356010!A$2</f>
        <v>356010</v>
      </c>
      <c r="B260" s="62">
        <v>774</v>
      </c>
      <c r="C260" s="7" t="str">
        <f t="shared" si="12"/>
        <v>Premium3</v>
      </c>
      <c r="D260" s="7" t="str">
        <f t="shared" si="13"/>
        <v>Premium</v>
      </c>
      <c r="E260" s="7" t="str">
        <f>IF(COUNTIF('R6追加前'!A:A,B260)=0,IF(I260="PremiumSS","R5only","R3less"),"")</f>
        <v/>
      </c>
      <c r="F260" s="7" t="str">
        <f>IF(COUNTIF('R6開放'!A:A,B260)&gt;0,"R6release","")</f>
        <v/>
      </c>
      <c r="G260" s="7"/>
      <c r="H260" s="7" t="str">
        <f>VLOOKUP(B260,[1]characters!$A:$C,3,FALSE)</f>
        <v>ミズチ</v>
      </c>
      <c r="I260" s="7" t="str">
        <f>VLOOKUP(B260,[1]characters!$A:$J,10,FALSE)</f>
        <v>PremiumS</v>
      </c>
      <c r="J260" s="7">
        <f>VLOOKUP(B260,[1]characters!$A:$I,9,FALSE)</f>
        <v>3</v>
      </c>
      <c r="K260" s="7" t="str">
        <f>VLOOKUP(B260,[1]characters!$A:$H,8,FALSE)</f>
        <v>blue</v>
      </c>
      <c r="L260" s="7" t="str">
        <f>VLOOKUP(B260,[1]characters!$A:$K,11,FALSE)</f>
        <v>heal</v>
      </c>
      <c r="M260" s="7" t="str">
        <f>VLOOKUP(B260,[1]characters!$A:$M,13,FALSE)</f>
        <v>dragon</v>
      </c>
      <c r="N260" s="7" t="str">
        <f>VLOOKUP(B260,[1]characters!$A:$G,7,FALSE)</f>
        <v>不明</v>
      </c>
      <c r="O260" s="47">
        <f ca="1">IFERROR(VLOOKUP(B260,input_356010!L:R,7,FALSE),VLOOKUP(tables_356010!C260,input_356010!A:H,8,FALSE))</f>
        <v>3648</v>
      </c>
      <c r="P260" s="48">
        <f t="shared" ca="1" si="11"/>
        <v>2.4615384615384616E-3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input_356010!A$2</f>
        <v>356010</v>
      </c>
      <c r="B261" s="62">
        <v>775</v>
      </c>
      <c r="C261" s="7" t="str">
        <f t="shared" si="12"/>
        <v>Premium4</v>
      </c>
      <c r="D261" s="7" t="str">
        <f t="shared" si="13"/>
        <v>Premium</v>
      </c>
      <c r="E261" s="7" t="str">
        <f>IF(COUNTIF('R6追加前'!A:A,B261)=0,IF(I261="PremiumSS","R5only","R3less"),"")</f>
        <v/>
      </c>
      <c r="F261" s="7" t="str">
        <f>IF(COUNTIF('R6開放'!A:A,B261)&gt;0,"R6release","")</f>
        <v/>
      </c>
      <c r="G261" s="7"/>
      <c r="H261" s="7" t="str">
        <f>VLOOKUP(B261,[1]characters!$A:$C,3,FALSE)</f>
        <v>水底霊竜 ミズチ</v>
      </c>
      <c r="I261" s="7" t="str">
        <f>VLOOKUP(B261,[1]characters!$A:$J,10,FALSE)</f>
        <v>PremiumS</v>
      </c>
      <c r="J261" s="7">
        <f>VLOOKUP(B261,[1]characters!$A:$I,9,FALSE)</f>
        <v>4</v>
      </c>
      <c r="K261" s="7" t="str">
        <f>VLOOKUP(B261,[1]characters!$A:$H,8,FALSE)</f>
        <v>blue</v>
      </c>
      <c r="L261" s="7" t="str">
        <f>VLOOKUP(B261,[1]characters!$A:$K,11,FALSE)</f>
        <v>heal</v>
      </c>
      <c r="M261" s="7" t="str">
        <f>VLOOKUP(B261,[1]characters!$A:$M,13,FALSE)</f>
        <v>dragon</v>
      </c>
      <c r="N261" s="7" t="str">
        <f>VLOOKUP(B261,[1]characters!$A:$G,7,FALSE)</f>
        <v>不明</v>
      </c>
      <c r="O261" s="47">
        <f ca="1">IFERROR(VLOOKUP(B261,input_356010!L:R,7,FALSE),VLOOKUP(tables_356010!C261,input_356010!A:H,8,FALSE))</f>
        <v>3283.2</v>
      </c>
      <c r="P261" s="48">
        <f t="shared" ca="1" si="11"/>
        <v>2.2153846153846152E-3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input_356010!A$2</f>
        <v>356010</v>
      </c>
      <c r="B262" s="62">
        <v>776</v>
      </c>
      <c r="C262" s="7" t="str">
        <f t="shared" si="12"/>
        <v>Premium5</v>
      </c>
      <c r="D262" s="7" t="str">
        <f t="shared" si="13"/>
        <v>Premium</v>
      </c>
      <c r="E262" s="7" t="str">
        <f>IF(COUNTIF('R6追加前'!A:A,B262)=0,IF(I262="PremiumSS","R5only","R3less"),"")</f>
        <v/>
      </c>
      <c r="F262" s="7" t="str">
        <f>IF(COUNTIF('R6開放'!A:A,B262)&gt;0,"R6release","")</f>
        <v/>
      </c>
      <c r="G262" s="7"/>
      <c r="H262" s="7" t="str">
        <f>VLOOKUP(B262,[1]characters!$A:$C,3,FALSE)</f>
        <v>水竜底主 ミズチ</v>
      </c>
      <c r="I262" s="7" t="str">
        <f>VLOOKUP(B262,[1]characters!$A:$J,10,FALSE)</f>
        <v>PremiumS</v>
      </c>
      <c r="J262" s="7">
        <f>VLOOKUP(B262,[1]characters!$A:$I,9,FALSE)</f>
        <v>5</v>
      </c>
      <c r="K262" s="7" t="str">
        <f>VLOOKUP(B262,[1]characters!$A:$H,8,FALSE)</f>
        <v>blue</v>
      </c>
      <c r="L262" s="7" t="str">
        <f>VLOOKUP(B262,[1]characters!$A:$K,11,FALSE)</f>
        <v>heal</v>
      </c>
      <c r="M262" s="7" t="str">
        <f>VLOOKUP(B262,[1]characters!$A:$M,13,FALSE)</f>
        <v>dragon</v>
      </c>
      <c r="N262" s="7" t="str">
        <f>VLOOKUP(B262,[1]characters!$A:$G,7,FALSE)</f>
        <v>不明</v>
      </c>
      <c r="O262" s="47">
        <f ca="1">IFERROR(VLOOKUP(B262,input_356010!L:R,7,FALSE),VLOOKUP(tables_356010!C262,input_356010!A:H,8,FALSE))</f>
        <v>364.8</v>
      </c>
      <c r="P262" s="48">
        <f t="shared" ca="1" si="11"/>
        <v>2.4615384615384614E-4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input_356010!A$2</f>
        <v>356010</v>
      </c>
      <c r="B263" s="62">
        <v>777</v>
      </c>
      <c r="C263" s="7" t="str">
        <f t="shared" si="12"/>
        <v>Premium3</v>
      </c>
      <c r="D263" s="7" t="str">
        <f t="shared" si="13"/>
        <v>Premium</v>
      </c>
      <c r="E263" s="7" t="str">
        <f>IF(COUNTIF('R6追加前'!A:A,B263)=0,IF(I263="PremiumSS","R5only","R3less"),"")</f>
        <v/>
      </c>
      <c r="F263" s="7" t="str">
        <f>IF(COUNTIF('R6開放'!A:A,B263)&gt;0,"R6release","")</f>
        <v/>
      </c>
      <c r="G263" s="7"/>
      <c r="H263" s="7" t="str">
        <f>VLOOKUP(B263,[1]characters!$A:$C,3,FALSE)</f>
        <v>ガメック</v>
      </c>
      <c r="I263" s="7" t="str">
        <f>VLOOKUP(B263,[1]characters!$A:$J,10,FALSE)</f>
        <v>PremiumS</v>
      </c>
      <c r="J263" s="7">
        <f>VLOOKUP(B263,[1]characters!$A:$I,9,FALSE)</f>
        <v>3</v>
      </c>
      <c r="K263" s="7" t="str">
        <f>VLOOKUP(B263,[1]characters!$A:$H,8,FALSE)</f>
        <v>yellow</v>
      </c>
      <c r="L263" s="7" t="str">
        <f>VLOOKUP(B263,[1]characters!$A:$K,11,FALSE)</f>
        <v>hp</v>
      </c>
      <c r="M263" s="7" t="str">
        <f>VLOOKUP(B263,[1]characters!$A:$M,13,FALSE)</f>
        <v>animal</v>
      </c>
      <c r="N263" s="7" t="str">
        <f>VLOOKUP(B263,[1]characters!$A:$G,7,FALSE)</f>
        <v>不明</v>
      </c>
      <c r="O263" s="47">
        <f ca="1">IFERROR(VLOOKUP(B263,input_356010!L:R,7,FALSE),VLOOKUP(tables_356010!C263,input_356010!A:H,8,FALSE))</f>
        <v>3648</v>
      </c>
      <c r="P263" s="48">
        <f t="shared" ca="1" si="11"/>
        <v>2.4615384615384616E-3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input_356010!A$2</f>
        <v>356010</v>
      </c>
      <c r="B264" s="62">
        <v>778</v>
      </c>
      <c r="C264" s="7" t="str">
        <f t="shared" si="12"/>
        <v>Premium4</v>
      </c>
      <c r="D264" s="7" t="str">
        <f t="shared" si="13"/>
        <v>Premium</v>
      </c>
      <c r="E264" s="7" t="str">
        <f>IF(COUNTIF('R6追加前'!A:A,B264)=0,IF(I264="PremiumSS","R5only","R3less"),"")</f>
        <v/>
      </c>
      <c r="F264" s="7" t="str">
        <f>IF(COUNTIF('R6開放'!A:A,B264)&gt;0,"R6release","")</f>
        <v/>
      </c>
      <c r="G264" s="7"/>
      <c r="H264" s="7" t="str">
        <f>VLOOKUP(B264,[1]characters!$A:$C,3,FALSE)</f>
        <v>一亀懸明 ガメック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yellow</v>
      </c>
      <c r="L264" s="7" t="str">
        <f>VLOOKUP(B264,[1]characters!$A:$K,11,FALSE)</f>
        <v>hp</v>
      </c>
      <c r="M264" s="7" t="str">
        <f>VLOOKUP(B264,[1]characters!$A:$M,13,FALSE)</f>
        <v>animal</v>
      </c>
      <c r="N264" s="7" t="str">
        <f>VLOOKUP(B264,[1]characters!$A:$G,7,FALSE)</f>
        <v>不明</v>
      </c>
      <c r="O264" s="47">
        <f ca="1">IFERROR(VLOOKUP(B264,input_356010!L:R,7,FALSE),VLOOKUP(tables_356010!C264,input_356010!A:H,8,FALSE))</f>
        <v>3283.2</v>
      </c>
      <c r="P264" s="48">
        <f t="shared" ca="1" si="11"/>
        <v>2.2153846153846152E-3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input_356010!A$2</f>
        <v>356010</v>
      </c>
      <c r="B265" s="62">
        <v>779</v>
      </c>
      <c r="C265" s="7" t="str">
        <f t="shared" si="12"/>
        <v>Premium5</v>
      </c>
      <c r="D265" s="7" t="str">
        <f t="shared" si="13"/>
        <v>Premium</v>
      </c>
      <c r="E265" s="7" t="str">
        <f>IF(COUNTIF('R6追加前'!A:A,B265)=0,IF(I265="PremiumSS","R5only","R3less"),"")</f>
        <v/>
      </c>
      <c r="F265" s="7" t="str">
        <f>IF(COUNTIF('R6開放'!A:A,B265)&gt;0,"R6release","")</f>
        <v/>
      </c>
      <c r="G265" s="7"/>
      <c r="H265" s="7" t="str">
        <f>VLOOKUP(B265,[1]characters!$A:$C,3,FALSE)</f>
        <v>頑堅咬亀 ガメック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yellow</v>
      </c>
      <c r="L265" s="7" t="str">
        <f>VLOOKUP(B265,[1]characters!$A:$K,11,FALSE)</f>
        <v>hp</v>
      </c>
      <c r="M265" s="7" t="str">
        <f>VLOOKUP(B265,[1]characters!$A:$M,13,FALSE)</f>
        <v>animal</v>
      </c>
      <c r="N265" s="7" t="str">
        <f>VLOOKUP(B265,[1]characters!$A:$G,7,FALSE)</f>
        <v>不明</v>
      </c>
      <c r="O265" s="47">
        <f ca="1">IFERROR(VLOOKUP(B265,input_356010!L:R,7,FALSE),VLOOKUP(tables_356010!C265,input_356010!A:H,8,FALSE))</f>
        <v>364.8</v>
      </c>
      <c r="P265" s="48">
        <f t="shared" ca="1" si="11"/>
        <v>2.4615384615384614E-4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input_356010!A$2</f>
        <v>356010</v>
      </c>
      <c r="B266" s="62">
        <v>728</v>
      </c>
      <c r="C266" s="7" t="str">
        <f t="shared" si="12"/>
        <v>Premium4R3lesscolor</v>
      </c>
      <c r="D266" s="7" t="str">
        <f t="shared" si="13"/>
        <v>Premium</v>
      </c>
      <c r="E266" s="7" t="str">
        <f>IF(COUNTIF('R6追加前'!A:A,B266)=0,IF(I266="PremiumSS","R5only","R3less"),"")</f>
        <v>R3less</v>
      </c>
      <c r="F266" s="7" t="str">
        <f>IF(COUNTIF('R6開放'!A:A,B266)&gt;0,"R6release","")</f>
        <v/>
      </c>
      <c r="G266" s="7" t="s">
        <v>240</v>
      </c>
      <c r="H266" s="7" t="str">
        <f>VLOOKUP(B266,[1]characters!$A:$C,3,FALSE)</f>
        <v>井伊直虎</v>
      </c>
      <c r="I266" s="7" t="str">
        <f>VLOOKUP(B266,[1]characters!$A:$J,10,FALSE)</f>
        <v>PremiumS</v>
      </c>
      <c r="J266" s="7">
        <f>VLOOKUP(B266,[1]characters!$A:$I,9,FALSE)</f>
        <v>4</v>
      </c>
      <c r="K266" s="7" t="str">
        <f>VLOOKUP(B266,[1]characters!$A:$H,8,FALSE)</f>
        <v>red</v>
      </c>
      <c r="L266" s="7" t="str">
        <f>VLOOKUP(B266,[1]characters!$A:$K,11,FALSE)</f>
        <v>balance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47">
        <f ca="1">IFERROR(VLOOKUP(B266,input_356010!L:R,7,FALSE),VLOOKUP(tables_356010!C266,input_356010!A:H,8,FALSE))</f>
        <v>24817.8</v>
      </c>
      <c r="P266" s="48">
        <f t="shared" ca="1" si="11"/>
        <v>1.6746153846153845E-2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input_356010!A$2</f>
        <v>356010</v>
      </c>
      <c r="B267" s="62">
        <v>729</v>
      </c>
      <c r="C267" s="7" t="str">
        <f t="shared" si="12"/>
        <v>Premium5R3lesscolor</v>
      </c>
      <c r="D267" s="7" t="str">
        <f t="shared" si="13"/>
        <v>Premium</v>
      </c>
      <c r="E267" s="7" t="str">
        <f>IF(COUNTIF('R6追加前'!A:A,B267)=0,IF(I267="PremiumSS","R5only","R3less"),"")</f>
        <v>R3less</v>
      </c>
      <c r="F267" s="7" t="str">
        <f>IF(COUNTIF('R6開放'!A:A,B267)&gt;0,"R6release","")</f>
        <v/>
      </c>
      <c r="G267" s="7" t="s">
        <v>240</v>
      </c>
      <c r="H267" s="7" t="str">
        <f>VLOOKUP(B267,[1]characters!$A:$C,3,FALSE)</f>
        <v>暗厄の双刀 井伊直虎</v>
      </c>
      <c r="I267" s="7" t="str">
        <f>VLOOKUP(B267,[1]characters!$A:$J,10,FALSE)</f>
        <v>PremiumS</v>
      </c>
      <c r="J267" s="7">
        <f>VLOOKUP(B267,[1]characters!$A:$I,9,FALSE)</f>
        <v>5</v>
      </c>
      <c r="K267" s="7" t="str">
        <f>VLOOKUP(B267,[1]characters!$A:$H,8,FALSE)</f>
        <v>red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女性</v>
      </c>
      <c r="O267" s="47">
        <f ca="1">IFERROR(VLOOKUP(B267,input_356010!L:R,7,FALSE),VLOOKUP(tables_356010!C267,input_356010!A:H,8,FALSE))</f>
        <v>4366.2</v>
      </c>
      <c r="P267" s="48">
        <f t="shared" ca="1" si="11"/>
        <v>2.9461538461538462E-3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input_356010!A$2</f>
        <v>356010</v>
      </c>
      <c r="B268" s="62">
        <v>730</v>
      </c>
      <c r="C268" s="7" t="str">
        <f t="shared" si="12"/>
        <v>Premium4R3lesscolor</v>
      </c>
      <c r="D268" s="7" t="str">
        <f t="shared" si="13"/>
        <v>Premium</v>
      </c>
      <c r="E268" s="7" t="str">
        <f>IF(COUNTIF('R6追加前'!A:A,B268)=0,IF(I268="PremiumSS","R5only","R3less"),"")</f>
        <v>R3less</v>
      </c>
      <c r="F268" s="7" t="str">
        <f>IF(COUNTIF('R6開放'!A:A,B268)&gt;0,"R6release","")</f>
        <v/>
      </c>
      <c r="G268" s="7" t="s">
        <v>240</v>
      </c>
      <c r="H268" s="7" t="str">
        <f>VLOOKUP(B268,[1]characters!$A:$C,3,FALSE)</f>
        <v>ガラシャ</v>
      </c>
      <c r="I268" s="7" t="str">
        <f>VLOOKUP(B268,[1]characters!$A:$J,10,FALSE)</f>
        <v>PremiumS</v>
      </c>
      <c r="J268" s="7">
        <f>VLOOKUP(B268,[1]characters!$A:$I,9,FALSE)</f>
        <v>4</v>
      </c>
      <c r="K268" s="7" t="str">
        <f>VLOOKUP(B268,[1]characters!$A:$H,8,FALSE)</f>
        <v>green</v>
      </c>
      <c r="L268" s="7" t="str">
        <f>VLOOKUP(B268,[1]characters!$A:$K,11,FALSE)</f>
        <v>heal</v>
      </c>
      <c r="M268" s="7" t="str">
        <f>VLOOKUP(B268,[1]characters!$A:$M,13,FALSE)</f>
        <v>human</v>
      </c>
      <c r="N268" s="7" t="str">
        <f>VLOOKUP(B268,[1]characters!$A:$G,7,FALSE)</f>
        <v>女性</v>
      </c>
      <c r="O268" s="47">
        <f ca="1">IFERROR(VLOOKUP(B268,input_356010!L:R,7,FALSE),VLOOKUP(tables_356010!C268,input_356010!A:H,8,FALSE))</f>
        <v>24817.8</v>
      </c>
      <c r="P268" s="48">
        <f t="shared" ca="1" si="11"/>
        <v>1.6746153846153845E-2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input_356010!A$2</f>
        <v>356010</v>
      </c>
      <c r="B269" s="62">
        <v>731</v>
      </c>
      <c r="C269" s="7" t="str">
        <f t="shared" si="12"/>
        <v>Premium5R3lesscolor</v>
      </c>
      <c r="D269" s="7" t="str">
        <f t="shared" si="13"/>
        <v>Premium</v>
      </c>
      <c r="E269" s="7" t="str">
        <f>IF(COUNTIF('R6追加前'!A:A,B269)=0,IF(I269="PremiumSS","R5only","R3less"),"")</f>
        <v>R3less</v>
      </c>
      <c r="F269" s="7" t="str">
        <f>IF(COUNTIF('R6開放'!A:A,B269)&gt;0,"R6release","")</f>
        <v/>
      </c>
      <c r="G269" s="7" t="s">
        <v>240</v>
      </c>
      <c r="H269" s="7" t="str">
        <f>VLOOKUP(B269,[1]characters!$A:$C,3,FALSE)</f>
        <v>敬虔なる追銃 ガラシャ</v>
      </c>
      <c r="I269" s="7" t="str">
        <f>VLOOKUP(B269,[1]characters!$A:$J,10,FALSE)</f>
        <v>PremiumS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heal</v>
      </c>
      <c r="M269" s="7" t="str">
        <f>VLOOKUP(B269,[1]characters!$A:$M,13,FALSE)</f>
        <v>human</v>
      </c>
      <c r="N269" s="7" t="str">
        <f>VLOOKUP(B269,[1]characters!$A:$G,7,FALSE)</f>
        <v>女性</v>
      </c>
      <c r="O269" s="47">
        <f ca="1">IFERROR(VLOOKUP(B269,input_356010!L:R,7,FALSE),VLOOKUP(tables_356010!C269,input_356010!A:H,8,FALSE))</f>
        <v>4366.2</v>
      </c>
      <c r="P269" s="48">
        <f t="shared" ca="1" si="11"/>
        <v>2.9461538461538462E-3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input_356010!A$2</f>
        <v>356010</v>
      </c>
      <c r="B270" s="62">
        <v>732</v>
      </c>
      <c r="C270" s="7" t="str">
        <f t="shared" si="12"/>
        <v>PremiumSS5R5only</v>
      </c>
      <c r="D270" s="7" t="str">
        <f t="shared" si="13"/>
        <v>PremiumSS</v>
      </c>
      <c r="E270" s="7" t="str">
        <f>IF(COUNTIF('R6追加前'!A:A,B270)=0,IF(I270="PremiumSS","R5only","R3less"),"")</f>
        <v>R5only</v>
      </c>
      <c r="F270" s="7" t="str">
        <f>IF(COUNTIF('R6開放'!A:A,B270)&gt;0,"R6release","")</f>
        <v/>
      </c>
      <c r="G270" s="7"/>
      <c r="H270" s="7" t="str">
        <f>VLOOKUP(B270,[1]characters!$A:$C,3,FALSE)</f>
        <v>上杉謙信</v>
      </c>
      <c r="I270" s="7" t="str">
        <f>VLOOKUP(B270,[1]characters!$A:$J,10,FALSE)</f>
        <v>PremiumSS</v>
      </c>
      <c r="J270" s="7">
        <f>VLOOKUP(B270,[1]characters!$A:$I,9,FALSE)</f>
        <v>5</v>
      </c>
      <c r="K270" s="7" t="str">
        <f>VLOOKUP(B270,[1]characters!$A:$H,8,FALSE)</f>
        <v>blue</v>
      </c>
      <c r="L270" s="7" t="str">
        <f>VLOOKUP(B270,[1]characters!$A:$K,11,FALSE)</f>
        <v>attack</v>
      </c>
      <c r="M270" s="7" t="str">
        <f>VLOOKUP(B270,[1]characters!$A:$M,13,FALSE)</f>
        <v>human</v>
      </c>
      <c r="N270" s="7" t="str">
        <f>VLOOKUP(B270,[1]characters!$A:$G,7,FALSE)</f>
        <v>女性</v>
      </c>
      <c r="O270" s="47">
        <f ca="1">IFERROR(VLOOKUP(B270,input_356010!L:R,7,FALSE),VLOOKUP(tables_356010!C270,input_356010!A:H,8,FALSE))</f>
        <v>468</v>
      </c>
      <c r="P270" s="48">
        <f t="shared" ca="1" si="11"/>
        <v>3.1578947368421053E-4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input_356010!A$2</f>
        <v>356010</v>
      </c>
      <c r="B271" s="62">
        <v>734</v>
      </c>
      <c r="C271" s="7" t="str">
        <f t="shared" si="12"/>
        <v>PremiumSS5R5only</v>
      </c>
      <c r="D271" s="7" t="str">
        <f t="shared" si="13"/>
        <v>PremiumSS</v>
      </c>
      <c r="E271" s="7" t="str">
        <f>IF(COUNTIF('R6追加前'!A:A,B271)=0,IF(I271="PremiumSS","R5only","R3less"),"")</f>
        <v>R5only</v>
      </c>
      <c r="F271" s="7" t="str">
        <f>IF(COUNTIF('R6開放'!A:A,B271)&gt;0,"R6release","")</f>
        <v/>
      </c>
      <c r="G271" s="7"/>
      <c r="H271" s="7" t="str">
        <f>VLOOKUP(B271,[1]characters!$A:$C,3,FALSE)</f>
        <v>伊達政宗</v>
      </c>
      <c r="I271" s="7" t="str">
        <f>VLOOKUP(B271,[1]characters!$A:$J,10,FALSE)</f>
        <v>PremiumSS</v>
      </c>
      <c r="J271" s="7">
        <f>VLOOKUP(B271,[1]characters!$A:$I,9,FALSE)</f>
        <v>5</v>
      </c>
      <c r="K271" s="7" t="str">
        <f>VLOOKUP(B271,[1]characters!$A:$H,8,FALSE)</f>
        <v>yellow</v>
      </c>
      <c r="L271" s="7" t="str">
        <f>VLOOKUP(B271,[1]characters!$A:$K,11,FALSE)</f>
        <v>balance</v>
      </c>
      <c r="M271" s="7" t="str">
        <f>VLOOKUP(B271,[1]characters!$A:$M,13,FALSE)</f>
        <v>human</v>
      </c>
      <c r="N271" s="7" t="str">
        <f>VLOOKUP(B271,[1]characters!$A:$G,7,FALSE)</f>
        <v>男性</v>
      </c>
      <c r="O271" s="47">
        <f ca="1">IFERROR(VLOOKUP(B271,input_356010!L:R,7,FALSE),VLOOKUP(tables_356010!C271,input_356010!A:H,8,FALSE))</f>
        <v>468</v>
      </c>
      <c r="P271" s="48">
        <f t="shared" ref="P271:P283" ca="1" si="14">O271/SUM(O:O)</f>
        <v>3.1578947368421053E-4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input_356010!A$2</f>
        <v>356010</v>
      </c>
      <c r="B272" s="82">
        <v>848</v>
      </c>
      <c r="C272" s="7" t="str">
        <f t="shared" ref="C272:C283" si="15">D272&amp;J272&amp;E272&amp;F272&amp;G272</f>
        <v>PremiumSS5R5onlycolor</v>
      </c>
      <c r="D272" s="7" t="str">
        <f t="shared" ref="D272:D283" si="16">IF(I272="PremiumSS",I272,IF(I272="PremiumSSS",I272,IF(I272="PremiumW",I272,"Premium")))</f>
        <v>PremiumSS</v>
      </c>
      <c r="E272" s="7" t="str">
        <f>IF(COUNTIF('R6追加前'!A:A,B272)=0,IF(I272="PremiumSS","R5only","R3less"),"")</f>
        <v>R5only</v>
      </c>
      <c r="F272" s="7" t="str">
        <f>IF(COUNTIF('R6開放'!A:A,B272)&gt;0,"R6release","")</f>
        <v/>
      </c>
      <c r="G272" s="7" t="s">
        <v>240</v>
      </c>
      <c r="H272" s="7" t="str">
        <f>VLOOKUP(B272,[1]characters!$A:$C,3,FALSE)</f>
        <v>メタトロン</v>
      </c>
      <c r="I272" s="7" t="str">
        <f>VLOOKUP(B272,[1]characters!$A:$J,10,FALSE)</f>
        <v>PremiumSS</v>
      </c>
      <c r="J272" s="7">
        <f>VLOOKUP(B272,[1]characters!$A:$I,9,FALSE)</f>
        <v>5</v>
      </c>
      <c r="K272" s="7" t="str">
        <f>VLOOKUP(B272,[1]characters!$A:$H,8,FALSE)</f>
        <v>red</v>
      </c>
      <c r="L272" s="7" t="str">
        <f>VLOOKUP(B272,[1]characters!$A:$K,11,FALSE)</f>
        <v>balance</v>
      </c>
      <c r="M272" s="7" t="str">
        <f>VLOOKUP(B272,[1]characters!$A:$M,13,FALSE)</f>
        <v>god</v>
      </c>
      <c r="N272" s="7" t="str">
        <f>VLOOKUP(B272,[1]characters!$A:$G,7,FALSE)</f>
        <v>男性</v>
      </c>
      <c r="O272" s="47">
        <f ca="1">IFERROR(VLOOKUP(B272,input_356010!L:R,7,FALSE),VLOOKUP(tables_356010!C272,input_356010!A:H,8,FALSE))</f>
        <v>1872</v>
      </c>
      <c r="P272" s="48">
        <f t="shared" ca="1" si="14"/>
        <v>1.2631578947368421E-3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input_356010!A$2</f>
        <v>356010</v>
      </c>
      <c r="B273" s="82">
        <v>850</v>
      </c>
      <c r="C273" s="7" t="str">
        <f t="shared" si="15"/>
        <v>PremiumSS5R5onlycolor</v>
      </c>
      <c r="D273" s="7" t="str">
        <f t="shared" si="16"/>
        <v>PremiumSS</v>
      </c>
      <c r="E273" s="7" t="str">
        <f>IF(COUNTIF('R6追加前'!A:A,B273)=0,IF(I273="PremiumSS","R5only","R3less"),"")</f>
        <v>R5only</v>
      </c>
      <c r="F273" s="7" t="str">
        <f>IF(COUNTIF('R6開放'!A:A,B273)&gt;0,"R6release","")</f>
        <v/>
      </c>
      <c r="G273" s="7" t="s">
        <v>240</v>
      </c>
      <c r="H273" s="7" t="str">
        <f>VLOOKUP(B273,[1]characters!$A:$C,3,FALSE)</f>
        <v>バアル</v>
      </c>
      <c r="I273" s="7" t="str">
        <f>VLOOKUP(B273,[1]characters!$A:$J,10,FALSE)</f>
        <v>PremiumSS</v>
      </c>
      <c r="J273" s="7">
        <f>VLOOKUP(B273,[1]characters!$A:$I,9,FALSE)</f>
        <v>5</v>
      </c>
      <c r="K273" s="7" t="str">
        <f>VLOOKUP(B273,[1]characters!$A:$H,8,FALSE)</f>
        <v>green</v>
      </c>
      <c r="L273" s="7" t="str">
        <f>VLOOKUP(B273,[1]characters!$A:$K,11,FALSE)</f>
        <v>technical</v>
      </c>
      <c r="M273" s="7" t="str">
        <f>VLOOKUP(B273,[1]characters!$A:$M,13,FALSE)</f>
        <v>god</v>
      </c>
      <c r="N273" s="7" t="str">
        <f>VLOOKUP(B273,[1]characters!$A:$G,7,FALSE)</f>
        <v>男性</v>
      </c>
      <c r="O273" s="47">
        <f ca="1">IFERROR(VLOOKUP(B273,input_356010!L:R,7,FALSE),VLOOKUP(tables_356010!C273,input_356010!A:H,8,FALSE))</f>
        <v>1872</v>
      </c>
      <c r="P273" s="48">
        <f t="shared" ca="1" si="14"/>
        <v>1.2631578947368421E-3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input_356010!A$2</f>
        <v>356010</v>
      </c>
      <c r="B274" s="82">
        <v>852</v>
      </c>
      <c r="C274" s="7" t="str">
        <f t="shared" si="15"/>
        <v>Premium4R3less</v>
      </c>
      <c r="D274" s="7" t="str">
        <f t="shared" si="16"/>
        <v>Premium</v>
      </c>
      <c r="E274" s="7" t="str">
        <f>IF(COUNTIF('R6追加前'!A:A,B274)=0,IF(I274="PremiumSS","R5only","R3less"),"")</f>
        <v>R3less</v>
      </c>
      <c r="F274" s="7" t="str">
        <f>IF(COUNTIF('R6開放'!A:A,B274)&gt;0,"R6release","")</f>
        <v/>
      </c>
      <c r="G274" s="7"/>
      <c r="H274" s="7" t="str">
        <f>VLOOKUP(B274,[1]characters!$A:$C,3,FALSE)</f>
        <v>サキエル</v>
      </c>
      <c r="I274" s="7" t="str">
        <f>VLOOKUP(B274,[1]characters!$A:$J,10,FALSE)</f>
        <v>PremiumS</v>
      </c>
      <c r="J274" s="7">
        <f>VLOOKUP(B274,[1]characters!$A:$I,9,FALSE)</f>
        <v>4</v>
      </c>
      <c r="K274" s="7" t="str">
        <f>VLOOKUP(B274,[1]characters!$A:$H,8,FALSE)</f>
        <v>blue</v>
      </c>
      <c r="L274" s="7" t="str">
        <f>VLOOKUP(B274,[1]characters!$A:$K,11,FALSE)</f>
        <v>hp</v>
      </c>
      <c r="M274" s="7" t="str">
        <f>VLOOKUP(B274,[1]characters!$A:$M,13,FALSE)</f>
        <v>god</v>
      </c>
      <c r="N274" s="7" t="str">
        <f>VLOOKUP(B274,[1]characters!$A:$G,7,FALSE)</f>
        <v>男性</v>
      </c>
      <c r="O274" s="47">
        <f ca="1">IFERROR(VLOOKUP(B274,input_356010!L:R,7,FALSE),VLOOKUP(tables_356010!C274,input_356010!A:H,8,FALSE))</f>
        <v>5922.3</v>
      </c>
      <c r="P274" s="48">
        <f t="shared" ca="1" si="14"/>
        <v>3.9961538461538463E-3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input_356010!A$2</f>
        <v>356010</v>
      </c>
      <c r="B275" s="82">
        <v>853</v>
      </c>
      <c r="C275" s="7" t="str">
        <f t="shared" si="15"/>
        <v>Premium5R3less</v>
      </c>
      <c r="D275" s="7" t="str">
        <f t="shared" si="16"/>
        <v>Premium</v>
      </c>
      <c r="E275" s="7" t="str">
        <f>IF(COUNTIF('R6追加前'!A:A,B275)=0,IF(I275="PremiumSS","R5only","R3less"),"")</f>
        <v>R3less</v>
      </c>
      <c r="F275" s="7" t="str">
        <f>IF(COUNTIF('R6開放'!A:A,B275)&gt;0,"R6release","")</f>
        <v/>
      </c>
      <c r="G275" s="7"/>
      <c r="H275" s="7" t="str">
        <f>VLOOKUP(B275,[1]characters!$A:$C,3,FALSE)</f>
        <v>裂爪の天使 サキエル・ティア</v>
      </c>
      <c r="I275" s="7" t="str">
        <f>VLOOKUP(B275,[1]characters!$A:$J,10,FALSE)</f>
        <v>PremiumS</v>
      </c>
      <c r="J275" s="7">
        <f>VLOOKUP(B275,[1]characters!$A:$I,9,FALSE)</f>
        <v>5</v>
      </c>
      <c r="K275" s="7" t="str">
        <f>VLOOKUP(B275,[1]characters!$A:$H,8,FALSE)</f>
        <v>blue</v>
      </c>
      <c r="L275" s="7" t="str">
        <f>VLOOKUP(B275,[1]characters!$A:$K,11,FALSE)</f>
        <v>hp</v>
      </c>
      <c r="M275" s="7" t="str">
        <f>VLOOKUP(B275,[1]characters!$A:$M,13,FALSE)</f>
        <v>god</v>
      </c>
      <c r="N275" s="7" t="str">
        <f>VLOOKUP(B275,[1]characters!$A:$G,7,FALSE)</f>
        <v>男性</v>
      </c>
      <c r="O275" s="47">
        <f ca="1">IFERROR(VLOOKUP(B275,input_356010!L:R,7,FALSE),VLOOKUP(tables_356010!C275,input_356010!A:H,8,FALSE))</f>
        <v>1373.7</v>
      </c>
      <c r="P275" s="48">
        <f t="shared" ca="1" si="14"/>
        <v>9.2692307692307692E-4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input_356010!A$2</f>
        <v>356010</v>
      </c>
      <c r="B276" s="82">
        <v>854</v>
      </c>
      <c r="C276" s="7" t="str">
        <f t="shared" si="15"/>
        <v>Premium4R3less</v>
      </c>
      <c r="D276" s="7" t="str">
        <f t="shared" si="16"/>
        <v>Premium</v>
      </c>
      <c r="E276" s="7" t="str">
        <f>IF(COUNTIF('R6追加前'!A:A,B276)=0,IF(I276="PremiumSS","R5only","R3less"),"")</f>
        <v>R3less</v>
      </c>
      <c r="F276" s="7" t="str">
        <f>IF(COUNTIF('R6開放'!A:A,B276)&gt;0,"R6release","")</f>
        <v/>
      </c>
      <c r="G276" s="7"/>
      <c r="H276" s="7" t="str">
        <f>VLOOKUP(B276,[1]characters!$A:$C,3,FALSE)</f>
        <v>フラウロス</v>
      </c>
      <c r="I276" s="7" t="str">
        <f>VLOOKUP(B276,[1]characters!$A:$J,10,FALSE)</f>
        <v>PremiumS</v>
      </c>
      <c r="J276" s="7">
        <f>VLOOKUP(B276,[1]characters!$A:$I,9,FALSE)</f>
        <v>4</v>
      </c>
      <c r="K276" s="7" t="str">
        <f>VLOOKUP(B276,[1]characters!$A:$H,8,FALSE)</f>
        <v>yellow</v>
      </c>
      <c r="L276" s="7" t="str">
        <f>VLOOKUP(B276,[1]characters!$A:$K,11,FALSE)</f>
        <v>attack</v>
      </c>
      <c r="M276" s="7" t="str">
        <f>VLOOKUP(B276,[1]characters!$A:$M,13,FALSE)</f>
        <v>animal</v>
      </c>
      <c r="N276" s="7" t="str">
        <f>VLOOKUP(B276,[1]characters!$A:$G,7,FALSE)</f>
        <v>男性</v>
      </c>
      <c r="O276" s="47">
        <f ca="1">IFERROR(VLOOKUP(B276,input_356010!L:R,7,FALSE),VLOOKUP(tables_356010!C276,input_356010!A:H,8,FALSE))</f>
        <v>5922.3</v>
      </c>
      <c r="P276" s="48">
        <f t="shared" ca="1" si="14"/>
        <v>3.9961538461538463E-3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input_356010!A$2</f>
        <v>356010</v>
      </c>
      <c r="B277" s="82">
        <v>855</v>
      </c>
      <c r="C277" s="7" t="str">
        <f t="shared" si="15"/>
        <v>Premium5R3less</v>
      </c>
      <c r="D277" s="7" t="str">
        <f t="shared" si="16"/>
        <v>Premium</v>
      </c>
      <c r="E277" s="7" t="str">
        <f>IF(COUNTIF('R6追加前'!A:A,B277)=0,IF(I277="PremiumSS","R5only","R3less"),"")</f>
        <v>R3less</v>
      </c>
      <c r="F277" s="7" t="str">
        <f>IF(COUNTIF('R6開放'!A:A,B277)&gt;0,"R6release","")</f>
        <v/>
      </c>
      <c r="G277" s="7"/>
      <c r="H277" s="7" t="str">
        <f>VLOOKUP(B277,[1]characters!$A:$C,3,FALSE)</f>
        <v>豹魔の侠客 フラウロス</v>
      </c>
      <c r="I277" s="7" t="str">
        <f>VLOOKUP(B277,[1]characters!$A:$J,10,FALSE)</f>
        <v>PremiumS</v>
      </c>
      <c r="J277" s="7">
        <f>VLOOKUP(B277,[1]characters!$A:$I,9,FALSE)</f>
        <v>5</v>
      </c>
      <c r="K277" s="7" t="str">
        <f>VLOOKUP(B277,[1]characters!$A:$H,8,FALSE)</f>
        <v>yellow</v>
      </c>
      <c r="L277" s="7" t="str">
        <f>VLOOKUP(B277,[1]characters!$A:$K,11,FALSE)</f>
        <v>attack</v>
      </c>
      <c r="M277" s="7" t="str">
        <f>VLOOKUP(B277,[1]characters!$A:$M,13,FALSE)</f>
        <v>animal</v>
      </c>
      <c r="N277" s="7" t="str">
        <f>VLOOKUP(B277,[1]characters!$A:$G,7,FALSE)</f>
        <v>男性</v>
      </c>
      <c r="O277" s="47">
        <f ca="1">IFERROR(VLOOKUP(B277,input_356010!L:R,7,FALSE),VLOOKUP(tables_356010!C277,input_356010!A:H,8,FALSE))</f>
        <v>1373.7</v>
      </c>
      <c r="P277" s="48">
        <f t="shared" ca="1" si="14"/>
        <v>9.2692307692307692E-4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input_356010!A$2</f>
        <v>356010</v>
      </c>
      <c r="B278" s="82">
        <v>862</v>
      </c>
      <c r="C278" s="7" t="str">
        <f t="shared" si="15"/>
        <v>Premium4R3lesscolor</v>
      </c>
      <c r="D278" s="7" t="str">
        <f t="shared" si="16"/>
        <v>Premium</v>
      </c>
      <c r="E278" s="7" t="str">
        <f>IF(COUNTIF('R6追加前'!A:A,B278)=0,IF(I278="PremiumSS","R5only","R3less"),"")</f>
        <v>R3less</v>
      </c>
      <c r="F278" s="7" t="str">
        <f>IF(COUNTIF('R6開放'!A:A,B278)&gt;0,"R6release","")</f>
        <v/>
      </c>
      <c r="G278" s="7" t="s">
        <v>240</v>
      </c>
      <c r="H278" s="7" t="str">
        <f>VLOOKUP(B278,[1]characters!$A:$C,3,FALSE)</f>
        <v>ブレーメン</v>
      </c>
      <c r="I278" s="7" t="str">
        <f>VLOOKUP(B278,[1]characters!$A:$J,10,FALSE)</f>
        <v>PremiumS</v>
      </c>
      <c r="J278" s="7">
        <f>VLOOKUP(B278,[1]characters!$A:$I,9,FALSE)</f>
        <v>4</v>
      </c>
      <c r="K278" s="7" t="str">
        <f>VLOOKUP(B278,[1]characters!$A:$H,8,FALSE)</f>
        <v>red</v>
      </c>
      <c r="L278" s="7" t="str">
        <f>VLOOKUP(B278,[1]characters!$A:$K,11,FALSE)</f>
        <v>balance</v>
      </c>
      <c r="M278" s="7" t="str">
        <f>VLOOKUP(B278,[1]characters!$A:$M,13,FALSE)</f>
        <v>animal</v>
      </c>
      <c r="N278" s="7" t="str">
        <f>VLOOKUP(B278,[1]characters!$A:$G,7,FALSE)</f>
        <v>男性</v>
      </c>
      <c r="O278" s="47">
        <f ca="1">IFERROR(VLOOKUP(B278,input_356010!L:R,7,FALSE),VLOOKUP(tables_356010!C278,input_356010!A:H,8,FALSE))</f>
        <v>24817.8</v>
      </c>
      <c r="P278" s="48">
        <f t="shared" ca="1" si="14"/>
        <v>1.6746153846153845E-2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input_356010!A$2</f>
        <v>356010</v>
      </c>
      <c r="B279" s="82">
        <v>863</v>
      </c>
      <c r="C279" s="7" t="str">
        <f t="shared" si="15"/>
        <v>Premium5R3lesscolor</v>
      </c>
      <c r="D279" s="7" t="str">
        <f t="shared" si="16"/>
        <v>Premium</v>
      </c>
      <c r="E279" s="7" t="str">
        <f>IF(COUNTIF('R6追加前'!A:A,B279)=0,IF(I279="PremiumSS","R5only","R3less"),"")</f>
        <v>R3less</v>
      </c>
      <c r="F279" s="7" t="str">
        <f>IF(COUNTIF('R6開放'!A:A,B279)&gt;0,"R6release","")</f>
        <v/>
      </c>
      <c r="G279" s="7" t="s">
        <v>240</v>
      </c>
      <c r="H279" s="7" t="str">
        <f>VLOOKUP(B279,[1]characters!$A:$C,3,FALSE)</f>
        <v>歓揮の楽団長 ブレーメン</v>
      </c>
      <c r="I279" s="7" t="str">
        <f>VLOOKUP(B279,[1]characters!$A:$J,10,FALSE)</f>
        <v>PremiumS</v>
      </c>
      <c r="J279" s="7">
        <f>VLOOKUP(B279,[1]characters!$A:$I,9,FALSE)</f>
        <v>5</v>
      </c>
      <c r="K279" s="7" t="str">
        <f>VLOOKUP(B279,[1]characters!$A:$H,8,FALSE)</f>
        <v>red</v>
      </c>
      <c r="L279" s="7" t="str">
        <f>VLOOKUP(B279,[1]characters!$A:$K,11,FALSE)</f>
        <v>balance</v>
      </c>
      <c r="M279" s="7" t="str">
        <f>VLOOKUP(B279,[1]characters!$A:$M,13,FALSE)</f>
        <v>animal</v>
      </c>
      <c r="N279" s="7" t="str">
        <f>VLOOKUP(B279,[1]characters!$A:$G,7,FALSE)</f>
        <v>男性</v>
      </c>
      <c r="O279" s="47">
        <f ca="1">IFERROR(VLOOKUP(B279,input_356010!L:R,7,FALSE),VLOOKUP(tables_356010!C279,input_356010!A:H,8,FALSE))</f>
        <v>4366.2</v>
      </c>
      <c r="P279" s="48">
        <f t="shared" ca="1" si="14"/>
        <v>2.9461538461538462E-3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input_356010!A$2</f>
        <v>356010</v>
      </c>
      <c r="B280" s="82">
        <v>864</v>
      </c>
      <c r="C280" s="7" t="str">
        <f t="shared" si="15"/>
        <v>Premium4R3lesscolor</v>
      </c>
      <c r="D280" s="7" t="str">
        <f t="shared" si="16"/>
        <v>Premium</v>
      </c>
      <c r="E280" s="7" t="str">
        <f>IF(COUNTIF('R6追加前'!A:A,B280)=0,IF(I280="PremiumSS","R5only","R3less"),"")</f>
        <v>R3less</v>
      </c>
      <c r="F280" s="7" t="str">
        <f>IF(COUNTIF('R6開放'!A:A,B280)&gt;0,"R6release","")</f>
        <v/>
      </c>
      <c r="G280" s="7" t="s">
        <v>240</v>
      </c>
      <c r="H280" s="7" t="str">
        <f>VLOOKUP(B280,[1]characters!$A:$C,3,FALSE)</f>
        <v>ピノキオ</v>
      </c>
      <c r="I280" s="7" t="str">
        <f>VLOOKUP(B280,[1]characters!$A:$J,10,FALSE)</f>
        <v>PremiumS</v>
      </c>
      <c r="J280" s="7">
        <f>VLOOKUP(B280,[1]characters!$A:$I,9,FALSE)</f>
        <v>4</v>
      </c>
      <c r="K280" s="7" t="str">
        <f>VLOOKUP(B280,[1]characters!$A:$H,8,FALSE)</f>
        <v>green</v>
      </c>
      <c r="L280" s="7" t="str">
        <f>VLOOKUP(B280,[1]characters!$A:$K,11,FALSE)</f>
        <v>attack</v>
      </c>
      <c r="M280" s="7" t="str">
        <f>VLOOKUP(B280,[1]characters!$A:$M,13,FALSE)</f>
        <v>machine</v>
      </c>
      <c r="N280" s="7" t="str">
        <f>VLOOKUP(B280,[1]characters!$A:$G,7,FALSE)</f>
        <v>男性</v>
      </c>
      <c r="O280" s="47">
        <f ca="1">IFERROR(VLOOKUP(B280,input_356010!L:R,7,FALSE),VLOOKUP(tables_356010!C280,input_356010!A:H,8,FALSE))</f>
        <v>24817.8</v>
      </c>
      <c r="P280" s="48">
        <f t="shared" ca="1" si="14"/>
        <v>1.6746153846153845E-2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input_356010!A$2</f>
        <v>356010</v>
      </c>
      <c r="B281" s="82">
        <v>865</v>
      </c>
      <c r="C281" s="7" t="str">
        <f t="shared" si="15"/>
        <v>Premium5R3lesscolor</v>
      </c>
      <c r="D281" s="7" t="str">
        <f t="shared" si="16"/>
        <v>Premium</v>
      </c>
      <c r="E281" s="7" t="str">
        <f>IF(COUNTIF('R6追加前'!A:A,B281)=0,IF(I281="PremiumSS","R5only","R3less"),"")</f>
        <v>R3less</v>
      </c>
      <c r="F281" s="7" t="str">
        <f>IF(COUNTIF('R6開放'!A:A,B281)&gt;0,"R6release","")</f>
        <v/>
      </c>
      <c r="G281" s="7" t="s">
        <v>240</v>
      </c>
      <c r="H281" s="7" t="str">
        <f>VLOOKUP(B281,[1]characters!$A:$C,3,FALSE)</f>
        <v>無情の感線 ピノキオ</v>
      </c>
      <c r="I281" s="7" t="str">
        <f>VLOOKUP(B281,[1]characters!$A:$J,10,FALSE)</f>
        <v>PremiumS</v>
      </c>
      <c r="J281" s="7">
        <f>VLOOKUP(B281,[1]characters!$A:$I,9,FALSE)</f>
        <v>5</v>
      </c>
      <c r="K281" s="7" t="str">
        <f>VLOOKUP(B281,[1]characters!$A:$H,8,FALSE)</f>
        <v>green</v>
      </c>
      <c r="L281" s="7" t="str">
        <f>VLOOKUP(B281,[1]characters!$A:$K,11,FALSE)</f>
        <v>attack</v>
      </c>
      <c r="M281" s="7" t="str">
        <f>VLOOKUP(B281,[1]characters!$A:$M,13,FALSE)</f>
        <v>machine</v>
      </c>
      <c r="N281" s="7" t="str">
        <f>VLOOKUP(B281,[1]characters!$A:$G,7,FALSE)</f>
        <v>男性</v>
      </c>
      <c r="O281" s="47">
        <f ca="1">IFERROR(VLOOKUP(B281,input_356010!L:R,7,FALSE),VLOOKUP(tables_356010!C281,input_356010!A:H,8,FALSE))</f>
        <v>4366.2</v>
      </c>
      <c r="P281" s="48">
        <f t="shared" ca="1" si="14"/>
        <v>2.9461538461538462E-3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input_356010!A$2</f>
        <v>356010</v>
      </c>
      <c r="B282" s="82">
        <v>866</v>
      </c>
      <c r="C282" s="7" t="str">
        <f t="shared" si="15"/>
        <v>PremiumSS5R5only</v>
      </c>
      <c r="D282" s="7" t="str">
        <f t="shared" si="16"/>
        <v>PremiumSS</v>
      </c>
      <c r="E282" s="7" t="str">
        <f>IF(COUNTIF('R6追加前'!A:A,B282)=0,IF(I282="PremiumSS","R5only","R3less"),"")</f>
        <v>R5only</v>
      </c>
      <c r="F282" s="7" t="str">
        <f>IF(COUNTIF('R6開放'!A:A,B282)&gt;0,"R6release","")</f>
        <v/>
      </c>
      <c r="G282" s="7"/>
      <c r="H282" s="7" t="str">
        <f>VLOOKUP(B282,[1]characters!$A:$C,3,FALSE)</f>
        <v>無敗の司令姫 白雪姫</v>
      </c>
      <c r="I282" s="7" t="str">
        <f>VLOOKUP(B282,[1]characters!$A:$J,10,FALSE)</f>
        <v>PremiumSS</v>
      </c>
      <c r="J282" s="7">
        <f>VLOOKUP(B282,[1]characters!$A:$I,9,FALSE)</f>
        <v>5</v>
      </c>
      <c r="K282" s="7" t="str">
        <f>VLOOKUP(B282,[1]characters!$A:$H,8,FALSE)</f>
        <v>blue</v>
      </c>
      <c r="L282" s="7" t="str">
        <f>VLOOKUP(B282,[1]characters!$A:$K,11,FALSE)</f>
        <v>balance</v>
      </c>
      <c r="M282" s="7" t="str">
        <f>VLOOKUP(B282,[1]characters!$A:$M,13,FALSE)</f>
        <v>human</v>
      </c>
      <c r="N282" s="7" t="str">
        <f>VLOOKUP(B282,[1]characters!$A:$G,7,FALSE)</f>
        <v>男性</v>
      </c>
      <c r="O282" s="47">
        <f ca="1">IFERROR(VLOOKUP(B282,input_356010!L:R,7,FALSE),VLOOKUP(tables_356010!C282,input_356010!A:H,8,FALSE))</f>
        <v>468</v>
      </c>
      <c r="P282" s="48">
        <f t="shared" ca="1" si="14"/>
        <v>3.1578947368421053E-4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input_356010!A$2</f>
        <v>356010</v>
      </c>
      <c r="B283" s="82">
        <v>868</v>
      </c>
      <c r="C283" s="7" t="str">
        <f t="shared" si="15"/>
        <v>PremiumSS5R5only</v>
      </c>
      <c r="D283" s="7" t="str">
        <f t="shared" si="16"/>
        <v>PremiumSS</v>
      </c>
      <c r="E283" s="7" t="str">
        <f>IF(COUNTIF('R6追加前'!A:A,B283)=0,IF(I283="PremiumSS","R5only","R3less"),"")</f>
        <v>R5only</v>
      </c>
      <c r="F283" s="7" t="str">
        <f>IF(COUNTIF('R6開放'!A:A,B283)&gt;0,"R6release","")</f>
        <v/>
      </c>
      <c r="G283" s="7"/>
      <c r="H283" s="7" t="str">
        <f>VLOOKUP(B283,[1]characters!$A:$C,3,FALSE)</f>
        <v>アラジンと殲滅機兵LAMP</v>
      </c>
      <c r="I283" s="7" t="str">
        <f>VLOOKUP(B283,[1]characters!$A:$J,10,FALSE)</f>
        <v>PremiumSS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human</v>
      </c>
      <c r="N283" s="7" t="str">
        <f>VLOOKUP(B283,[1]characters!$A:$G,7,FALSE)</f>
        <v>男性</v>
      </c>
      <c r="O283" s="47">
        <f ca="1">IFERROR(VLOOKUP(B283,input_356010!L:R,7,FALSE),VLOOKUP(tables_356010!C283,input_356010!A:H,8,FALSE))</f>
        <v>468</v>
      </c>
      <c r="P283" s="48">
        <f t="shared" ca="1" si="14"/>
        <v>3.1578947368421053E-4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input_356010!A$2</f>
        <v>356010</v>
      </c>
      <c r="B284" s="82">
        <v>486</v>
      </c>
      <c r="C284" s="7" t="str">
        <f t="shared" ref="C284:C285" si="17">D284&amp;J284&amp;E284&amp;F284&amp;G284</f>
        <v>PremiumSSS5R3lesscolor</v>
      </c>
      <c r="D284" s="7" t="str">
        <f t="shared" ref="D284:D285" si="18">IF(I284="PremiumSS",I284,IF(I284="PremiumSSS",I284,IF(I284="PremiumW",I284,"Premium")))</f>
        <v>PremiumSSS</v>
      </c>
      <c r="E284" s="7" t="str">
        <f>IF(COUNTIF('R6追加前'!A:A,B284)=0,IF(I284="PremiumSS","R5only","R3less"),"")</f>
        <v>R3less</v>
      </c>
      <c r="F284" s="7" t="str">
        <f>IF(COUNTIF('R6開放'!A:A,B284)&gt;0,"R6release","")</f>
        <v/>
      </c>
      <c r="G284" s="7" t="s">
        <v>240</v>
      </c>
      <c r="H284" s="7" t="str">
        <f>VLOOKUP(B284,[1]characters!$A:$C,3,FALSE)</f>
        <v>重なる世解 シュレディンガー</v>
      </c>
      <c r="I284" s="7" t="str">
        <f>VLOOKUP(B284,[1]characters!$A:$J,10,FALSE)</f>
        <v>PremiumSSS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balance</v>
      </c>
      <c r="M284" s="7" t="str">
        <f>VLOOKUP(B284,[1]characters!$A:$M,13,FALSE)</f>
        <v>animal</v>
      </c>
      <c r="N284" s="7" t="str">
        <f>VLOOKUP(B284,[1]characters!$A:$G,7,FALSE)</f>
        <v>男性</v>
      </c>
      <c r="O284" s="47">
        <f ca="1">IFERROR(VLOOKUP(B284,input_356010!L:R,7,FALSE),VLOOKUP(tables_356010!C284,input_356010!A:H,8,FALSE))</f>
        <v>7410</v>
      </c>
      <c r="P284" s="48">
        <f t="shared" ref="P284:P285" ca="1" si="19">O284/SUM(O:O)</f>
        <v>5.0000000000000001E-3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input_356010!A$2</f>
        <v>356010</v>
      </c>
      <c r="B285" s="82">
        <v>487</v>
      </c>
      <c r="C285" s="7" t="str">
        <f t="shared" si="17"/>
        <v>PremiumSSS5R3lesscolor</v>
      </c>
      <c r="D285" s="7" t="str">
        <f t="shared" si="18"/>
        <v>PremiumSSS</v>
      </c>
      <c r="E285" s="7" t="str">
        <f>IF(COUNTIF('R6追加前'!A:A,B285)=0,IF(I285="PremiumSS","R5only","R3less"),"")</f>
        <v>R3less</v>
      </c>
      <c r="F285" s="7" t="str">
        <f>IF(COUNTIF('R6開放'!A:A,B285)&gt;0,"R6release","")</f>
        <v/>
      </c>
      <c r="G285" s="7" t="s">
        <v>240</v>
      </c>
      <c r="H285" s="7" t="str">
        <f>VLOOKUP(B285,[1]characters!$A:$C,3,FALSE)</f>
        <v>暴創の造物 チューリング</v>
      </c>
      <c r="I285" s="7" t="str">
        <f>VLOOKUP(B285,[1]characters!$A:$J,10,FALSE)</f>
        <v>PremiumSSS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hp</v>
      </c>
      <c r="M285" s="7" t="str">
        <f>VLOOKUP(B285,[1]characters!$A:$M,13,FALSE)</f>
        <v>human</v>
      </c>
      <c r="N285" s="7" t="str">
        <f>VLOOKUP(B285,[1]characters!$A:$G,7,FALSE)</f>
        <v>女性</v>
      </c>
      <c r="O285" s="47">
        <f ca="1">IFERROR(VLOOKUP(B285,input_356010!L:R,7,FALSE),VLOOKUP(tables_356010!C285,input_356010!A:H,8,FALSE))</f>
        <v>7410</v>
      </c>
      <c r="P285" s="48">
        <f t="shared" ca="1" si="19"/>
        <v>5.0000000000000001E-3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</sheetData>
  <autoFilter ref="A1:V285"/>
  <sortState ref="A2:Y189">
    <sortCondition ref="A2:A189"/>
  </sortState>
  <phoneticPr fontId="17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theme="5"/>
  </sheetPr>
  <dimension ref="A1:V63"/>
  <sheetViews>
    <sheetView tabSelected="1" workbookViewId="0">
      <selection activeCell="G13" sqref="G13"/>
    </sheetView>
  </sheetViews>
  <sheetFormatPr baseColWidth="12" defaultRowHeight="14" x14ac:dyDescent="0.15"/>
  <cols>
    <col min="1" max="1" width="24.19921875" bestFit="1" customWidth="1"/>
    <col min="2" max="2" width="21.19921875" bestFit="1" customWidth="1"/>
  </cols>
  <sheetData>
    <row r="1" spans="1:22" x14ac:dyDescent="0.15">
      <c r="A1" s="50" t="s">
        <v>86</v>
      </c>
      <c r="B1" s="50"/>
      <c r="L1" s="40" t="s">
        <v>64</v>
      </c>
      <c r="M1" s="40"/>
      <c r="U1" t="s">
        <v>64</v>
      </c>
    </row>
    <row r="2" spans="1:22" x14ac:dyDescent="0.15">
      <c r="A2" t="str">
        <f ca="1">RIGHT(RIGHT(CELL("filename",A2),LEN(CELL("filename",A2))-FIND("]",CELL("filename",A2))),6)</f>
        <v>356100</v>
      </c>
      <c r="L2" s="34" t="s">
        <v>1</v>
      </c>
      <c r="M2" s="39" t="s">
        <v>68</v>
      </c>
      <c r="N2" s="34" t="s">
        <v>66</v>
      </c>
      <c r="O2" s="39" t="s">
        <v>69</v>
      </c>
      <c r="P2" s="39" t="s">
        <v>70</v>
      </c>
      <c r="Q2" s="39" t="s">
        <v>67</v>
      </c>
      <c r="R2" s="46" t="s">
        <v>76</v>
      </c>
      <c r="U2" s="34" t="s">
        <v>198</v>
      </c>
      <c r="V2" s="56">
        <f>SUMIF(Q:Q,U2,N:N)</f>
        <v>0</v>
      </c>
    </row>
    <row r="3" spans="1:22" x14ac:dyDescent="0.15">
      <c r="H3" s="76" t="s">
        <v>219</v>
      </c>
      <c r="M3" s="39" t="e">
        <f>VLOOKUP(L3,[1]characters!$A:$C,3,FALSE)</f>
        <v>#N/A</v>
      </c>
      <c r="N3" s="65"/>
      <c r="O3" s="39" t="e">
        <f>VLOOKUP(L3,[1]characters!$A:$I,9,FALSE)</f>
        <v>#N/A</v>
      </c>
      <c r="P3" s="39" t="e">
        <f>VLOOKUP(L3,[1]characters!$A:$J,10,FALSE)</f>
        <v>#N/A</v>
      </c>
      <c r="Q3" s="39" t="e">
        <f>VLOOKUP(L3,tables_356100!B:C,2,FALSE)</f>
        <v>#N/A</v>
      </c>
      <c r="R3" s="64">
        <f>N3*A$51</f>
        <v>0</v>
      </c>
      <c r="U3" s="34" t="s">
        <v>199</v>
      </c>
      <c r="V3" s="56">
        <f>SUMIF(Q:Q,U3,N:N)</f>
        <v>0</v>
      </c>
    </row>
    <row r="4" spans="1:22" x14ac:dyDescent="0.15">
      <c r="A4" s="36" t="s">
        <v>55</v>
      </c>
      <c r="B4" s="36"/>
      <c r="D4" t="s">
        <v>207</v>
      </c>
      <c r="F4" t="s">
        <v>210</v>
      </c>
      <c r="H4" t="s">
        <v>217</v>
      </c>
      <c r="I4" t="s">
        <v>218</v>
      </c>
      <c r="M4" s="39" t="e">
        <f>VLOOKUP(L4,[1]characters!$A:$C,3,FALSE)</f>
        <v>#N/A</v>
      </c>
      <c r="N4" s="65"/>
      <c r="O4" s="39" t="e">
        <f>VLOOKUP(L4,[1]characters!$A:$I,9,FALSE)</f>
        <v>#N/A</v>
      </c>
      <c r="P4" s="39" t="e">
        <f>VLOOKUP(L4,[1]characters!$A:$J,10,FALSE)</f>
        <v>#N/A</v>
      </c>
      <c r="Q4" s="39" t="e">
        <f>VLOOKUP(L4,tables_356100!B:C,2,FALSE)</f>
        <v>#N/A</v>
      </c>
      <c r="R4" s="64">
        <f>N4*A$51</f>
        <v>0</v>
      </c>
      <c r="U4" s="34" t="s">
        <v>102</v>
      </c>
      <c r="V4" s="56">
        <f>SUMIF(Q:Q,U4,N:N)</f>
        <v>0</v>
      </c>
    </row>
    <row r="5" spans="1:22" x14ac:dyDescent="0.15">
      <c r="A5" s="34" t="s">
        <v>71</v>
      </c>
      <c r="B5" s="75">
        <v>0</v>
      </c>
      <c r="D5" t="s">
        <v>208</v>
      </c>
      <c r="E5" s="45">
        <f>(B11-H5)*0.2/(F5-I5)</f>
        <v>3.1578947368421053E-4</v>
      </c>
      <c r="F5">
        <f>(COUNTIF(tables_356100!C:C,input_356100!A26)+COUNTIF(tables_356100!C:C,input_356100!A28)+COUNTIF(tables_356100!C:C,input_356100!A29))</f>
        <v>19</v>
      </c>
      <c r="H5" s="77">
        <v>0</v>
      </c>
      <c r="I5" s="31">
        <v>0</v>
      </c>
      <c r="M5" s="39" t="e">
        <f>VLOOKUP(L5,[1]characters!$A:$C,3,FALSE)</f>
        <v>#N/A</v>
      </c>
      <c r="N5" s="65"/>
      <c r="O5" s="39" t="e">
        <f>VLOOKUP(L5,[1]characters!$A:$I,9,FALSE)</f>
        <v>#N/A</v>
      </c>
      <c r="P5" s="39" t="e">
        <f>VLOOKUP(L5,[1]characters!$A:$J,10,FALSE)</f>
        <v>#N/A</v>
      </c>
      <c r="Q5" s="39" t="e">
        <f>VLOOKUP(L5,tables_356100!B:C,2,FALSE)</f>
        <v>#N/A</v>
      </c>
      <c r="R5" s="64">
        <f>N5*A$51</f>
        <v>0</v>
      </c>
      <c r="U5" s="34" t="s">
        <v>103</v>
      </c>
      <c r="V5" s="56">
        <f>SUMIF(Q:Q,U5,N:N)</f>
        <v>0</v>
      </c>
    </row>
    <row r="6" spans="1:22" x14ac:dyDescent="0.15">
      <c r="A6" s="34" t="s">
        <v>72</v>
      </c>
      <c r="B6" s="75">
        <v>0.95</v>
      </c>
      <c r="D6" t="s">
        <v>241</v>
      </c>
      <c r="E6" s="45">
        <f>(B11-H5)*0.8/(F6-I5)</f>
        <v>1.2631578947368421E-3</v>
      </c>
      <c r="F6">
        <f>(COUNTIF(tables_356100!C:C,input_356100!A41)+COUNTIF(tables_356100!C:C,input_356100!A43)+COUNTIF(tables_356100!C:C,input_356100!A44))</f>
        <v>19</v>
      </c>
      <c r="H6" s="77">
        <v>0</v>
      </c>
      <c r="I6" s="31">
        <v>0</v>
      </c>
      <c r="M6" s="39" t="e">
        <f>VLOOKUP(L6,[1]characters!$A:$C,3,FALSE)</f>
        <v>#N/A</v>
      </c>
      <c r="N6" s="65"/>
      <c r="O6" s="39" t="e">
        <f>VLOOKUP(L6,[1]characters!$A:$I,9,FALSE)</f>
        <v>#N/A</v>
      </c>
      <c r="P6" s="39" t="e">
        <f>VLOOKUP(L6,[1]characters!$A:$J,10,FALSE)</f>
        <v>#N/A</v>
      </c>
      <c r="Q6" s="39" t="e">
        <f>VLOOKUP(L6,tables_356100!B:C,2,FALSE)</f>
        <v>#N/A</v>
      </c>
      <c r="R6" s="64">
        <f>N6*A$51</f>
        <v>0</v>
      </c>
      <c r="U6" s="34" t="s">
        <v>104</v>
      </c>
      <c r="V6" s="56">
        <f>SUMIF(Q:Q,U6,N:N)</f>
        <v>0</v>
      </c>
    </row>
    <row r="7" spans="1:22" x14ac:dyDescent="0.15">
      <c r="A7" s="34" t="s">
        <v>73</v>
      </c>
      <c r="B7" s="75">
        <v>0.05</v>
      </c>
      <c r="D7" t="s">
        <v>209</v>
      </c>
      <c r="E7" s="81">
        <f>(B10-H6)*0.2/(F7-I6)</f>
        <v>4.9230769230769232E-3</v>
      </c>
      <c r="F7">
        <f>(COUNTIF(tables_356100!C:C,input_356100!A18)+COUNTIF(tables_356100!C:C,input_356100!A20)+COUNTIF(tables_356100!C:C,input_356100!A22))</f>
        <v>39</v>
      </c>
      <c r="M7" s="39"/>
      <c r="N7" s="65"/>
      <c r="O7" s="39"/>
      <c r="P7" s="39"/>
      <c r="Q7" s="39"/>
      <c r="R7" s="64"/>
      <c r="U7" s="34"/>
      <c r="V7" s="56"/>
    </row>
    <row r="8" spans="1:22" x14ac:dyDescent="0.15">
      <c r="A8" s="59"/>
      <c r="B8" s="74"/>
      <c r="D8" t="s">
        <v>242</v>
      </c>
      <c r="E8" s="81">
        <f>(B10-H6)*0.8/(F8-I6)</f>
        <v>1.9692307692307693E-2</v>
      </c>
      <c r="F8">
        <f>(COUNTIF(tables_356100!C:C,input_356100!A33)+COUNTIF(tables_356100!C:C,input_356100!A35)+COUNTIF(tables_356100!C:C,input_356100!A37))</f>
        <v>39</v>
      </c>
      <c r="M8" s="39"/>
      <c r="N8" s="65"/>
      <c r="O8" s="39"/>
      <c r="P8" s="39"/>
      <c r="Q8" s="39"/>
      <c r="R8" s="64"/>
      <c r="U8" s="34"/>
      <c r="V8" s="56"/>
    </row>
    <row r="9" spans="1:22" x14ac:dyDescent="0.15">
      <c r="A9" s="37" t="s">
        <v>56</v>
      </c>
      <c r="B9" s="37"/>
      <c r="M9" s="39"/>
      <c r="N9" s="65"/>
      <c r="O9" s="39"/>
      <c r="P9" s="39"/>
      <c r="Q9" s="39"/>
      <c r="R9" s="64"/>
      <c r="U9" s="34"/>
      <c r="V9" s="56"/>
    </row>
    <row r="10" spans="1:22" x14ac:dyDescent="0.15">
      <c r="A10" s="34" t="s">
        <v>101</v>
      </c>
      <c r="B10" s="75">
        <f>1-B11-B12-B8</f>
        <v>0.96</v>
      </c>
      <c r="C10" t="s">
        <v>216</v>
      </c>
      <c r="M10" s="39"/>
      <c r="N10" s="65"/>
      <c r="O10" s="39"/>
      <c r="P10" s="39"/>
      <c r="Q10" s="39"/>
      <c r="R10" s="64"/>
      <c r="U10" s="34"/>
      <c r="V10" s="56"/>
    </row>
    <row r="11" spans="1:22" x14ac:dyDescent="0.15">
      <c r="A11" s="34" t="s">
        <v>58</v>
      </c>
      <c r="B11" s="75">
        <v>0.03</v>
      </c>
      <c r="M11" s="39"/>
      <c r="N11" s="65"/>
      <c r="O11" s="39"/>
      <c r="P11" s="39"/>
      <c r="Q11" s="39"/>
      <c r="R11" s="64"/>
      <c r="U11" s="34"/>
      <c r="V11" s="56"/>
    </row>
    <row r="12" spans="1:22" x14ac:dyDescent="0.15">
      <c r="A12" s="34" t="s">
        <v>57</v>
      </c>
      <c r="B12" s="35">
        <v>0.01</v>
      </c>
      <c r="M12" s="39"/>
      <c r="N12" s="65"/>
      <c r="O12" s="39"/>
      <c r="P12" s="39"/>
      <c r="Q12" s="39"/>
      <c r="R12" s="64"/>
      <c r="U12" s="34"/>
      <c r="V12" s="56"/>
    </row>
    <row r="13" spans="1:22" x14ac:dyDescent="0.15">
      <c r="M13" s="39"/>
      <c r="N13" s="65"/>
      <c r="O13" s="39"/>
      <c r="P13" s="39"/>
      <c r="Q13" s="39"/>
      <c r="R13" s="64"/>
      <c r="U13" s="34"/>
      <c r="V13" s="56"/>
    </row>
    <row r="14" spans="1:22" x14ac:dyDescent="0.15">
      <c r="M14" s="39"/>
      <c r="N14" s="65"/>
      <c r="O14" s="39"/>
      <c r="P14" s="39"/>
      <c r="Q14" s="39"/>
      <c r="R14" s="64"/>
      <c r="U14" s="34"/>
      <c r="V14" s="56"/>
    </row>
    <row r="15" spans="1:22" x14ac:dyDescent="0.15">
      <c r="A15" s="38" t="s">
        <v>60</v>
      </c>
      <c r="B15" s="38"/>
      <c r="C15" t="s">
        <v>87</v>
      </c>
      <c r="M15" s="39"/>
      <c r="N15" s="65"/>
      <c r="O15" s="39"/>
      <c r="P15" s="39"/>
      <c r="Q15" s="39"/>
      <c r="R15" s="64"/>
      <c r="U15" s="34"/>
      <c r="V15" s="56"/>
    </row>
    <row r="16" spans="1:22" x14ac:dyDescent="0.15">
      <c r="A16" s="34" t="s">
        <v>63</v>
      </c>
      <c r="B16" s="34" t="s">
        <v>200</v>
      </c>
      <c r="C16" s="39" t="s">
        <v>64</v>
      </c>
      <c r="D16" s="39" t="s">
        <v>65</v>
      </c>
      <c r="E16" t="s">
        <v>75</v>
      </c>
      <c r="F16" t="s">
        <v>74</v>
      </c>
      <c r="G16" t="s">
        <v>77</v>
      </c>
      <c r="H16" t="s">
        <v>220</v>
      </c>
      <c r="I16" t="s">
        <v>78</v>
      </c>
      <c r="J16" t="s">
        <v>81</v>
      </c>
      <c r="M16" s="39"/>
      <c r="N16" s="65"/>
      <c r="O16" s="39"/>
      <c r="P16" s="39"/>
      <c r="Q16" s="39"/>
      <c r="R16" s="64"/>
      <c r="U16" s="34"/>
      <c r="V16" s="56"/>
    </row>
    <row r="17" spans="1:18" x14ac:dyDescent="0.15">
      <c r="A17" s="34" t="s">
        <v>198</v>
      </c>
      <c r="B17" s="72">
        <f>B$5*0.2-B19-B24</f>
        <v>0</v>
      </c>
      <c r="C17" s="78">
        <f>SUMIF(Q:Q,A17,N:N)</f>
        <v>0</v>
      </c>
      <c r="D17" s="79">
        <f t="shared" ref="D17:D47" si="0">B17-C17</f>
        <v>0</v>
      </c>
      <c r="E17">
        <f>COUNTIF(tables_356100!C:C,input_356100!A17)-COUNTIF(Q:Q,A17)</f>
        <v>10</v>
      </c>
      <c r="F17" s="45">
        <f>IFERROR(B17/E17,0)</f>
        <v>0</v>
      </c>
      <c r="G17">
        <f>A$51*B17</f>
        <v>0</v>
      </c>
      <c r="H17">
        <f t="shared" ref="H17:H46" si="1">IFERROR(ROUND(G17/E17,5),0)</f>
        <v>0</v>
      </c>
      <c r="I17">
        <f t="shared" ref="I17:I46" si="2">MOD(H17,1)</f>
        <v>0</v>
      </c>
      <c r="J17">
        <f t="shared" ref="J17:J46" si="3">IFERROR(1/I17,1)</f>
        <v>1</v>
      </c>
      <c r="M17" s="39"/>
      <c r="N17" s="65"/>
      <c r="O17" s="39"/>
      <c r="P17" s="39"/>
      <c r="Q17" s="39"/>
      <c r="R17" s="64"/>
    </row>
    <row r="18" spans="1:18" x14ac:dyDescent="0.15">
      <c r="A18" s="34" t="s">
        <v>199</v>
      </c>
      <c r="B18" s="58">
        <f>E$7*E18-B17</f>
        <v>4.9230769230769231E-2</v>
      </c>
      <c r="C18" s="78">
        <f>SUMIF(Q:Q,A18,N:N)</f>
        <v>0</v>
      </c>
      <c r="D18" s="79">
        <f t="shared" si="0"/>
        <v>4.9230769230769231E-2</v>
      </c>
      <c r="E18">
        <f>COUNTIF(tables_356100!C:C,input_356100!A18)-COUNTIF(Q:Q,A18)</f>
        <v>10</v>
      </c>
      <c r="F18" s="45">
        <f t="shared" ref="F18:F31" si="4">IFERROR(B18/E18,0)</f>
        <v>4.9230769230769232E-3</v>
      </c>
      <c r="G18">
        <f t="shared" ref="G18:G31" si="5">A$51*B18</f>
        <v>72960</v>
      </c>
      <c r="H18">
        <f t="shared" si="1"/>
        <v>7296</v>
      </c>
      <c r="I18">
        <f t="shared" si="2"/>
        <v>0</v>
      </c>
      <c r="J18">
        <f t="shared" si="3"/>
        <v>1</v>
      </c>
      <c r="M18" s="39"/>
      <c r="N18" s="65"/>
      <c r="O18" s="39"/>
      <c r="P18" s="39"/>
      <c r="Q18" s="39"/>
      <c r="R18" s="64"/>
    </row>
    <row r="19" spans="1:18" x14ac:dyDescent="0.15">
      <c r="A19" s="34" t="s">
        <v>102</v>
      </c>
      <c r="B19" s="58">
        <f>(E$7)*E19*B$5</f>
        <v>0</v>
      </c>
      <c r="C19" s="78">
        <f>SUMIF(Q:Q,A19,N:N)</f>
        <v>0</v>
      </c>
      <c r="D19" s="79">
        <f t="shared" si="0"/>
        <v>0</v>
      </c>
      <c r="E19">
        <f>COUNTIF(tables_356100!C:C,input_356100!A19)-COUNTIF(Q:Q,A19)</f>
        <v>27</v>
      </c>
      <c r="F19" s="45">
        <f t="shared" si="4"/>
        <v>0</v>
      </c>
      <c r="G19">
        <f t="shared" si="5"/>
        <v>0</v>
      </c>
      <c r="H19">
        <f t="shared" si="1"/>
        <v>0</v>
      </c>
      <c r="I19">
        <f t="shared" si="2"/>
        <v>0</v>
      </c>
      <c r="J19">
        <f t="shared" si="3"/>
        <v>1</v>
      </c>
      <c r="M19" s="39"/>
      <c r="N19" s="65"/>
      <c r="O19" s="39"/>
      <c r="P19" s="39"/>
      <c r="Q19" s="39"/>
      <c r="R19" s="64"/>
    </row>
    <row r="20" spans="1:18" x14ac:dyDescent="0.15">
      <c r="A20" s="34" t="s">
        <v>103</v>
      </c>
      <c r="B20" s="58">
        <f>E$7*E20*B$6</f>
        <v>0.12627692307692306</v>
      </c>
      <c r="C20" s="78">
        <f>SUMIF(Q:Q,A20,N:N)</f>
        <v>0</v>
      </c>
      <c r="D20" s="79">
        <f t="shared" si="0"/>
        <v>0.12627692307692306</v>
      </c>
      <c r="E20">
        <f>COUNTIF(tables_356100!C:C,input_356100!A20)-COUNTIF(Q:Q,A20)</f>
        <v>27</v>
      </c>
      <c r="F20" s="45">
        <f t="shared" si="4"/>
        <v>4.6769230769230768E-3</v>
      </c>
      <c r="G20">
        <f t="shared" si="5"/>
        <v>187142.39999999999</v>
      </c>
      <c r="H20">
        <f t="shared" si="1"/>
        <v>6931.2</v>
      </c>
      <c r="I20">
        <f t="shared" si="2"/>
        <v>0.1999999999998181</v>
      </c>
      <c r="J20">
        <f t="shared" si="3"/>
        <v>5.0000000000045475</v>
      </c>
      <c r="M20" s="39"/>
      <c r="N20" s="65"/>
      <c r="O20" s="39"/>
      <c r="P20" s="39"/>
      <c r="Q20" s="39"/>
      <c r="R20" s="64"/>
    </row>
    <row r="21" spans="1:18" x14ac:dyDescent="0.15">
      <c r="A21" s="34" t="s">
        <v>104</v>
      </c>
      <c r="B21" s="58">
        <f>E$7*E21*B$7</f>
        <v>6.6461538461538468E-3</v>
      </c>
      <c r="C21" s="78">
        <f>SUMIF(Q:Q,A21,N:N)</f>
        <v>0</v>
      </c>
      <c r="D21" s="79">
        <f t="shared" si="0"/>
        <v>6.6461538461538468E-3</v>
      </c>
      <c r="E21">
        <f>COUNTIF(tables_356100!C:C,input_356100!A21)-COUNTIF(Q:Q,A21)</f>
        <v>27</v>
      </c>
      <c r="F21" s="45">
        <f t="shared" si="4"/>
        <v>2.4615384615384619E-4</v>
      </c>
      <c r="G21">
        <f t="shared" si="5"/>
        <v>9849.6</v>
      </c>
      <c r="H21">
        <f t="shared" si="1"/>
        <v>364.8</v>
      </c>
      <c r="I21">
        <f t="shared" si="2"/>
        <v>0.80000000000001137</v>
      </c>
      <c r="J21">
        <f t="shared" si="3"/>
        <v>1.2499999999999822</v>
      </c>
      <c r="L21" s="59"/>
      <c r="M21" s="59"/>
      <c r="N21" s="60"/>
      <c r="O21" s="59"/>
      <c r="P21" s="59"/>
      <c r="Q21" s="59"/>
      <c r="R21" s="61"/>
    </row>
    <row r="22" spans="1:18" x14ac:dyDescent="0.15">
      <c r="A22" s="34" t="s">
        <v>204</v>
      </c>
      <c r="B22" s="80">
        <f>E$7*COUNTIF(tables_356100!C:C,input_356100!A22)-B23</f>
        <v>7.9923076923076909E-3</v>
      </c>
      <c r="C22" s="78">
        <f>SUMIF(Q:Q,A22,N:N)</f>
        <v>0</v>
      </c>
      <c r="D22" s="79">
        <f t="shared" si="0"/>
        <v>7.9923076923076909E-3</v>
      </c>
      <c r="E22">
        <f>COUNTIF(tables_356100!C:C,input_356100!A22)-COUNTIF(Q:Q,A22)</f>
        <v>2</v>
      </c>
      <c r="F22" s="45">
        <f t="shared" si="4"/>
        <v>3.9961538461538455E-3</v>
      </c>
      <c r="G22">
        <f t="shared" si="5"/>
        <v>11844.599999999999</v>
      </c>
      <c r="H22">
        <f t="shared" si="1"/>
        <v>5922.3</v>
      </c>
      <c r="I22">
        <f t="shared" si="2"/>
        <v>0.3000000000001819</v>
      </c>
      <c r="J22">
        <f t="shared" si="3"/>
        <v>3.3333333333313124</v>
      </c>
      <c r="L22" s="59"/>
      <c r="M22" s="59"/>
      <c r="N22" s="60"/>
      <c r="O22" s="59"/>
      <c r="P22" s="59"/>
      <c r="Q22" s="59"/>
      <c r="R22" s="61"/>
    </row>
    <row r="23" spans="1:18" x14ac:dyDescent="0.15">
      <c r="A23" s="34" t="s">
        <v>205</v>
      </c>
      <c r="B23" s="73">
        <f>B$7*0.2-B26-B28-B29-B21-V6</f>
        <v>1.8538461538461556E-3</v>
      </c>
      <c r="C23" s="78">
        <f>SUMIF(Q:Q,A23,N:N)</f>
        <v>0</v>
      </c>
      <c r="D23" s="79">
        <f t="shared" si="0"/>
        <v>1.8538461538461556E-3</v>
      </c>
      <c r="E23">
        <f>COUNTIF(tables_356100!C:C,input_356100!A23)-COUNTIF(Q:Q,A23)</f>
        <v>2</v>
      </c>
      <c r="F23" s="45">
        <f t="shared" si="4"/>
        <v>9.2692307692307779E-4</v>
      </c>
      <c r="G23">
        <f t="shared" si="5"/>
        <v>2747.4000000000024</v>
      </c>
      <c r="H23">
        <f t="shared" si="1"/>
        <v>1373.7</v>
      </c>
      <c r="I23">
        <f t="shared" si="2"/>
        <v>0.70000000000004547</v>
      </c>
      <c r="J23">
        <f t="shared" si="3"/>
        <v>1.4285714285713358</v>
      </c>
      <c r="L23" s="59"/>
      <c r="M23" s="59"/>
      <c r="N23" s="60"/>
      <c r="O23" s="59"/>
      <c r="P23" s="59"/>
      <c r="Q23" s="59"/>
      <c r="R23" s="61"/>
    </row>
    <row r="24" spans="1:18" x14ac:dyDescent="0.15">
      <c r="A24" s="34" t="s">
        <v>201</v>
      </c>
      <c r="B24" s="58">
        <f>E$5*B$5*E24</f>
        <v>0</v>
      </c>
      <c r="C24" s="78">
        <f>SUMIF(Q:Q,A24,N:N)</f>
        <v>0</v>
      </c>
      <c r="D24" s="79">
        <f t="shared" si="0"/>
        <v>0</v>
      </c>
      <c r="E24">
        <f>COUNTIF(tables_356100!C:C,input_356100!A24)-COUNTIF(Q:Q,A24)</f>
        <v>2</v>
      </c>
      <c r="F24" s="45">
        <f t="shared" si="4"/>
        <v>0</v>
      </c>
      <c r="G24">
        <f t="shared" si="5"/>
        <v>0</v>
      </c>
      <c r="H24">
        <f t="shared" si="1"/>
        <v>0</v>
      </c>
      <c r="I24">
        <f t="shared" si="2"/>
        <v>0</v>
      </c>
      <c r="J24">
        <f t="shared" si="3"/>
        <v>1</v>
      </c>
      <c r="L24" s="59"/>
      <c r="M24" s="59"/>
      <c r="N24" s="60"/>
      <c r="O24" s="59"/>
      <c r="P24" s="59"/>
      <c r="Q24" s="59"/>
      <c r="R24" s="61"/>
    </row>
    <row r="25" spans="1:18" x14ac:dyDescent="0.15">
      <c r="A25" s="34" t="s">
        <v>202</v>
      </c>
      <c r="B25" s="58">
        <f>E$5*B$6*E25</f>
        <v>5.9999999999999995E-4</v>
      </c>
      <c r="C25" s="78">
        <f>SUMIF(Q:Q,A25,N:N)</f>
        <v>0</v>
      </c>
      <c r="D25" s="79">
        <f t="shared" si="0"/>
        <v>5.9999999999999995E-4</v>
      </c>
      <c r="E25">
        <f>COUNTIF(tables_356100!C:C,input_356100!A25)-COUNTIF(Q:Q,A25)</f>
        <v>2</v>
      </c>
      <c r="F25" s="45">
        <f t="shared" si="4"/>
        <v>2.9999999999999997E-4</v>
      </c>
      <c r="G25">
        <f t="shared" si="5"/>
        <v>889.19999999999993</v>
      </c>
      <c r="H25">
        <f t="shared" si="1"/>
        <v>444.6</v>
      </c>
      <c r="I25">
        <f t="shared" si="2"/>
        <v>0.60000000000002274</v>
      </c>
      <c r="J25">
        <f t="shared" si="3"/>
        <v>1.6666666666666035</v>
      </c>
      <c r="L25" s="59"/>
      <c r="M25" s="59"/>
      <c r="N25" s="60"/>
      <c r="O25" s="59"/>
      <c r="P25" s="59"/>
      <c r="Q25" s="59"/>
      <c r="R25" s="61"/>
    </row>
    <row r="26" spans="1:18" x14ac:dyDescent="0.15">
      <c r="A26" s="34" t="s">
        <v>203</v>
      </c>
      <c r="B26" s="58">
        <f>E$5*B$7*E26</f>
        <v>3.1578947368421052E-5</v>
      </c>
      <c r="C26" s="78">
        <f>SUMIF(Q:Q,A26,N:N)</f>
        <v>0</v>
      </c>
      <c r="D26" s="79">
        <f t="shared" si="0"/>
        <v>3.1578947368421052E-5</v>
      </c>
      <c r="E26">
        <f>COUNTIF(tables_356100!C:C,input_356100!A26)-COUNTIF(Q:Q,A26)</f>
        <v>2</v>
      </c>
      <c r="F26" s="45">
        <f t="shared" si="4"/>
        <v>1.5789473684210526E-5</v>
      </c>
      <c r="G26">
        <f t="shared" si="5"/>
        <v>46.8</v>
      </c>
      <c r="H26">
        <f t="shared" si="1"/>
        <v>23.4</v>
      </c>
      <c r="I26">
        <f t="shared" si="2"/>
        <v>0.39999999999999858</v>
      </c>
      <c r="J26">
        <f t="shared" si="3"/>
        <v>2.5000000000000089</v>
      </c>
      <c r="L26" s="59"/>
      <c r="M26" s="59"/>
      <c r="N26" s="60"/>
      <c r="O26" s="59"/>
      <c r="P26" s="59"/>
      <c r="Q26" s="59"/>
      <c r="R26" s="61"/>
    </row>
    <row r="27" spans="1:18" x14ac:dyDescent="0.15">
      <c r="A27" s="34" t="s">
        <v>112</v>
      </c>
      <c r="B27" s="58">
        <f>E$5*E27*(B$5+B$6)</f>
        <v>3.8999999999999998E-3</v>
      </c>
      <c r="C27" s="78">
        <f>SUMIF(Q:Q,A27,N:N)</f>
        <v>0</v>
      </c>
      <c r="D27" s="79">
        <f t="shared" si="0"/>
        <v>3.8999999999999998E-3</v>
      </c>
      <c r="E27">
        <f>COUNTIF(tables_356100!C:C,input_356100!A27)-COUNTIF(Q:Q,A27)</f>
        <v>13</v>
      </c>
      <c r="F27" s="45">
        <f>IFERROR(B27/E27,0)</f>
        <v>2.9999999999999997E-4</v>
      </c>
      <c r="G27">
        <f t="shared" si="5"/>
        <v>5779.8</v>
      </c>
      <c r="H27">
        <f t="shared" si="1"/>
        <v>444.6</v>
      </c>
      <c r="I27">
        <f t="shared" si="2"/>
        <v>0.60000000000002274</v>
      </c>
      <c r="J27">
        <f t="shared" si="3"/>
        <v>1.6666666666666035</v>
      </c>
      <c r="L27" s="59"/>
      <c r="M27" s="59"/>
      <c r="N27" s="60"/>
      <c r="O27" s="59"/>
      <c r="P27" s="59"/>
      <c r="Q27" s="59"/>
      <c r="R27" s="61"/>
    </row>
    <row r="28" spans="1:18" x14ac:dyDescent="0.15">
      <c r="A28" s="34" t="s">
        <v>113</v>
      </c>
      <c r="B28" s="58">
        <f>E$5*E28*B$7</f>
        <v>2.0526315789473685E-4</v>
      </c>
      <c r="C28" s="78">
        <f>SUMIF(Q:Q,A28,N:N)</f>
        <v>0</v>
      </c>
      <c r="D28" s="79">
        <f t="shared" si="0"/>
        <v>2.0526315789473685E-4</v>
      </c>
      <c r="E28">
        <f>COUNTIF(tables_356100!C:C,input_356100!A28)-COUNTIF(Q:Q,A28)</f>
        <v>13</v>
      </c>
      <c r="F28" s="45">
        <f t="shared" si="4"/>
        <v>1.5789473684210526E-5</v>
      </c>
      <c r="G28">
        <f t="shared" si="5"/>
        <v>304.2</v>
      </c>
      <c r="H28">
        <f t="shared" si="1"/>
        <v>23.4</v>
      </c>
      <c r="I28">
        <f t="shared" si="2"/>
        <v>0.39999999999999858</v>
      </c>
      <c r="J28">
        <f t="shared" si="3"/>
        <v>2.5000000000000089</v>
      </c>
      <c r="L28" s="59"/>
      <c r="M28" s="59"/>
      <c r="N28" s="60"/>
      <c r="O28" s="59"/>
      <c r="P28" s="59"/>
      <c r="Q28" s="59"/>
      <c r="R28" s="61"/>
    </row>
    <row r="29" spans="1:18" x14ac:dyDescent="0.15">
      <c r="A29" s="34" t="s">
        <v>206</v>
      </c>
      <c r="B29" s="58">
        <f>E$5*COUNTIF(tables_356100!C:C,input_356100!A29)</f>
        <v>1.2631578947368421E-3</v>
      </c>
      <c r="C29" s="78">
        <f>SUMIF(Q:Q,A29,N:N)</f>
        <v>0</v>
      </c>
      <c r="D29" s="79">
        <f t="shared" si="0"/>
        <v>1.2631578947368421E-3</v>
      </c>
      <c r="E29">
        <f>COUNTIF(tables_356100!C:C,input_356100!A29)-COUNTIF(Q:Q,A29)</f>
        <v>4</v>
      </c>
      <c r="F29" s="45">
        <f t="shared" si="4"/>
        <v>3.1578947368421053E-4</v>
      </c>
      <c r="G29">
        <f t="shared" si="5"/>
        <v>1872</v>
      </c>
      <c r="H29">
        <f t="shared" si="1"/>
        <v>468</v>
      </c>
      <c r="I29">
        <f t="shared" si="2"/>
        <v>0</v>
      </c>
      <c r="J29">
        <f t="shared" si="3"/>
        <v>1</v>
      </c>
      <c r="L29" s="59"/>
      <c r="M29" s="59"/>
      <c r="N29" s="60"/>
      <c r="O29" s="59"/>
      <c r="P29" s="59"/>
      <c r="Q29" s="59"/>
      <c r="R29" s="61"/>
    </row>
    <row r="30" spans="1:18" x14ac:dyDescent="0.15">
      <c r="A30" s="34" t="s">
        <v>245</v>
      </c>
      <c r="B30" s="58">
        <f>E30*E$5</f>
        <v>0</v>
      </c>
      <c r="C30" s="78">
        <f>SUMIF(Q:Q,A30,N:N)</f>
        <v>0</v>
      </c>
      <c r="D30" s="79">
        <f t="shared" si="0"/>
        <v>0</v>
      </c>
      <c r="E30">
        <f>COUNTIF(tables_356100!C:C,input_356100!A30)-COUNTIF(Q:Q,A30)</f>
        <v>0</v>
      </c>
      <c r="F30" s="45">
        <f t="shared" si="4"/>
        <v>0</v>
      </c>
      <c r="G30">
        <f t="shared" si="5"/>
        <v>0</v>
      </c>
      <c r="H30">
        <f t="shared" si="1"/>
        <v>0</v>
      </c>
      <c r="I30">
        <f t="shared" si="2"/>
        <v>0</v>
      </c>
      <c r="J30">
        <f t="shared" si="3"/>
        <v>1</v>
      </c>
      <c r="L30" s="59"/>
      <c r="M30" s="59"/>
      <c r="N30" s="60"/>
      <c r="O30" s="59"/>
      <c r="P30" s="59"/>
      <c r="Q30" s="59"/>
      <c r="R30" s="61"/>
    </row>
    <row r="31" spans="1:18" x14ac:dyDescent="0.15">
      <c r="A31" s="34" t="s">
        <v>246</v>
      </c>
      <c r="B31" s="58">
        <v>0</v>
      </c>
      <c r="C31" s="78">
        <f>SUMIF(Q:Q,A31,N:N)</f>
        <v>0</v>
      </c>
      <c r="D31" s="79">
        <f t="shared" si="0"/>
        <v>0</v>
      </c>
      <c r="E31">
        <f>COUNTIF(tables_356100!C:C,input_356100!A31)-COUNTIF(Q:Q,A31)</f>
        <v>0</v>
      </c>
      <c r="F31" s="45">
        <f t="shared" si="4"/>
        <v>0</v>
      </c>
      <c r="G31">
        <f t="shared" si="5"/>
        <v>0</v>
      </c>
      <c r="H31">
        <f t="shared" si="1"/>
        <v>0</v>
      </c>
      <c r="I31">
        <f t="shared" si="2"/>
        <v>0</v>
      </c>
      <c r="J31">
        <f t="shared" si="3"/>
        <v>1</v>
      </c>
      <c r="L31" s="59"/>
      <c r="M31" s="59"/>
      <c r="N31" s="60"/>
      <c r="O31" s="59"/>
      <c r="P31" s="59"/>
      <c r="Q31" s="59"/>
      <c r="R31" s="61"/>
    </row>
    <row r="32" spans="1:18" x14ac:dyDescent="0.15">
      <c r="A32" s="34" t="s">
        <v>227</v>
      </c>
      <c r="B32" s="72">
        <f>B$5*0.8-B34-B39</f>
        <v>0</v>
      </c>
      <c r="C32" s="78">
        <f>SUMIF(Q:Q,A32,N:N)</f>
        <v>0</v>
      </c>
      <c r="D32" s="79">
        <f t="shared" si="0"/>
        <v>0</v>
      </c>
      <c r="E32">
        <f>COUNTIF(tables_356100!C:C,input_356100!A32)-COUNTIF(Q:Q,A32)</f>
        <v>10</v>
      </c>
      <c r="F32" s="45">
        <f>IFERROR(B32/E32,0)</f>
        <v>0</v>
      </c>
      <c r="G32">
        <f>A$51*B32</f>
        <v>0</v>
      </c>
      <c r="H32">
        <f t="shared" si="1"/>
        <v>0</v>
      </c>
      <c r="I32">
        <f t="shared" si="2"/>
        <v>0</v>
      </c>
      <c r="J32">
        <f t="shared" si="3"/>
        <v>1</v>
      </c>
      <c r="M32" s="39"/>
      <c r="N32" s="65"/>
      <c r="O32" s="39"/>
      <c r="P32" s="39"/>
      <c r="Q32" s="39"/>
      <c r="R32" s="64"/>
    </row>
    <row r="33" spans="1:18" x14ac:dyDescent="0.15">
      <c r="A33" s="34" t="s">
        <v>228</v>
      </c>
      <c r="B33" s="58">
        <f>E$8*E33-B32</f>
        <v>0.19692307692307692</v>
      </c>
      <c r="C33" s="78">
        <f>SUMIF(Q:Q,A33,N:N)</f>
        <v>0</v>
      </c>
      <c r="D33" s="79">
        <f t="shared" si="0"/>
        <v>0.19692307692307692</v>
      </c>
      <c r="E33">
        <f>COUNTIF(tables_356100!C:C,input_356100!A33)-COUNTIF(Q:Q,A33)</f>
        <v>10</v>
      </c>
      <c r="F33" s="45">
        <f t="shared" ref="F33:F46" si="6">IFERROR(B33/E33,0)</f>
        <v>1.9692307692307693E-2</v>
      </c>
      <c r="G33">
        <f t="shared" ref="G33:G46" si="7">A$51*B33</f>
        <v>291840</v>
      </c>
      <c r="H33">
        <f t="shared" si="1"/>
        <v>29184</v>
      </c>
      <c r="I33">
        <f t="shared" si="2"/>
        <v>0</v>
      </c>
      <c r="J33">
        <f t="shared" si="3"/>
        <v>1</v>
      </c>
      <c r="M33" s="39"/>
      <c r="N33" s="65"/>
      <c r="O33" s="39"/>
      <c r="P33" s="39"/>
      <c r="Q33" s="39"/>
      <c r="R33" s="64"/>
    </row>
    <row r="34" spans="1:18" x14ac:dyDescent="0.15">
      <c r="A34" s="34" t="s">
        <v>229</v>
      </c>
      <c r="B34" s="58">
        <f>(E$8)*E34*B$5</f>
        <v>0</v>
      </c>
      <c r="C34" s="78">
        <f>SUMIF(Q:Q,A34,N:N)</f>
        <v>0</v>
      </c>
      <c r="D34" s="79">
        <f t="shared" si="0"/>
        <v>0</v>
      </c>
      <c r="E34">
        <f>COUNTIF(tables_356100!C:C,input_356100!A34)-COUNTIF(Q:Q,A34)</f>
        <v>25</v>
      </c>
      <c r="F34" s="45">
        <f t="shared" si="6"/>
        <v>0</v>
      </c>
      <c r="G34">
        <f t="shared" si="7"/>
        <v>0</v>
      </c>
      <c r="H34">
        <f t="shared" si="1"/>
        <v>0</v>
      </c>
      <c r="I34">
        <f t="shared" si="2"/>
        <v>0</v>
      </c>
      <c r="J34">
        <f t="shared" si="3"/>
        <v>1</v>
      </c>
      <c r="M34" s="39"/>
      <c r="N34" s="65"/>
      <c r="O34" s="39"/>
      <c r="P34" s="39"/>
      <c r="Q34" s="39"/>
      <c r="R34" s="64"/>
    </row>
    <row r="35" spans="1:18" x14ac:dyDescent="0.15">
      <c r="A35" s="34" t="s">
        <v>230</v>
      </c>
      <c r="B35" s="58">
        <f>E$8*E35*B$6</f>
        <v>0.46769230769230768</v>
      </c>
      <c r="C35" s="78">
        <f>SUMIF(Q:Q,A35,N:N)</f>
        <v>0</v>
      </c>
      <c r="D35" s="79">
        <f t="shared" si="0"/>
        <v>0.46769230769230768</v>
      </c>
      <c r="E35">
        <f>COUNTIF(tables_356100!C:C,input_356100!A35)-COUNTIF(Q:Q,A35)</f>
        <v>25</v>
      </c>
      <c r="F35" s="45">
        <f t="shared" si="6"/>
        <v>1.8707692307692307E-2</v>
      </c>
      <c r="G35">
        <f t="shared" si="7"/>
        <v>693120</v>
      </c>
      <c r="H35">
        <f t="shared" si="1"/>
        <v>27724.799999999999</v>
      </c>
      <c r="I35">
        <f t="shared" si="2"/>
        <v>0.7999999999992724</v>
      </c>
      <c r="J35">
        <f t="shared" si="3"/>
        <v>1.2500000000011369</v>
      </c>
      <c r="M35" s="39"/>
      <c r="N35" s="65"/>
      <c r="O35" s="39"/>
      <c r="P35" s="39"/>
      <c r="Q35" s="39"/>
      <c r="R35" s="64"/>
    </row>
    <row r="36" spans="1:18" x14ac:dyDescent="0.15">
      <c r="A36" s="34" t="s">
        <v>231</v>
      </c>
      <c r="B36" s="58">
        <f>E$8*E36*B$7</f>
        <v>2.4615384615384619E-2</v>
      </c>
      <c r="C36" s="78">
        <f>SUMIF(Q:Q,A36,N:N)</f>
        <v>0</v>
      </c>
      <c r="D36" s="79">
        <f t="shared" si="0"/>
        <v>2.4615384615384619E-2</v>
      </c>
      <c r="E36">
        <f>COUNTIF(tables_356100!C:C,input_356100!A36)-COUNTIF(Q:Q,A36)</f>
        <v>25</v>
      </c>
      <c r="F36" s="45">
        <f t="shared" si="6"/>
        <v>9.8461538461538478E-4</v>
      </c>
      <c r="G36">
        <f t="shared" si="7"/>
        <v>36480.000000000007</v>
      </c>
      <c r="H36">
        <f t="shared" si="1"/>
        <v>1459.2</v>
      </c>
      <c r="I36">
        <f t="shared" si="2"/>
        <v>0.20000000000004547</v>
      </c>
      <c r="J36">
        <f t="shared" si="3"/>
        <v>4.9999999999988631</v>
      </c>
      <c r="L36" s="59"/>
      <c r="M36" s="59"/>
      <c r="N36" s="60"/>
      <c r="O36" s="59"/>
      <c r="P36" s="59"/>
      <c r="Q36" s="59"/>
      <c r="R36" s="61"/>
    </row>
    <row r="37" spans="1:18" x14ac:dyDescent="0.15">
      <c r="A37" s="34" t="s">
        <v>232</v>
      </c>
      <c r="B37" s="80">
        <f>E$8*COUNTIF(tables_356100!C:C,input_356100!A37)-B38</f>
        <v>6.6984615384615379E-2</v>
      </c>
      <c r="C37" s="78">
        <f>SUMIF(Q:Q,A37,N:N)</f>
        <v>0</v>
      </c>
      <c r="D37" s="79">
        <f t="shared" si="0"/>
        <v>6.6984615384615379E-2</v>
      </c>
      <c r="E37">
        <f>COUNTIF(tables_356100!C:C,input_356100!A37)-COUNTIF(Q:Q,A37)</f>
        <v>4</v>
      </c>
      <c r="F37" s="45">
        <f t="shared" si="6"/>
        <v>1.6746153846153845E-2</v>
      </c>
      <c r="G37">
        <f t="shared" si="7"/>
        <v>99271.2</v>
      </c>
      <c r="H37">
        <f t="shared" si="1"/>
        <v>24817.8</v>
      </c>
      <c r="I37">
        <f t="shared" si="2"/>
        <v>0.7999999999992724</v>
      </c>
      <c r="J37">
        <f t="shared" si="3"/>
        <v>1.2500000000011369</v>
      </c>
      <c r="L37" s="59"/>
      <c r="M37" s="59"/>
      <c r="N37" s="60"/>
      <c r="O37" s="59"/>
      <c r="P37" s="59"/>
      <c r="Q37" s="59"/>
      <c r="R37" s="61"/>
    </row>
    <row r="38" spans="1:18" x14ac:dyDescent="0.15">
      <c r="A38" s="34" t="s">
        <v>233</v>
      </c>
      <c r="B38" s="73">
        <f>B$7*0.8-B41-B43-B44-B36-V21</f>
        <v>1.178461538461539E-2</v>
      </c>
      <c r="C38" s="78">
        <f>SUMIF(Q:Q,A38,N:N)</f>
        <v>0</v>
      </c>
      <c r="D38" s="79">
        <f t="shared" si="0"/>
        <v>1.178461538461539E-2</v>
      </c>
      <c r="E38">
        <f>COUNTIF(tables_356100!C:C,input_356100!A38)-COUNTIF(Q:Q,A38)</f>
        <v>4</v>
      </c>
      <c r="F38" s="45">
        <f t="shared" si="6"/>
        <v>2.9461538461538475E-3</v>
      </c>
      <c r="G38">
        <f t="shared" si="7"/>
        <v>17464.800000000007</v>
      </c>
      <c r="H38">
        <f t="shared" si="1"/>
        <v>4366.2</v>
      </c>
      <c r="I38">
        <f t="shared" si="2"/>
        <v>0.1999999999998181</v>
      </c>
      <c r="J38">
        <f t="shared" si="3"/>
        <v>5.0000000000045475</v>
      </c>
      <c r="L38" s="59"/>
      <c r="M38" s="59"/>
      <c r="N38" s="60"/>
      <c r="O38" s="59"/>
      <c r="P38" s="59"/>
      <c r="Q38" s="59"/>
      <c r="R38" s="61"/>
    </row>
    <row r="39" spans="1:18" x14ac:dyDescent="0.15">
      <c r="A39" s="34" t="s">
        <v>234</v>
      </c>
      <c r="B39" s="58">
        <f>E$6*B$5*E39</f>
        <v>0</v>
      </c>
      <c r="C39" s="78">
        <f>SUMIF(Q:Q,A39,N:N)</f>
        <v>0</v>
      </c>
      <c r="D39" s="79">
        <f t="shared" si="0"/>
        <v>0</v>
      </c>
      <c r="E39">
        <f>COUNTIF(tables_356100!C:C,input_356100!A39)-COUNTIF(Q:Q,A39)</f>
        <v>2</v>
      </c>
      <c r="F39" s="45">
        <f t="shared" si="6"/>
        <v>0</v>
      </c>
      <c r="G39">
        <f t="shared" si="7"/>
        <v>0</v>
      </c>
      <c r="H39">
        <f t="shared" si="1"/>
        <v>0</v>
      </c>
      <c r="I39">
        <f t="shared" si="2"/>
        <v>0</v>
      </c>
      <c r="J39">
        <f t="shared" si="3"/>
        <v>1</v>
      </c>
      <c r="L39" s="59"/>
      <c r="M39" s="59"/>
      <c r="N39" s="60"/>
      <c r="O39" s="59"/>
      <c r="P39" s="59"/>
      <c r="Q39" s="59"/>
      <c r="R39" s="61"/>
    </row>
    <row r="40" spans="1:18" x14ac:dyDescent="0.15">
      <c r="A40" s="34" t="s">
        <v>235</v>
      </c>
      <c r="B40" s="58">
        <f>E$6*B$6*E40</f>
        <v>2.3999999999999998E-3</v>
      </c>
      <c r="C40" s="78">
        <f>SUMIF(Q:Q,A40,N:N)</f>
        <v>0</v>
      </c>
      <c r="D40" s="79">
        <f t="shared" si="0"/>
        <v>2.3999999999999998E-3</v>
      </c>
      <c r="E40">
        <f>COUNTIF(tables_356100!C:C,input_356100!A40)-COUNTIF(Q:Q,A40)</f>
        <v>2</v>
      </c>
      <c r="F40" s="45">
        <f t="shared" si="6"/>
        <v>1.1999999999999999E-3</v>
      </c>
      <c r="G40">
        <f t="shared" si="7"/>
        <v>3556.7999999999997</v>
      </c>
      <c r="H40">
        <f t="shared" si="1"/>
        <v>1778.4</v>
      </c>
      <c r="I40">
        <f t="shared" si="2"/>
        <v>0.40000000000009095</v>
      </c>
      <c r="J40">
        <f t="shared" si="3"/>
        <v>2.4999999999994316</v>
      </c>
      <c r="L40" s="59"/>
      <c r="M40" s="59"/>
      <c r="N40" s="60"/>
      <c r="O40" s="59"/>
      <c r="P40" s="59"/>
      <c r="Q40" s="59"/>
      <c r="R40" s="61"/>
    </row>
    <row r="41" spans="1:18" x14ac:dyDescent="0.15">
      <c r="A41" s="34" t="s">
        <v>236</v>
      </c>
      <c r="B41" s="58">
        <f>E$6*B$7*E41</f>
        <v>1.2631578947368421E-4</v>
      </c>
      <c r="C41" s="78">
        <f>SUMIF(Q:Q,A41,N:N)</f>
        <v>0</v>
      </c>
      <c r="D41" s="79">
        <f t="shared" si="0"/>
        <v>1.2631578947368421E-4</v>
      </c>
      <c r="E41">
        <f>COUNTIF(tables_356100!C:C,input_356100!A41)-COUNTIF(Q:Q,A41)</f>
        <v>2</v>
      </c>
      <c r="F41" s="45">
        <f t="shared" si="6"/>
        <v>6.3157894736842103E-5</v>
      </c>
      <c r="G41">
        <f t="shared" si="7"/>
        <v>187.2</v>
      </c>
      <c r="H41">
        <f t="shared" si="1"/>
        <v>93.6</v>
      </c>
      <c r="I41">
        <f t="shared" si="2"/>
        <v>0.59999999999999432</v>
      </c>
      <c r="J41">
        <f t="shared" si="3"/>
        <v>1.6666666666666825</v>
      </c>
      <c r="L41" s="59"/>
      <c r="M41" s="59"/>
      <c r="N41" s="60"/>
      <c r="O41" s="59"/>
      <c r="P41" s="59"/>
      <c r="Q41" s="59"/>
      <c r="R41" s="61"/>
    </row>
    <row r="42" spans="1:18" x14ac:dyDescent="0.15">
      <c r="A42" s="34" t="s">
        <v>237</v>
      </c>
      <c r="B42" s="58">
        <f>E$6*E42*(B$5+B$6)</f>
        <v>1.8000000000000002E-2</v>
      </c>
      <c r="C42" s="78">
        <f>SUMIF(Q:Q,A42,N:N)</f>
        <v>0</v>
      </c>
      <c r="D42" s="79">
        <f t="shared" si="0"/>
        <v>1.8000000000000002E-2</v>
      </c>
      <c r="E42">
        <f>COUNTIF(tables_356100!C:C,input_356100!A42)-COUNTIF(Q:Q,A42)</f>
        <v>15</v>
      </c>
      <c r="F42" s="45">
        <f>IFERROR(B42/E42,0)</f>
        <v>1.2000000000000001E-3</v>
      </c>
      <c r="G42">
        <f t="shared" si="7"/>
        <v>26676.000000000004</v>
      </c>
      <c r="H42">
        <f t="shared" si="1"/>
        <v>1778.4</v>
      </c>
      <c r="I42">
        <f t="shared" si="2"/>
        <v>0.40000000000009095</v>
      </c>
      <c r="J42">
        <f t="shared" si="3"/>
        <v>2.4999999999994316</v>
      </c>
      <c r="L42" s="59"/>
      <c r="M42" s="59"/>
      <c r="N42" s="60"/>
      <c r="O42" s="59"/>
      <c r="P42" s="59"/>
      <c r="Q42" s="59"/>
      <c r="R42" s="61"/>
    </row>
    <row r="43" spans="1:18" x14ac:dyDescent="0.15">
      <c r="A43" s="34" t="s">
        <v>238</v>
      </c>
      <c r="B43" s="58">
        <f>E$6*E43*B$7</f>
        <v>9.4736842105263164E-4</v>
      </c>
      <c r="C43" s="78">
        <f>SUMIF(Q:Q,A43,N:N)</f>
        <v>0</v>
      </c>
      <c r="D43" s="79">
        <f t="shared" si="0"/>
        <v>9.4736842105263164E-4</v>
      </c>
      <c r="E43">
        <f>COUNTIF(tables_356100!C:C,input_356100!A43)-COUNTIF(Q:Q,A43)</f>
        <v>15</v>
      </c>
      <c r="F43" s="45">
        <f t="shared" ref="F43:F46" si="8">IFERROR(B43/E43,0)</f>
        <v>6.3157894736842103E-5</v>
      </c>
      <c r="G43">
        <f t="shared" si="7"/>
        <v>1404</v>
      </c>
      <c r="H43">
        <f t="shared" si="1"/>
        <v>93.6</v>
      </c>
      <c r="I43">
        <f t="shared" si="2"/>
        <v>0.59999999999999432</v>
      </c>
      <c r="J43">
        <f t="shared" si="3"/>
        <v>1.6666666666666825</v>
      </c>
      <c r="L43" s="59"/>
      <c r="M43" s="59"/>
      <c r="N43" s="60"/>
      <c r="O43" s="59"/>
      <c r="P43" s="59"/>
      <c r="Q43" s="59"/>
      <c r="R43" s="61"/>
    </row>
    <row r="44" spans="1:18" x14ac:dyDescent="0.15">
      <c r="A44" s="34" t="s">
        <v>239</v>
      </c>
      <c r="B44" s="58">
        <f>E$6*COUNTIF(tables_356100!C:C,input_356100!A44)</f>
        <v>2.5263157894736842E-3</v>
      </c>
      <c r="C44" s="78">
        <f>SUMIF(Q:Q,A44,N:N)</f>
        <v>0</v>
      </c>
      <c r="D44" s="79">
        <f t="shared" si="0"/>
        <v>2.5263157894736842E-3</v>
      </c>
      <c r="E44">
        <f>COUNTIF(tables_356100!C:C,input_356100!A44)-COUNTIF(Q:Q,A44)</f>
        <v>2</v>
      </c>
      <c r="F44" s="45">
        <f t="shared" si="8"/>
        <v>1.2631578947368421E-3</v>
      </c>
      <c r="G44">
        <f t="shared" si="7"/>
        <v>3744</v>
      </c>
      <c r="H44">
        <f t="shared" si="1"/>
        <v>1872</v>
      </c>
      <c r="I44">
        <f t="shared" si="2"/>
        <v>0</v>
      </c>
      <c r="J44">
        <f t="shared" si="3"/>
        <v>1</v>
      </c>
      <c r="L44" s="59"/>
      <c r="M44" s="59"/>
      <c r="N44" s="60"/>
      <c r="O44" s="59"/>
      <c r="P44" s="59"/>
      <c r="Q44" s="59"/>
      <c r="R44" s="61"/>
    </row>
    <row r="45" spans="1:18" x14ac:dyDescent="0.15">
      <c r="A45" s="34" t="s">
        <v>244</v>
      </c>
      <c r="B45" s="58">
        <f>E45*E$6</f>
        <v>0</v>
      </c>
      <c r="C45" s="78">
        <f>SUMIF(Q:Q,A45,N:N)</f>
        <v>0</v>
      </c>
      <c r="D45" s="79">
        <f t="shared" si="0"/>
        <v>0</v>
      </c>
      <c r="E45">
        <f>COUNTIF(tables_356100!C:C,input_356100!A45)-COUNTIF(Q:Q,A45)</f>
        <v>0</v>
      </c>
      <c r="F45" s="45">
        <f t="shared" si="8"/>
        <v>0</v>
      </c>
      <c r="G45">
        <f t="shared" si="7"/>
        <v>0</v>
      </c>
      <c r="H45">
        <f t="shared" si="1"/>
        <v>0</v>
      </c>
      <c r="I45">
        <f t="shared" si="2"/>
        <v>0</v>
      </c>
      <c r="J45">
        <f t="shared" si="3"/>
        <v>1</v>
      </c>
      <c r="L45" s="59"/>
      <c r="M45" s="59"/>
      <c r="N45" s="60"/>
      <c r="O45" s="59"/>
      <c r="P45" s="59"/>
      <c r="Q45" s="59"/>
      <c r="R45" s="61"/>
    </row>
    <row r="46" spans="1:18" x14ac:dyDescent="0.15">
      <c r="A46" s="34" t="s">
        <v>243</v>
      </c>
      <c r="B46" s="58">
        <v>0.01</v>
      </c>
      <c r="C46" s="78">
        <f>SUMIF(Q:Q,A46,N:N)</f>
        <v>0</v>
      </c>
      <c r="D46" s="79">
        <f t="shared" si="0"/>
        <v>0.01</v>
      </c>
      <c r="E46">
        <f>COUNTIF(tables_356100!C:C,input_356100!A46)-COUNTIF(Q:Q,A46)</f>
        <v>2</v>
      </c>
      <c r="F46" s="45">
        <f t="shared" si="8"/>
        <v>5.0000000000000001E-3</v>
      </c>
      <c r="G46">
        <f t="shared" si="7"/>
        <v>14820</v>
      </c>
      <c r="H46">
        <f t="shared" si="1"/>
        <v>7410</v>
      </c>
      <c r="I46">
        <f t="shared" si="2"/>
        <v>0</v>
      </c>
      <c r="J46">
        <f t="shared" si="3"/>
        <v>1</v>
      </c>
      <c r="L46" s="59"/>
      <c r="M46" s="59"/>
      <c r="N46" s="60"/>
      <c r="O46" s="59"/>
      <c r="P46" s="59"/>
      <c r="Q46" s="59"/>
      <c r="R46" s="61"/>
    </row>
    <row r="47" spans="1:18" x14ac:dyDescent="0.15">
      <c r="A47" s="41" t="s">
        <v>62</v>
      </c>
      <c r="B47" s="42">
        <f>SUM(B17:B46)</f>
        <v>0.99999999999999989</v>
      </c>
      <c r="C47" s="43">
        <f>SUM(C19:C31)</f>
        <v>0</v>
      </c>
      <c r="D47" s="44">
        <f t="shared" si="0"/>
        <v>0.99999999999999989</v>
      </c>
      <c r="L47" s="59"/>
      <c r="M47" s="59"/>
      <c r="N47" s="59"/>
      <c r="O47" s="59"/>
      <c r="P47" s="59"/>
      <c r="Q47" s="59"/>
      <c r="R47" s="61"/>
    </row>
    <row r="50" spans="1:7" x14ac:dyDescent="0.15">
      <c r="A50" t="s">
        <v>76</v>
      </c>
    </row>
    <row r="51" spans="1:7" x14ac:dyDescent="0.15">
      <c r="A51" s="31">
        <f>LCM(F5-I5,F7-I6)*1000*2</f>
        <v>1482000</v>
      </c>
    </row>
    <row r="53" spans="1:7" x14ac:dyDescent="0.15">
      <c r="A53" s="49" t="s">
        <v>80</v>
      </c>
    </row>
    <row r="54" spans="1:7" x14ac:dyDescent="0.15">
      <c r="A54" s="34" t="s">
        <v>63</v>
      </c>
      <c r="B54" t="s">
        <v>77</v>
      </c>
      <c r="C54" t="s">
        <v>105</v>
      </c>
      <c r="E54" t="s">
        <v>106</v>
      </c>
      <c r="F54" t="s">
        <v>215</v>
      </c>
      <c r="G54" t="s">
        <v>66</v>
      </c>
    </row>
    <row r="55" spans="1:7" x14ac:dyDescent="0.15">
      <c r="A55" s="34" t="s">
        <v>109</v>
      </c>
      <c r="B55">
        <f ca="1">SUMIF(tables_356100!C:C,input_356100!A55,tables_356100!O:O)</f>
        <v>0</v>
      </c>
      <c r="C55" s="56">
        <f t="shared" ref="C55:C61" ca="1" si="9">B55/B$62</f>
        <v>0</v>
      </c>
      <c r="E55">
        <v>3</v>
      </c>
      <c r="F55">
        <f ca="1">SUMIF(tables_356100!J:J,input_356100!E55,tables_356100!O:O)</f>
        <v>0</v>
      </c>
      <c r="G55">
        <f ca="1">F55/A51</f>
        <v>0</v>
      </c>
    </row>
    <row r="56" spans="1:7" x14ac:dyDescent="0.15">
      <c r="A56" s="34" t="s">
        <v>110</v>
      </c>
      <c r="B56">
        <f ca="1">SUMIF(tables_356100!C:C,input_356100!A56,tables_356100!O:O)</f>
        <v>187142.40000000005</v>
      </c>
      <c r="C56" s="56">
        <f t="shared" ca="1" si="9"/>
        <v>0.92153873426697397</v>
      </c>
      <c r="E56">
        <v>4</v>
      </c>
      <c r="F56">
        <f ca="1">SUMIF(tables_356100!J:J,input_356100!E56,tables_356100!O:O)</f>
        <v>1393080</v>
      </c>
      <c r="G56">
        <f ca="1">F56/A51</f>
        <v>0.94</v>
      </c>
    </row>
    <row r="57" spans="1:7" x14ac:dyDescent="0.15">
      <c r="A57" s="34" t="s">
        <v>114</v>
      </c>
      <c r="B57">
        <f ca="1">SUMIF(tables_356100!C:C,input_356100!A57,tables_356100!O:O)</f>
        <v>5779.8000000000011</v>
      </c>
      <c r="C57" s="56">
        <f t="shared" ca="1" si="9"/>
        <v>2.8461265733026056E-2</v>
      </c>
      <c r="E57">
        <v>5</v>
      </c>
      <c r="F57">
        <f ca="1">SUMIF(tables_356100!J:J,input_356100!E57,tables_356100!O:O)</f>
        <v>88919.999999999985</v>
      </c>
      <c r="G57">
        <f ca="1">F57/A51</f>
        <v>5.9999999999999991E-2</v>
      </c>
    </row>
    <row r="58" spans="1:7" x14ac:dyDescent="0.15">
      <c r="A58" s="34" t="s">
        <v>115</v>
      </c>
      <c r="B58">
        <f>SUMIF(tables_356100!C:C,input_356100!A58,tables_356100!O:O)</f>
        <v>0</v>
      </c>
      <c r="C58" s="56">
        <f t="shared" ca="1" si="9"/>
        <v>0</v>
      </c>
      <c r="F58" s="57"/>
    </row>
    <row r="59" spans="1:7" x14ac:dyDescent="0.15">
      <c r="A59" s="34" t="s">
        <v>111</v>
      </c>
      <c r="B59">
        <f ca="1">SUMIF(tables_356100!C:C,input_356100!A59,tables_356100!O:O)</f>
        <v>9849.6</v>
      </c>
      <c r="C59" s="56">
        <f t="shared" ca="1" si="9"/>
        <v>4.8502038645630192E-2</v>
      </c>
      <c r="E59" t="s">
        <v>56</v>
      </c>
      <c r="F59" s="57"/>
    </row>
    <row r="60" spans="1:7" x14ac:dyDescent="0.15">
      <c r="A60" s="34" t="s">
        <v>116</v>
      </c>
      <c r="B60">
        <f ca="1">SUMIF(tables_356100!C:C,input_356100!A60,tables_356100!O:O)</f>
        <v>304.2</v>
      </c>
      <c r="C60" s="56">
        <f t="shared" ca="1" si="9"/>
        <v>1.4979613543697921E-3</v>
      </c>
      <c r="E60" t="s">
        <v>211</v>
      </c>
      <c r="F60" s="57">
        <f ca="1">SUMIF(tables_356100!I:I,input_356100!E60,tables_356100!P:P)</f>
        <v>0.23853846153846156</v>
      </c>
    </row>
    <row r="61" spans="1:7" x14ac:dyDescent="0.15">
      <c r="A61" s="34" t="s">
        <v>117</v>
      </c>
      <c r="B61">
        <f>SUMIF(tables_356100!C:C,input_356100!A61,tables_356100!O:O)</f>
        <v>0</v>
      </c>
      <c r="C61" s="56">
        <f t="shared" ca="1" si="9"/>
        <v>0</v>
      </c>
      <c r="E61" t="s">
        <v>212</v>
      </c>
      <c r="F61" s="57">
        <f ca="1">SUMIF(tables_356100!I:I,input_356100!E61,tables_356100!P:P)</f>
        <v>0.20468825910931177</v>
      </c>
    </row>
    <row r="62" spans="1:7" x14ac:dyDescent="0.15">
      <c r="A62" s="41" t="s">
        <v>62</v>
      </c>
      <c r="B62">
        <f ca="1">SUM(B55:B61)</f>
        <v>203076.00000000006</v>
      </c>
      <c r="C62" s="57">
        <f ca="1">SUM(C55:C61)</f>
        <v>1</v>
      </c>
      <c r="E62" t="s">
        <v>213</v>
      </c>
      <c r="F62" s="57">
        <f ca="1">SUMIF(tables_356100!I:I,input_356100!E62,tables_356100!P:P)</f>
        <v>0.51231578947368406</v>
      </c>
    </row>
    <row r="63" spans="1:7" x14ac:dyDescent="0.15">
      <c r="E63" t="s">
        <v>214</v>
      </c>
      <c r="F63" s="57">
        <f ca="1">SUMIF(tables_356100!I:I,input_356100!E63,tables_356100!P:P)</f>
        <v>2.6842105263157896E-2</v>
      </c>
    </row>
  </sheetData>
  <phoneticPr fontId="17"/>
  <pageMargins left="0.7" right="0.7" top="0.75" bottom="0.75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3" enableFormatConditionsCalculation="0">
    <tabColor rgb="FF0000FF"/>
    <outlinePr summaryBelow="0" summaryRight="0"/>
  </sheetPr>
  <dimension ref="A1:V285"/>
  <sheetViews>
    <sheetView showGridLines="0" zoomScale="90" zoomScaleNormal="90" zoomScalePageLayoutView="90" workbookViewId="0">
      <pane ySplit="1" topLeftCell="A267" activePane="bottomLeft" state="frozen"/>
      <selection activeCell="B45" sqref="B45"/>
      <selection pane="bottomLeft" activeCell="L15" sqref="L15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88</v>
      </c>
      <c r="B1" s="15" t="s">
        <v>1</v>
      </c>
      <c r="C1" s="3" t="s">
        <v>31</v>
      </c>
      <c r="D1" s="3" t="s">
        <v>100</v>
      </c>
      <c r="E1" s="3" t="s">
        <v>196</v>
      </c>
      <c r="F1" s="3" t="s">
        <v>197</v>
      </c>
      <c r="G1" s="3" t="s">
        <v>108</v>
      </c>
      <c r="H1" s="3" t="s">
        <v>33</v>
      </c>
      <c r="I1" s="3" t="s">
        <v>34</v>
      </c>
      <c r="J1" s="3" t="s">
        <v>35</v>
      </c>
      <c r="K1" s="3" t="s">
        <v>53</v>
      </c>
      <c r="L1" s="3" t="s">
        <v>36</v>
      </c>
      <c r="M1" s="3" t="s">
        <v>37</v>
      </c>
      <c r="N1" s="3" t="s">
        <v>61</v>
      </c>
      <c r="O1" s="15" t="s">
        <v>39</v>
      </c>
      <c r="P1" s="3" t="s">
        <v>66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input_356100!A$2</f>
        <v>356100</v>
      </c>
      <c r="B2" s="6">
        <v>126</v>
      </c>
      <c r="C2" s="7" t="str">
        <f t="shared" ref="C2:C65" si="0">D2&amp;J2&amp;E2&amp;F2&amp;G2</f>
        <v>PremiumW3color</v>
      </c>
      <c r="D2" s="7" t="str">
        <f>IF(I2="PremiumSS",I2,IF(I2="PremiumSSS",I2,IF(I2="PremiumW",I2,"Premium")))</f>
        <v>PremiumW</v>
      </c>
      <c r="E2" s="7" t="str">
        <f>IF(COUNTIF('R6追加前'!A:A,B2)=0,IF(I2="PremiumSS","R5only","R3less"),"")</f>
        <v/>
      </c>
      <c r="F2" s="7" t="str">
        <f>IF(COUNTIF('R6開放'!A:A,B2)&gt;0,"R6release","")</f>
        <v/>
      </c>
      <c r="G2" s="7" t="s">
        <v>240</v>
      </c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7">
        <f ca="1">IFERROR(VLOOKUP(B2,input_356100!L:R,7,FALSE),VLOOKUP(tables_356100!C2,input_356100!A:H,8,FALSE))</f>
        <v>0</v>
      </c>
      <c r="P2" s="48">
        <v>1E-3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input_356100!A$2</f>
        <v>356100</v>
      </c>
      <c r="B3" s="6">
        <v>127</v>
      </c>
      <c r="C3" s="7" t="str">
        <f t="shared" si="0"/>
        <v>PremiumW4color</v>
      </c>
      <c r="D3" s="7" t="str">
        <f t="shared" ref="D3:D66" si="1">IF(I3="PremiumSS",I3,IF(I3="PremiumSSS",I3,IF(I3="PremiumW",I3,"Premium")))</f>
        <v>PremiumW</v>
      </c>
      <c r="E3" s="7" t="str">
        <f>IF(COUNTIF('R6追加前'!A:A,B3)=0,IF(I3="PremiumSS","R5only","R3less"),"")</f>
        <v/>
      </c>
      <c r="F3" s="7" t="str">
        <f>IF(COUNTIF('R6開放'!A:A,B3)&gt;0,"R6release","")</f>
        <v/>
      </c>
      <c r="G3" s="7" t="s">
        <v>240</v>
      </c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7">
        <f ca="1">IFERROR(VLOOKUP(B3,input_356100!L:R,7,FALSE),VLOOKUP(tables_356100!C3,input_356100!A:H,8,FALSE))</f>
        <v>29184</v>
      </c>
      <c r="P3" s="48">
        <v>1E-3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input_356100!A$2</f>
        <v>356100</v>
      </c>
      <c r="B4" s="6">
        <v>128</v>
      </c>
      <c r="C4" s="7" t="str">
        <f t="shared" si="0"/>
        <v>PremiumW3color</v>
      </c>
      <c r="D4" s="7" t="str">
        <f t="shared" si="1"/>
        <v>PremiumW</v>
      </c>
      <c r="E4" s="7" t="str">
        <f>IF(COUNTIF('R6追加前'!A:A,B4)=0,IF(I4="PremiumSS","R5only","R3less"),"")</f>
        <v/>
      </c>
      <c r="F4" s="7" t="str">
        <f>IF(COUNTIF('R6開放'!A:A,B4)&gt;0,"R6release","")</f>
        <v/>
      </c>
      <c r="G4" s="7" t="s">
        <v>240</v>
      </c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7">
        <f ca="1">IFERROR(VLOOKUP(B4,input_356100!L:R,7,FALSE),VLOOKUP(tables_356100!C4,input_356100!A:H,8,FALSE))</f>
        <v>0</v>
      </c>
      <c r="P4" s="48">
        <v>0.01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input_356100!A$2</f>
        <v>356100</v>
      </c>
      <c r="B5" s="6">
        <v>129</v>
      </c>
      <c r="C5" s="7" t="str">
        <f t="shared" si="0"/>
        <v>PremiumW4color</v>
      </c>
      <c r="D5" s="7" t="str">
        <f t="shared" si="1"/>
        <v>PremiumW</v>
      </c>
      <c r="E5" s="7" t="str">
        <f>IF(COUNTIF('R6追加前'!A:A,B5)=0,IF(I5="PremiumSS","R5only","R3less"),"")</f>
        <v/>
      </c>
      <c r="F5" s="7" t="str">
        <f>IF(COUNTIF('R6開放'!A:A,B5)&gt;0,"R6release","")</f>
        <v/>
      </c>
      <c r="G5" s="7" t="s">
        <v>240</v>
      </c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7">
        <f ca="1">IFERROR(VLOOKUP(B5,input_356100!L:R,7,FALSE),VLOOKUP(tables_356100!C5,input_356100!A:H,8,FALSE))</f>
        <v>29184</v>
      </c>
      <c r="P5" s="48">
        <v>8.9999999999999993E-3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input_356100!A$2</f>
        <v>356100</v>
      </c>
      <c r="B6" s="6">
        <v>130</v>
      </c>
      <c r="C6" s="7" t="str">
        <f t="shared" si="0"/>
        <v>PremiumW3</v>
      </c>
      <c r="D6" s="7" t="str">
        <f t="shared" si="1"/>
        <v>PremiumW</v>
      </c>
      <c r="E6" s="7" t="str">
        <f>IF(COUNTIF('R6追加前'!A:A,B6)=0,IF(I6="PremiumSS","R5only","R3less"),"")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7">
        <f ca="1">IFERROR(VLOOKUP(B6,input_356100!L:R,7,FALSE),VLOOKUP(tables_356100!C6,input_356100!A:H,8,FALSE))</f>
        <v>0</v>
      </c>
      <c r="P6" s="48">
        <v>1E-3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input_356100!A$2</f>
        <v>356100</v>
      </c>
      <c r="B7" s="6">
        <v>131</v>
      </c>
      <c r="C7" s="7" t="str">
        <f t="shared" si="0"/>
        <v>PremiumW4</v>
      </c>
      <c r="D7" s="7" t="str">
        <f t="shared" si="1"/>
        <v>PremiumW</v>
      </c>
      <c r="E7" s="7" t="str">
        <f>IF(COUNTIF('R6追加前'!A:A,B7)=0,IF(I7="PremiumSS","R5only","R3less"),"")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7">
        <f ca="1">IFERROR(VLOOKUP(B7,input_356100!L:R,7,FALSE),VLOOKUP(tables_356100!C7,input_356100!A:H,8,FALSE))</f>
        <v>7296</v>
      </c>
      <c r="P7" s="48">
        <v>0.01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input_356100!A$2</f>
        <v>356100</v>
      </c>
      <c r="B8" s="6">
        <v>132</v>
      </c>
      <c r="C8" s="7" t="str">
        <f t="shared" si="0"/>
        <v>PremiumW3</v>
      </c>
      <c r="D8" s="7" t="str">
        <f t="shared" si="1"/>
        <v>PremiumW</v>
      </c>
      <c r="E8" s="7" t="str">
        <f>IF(COUNTIF('R6追加前'!A:A,B8)=0,IF(I8="PremiumSS","R5only","R3less"),"")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7">
        <f ca="1">IFERROR(VLOOKUP(B8,input_356100!L:R,7,FALSE),VLOOKUP(tables_356100!C8,input_356100!A:H,8,FALSE))</f>
        <v>0</v>
      </c>
      <c r="P8" s="48">
        <v>8.9999999999999993E-3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input_356100!A$2</f>
        <v>356100</v>
      </c>
      <c r="B9" s="6">
        <v>133</v>
      </c>
      <c r="C9" s="7" t="str">
        <f t="shared" si="0"/>
        <v>PremiumW4</v>
      </c>
      <c r="D9" s="7" t="str">
        <f t="shared" si="1"/>
        <v>PremiumW</v>
      </c>
      <c r="E9" s="7" t="str">
        <f>IF(COUNTIF('R6追加前'!A:A,B9)=0,IF(I9="PremiumSS","R5only","R3less"),"")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7">
        <f ca="1">IFERROR(VLOOKUP(B9,input_356100!L:R,7,FALSE),VLOOKUP(tables_356100!C9,input_356100!A:H,8,FALSE))</f>
        <v>7296</v>
      </c>
      <c r="P9" s="48">
        <v>1E-3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input_356100!A$2</f>
        <v>356100</v>
      </c>
      <c r="B10" s="6">
        <v>134</v>
      </c>
      <c r="C10" s="7" t="str">
        <f t="shared" si="0"/>
        <v>PremiumW3color</v>
      </c>
      <c r="D10" s="7" t="str">
        <f t="shared" si="1"/>
        <v>PremiumW</v>
      </c>
      <c r="E10" s="7" t="str">
        <f>IF(COUNTIF('R6追加前'!A:A,B10)=0,IF(I10="PremiumSS","R5only","R3less"),"")</f>
        <v/>
      </c>
      <c r="F10" s="7" t="str">
        <f>IF(COUNTIF('R6開放'!A:A,B10)&gt;0,"R6release","")</f>
        <v/>
      </c>
      <c r="G10" s="7" t="s">
        <v>240</v>
      </c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7">
        <f ca="1">IFERROR(VLOOKUP(B10,input_356100!L:R,7,FALSE),VLOOKUP(tables_356100!C10,input_356100!A:H,8,FALSE))</f>
        <v>0</v>
      </c>
      <c r="P10" s="48">
        <v>0.01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input_356100!A$2</f>
        <v>356100</v>
      </c>
      <c r="B11" s="6">
        <v>135</v>
      </c>
      <c r="C11" s="7" t="str">
        <f t="shared" si="0"/>
        <v>PremiumW4color</v>
      </c>
      <c r="D11" s="7" t="str">
        <f t="shared" si="1"/>
        <v>PremiumW</v>
      </c>
      <c r="E11" s="7" t="str">
        <f>IF(COUNTIF('R6追加前'!A:A,B11)=0,IF(I11="PremiumSS","R5only","R3less"),"")</f>
        <v/>
      </c>
      <c r="F11" s="7" t="str">
        <f>IF(COUNTIF('R6開放'!A:A,B11)&gt;0,"R6release","")</f>
        <v/>
      </c>
      <c r="G11" s="7" t="s">
        <v>240</v>
      </c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7">
        <f ca="1">IFERROR(VLOOKUP(B11,input_356100!L:R,7,FALSE),VLOOKUP(tables_356100!C11,input_356100!A:H,8,FALSE))</f>
        <v>29184</v>
      </c>
      <c r="P11" s="48">
        <v>8.9999999999999993E-3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input_356100!A$2</f>
        <v>356100</v>
      </c>
      <c r="B12" s="8">
        <v>136</v>
      </c>
      <c r="C12" s="7" t="str">
        <f t="shared" si="0"/>
        <v>PremiumW3color</v>
      </c>
      <c r="D12" s="7" t="str">
        <f t="shared" si="1"/>
        <v>PremiumW</v>
      </c>
      <c r="E12" s="7" t="str">
        <f>IF(COUNTIF('R6追加前'!A:A,B12)=0,IF(I12="PremiumSS","R5only","R3less"),"")</f>
        <v/>
      </c>
      <c r="F12" s="7" t="str">
        <f>IF(COUNTIF('R6開放'!A:A,B12)&gt;0,"R6release","")</f>
        <v/>
      </c>
      <c r="G12" s="7" t="s">
        <v>240</v>
      </c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7">
        <f ca="1">IFERROR(VLOOKUP(B12,input_356100!L:R,7,FALSE),VLOOKUP(tables_356100!C12,input_356100!A:H,8,FALSE))</f>
        <v>0</v>
      </c>
      <c r="P12" s="48">
        <v>1E-3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input_356100!A$2</f>
        <v>356100</v>
      </c>
      <c r="B13" s="8">
        <v>137</v>
      </c>
      <c r="C13" s="7" t="str">
        <f t="shared" si="0"/>
        <v>PremiumW4color</v>
      </c>
      <c r="D13" s="7" t="str">
        <f t="shared" si="1"/>
        <v>PremiumW</v>
      </c>
      <c r="E13" s="7" t="str">
        <f>IF(COUNTIF('R6追加前'!A:A,B13)=0,IF(I13="PremiumSS","R5only","R3less"),"")</f>
        <v/>
      </c>
      <c r="F13" s="7" t="str">
        <f>IF(COUNTIF('R6開放'!A:A,B13)&gt;0,"R6release","")</f>
        <v/>
      </c>
      <c r="G13" s="7" t="s">
        <v>240</v>
      </c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7">
        <f ca="1">IFERROR(VLOOKUP(B13,input_356100!L:R,7,FALSE),VLOOKUP(tables_356100!C13,input_356100!A:H,8,FALSE))</f>
        <v>29184</v>
      </c>
      <c r="P13" s="48">
        <v>0.01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input_356100!A$2</f>
        <v>356100</v>
      </c>
      <c r="B14" s="6">
        <v>138</v>
      </c>
      <c r="C14" s="7" t="str">
        <f t="shared" si="0"/>
        <v>PremiumW3</v>
      </c>
      <c r="D14" s="7" t="str">
        <f t="shared" si="1"/>
        <v>PremiumW</v>
      </c>
      <c r="E14" s="7" t="str">
        <f>IF(COUNTIF('R6追加前'!A:A,B14)=0,IF(I14="PremiumSS","R5only","R3less"),"")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7">
        <f ca="1">IFERROR(VLOOKUP(B14,input_356100!L:R,7,FALSE),VLOOKUP(tables_356100!C14,input_356100!A:H,8,FALSE))</f>
        <v>0</v>
      </c>
      <c r="P14" s="48">
        <v>8.9999999999999993E-3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input_356100!A$2</f>
        <v>356100</v>
      </c>
      <c r="B15" s="6">
        <v>139</v>
      </c>
      <c r="C15" s="7" t="str">
        <f t="shared" si="0"/>
        <v>PremiumW4</v>
      </c>
      <c r="D15" s="7" t="str">
        <f t="shared" si="1"/>
        <v>PremiumW</v>
      </c>
      <c r="E15" s="7" t="str">
        <f>IF(COUNTIF('R6追加前'!A:A,B15)=0,IF(I15="PremiumSS","R5only","R3less"),"")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7">
        <f ca="1">IFERROR(VLOOKUP(B15,input_356100!L:R,7,FALSE),VLOOKUP(tables_356100!C15,input_356100!A:H,8,FALSE))</f>
        <v>7296</v>
      </c>
      <c r="P15" s="48">
        <f t="shared" ref="P15:P78" ca="1" si="2">O15/SUM(O:O)</f>
        <v>4.9230769230769232E-3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input_356100!A$2</f>
        <v>356100</v>
      </c>
      <c r="B16" s="10">
        <v>140</v>
      </c>
      <c r="C16" s="7" t="str">
        <f t="shared" si="0"/>
        <v>PremiumW3</v>
      </c>
      <c r="D16" s="7" t="str">
        <f t="shared" si="1"/>
        <v>PremiumW</v>
      </c>
      <c r="E16" s="7" t="str">
        <f>IF(COUNTIF('R6追加前'!A:A,B16)=0,IF(I16="PremiumSS","R5only","R3less"),"")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7">
        <f ca="1">IFERROR(VLOOKUP(B16,input_356100!L:R,7,FALSE),VLOOKUP(tables_356100!C16,input_356100!A:H,8,FALSE))</f>
        <v>0</v>
      </c>
      <c r="P16" s="48">
        <f t="shared" ca="1" si="2"/>
        <v>0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input_356100!A$2</f>
        <v>356100</v>
      </c>
      <c r="B17" s="11">
        <v>141</v>
      </c>
      <c r="C17" s="7" t="str">
        <f t="shared" si="0"/>
        <v>PremiumW4</v>
      </c>
      <c r="D17" s="7" t="str">
        <f t="shared" si="1"/>
        <v>PremiumW</v>
      </c>
      <c r="E17" s="7" t="str">
        <f>IF(COUNTIF('R6追加前'!A:A,B17)=0,IF(I17="PremiumSS","R5only","R3less"),"")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7">
        <f ca="1">IFERROR(VLOOKUP(B17,input_356100!L:R,7,FALSE),VLOOKUP(tables_356100!C17,input_356100!A:H,8,FALSE))</f>
        <v>7296</v>
      </c>
      <c r="P17" s="48">
        <f t="shared" ca="1" si="2"/>
        <v>4.9230769230769232E-3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input_356100!A$2</f>
        <v>356100</v>
      </c>
      <c r="B18" s="6">
        <v>142</v>
      </c>
      <c r="C18" s="7" t="str">
        <f t="shared" si="0"/>
        <v>PremiumW3color</v>
      </c>
      <c r="D18" s="7" t="str">
        <f t="shared" si="1"/>
        <v>PremiumW</v>
      </c>
      <c r="E18" s="7" t="str">
        <f>IF(COUNTIF('R6追加前'!A:A,B18)=0,IF(I18="PremiumSS","R5only","R3less"),"")</f>
        <v/>
      </c>
      <c r="F18" s="7" t="str">
        <f>IF(COUNTIF('R6開放'!A:A,B18)&gt;0,"R6release","")</f>
        <v/>
      </c>
      <c r="G18" s="7" t="s">
        <v>240</v>
      </c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7">
        <f ca="1">IFERROR(VLOOKUP(B18,input_356100!L:R,7,FALSE),VLOOKUP(tables_356100!C18,input_356100!A:H,8,FALSE))</f>
        <v>0</v>
      </c>
      <c r="P18" s="48">
        <f t="shared" ca="1" si="2"/>
        <v>0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input_356100!A$2</f>
        <v>356100</v>
      </c>
      <c r="B19" s="6">
        <v>143</v>
      </c>
      <c r="C19" s="7" t="str">
        <f t="shared" si="0"/>
        <v>PremiumW4color</v>
      </c>
      <c r="D19" s="7" t="str">
        <f t="shared" si="1"/>
        <v>PremiumW</v>
      </c>
      <c r="E19" s="7" t="str">
        <f>IF(COUNTIF('R6追加前'!A:A,B19)=0,IF(I19="PremiumSS","R5only","R3less"),"")</f>
        <v/>
      </c>
      <c r="F19" s="7" t="str">
        <f>IF(COUNTIF('R6開放'!A:A,B19)&gt;0,"R6release","")</f>
        <v/>
      </c>
      <c r="G19" s="7" t="s">
        <v>240</v>
      </c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7">
        <f ca="1">IFERROR(VLOOKUP(B19,input_356100!L:R,7,FALSE),VLOOKUP(tables_356100!C19,input_356100!A:H,8,FALSE))</f>
        <v>29184</v>
      </c>
      <c r="P19" s="48">
        <f t="shared" ca="1" si="2"/>
        <v>1.9692307692307693E-2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input_356100!A$2</f>
        <v>356100</v>
      </c>
      <c r="B20" s="10">
        <v>144</v>
      </c>
      <c r="C20" s="7" t="str">
        <f t="shared" si="0"/>
        <v>PremiumW3color</v>
      </c>
      <c r="D20" s="7" t="str">
        <f t="shared" si="1"/>
        <v>PremiumW</v>
      </c>
      <c r="E20" s="7" t="str">
        <f>IF(COUNTIF('R6追加前'!A:A,B20)=0,IF(I20="PremiumSS","R5only","R3less"),"")</f>
        <v/>
      </c>
      <c r="F20" s="7" t="str">
        <f>IF(COUNTIF('R6開放'!A:A,B20)&gt;0,"R6release","")</f>
        <v/>
      </c>
      <c r="G20" s="7" t="s">
        <v>240</v>
      </c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7">
        <f ca="1">IFERROR(VLOOKUP(B20,input_356100!L:R,7,FALSE),VLOOKUP(tables_356100!C20,input_356100!A:H,8,FALSE))</f>
        <v>0</v>
      </c>
      <c r="P20" s="48">
        <f t="shared" ca="1" si="2"/>
        <v>0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input_356100!A$2</f>
        <v>356100</v>
      </c>
      <c r="B21" s="6">
        <v>145</v>
      </c>
      <c r="C21" s="7" t="str">
        <f t="shared" si="0"/>
        <v>PremiumW4color</v>
      </c>
      <c r="D21" s="7" t="str">
        <f t="shared" si="1"/>
        <v>PremiumW</v>
      </c>
      <c r="E21" s="7" t="str">
        <f>IF(COUNTIF('R6追加前'!A:A,B21)=0,IF(I21="PremiumSS","R5only","R3less"),"")</f>
        <v/>
      </c>
      <c r="F21" s="7" t="str">
        <f>IF(COUNTIF('R6開放'!A:A,B21)&gt;0,"R6release","")</f>
        <v/>
      </c>
      <c r="G21" s="7" t="s">
        <v>240</v>
      </c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7">
        <f ca="1">IFERROR(VLOOKUP(B21,input_356100!L:R,7,FALSE),VLOOKUP(tables_356100!C21,input_356100!A:H,8,FALSE))</f>
        <v>29184</v>
      </c>
      <c r="P21" s="48">
        <f t="shared" ca="1" si="2"/>
        <v>1.9692307692307693E-2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input_356100!A$2</f>
        <v>356100</v>
      </c>
      <c r="B22" s="6">
        <v>146</v>
      </c>
      <c r="C22" s="7" t="str">
        <f t="shared" si="0"/>
        <v>PremiumW3</v>
      </c>
      <c r="D22" s="7" t="str">
        <f t="shared" si="1"/>
        <v>PremiumW</v>
      </c>
      <c r="E22" s="7" t="str">
        <f>IF(COUNTIF('R6追加前'!A:A,B22)=0,IF(I22="PremiumSS","R5only","R3less"),"")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7">
        <f ca="1">IFERROR(VLOOKUP(B22,input_356100!L:R,7,FALSE),VLOOKUP(tables_356100!C22,input_356100!A:H,8,FALSE))</f>
        <v>0</v>
      </c>
      <c r="P22" s="48">
        <f t="shared" ca="1" si="2"/>
        <v>0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input_356100!A$2</f>
        <v>356100</v>
      </c>
      <c r="B23" s="6">
        <v>147</v>
      </c>
      <c r="C23" s="7" t="str">
        <f t="shared" si="0"/>
        <v>PremiumW4</v>
      </c>
      <c r="D23" s="7" t="str">
        <f t="shared" si="1"/>
        <v>PremiumW</v>
      </c>
      <c r="E23" s="7" t="str">
        <f>IF(COUNTIF('R6追加前'!A:A,B23)=0,IF(I23="PremiumSS","R5only","R3less"),"")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7">
        <f ca="1">IFERROR(VLOOKUP(B23,input_356100!L:R,7,FALSE),VLOOKUP(tables_356100!C23,input_356100!A:H,8,FALSE))</f>
        <v>7296</v>
      </c>
      <c r="P23" s="48">
        <f t="shared" ca="1" si="2"/>
        <v>4.9230769230769232E-3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input_356100!A$2</f>
        <v>356100</v>
      </c>
      <c r="B24" s="6">
        <v>148</v>
      </c>
      <c r="C24" s="7" t="str">
        <f t="shared" si="0"/>
        <v>PremiumW3</v>
      </c>
      <c r="D24" s="7" t="str">
        <f t="shared" si="1"/>
        <v>PremiumW</v>
      </c>
      <c r="E24" s="7" t="str">
        <f>IF(COUNTIF('R6追加前'!A:A,B24)=0,IF(I24="PremiumSS","R5only","R3less"),"")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7">
        <f ca="1">IFERROR(VLOOKUP(B24,input_356100!L:R,7,FALSE),VLOOKUP(tables_356100!C24,input_356100!A:H,8,FALSE))</f>
        <v>0</v>
      </c>
      <c r="P24" s="48">
        <f t="shared" ca="1" si="2"/>
        <v>0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input_356100!A$2</f>
        <v>356100</v>
      </c>
      <c r="B25" s="6">
        <v>149</v>
      </c>
      <c r="C25" s="7" t="str">
        <f t="shared" si="0"/>
        <v>PremiumW4</v>
      </c>
      <c r="D25" s="7" t="str">
        <f t="shared" si="1"/>
        <v>PremiumW</v>
      </c>
      <c r="E25" s="7" t="str">
        <f>IF(COUNTIF('R6追加前'!A:A,B25)=0,IF(I25="PremiumSS","R5only","R3less"),"")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7">
        <f ca="1">IFERROR(VLOOKUP(B25,input_356100!L:R,7,FALSE),VLOOKUP(tables_356100!C25,input_356100!A:H,8,FALSE))</f>
        <v>7296</v>
      </c>
      <c r="P25" s="48">
        <f t="shared" ca="1" si="2"/>
        <v>4.9230769230769232E-3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input_356100!A$2</f>
        <v>356100</v>
      </c>
      <c r="B26" s="6">
        <v>150</v>
      </c>
      <c r="C26" s="7" t="str">
        <f t="shared" si="0"/>
        <v>PremiumW3color</v>
      </c>
      <c r="D26" s="7" t="str">
        <f t="shared" si="1"/>
        <v>PremiumW</v>
      </c>
      <c r="E26" s="7" t="str">
        <f>IF(COUNTIF('R6追加前'!A:A,B26)=0,IF(I26="PremiumSS","R5only","R3less"),"")</f>
        <v/>
      </c>
      <c r="F26" s="7" t="str">
        <f>IF(COUNTIF('R6開放'!A:A,B26)&gt;0,"R6release","")</f>
        <v/>
      </c>
      <c r="G26" s="7" t="s">
        <v>240</v>
      </c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7">
        <f ca="1">IFERROR(VLOOKUP(B26,input_356100!L:R,7,FALSE),VLOOKUP(tables_356100!C26,input_356100!A:H,8,FALSE))</f>
        <v>0</v>
      </c>
      <c r="P26" s="48">
        <f t="shared" ca="1" si="2"/>
        <v>0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input_356100!A$2</f>
        <v>356100</v>
      </c>
      <c r="B27" s="6">
        <v>151</v>
      </c>
      <c r="C27" s="7" t="str">
        <f t="shared" si="0"/>
        <v>PremiumW4color</v>
      </c>
      <c r="D27" s="7" t="str">
        <f t="shared" si="1"/>
        <v>PremiumW</v>
      </c>
      <c r="E27" s="7" t="str">
        <f>IF(COUNTIF('R6追加前'!A:A,B27)=0,IF(I27="PremiumSS","R5only","R3less"),"")</f>
        <v/>
      </c>
      <c r="F27" s="7" t="str">
        <f>IF(COUNTIF('R6開放'!A:A,B27)&gt;0,"R6release","")</f>
        <v/>
      </c>
      <c r="G27" s="7" t="s">
        <v>240</v>
      </c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7">
        <f ca="1">IFERROR(VLOOKUP(B27,input_356100!L:R,7,FALSE),VLOOKUP(tables_356100!C27,input_356100!A:H,8,FALSE))</f>
        <v>29184</v>
      </c>
      <c r="P27" s="48">
        <f t="shared" ca="1" si="2"/>
        <v>1.9692307692307693E-2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input_356100!A$2</f>
        <v>356100</v>
      </c>
      <c r="B28" s="6">
        <v>152</v>
      </c>
      <c r="C28" s="7" t="str">
        <f t="shared" si="0"/>
        <v>PremiumW3color</v>
      </c>
      <c r="D28" s="7" t="str">
        <f t="shared" si="1"/>
        <v>PremiumW</v>
      </c>
      <c r="E28" s="7" t="str">
        <f>IF(COUNTIF('R6追加前'!A:A,B28)=0,IF(I28="PremiumSS","R5only","R3less"),"")</f>
        <v/>
      </c>
      <c r="F28" s="7" t="str">
        <f>IF(COUNTIF('R6開放'!A:A,B28)&gt;0,"R6release","")</f>
        <v/>
      </c>
      <c r="G28" s="7" t="s">
        <v>240</v>
      </c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7">
        <f ca="1">IFERROR(VLOOKUP(B28,input_356100!L:R,7,FALSE),VLOOKUP(tables_356100!C28,input_356100!A:H,8,FALSE))</f>
        <v>0</v>
      </c>
      <c r="P28" s="48">
        <f t="shared" ca="1" si="2"/>
        <v>0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input_356100!A$2</f>
        <v>356100</v>
      </c>
      <c r="B29" s="6">
        <v>153</v>
      </c>
      <c r="C29" s="7" t="str">
        <f t="shared" si="0"/>
        <v>PremiumW4color</v>
      </c>
      <c r="D29" s="7" t="str">
        <f t="shared" si="1"/>
        <v>PremiumW</v>
      </c>
      <c r="E29" s="7" t="str">
        <f>IF(COUNTIF('R6追加前'!A:A,B29)=0,IF(I29="PremiumSS","R5only","R3less"),"")</f>
        <v/>
      </c>
      <c r="F29" s="7" t="str">
        <f>IF(COUNTIF('R6開放'!A:A,B29)&gt;0,"R6release","")</f>
        <v/>
      </c>
      <c r="G29" s="7" t="s">
        <v>240</v>
      </c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7">
        <f ca="1">IFERROR(VLOOKUP(B29,input_356100!L:R,7,FALSE),VLOOKUP(tables_356100!C29,input_356100!A:H,8,FALSE))</f>
        <v>29184</v>
      </c>
      <c r="P29" s="48">
        <f t="shared" ca="1" si="2"/>
        <v>1.9692307692307693E-2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input_356100!A$2</f>
        <v>356100</v>
      </c>
      <c r="B30" s="6">
        <v>154</v>
      </c>
      <c r="C30" s="7" t="str">
        <f t="shared" si="0"/>
        <v>PremiumW3</v>
      </c>
      <c r="D30" s="7" t="str">
        <f t="shared" si="1"/>
        <v>PremiumW</v>
      </c>
      <c r="E30" s="7" t="str">
        <f>IF(COUNTIF('R6追加前'!A:A,B30)=0,IF(I30="PremiumSS","R5only","R3less"),"")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7">
        <f ca="1">IFERROR(VLOOKUP(B30,input_356100!L:R,7,FALSE),VLOOKUP(tables_356100!C30,input_356100!A:H,8,FALSE))</f>
        <v>0</v>
      </c>
      <c r="P30" s="48">
        <f t="shared" ca="1" si="2"/>
        <v>0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input_356100!A$2</f>
        <v>356100</v>
      </c>
      <c r="B31" s="6">
        <v>155</v>
      </c>
      <c r="C31" s="7" t="str">
        <f t="shared" si="0"/>
        <v>PremiumW4</v>
      </c>
      <c r="D31" s="7" t="str">
        <f t="shared" si="1"/>
        <v>PremiumW</v>
      </c>
      <c r="E31" s="7" t="str">
        <f>IF(COUNTIF('R6追加前'!A:A,B31)=0,IF(I31="PremiumSS","R5only","R3less"),"")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7">
        <f ca="1">IFERROR(VLOOKUP(B31,input_356100!L:R,7,FALSE),VLOOKUP(tables_356100!C31,input_356100!A:H,8,FALSE))</f>
        <v>7296</v>
      </c>
      <c r="P31" s="48">
        <f t="shared" ca="1" si="2"/>
        <v>4.9230769230769232E-3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input_356100!A$2</f>
        <v>356100</v>
      </c>
      <c r="B32" s="6">
        <v>156</v>
      </c>
      <c r="C32" s="7" t="str">
        <f t="shared" si="0"/>
        <v>PremiumW3</v>
      </c>
      <c r="D32" s="7" t="str">
        <f t="shared" si="1"/>
        <v>PremiumW</v>
      </c>
      <c r="E32" s="7" t="str">
        <f>IF(COUNTIF('R6追加前'!A:A,B32)=0,IF(I32="PremiumSS","R5only","R3less"),"")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7">
        <f ca="1">IFERROR(VLOOKUP(B32,input_356100!L:R,7,FALSE),VLOOKUP(tables_356100!C32,input_356100!A:H,8,FALSE))</f>
        <v>0</v>
      </c>
      <c r="P32" s="48">
        <f t="shared" ca="1" si="2"/>
        <v>0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input_356100!A$2</f>
        <v>356100</v>
      </c>
      <c r="B33" s="6">
        <v>157</v>
      </c>
      <c r="C33" s="7" t="str">
        <f t="shared" si="0"/>
        <v>PremiumW4</v>
      </c>
      <c r="D33" s="7" t="str">
        <f t="shared" si="1"/>
        <v>PremiumW</v>
      </c>
      <c r="E33" s="7" t="str">
        <f>IF(COUNTIF('R6追加前'!A:A,B33)=0,IF(I33="PremiumSS","R5only","R3less"),"")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7">
        <f ca="1">IFERROR(VLOOKUP(B33,input_356100!L:R,7,FALSE),VLOOKUP(tables_356100!C33,input_356100!A:H,8,FALSE))</f>
        <v>7296</v>
      </c>
      <c r="P33" s="48">
        <f t="shared" ca="1" si="2"/>
        <v>4.9230769230769232E-3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input_356100!A$2</f>
        <v>356100</v>
      </c>
      <c r="B34" s="6">
        <v>158</v>
      </c>
      <c r="C34" s="7" t="str">
        <f t="shared" si="0"/>
        <v>PremiumW3color</v>
      </c>
      <c r="D34" s="7" t="str">
        <f t="shared" si="1"/>
        <v>PremiumW</v>
      </c>
      <c r="E34" s="7" t="str">
        <f>IF(COUNTIF('R6追加前'!A:A,B34)=0,IF(I34="PremiumSS","R5only","R3less"),"")</f>
        <v/>
      </c>
      <c r="F34" s="7" t="str">
        <f>IF(COUNTIF('R6開放'!A:A,B34)&gt;0,"R6release","")</f>
        <v/>
      </c>
      <c r="G34" s="7" t="s">
        <v>240</v>
      </c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7">
        <f ca="1">IFERROR(VLOOKUP(B34,input_356100!L:R,7,FALSE),VLOOKUP(tables_356100!C34,input_356100!A:H,8,FALSE))</f>
        <v>0</v>
      </c>
      <c r="P34" s="48">
        <f t="shared" ca="1" si="2"/>
        <v>0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input_356100!A$2</f>
        <v>356100</v>
      </c>
      <c r="B35" s="6">
        <v>159</v>
      </c>
      <c r="C35" s="7" t="str">
        <f t="shared" si="0"/>
        <v>PremiumW4color</v>
      </c>
      <c r="D35" s="7" t="str">
        <f t="shared" si="1"/>
        <v>PremiumW</v>
      </c>
      <c r="E35" s="7" t="str">
        <f>IF(COUNTIF('R6追加前'!A:A,B35)=0,IF(I35="PremiumSS","R5only","R3less"),"")</f>
        <v/>
      </c>
      <c r="F35" s="7" t="str">
        <f>IF(COUNTIF('R6開放'!A:A,B35)&gt;0,"R6release","")</f>
        <v/>
      </c>
      <c r="G35" s="7" t="s">
        <v>240</v>
      </c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7">
        <f ca="1">IFERROR(VLOOKUP(B35,input_356100!L:R,7,FALSE),VLOOKUP(tables_356100!C35,input_356100!A:H,8,FALSE))</f>
        <v>29184</v>
      </c>
      <c r="P35" s="48">
        <f t="shared" ca="1" si="2"/>
        <v>1.9692307692307693E-2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input_356100!A$2</f>
        <v>356100</v>
      </c>
      <c r="B36" s="6">
        <v>160</v>
      </c>
      <c r="C36" s="7" t="str">
        <f t="shared" si="0"/>
        <v>PremiumW3color</v>
      </c>
      <c r="D36" s="7" t="str">
        <f t="shared" si="1"/>
        <v>PremiumW</v>
      </c>
      <c r="E36" s="7" t="str">
        <f>IF(COUNTIF('R6追加前'!A:A,B36)=0,IF(I36="PremiumSS","R5only","R3less"),"")</f>
        <v/>
      </c>
      <c r="F36" s="7" t="str">
        <f>IF(COUNTIF('R6開放'!A:A,B36)&gt;0,"R6release","")</f>
        <v/>
      </c>
      <c r="G36" s="7" t="s">
        <v>240</v>
      </c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7">
        <f ca="1">IFERROR(VLOOKUP(B36,input_356100!L:R,7,FALSE),VLOOKUP(tables_356100!C36,input_356100!A:H,8,FALSE))</f>
        <v>0</v>
      </c>
      <c r="P36" s="48">
        <f t="shared" ca="1" si="2"/>
        <v>0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input_356100!A$2</f>
        <v>356100</v>
      </c>
      <c r="B37" s="6">
        <v>161</v>
      </c>
      <c r="C37" s="7" t="str">
        <f t="shared" si="0"/>
        <v>PremiumW4color</v>
      </c>
      <c r="D37" s="7" t="str">
        <f t="shared" si="1"/>
        <v>PremiumW</v>
      </c>
      <c r="E37" s="7" t="str">
        <f>IF(COUNTIF('R6追加前'!A:A,B37)=0,IF(I37="PremiumSS","R5only","R3less"),"")</f>
        <v/>
      </c>
      <c r="F37" s="7" t="str">
        <f>IF(COUNTIF('R6開放'!A:A,B37)&gt;0,"R6release","")</f>
        <v/>
      </c>
      <c r="G37" s="7" t="s">
        <v>240</v>
      </c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7">
        <f ca="1">IFERROR(VLOOKUP(B37,input_356100!L:R,7,FALSE),VLOOKUP(tables_356100!C37,input_356100!A:H,8,FALSE))</f>
        <v>29184</v>
      </c>
      <c r="P37" s="48">
        <f t="shared" ca="1" si="2"/>
        <v>1.9692307692307693E-2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input_356100!A$2</f>
        <v>356100</v>
      </c>
      <c r="B38" s="6">
        <v>162</v>
      </c>
      <c r="C38" s="7" t="str">
        <f t="shared" si="0"/>
        <v>PremiumW3</v>
      </c>
      <c r="D38" s="7" t="str">
        <f t="shared" si="1"/>
        <v>PremiumW</v>
      </c>
      <c r="E38" s="7" t="str">
        <f>IF(COUNTIF('R6追加前'!A:A,B38)=0,IF(I38="PremiumSS","R5only","R3less"),"")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7">
        <f ca="1">IFERROR(VLOOKUP(B38,input_356100!L:R,7,FALSE),VLOOKUP(tables_356100!C38,input_356100!A:H,8,FALSE))</f>
        <v>0</v>
      </c>
      <c r="P38" s="48">
        <f t="shared" ca="1" si="2"/>
        <v>0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input_356100!A$2</f>
        <v>356100</v>
      </c>
      <c r="B39" s="6">
        <v>163</v>
      </c>
      <c r="C39" s="7" t="str">
        <f t="shared" si="0"/>
        <v>PremiumW4</v>
      </c>
      <c r="D39" s="7" t="str">
        <f t="shared" si="1"/>
        <v>PremiumW</v>
      </c>
      <c r="E39" s="7" t="str">
        <f>IF(COUNTIF('R6追加前'!A:A,B39)=0,IF(I39="PremiumSS","R5only","R3less"),"")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7">
        <f ca="1">IFERROR(VLOOKUP(B39,input_356100!L:R,7,FALSE),VLOOKUP(tables_356100!C39,input_356100!A:H,8,FALSE))</f>
        <v>7296</v>
      </c>
      <c r="P39" s="48">
        <f t="shared" ca="1" si="2"/>
        <v>4.9230769230769232E-3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input_356100!A$2</f>
        <v>356100</v>
      </c>
      <c r="B40" s="6">
        <v>164</v>
      </c>
      <c r="C40" s="7" t="str">
        <f t="shared" si="0"/>
        <v>PremiumW3</v>
      </c>
      <c r="D40" s="7" t="str">
        <f t="shared" si="1"/>
        <v>PremiumW</v>
      </c>
      <c r="E40" s="7" t="str">
        <f>IF(COUNTIF('R6追加前'!A:A,B40)=0,IF(I40="PremiumSS","R5only","R3less"),"")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7">
        <f ca="1">IFERROR(VLOOKUP(B40,input_356100!L:R,7,FALSE),VLOOKUP(tables_356100!C40,input_356100!A:H,8,FALSE))</f>
        <v>0</v>
      </c>
      <c r="P40" s="48">
        <f t="shared" ca="1" si="2"/>
        <v>0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input_356100!A$2</f>
        <v>356100</v>
      </c>
      <c r="B41" s="6">
        <v>165</v>
      </c>
      <c r="C41" s="7" t="str">
        <f t="shared" si="0"/>
        <v>PremiumW4</v>
      </c>
      <c r="D41" s="7" t="str">
        <f t="shared" si="1"/>
        <v>PremiumW</v>
      </c>
      <c r="E41" s="7" t="str">
        <f>IF(COUNTIF('R6追加前'!A:A,B41)=0,IF(I41="PremiumSS","R5only","R3less"),"")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7">
        <f ca="1">IFERROR(VLOOKUP(B41,input_356100!L:R,7,FALSE),VLOOKUP(tables_356100!C41,input_356100!A:H,8,FALSE))</f>
        <v>7296</v>
      </c>
      <c r="P41" s="48">
        <f t="shared" ca="1" si="2"/>
        <v>4.9230769230769232E-3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input_356100!A$2</f>
        <v>356100</v>
      </c>
      <c r="B42" s="6">
        <v>166</v>
      </c>
      <c r="C42" s="7" t="str">
        <f t="shared" si="0"/>
        <v>Premium3R6releasecolor</v>
      </c>
      <c r="D42" s="7" t="str">
        <f t="shared" si="1"/>
        <v>Premium</v>
      </c>
      <c r="E42" s="7" t="str">
        <f>IF(COUNTIF('R6追加前'!A:A,B42)=0,IF(I42="PremiumSS","R5only","R3less"),"")</f>
        <v/>
      </c>
      <c r="F42" s="7" t="str">
        <f>IF(COUNTIF('R6開放'!A:A,B42)&gt;0,"R6release","")</f>
        <v>R6release</v>
      </c>
      <c r="G42" s="7" t="s">
        <v>240</v>
      </c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7">
        <f ca="1">IFERROR(VLOOKUP(B42,input_356100!L:R,7,FALSE),VLOOKUP(tables_356100!C42,input_356100!A:H,8,FALSE))</f>
        <v>0</v>
      </c>
      <c r="P42" s="48">
        <f t="shared" ca="1" si="2"/>
        <v>0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input_356100!A$2</f>
        <v>356100</v>
      </c>
      <c r="B43" s="6">
        <v>167</v>
      </c>
      <c r="C43" s="7" t="str">
        <f t="shared" si="0"/>
        <v>Premium4R6releasecolor</v>
      </c>
      <c r="D43" s="7" t="str">
        <f t="shared" si="1"/>
        <v>Premium</v>
      </c>
      <c r="E43" s="7" t="str">
        <f>IF(COUNTIF('R6追加前'!A:A,B43)=0,IF(I43="PremiumSS","R5only","R3less"),"")</f>
        <v/>
      </c>
      <c r="F43" s="7" t="str">
        <f>IF(COUNTIF('R6開放'!A:A,B43)&gt;0,"R6release","")</f>
        <v>R6release</v>
      </c>
      <c r="G43" s="7" t="s">
        <v>240</v>
      </c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7">
        <f ca="1">IFERROR(VLOOKUP(B43,input_356100!L:R,7,FALSE),VLOOKUP(tables_356100!C43,input_356100!A:H,8,FALSE))</f>
        <v>1778.4</v>
      </c>
      <c r="P43" s="48">
        <f t="shared" ca="1" si="2"/>
        <v>1.2000000000000001E-3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input_356100!A$2</f>
        <v>356100</v>
      </c>
      <c r="B44" s="6">
        <v>168</v>
      </c>
      <c r="C44" s="7" t="str">
        <f t="shared" si="0"/>
        <v>Premium5R6releasecolor</v>
      </c>
      <c r="D44" s="7" t="str">
        <f t="shared" si="1"/>
        <v>Premium</v>
      </c>
      <c r="E44" s="7" t="str">
        <f>IF(COUNTIF('R6追加前'!A:A,B44)=0,IF(I44="PremiumSS","R5only","R3less"),"")</f>
        <v/>
      </c>
      <c r="F44" s="7" t="str">
        <f>IF(COUNTIF('R6開放'!A:A,B44)&gt;0,"R6release","")</f>
        <v>R6release</v>
      </c>
      <c r="G44" s="7" t="s">
        <v>240</v>
      </c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7">
        <f ca="1">IFERROR(VLOOKUP(B44,input_356100!L:R,7,FALSE),VLOOKUP(tables_356100!C44,input_356100!A:H,8,FALSE))</f>
        <v>93.6</v>
      </c>
      <c r="P44" s="48">
        <f t="shared" ca="1" si="2"/>
        <v>6.3157894736842103E-5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input_356100!A$2</f>
        <v>356100</v>
      </c>
      <c r="B45" s="6">
        <v>169</v>
      </c>
      <c r="C45" s="7" t="str">
        <f t="shared" si="0"/>
        <v>Premium3R6releasecolor</v>
      </c>
      <c r="D45" s="7" t="str">
        <f t="shared" si="1"/>
        <v>Premium</v>
      </c>
      <c r="E45" s="7" t="str">
        <f>IF(COUNTIF('R6追加前'!A:A,B45)=0,IF(I45="PremiumSS","R5only","R3less"),"")</f>
        <v/>
      </c>
      <c r="F45" s="7" t="str">
        <f>IF(COUNTIF('R6開放'!A:A,B45)&gt;0,"R6release","")</f>
        <v>R6release</v>
      </c>
      <c r="G45" s="7" t="s">
        <v>240</v>
      </c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7">
        <f ca="1">IFERROR(VLOOKUP(B45,input_356100!L:R,7,FALSE),VLOOKUP(tables_356100!C45,input_356100!A:H,8,FALSE))</f>
        <v>0</v>
      </c>
      <c r="P45" s="48">
        <f t="shared" ca="1" si="2"/>
        <v>0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input_356100!A$2</f>
        <v>356100</v>
      </c>
      <c r="B46" s="6">
        <v>170</v>
      </c>
      <c r="C46" s="7" t="str">
        <f t="shared" si="0"/>
        <v>Premium4R6releasecolor</v>
      </c>
      <c r="D46" s="7" t="str">
        <f t="shared" si="1"/>
        <v>Premium</v>
      </c>
      <c r="E46" s="7" t="str">
        <f>IF(COUNTIF('R6追加前'!A:A,B46)=0,IF(I46="PremiumSS","R5only","R3less"),"")</f>
        <v/>
      </c>
      <c r="F46" s="7" t="str">
        <f>IF(COUNTIF('R6開放'!A:A,B46)&gt;0,"R6release","")</f>
        <v>R6release</v>
      </c>
      <c r="G46" s="7" t="s">
        <v>240</v>
      </c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7">
        <f ca="1">IFERROR(VLOOKUP(B46,input_356100!L:R,7,FALSE),VLOOKUP(tables_356100!C46,input_356100!A:H,8,FALSE))</f>
        <v>1778.4</v>
      </c>
      <c r="P46" s="48">
        <f t="shared" ca="1" si="2"/>
        <v>1.2000000000000001E-3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input_356100!A$2</f>
        <v>356100</v>
      </c>
      <c r="B47" s="6">
        <v>171</v>
      </c>
      <c r="C47" s="7" t="str">
        <f t="shared" si="0"/>
        <v>Premium5R6releasecolor</v>
      </c>
      <c r="D47" s="7" t="str">
        <f t="shared" si="1"/>
        <v>Premium</v>
      </c>
      <c r="E47" s="7" t="str">
        <f>IF(COUNTIF('R6追加前'!A:A,B47)=0,IF(I47="PremiumSS","R5only","R3less"),"")</f>
        <v/>
      </c>
      <c r="F47" s="7" t="str">
        <f>IF(COUNTIF('R6開放'!A:A,B47)&gt;0,"R6release","")</f>
        <v>R6release</v>
      </c>
      <c r="G47" s="7" t="s">
        <v>240</v>
      </c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7">
        <f ca="1">IFERROR(VLOOKUP(B47,input_356100!L:R,7,FALSE),VLOOKUP(tables_356100!C47,input_356100!A:H,8,FALSE))</f>
        <v>93.6</v>
      </c>
      <c r="P47" s="48">
        <f t="shared" ca="1" si="2"/>
        <v>6.3157894736842103E-5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input_356100!A$2</f>
        <v>356100</v>
      </c>
      <c r="B48" s="6">
        <v>172</v>
      </c>
      <c r="C48" s="7" t="str">
        <f t="shared" si="0"/>
        <v>Premium3R6release</v>
      </c>
      <c r="D48" s="7" t="str">
        <f t="shared" si="1"/>
        <v>Premium</v>
      </c>
      <c r="E48" s="7" t="str">
        <f>IF(COUNTIF('R6追加前'!A:A,B48)=0,IF(I48="PremiumSS","R5only","R3less"),"")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7">
        <f ca="1">IFERROR(VLOOKUP(B48,input_356100!L:R,7,FALSE),VLOOKUP(tables_356100!C48,input_356100!A:H,8,FALSE))</f>
        <v>0</v>
      </c>
      <c r="P48" s="48">
        <f t="shared" ca="1" si="2"/>
        <v>0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input_356100!A$2</f>
        <v>356100</v>
      </c>
      <c r="B49" s="6">
        <v>173</v>
      </c>
      <c r="C49" s="7" t="str">
        <f t="shared" si="0"/>
        <v>Premium4R6release</v>
      </c>
      <c r="D49" s="7" t="str">
        <f t="shared" si="1"/>
        <v>Premium</v>
      </c>
      <c r="E49" s="7" t="str">
        <f>IF(COUNTIF('R6追加前'!A:A,B49)=0,IF(I49="PremiumSS","R5only","R3less"),"")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7">
        <f ca="1">IFERROR(VLOOKUP(B49,input_356100!L:R,7,FALSE),VLOOKUP(tables_356100!C49,input_356100!A:H,8,FALSE))</f>
        <v>444.6</v>
      </c>
      <c r="P49" s="48">
        <f t="shared" ca="1" si="2"/>
        <v>3.0000000000000003E-4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input_356100!A$2</f>
        <v>356100</v>
      </c>
      <c r="B50" s="6">
        <v>174</v>
      </c>
      <c r="C50" s="7" t="str">
        <f t="shared" si="0"/>
        <v>Premium5R6release</v>
      </c>
      <c r="D50" s="7" t="str">
        <f t="shared" si="1"/>
        <v>Premium</v>
      </c>
      <c r="E50" s="7" t="str">
        <f>IF(COUNTIF('R6追加前'!A:A,B50)=0,IF(I50="PremiumSS","R5only","R3less"),"")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7">
        <f ca="1">IFERROR(VLOOKUP(B50,input_356100!L:R,7,FALSE),VLOOKUP(tables_356100!C50,input_356100!A:H,8,FALSE))</f>
        <v>23.4</v>
      </c>
      <c r="P50" s="48">
        <f t="shared" ca="1" si="2"/>
        <v>1.5789473684210526E-5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input_356100!A$2</f>
        <v>356100</v>
      </c>
      <c r="B51" s="6">
        <v>175</v>
      </c>
      <c r="C51" s="7" t="str">
        <f t="shared" si="0"/>
        <v>Premium3</v>
      </c>
      <c r="D51" s="7" t="str">
        <f t="shared" si="1"/>
        <v>Premium</v>
      </c>
      <c r="E51" s="7" t="str">
        <f>IF(COUNTIF('R6追加前'!A:A,B51)=0,IF(I51="PremiumSS","R5only","R3less"),"")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7">
        <f ca="1">IFERROR(VLOOKUP(B51,input_356100!L:R,7,FALSE),VLOOKUP(tables_356100!C51,input_356100!A:H,8,FALSE))</f>
        <v>0</v>
      </c>
      <c r="P51" s="48">
        <f t="shared" ca="1" si="2"/>
        <v>0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input_356100!A$2</f>
        <v>356100</v>
      </c>
      <c r="B52" s="6">
        <v>176</v>
      </c>
      <c r="C52" s="7" t="str">
        <f t="shared" si="0"/>
        <v>Premium4</v>
      </c>
      <c r="D52" s="7" t="str">
        <f t="shared" si="1"/>
        <v>Premium</v>
      </c>
      <c r="E52" s="7" t="str">
        <f>IF(COUNTIF('R6追加前'!A:A,B52)=0,IF(I52="PremiumSS","R5only","R3less"),"")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7">
        <f ca="1">IFERROR(VLOOKUP(B52,input_356100!L:R,7,FALSE),VLOOKUP(tables_356100!C52,input_356100!A:H,8,FALSE))</f>
        <v>6931.2</v>
      </c>
      <c r="P52" s="48">
        <f t="shared" ca="1" si="2"/>
        <v>4.6769230769230768E-3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input_356100!A$2</f>
        <v>356100</v>
      </c>
      <c r="B53" s="6">
        <v>177</v>
      </c>
      <c r="C53" s="7" t="str">
        <f t="shared" si="0"/>
        <v>Premium5</v>
      </c>
      <c r="D53" s="7" t="str">
        <f t="shared" si="1"/>
        <v>Premium</v>
      </c>
      <c r="E53" s="7" t="str">
        <f>IF(COUNTIF('R6追加前'!A:A,B53)=0,IF(I53="PremiumSS","R5only","R3less"),"")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7">
        <f ca="1">IFERROR(VLOOKUP(B53,input_356100!L:R,7,FALSE),VLOOKUP(tables_356100!C53,input_356100!A:H,8,FALSE))</f>
        <v>364.8</v>
      </c>
      <c r="P53" s="48">
        <f t="shared" ca="1" si="2"/>
        <v>2.4615384615384614E-4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input_356100!A$2</f>
        <v>356100</v>
      </c>
      <c r="B54" s="6">
        <v>178</v>
      </c>
      <c r="C54" s="7" t="str">
        <f t="shared" si="0"/>
        <v>Premium3color</v>
      </c>
      <c r="D54" s="7" t="str">
        <f t="shared" si="1"/>
        <v>Premium</v>
      </c>
      <c r="E54" s="7" t="str">
        <f>IF(COUNTIF('R6追加前'!A:A,B54)=0,IF(I54="PremiumSS","R5only","R3less"),"")</f>
        <v/>
      </c>
      <c r="F54" s="7" t="str">
        <f>IF(COUNTIF('R6開放'!A:A,B54)&gt;0,"R6release","")</f>
        <v/>
      </c>
      <c r="G54" s="7" t="s">
        <v>240</v>
      </c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7">
        <f ca="1">IFERROR(VLOOKUP(B54,input_356100!L:R,7,FALSE),VLOOKUP(tables_356100!C54,input_356100!A:H,8,FALSE))</f>
        <v>0</v>
      </c>
      <c r="P54" s="48">
        <f t="shared" ca="1" si="2"/>
        <v>0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input_356100!A$2</f>
        <v>356100</v>
      </c>
      <c r="B55" s="6">
        <v>179</v>
      </c>
      <c r="C55" s="7" t="str">
        <f t="shared" si="0"/>
        <v>Premium4color</v>
      </c>
      <c r="D55" s="7" t="str">
        <f t="shared" si="1"/>
        <v>Premium</v>
      </c>
      <c r="E55" s="7" t="str">
        <f>IF(COUNTIF('R6追加前'!A:A,B55)=0,IF(I55="PremiumSS","R5only","R3less"),"")</f>
        <v/>
      </c>
      <c r="F55" s="7" t="str">
        <f>IF(COUNTIF('R6開放'!A:A,B55)&gt;0,"R6release","")</f>
        <v/>
      </c>
      <c r="G55" s="7" t="s">
        <v>240</v>
      </c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7">
        <f ca="1">IFERROR(VLOOKUP(B55,input_356100!L:R,7,FALSE),VLOOKUP(tables_356100!C55,input_356100!A:H,8,FALSE))</f>
        <v>27724.799999999999</v>
      </c>
      <c r="P55" s="48">
        <f t="shared" ca="1" si="2"/>
        <v>1.8707692307692307E-2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input_356100!A$2</f>
        <v>356100</v>
      </c>
      <c r="B56" s="6">
        <v>180</v>
      </c>
      <c r="C56" s="7" t="str">
        <f t="shared" si="0"/>
        <v>Premium5color</v>
      </c>
      <c r="D56" s="7" t="str">
        <f t="shared" si="1"/>
        <v>Premium</v>
      </c>
      <c r="E56" s="7" t="str">
        <f>IF(COUNTIF('R6追加前'!A:A,B56)=0,IF(I56="PremiumSS","R5only","R3less"),"")</f>
        <v/>
      </c>
      <c r="F56" s="7" t="str">
        <f>IF(COUNTIF('R6開放'!A:A,B56)&gt;0,"R6release","")</f>
        <v/>
      </c>
      <c r="G56" s="7" t="s">
        <v>240</v>
      </c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7">
        <f ca="1">IFERROR(VLOOKUP(B56,input_356100!L:R,7,FALSE),VLOOKUP(tables_356100!C56,input_356100!A:H,8,FALSE))</f>
        <v>1459.2</v>
      </c>
      <c r="P56" s="48">
        <f t="shared" ca="1" si="2"/>
        <v>9.8461538461538456E-4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input_356100!A$2</f>
        <v>356100</v>
      </c>
      <c r="B57" s="6">
        <v>181</v>
      </c>
      <c r="C57" s="7" t="str">
        <f t="shared" si="0"/>
        <v>Premium3color</v>
      </c>
      <c r="D57" s="7" t="str">
        <f t="shared" si="1"/>
        <v>Premium</v>
      </c>
      <c r="E57" s="7" t="str">
        <f>IF(COUNTIF('R6追加前'!A:A,B57)=0,IF(I57="PremiumSS","R5only","R3less"),"")</f>
        <v/>
      </c>
      <c r="F57" s="7" t="str">
        <f>IF(COUNTIF('R6開放'!A:A,B57)&gt;0,"R6release","")</f>
        <v/>
      </c>
      <c r="G57" s="7" t="s">
        <v>240</v>
      </c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7">
        <f ca="1">IFERROR(VLOOKUP(B57,input_356100!L:R,7,FALSE),VLOOKUP(tables_356100!C57,input_356100!A:H,8,FALSE))</f>
        <v>0</v>
      </c>
      <c r="P57" s="48">
        <f t="shared" ca="1" si="2"/>
        <v>0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input_356100!A$2</f>
        <v>356100</v>
      </c>
      <c r="B58" s="6">
        <v>182</v>
      </c>
      <c r="C58" s="7" t="str">
        <f t="shared" si="0"/>
        <v>Premium4color</v>
      </c>
      <c r="D58" s="7" t="str">
        <f t="shared" si="1"/>
        <v>Premium</v>
      </c>
      <c r="E58" s="7" t="str">
        <f>IF(COUNTIF('R6追加前'!A:A,B58)=0,IF(I58="PremiumSS","R5only","R3less"),"")</f>
        <v/>
      </c>
      <c r="F58" s="7" t="str">
        <f>IF(COUNTIF('R6開放'!A:A,B58)&gt;0,"R6release","")</f>
        <v/>
      </c>
      <c r="G58" s="7" t="s">
        <v>240</v>
      </c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7">
        <f ca="1">IFERROR(VLOOKUP(B58,input_356100!L:R,7,FALSE),VLOOKUP(tables_356100!C58,input_356100!A:H,8,FALSE))</f>
        <v>27724.799999999999</v>
      </c>
      <c r="P58" s="48">
        <f t="shared" ca="1" si="2"/>
        <v>1.8707692307692307E-2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input_356100!A$2</f>
        <v>356100</v>
      </c>
      <c r="B59" s="6">
        <v>183</v>
      </c>
      <c r="C59" s="7" t="str">
        <f t="shared" si="0"/>
        <v>Premium5color</v>
      </c>
      <c r="D59" s="7" t="str">
        <f t="shared" si="1"/>
        <v>Premium</v>
      </c>
      <c r="E59" s="7" t="str">
        <f>IF(COUNTIF('R6追加前'!A:A,B59)=0,IF(I59="PremiumSS","R5only","R3less"),"")</f>
        <v/>
      </c>
      <c r="F59" s="7" t="str">
        <f>IF(COUNTIF('R6開放'!A:A,B59)&gt;0,"R6release","")</f>
        <v/>
      </c>
      <c r="G59" s="7" t="s">
        <v>240</v>
      </c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7">
        <f ca="1">IFERROR(VLOOKUP(B59,input_356100!L:R,7,FALSE),VLOOKUP(tables_356100!C59,input_356100!A:H,8,FALSE))</f>
        <v>1459.2</v>
      </c>
      <c r="P59" s="48">
        <f t="shared" ca="1" si="2"/>
        <v>9.8461538461538456E-4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input_356100!A$2</f>
        <v>356100</v>
      </c>
      <c r="B60" s="6">
        <v>184</v>
      </c>
      <c r="C60" s="7" t="str">
        <f t="shared" si="0"/>
        <v>Premium3</v>
      </c>
      <c r="D60" s="7" t="str">
        <f t="shared" si="1"/>
        <v>Premium</v>
      </c>
      <c r="E60" s="7" t="str">
        <f>IF(COUNTIF('R6追加前'!A:A,B60)=0,IF(I60="PremiumSS","R5only","R3less"),"")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7">
        <f ca="1">IFERROR(VLOOKUP(B60,input_356100!L:R,7,FALSE),VLOOKUP(tables_356100!C60,input_356100!A:H,8,FALSE))</f>
        <v>0</v>
      </c>
      <c r="P60" s="48">
        <f t="shared" ca="1" si="2"/>
        <v>0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input_356100!A$2</f>
        <v>356100</v>
      </c>
      <c r="B61" s="6">
        <v>185</v>
      </c>
      <c r="C61" s="7" t="str">
        <f t="shared" si="0"/>
        <v>Premium4</v>
      </c>
      <c r="D61" s="7" t="str">
        <f t="shared" si="1"/>
        <v>Premium</v>
      </c>
      <c r="E61" s="7" t="str">
        <f>IF(COUNTIF('R6追加前'!A:A,B61)=0,IF(I61="PremiumSS","R5only","R3less"),"")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7">
        <f ca="1">IFERROR(VLOOKUP(B61,input_356100!L:R,7,FALSE),VLOOKUP(tables_356100!C61,input_356100!A:H,8,FALSE))</f>
        <v>6931.2</v>
      </c>
      <c r="P61" s="48">
        <f t="shared" ca="1" si="2"/>
        <v>4.6769230769230768E-3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input_356100!A$2</f>
        <v>356100</v>
      </c>
      <c r="B62" s="8">
        <v>186</v>
      </c>
      <c r="C62" s="7" t="str">
        <f t="shared" si="0"/>
        <v>Premium5</v>
      </c>
      <c r="D62" s="7" t="str">
        <f t="shared" si="1"/>
        <v>Premium</v>
      </c>
      <c r="E62" s="7" t="str">
        <f>IF(COUNTIF('R6追加前'!A:A,B62)=0,IF(I62="PremiumSS","R5only","R3less"),"")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7">
        <f ca="1">IFERROR(VLOOKUP(B62,input_356100!L:R,7,FALSE),VLOOKUP(tables_356100!C62,input_356100!A:H,8,FALSE))</f>
        <v>364.8</v>
      </c>
      <c r="P62" s="48">
        <f t="shared" ca="1" si="2"/>
        <v>2.4615384615384614E-4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input_356100!A$2</f>
        <v>356100</v>
      </c>
      <c r="B63" s="8">
        <v>187</v>
      </c>
      <c r="C63" s="7" t="str">
        <f t="shared" si="0"/>
        <v>Premium3</v>
      </c>
      <c r="D63" s="7" t="str">
        <f t="shared" si="1"/>
        <v>Premium</v>
      </c>
      <c r="E63" s="7" t="str">
        <f>IF(COUNTIF('R6追加前'!A:A,B63)=0,IF(I63="PremiumSS","R5only","R3less"),"")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7">
        <f ca="1">IFERROR(VLOOKUP(B63,input_356100!L:R,7,FALSE),VLOOKUP(tables_356100!C63,input_356100!A:H,8,FALSE))</f>
        <v>0</v>
      </c>
      <c r="P63" s="48">
        <f t="shared" ca="1" si="2"/>
        <v>0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input_356100!A$2</f>
        <v>356100</v>
      </c>
      <c r="B64" s="8">
        <v>188</v>
      </c>
      <c r="C64" s="7" t="str">
        <f t="shared" si="0"/>
        <v>Premium4</v>
      </c>
      <c r="D64" s="7" t="str">
        <f t="shared" si="1"/>
        <v>Premium</v>
      </c>
      <c r="E64" s="7" t="str">
        <f>IF(COUNTIF('R6追加前'!A:A,B64)=0,IF(I64="PremiumSS","R5only","R3less"),"")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7">
        <f ca="1">IFERROR(VLOOKUP(B64,input_356100!L:R,7,FALSE),VLOOKUP(tables_356100!C64,input_356100!A:H,8,FALSE))</f>
        <v>6931.2</v>
      </c>
      <c r="P64" s="48">
        <f t="shared" ca="1" si="2"/>
        <v>4.6769230769230768E-3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input_356100!A$2</f>
        <v>356100</v>
      </c>
      <c r="B65" s="8">
        <v>189</v>
      </c>
      <c r="C65" s="7" t="str">
        <f t="shared" si="0"/>
        <v>Premium5</v>
      </c>
      <c r="D65" s="7" t="str">
        <f t="shared" si="1"/>
        <v>Premium</v>
      </c>
      <c r="E65" s="7" t="str">
        <f>IF(COUNTIF('R6追加前'!A:A,B65)=0,IF(I65="PremiumSS","R5only","R3less"),"")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7">
        <f ca="1">IFERROR(VLOOKUP(B65,input_356100!L:R,7,FALSE),VLOOKUP(tables_356100!C65,input_356100!A:H,8,FALSE))</f>
        <v>364.8</v>
      </c>
      <c r="P65" s="48">
        <f t="shared" ca="1" si="2"/>
        <v>2.4615384615384614E-4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input_356100!A$2</f>
        <v>356100</v>
      </c>
      <c r="B66" s="6">
        <v>190</v>
      </c>
      <c r="C66" s="7" t="str">
        <f t="shared" ref="C66:C129" si="3">D66&amp;J66&amp;E66&amp;F66&amp;G66</f>
        <v>Premium3color</v>
      </c>
      <c r="D66" s="7" t="str">
        <f t="shared" si="1"/>
        <v>Premium</v>
      </c>
      <c r="E66" s="7" t="str">
        <f>IF(COUNTIF('R6追加前'!A:A,B66)=0,IF(I66="PremiumSS","R5only","R3less"),"")</f>
        <v/>
      </c>
      <c r="F66" s="7" t="str">
        <f>IF(COUNTIF('R6開放'!A:A,B66)&gt;0,"R6release","")</f>
        <v/>
      </c>
      <c r="G66" s="7" t="s">
        <v>240</v>
      </c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7">
        <f ca="1">IFERROR(VLOOKUP(B66,input_356100!L:R,7,FALSE),VLOOKUP(tables_356100!C66,input_356100!A:H,8,FALSE))</f>
        <v>0</v>
      </c>
      <c r="P66" s="48">
        <f t="shared" ca="1" si="2"/>
        <v>0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input_356100!A$2</f>
        <v>356100</v>
      </c>
      <c r="B67" s="6">
        <v>191</v>
      </c>
      <c r="C67" s="7" t="str">
        <f t="shared" si="3"/>
        <v>Premium4color</v>
      </c>
      <c r="D67" s="7" t="str">
        <f t="shared" ref="D67:D130" si="4">IF(I67="PremiumSS",I67,IF(I67="PremiumSSS",I67,IF(I67="PremiumW",I67,"Premium")))</f>
        <v>Premium</v>
      </c>
      <c r="E67" s="7" t="str">
        <f>IF(COUNTIF('R6追加前'!A:A,B67)=0,IF(I67="PremiumSS","R5only","R3less"),"")</f>
        <v/>
      </c>
      <c r="F67" s="7" t="str">
        <f>IF(COUNTIF('R6開放'!A:A,B67)&gt;0,"R6release","")</f>
        <v/>
      </c>
      <c r="G67" s="7" t="s">
        <v>240</v>
      </c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7">
        <f ca="1">IFERROR(VLOOKUP(B67,input_356100!L:R,7,FALSE),VLOOKUP(tables_356100!C67,input_356100!A:H,8,FALSE))</f>
        <v>27724.799999999999</v>
      </c>
      <c r="P67" s="48">
        <f t="shared" ca="1" si="2"/>
        <v>1.8707692307692307E-2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input_356100!A$2</f>
        <v>356100</v>
      </c>
      <c r="B68" s="6">
        <v>192</v>
      </c>
      <c r="C68" s="7" t="str">
        <f t="shared" si="3"/>
        <v>Premium5color</v>
      </c>
      <c r="D68" s="7" t="str">
        <f t="shared" si="4"/>
        <v>Premium</v>
      </c>
      <c r="E68" s="7" t="str">
        <f>IF(COUNTIF('R6追加前'!A:A,B68)=0,IF(I68="PremiumSS","R5only","R3less"),"")</f>
        <v/>
      </c>
      <c r="F68" s="7" t="str">
        <f>IF(COUNTIF('R6開放'!A:A,B68)&gt;0,"R6release","")</f>
        <v/>
      </c>
      <c r="G68" s="7" t="s">
        <v>240</v>
      </c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7">
        <f ca="1">IFERROR(VLOOKUP(B68,input_356100!L:R,7,FALSE),VLOOKUP(tables_356100!C68,input_356100!A:H,8,FALSE))</f>
        <v>1459.2</v>
      </c>
      <c r="P68" s="48">
        <f t="shared" ca="1" si="2"/>
        <v>9.8461538461538456E-4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input_356100!A$2</f>
        <v>356100</v>
      </c>
      <c r="B69" s="6">
        <v>193</v>
      </c>
      <c r="C69" s="7" t="str">
        <f t="shared" si="3"/>
        <v>Premium3color</v>
      </c>
      <c r="D69" s="7" t="str">
        <f t="shared" si="4"/>
        <v>Premium</v>
      </c>
      <c r="E69" s="7" t="str">
        <f>IF(COUNTIF('R6追加前'!A:A,B69)=0,IF(I69="PremiumSS","R5only","R3less"),"")</f>
        <v/>
      </c>
      <c r="F69" s="7" t="str">
        <f>IF(COUNTIF('R6開放'!A:A,B69)&gt;0,"R6release","")</f>
        <v/>
      </c>
      <c r="G69" s="7" t="s">
        <v>240</v>
      </c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7">
        <f ca="1">IFERROR(VLOOKUP(B69,input_356100!L:R,7,FALSE),VLOOKUP(tables_356100!C69,input_356100!A:H,8,FALSE))</f>
        <v>0</v>
      </c>
      <c r="P69" s="48">
        <f t="shared" ca="1" si="2"/>
        <v>0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input_356100!A$2</f>
        <v>356100</v>
      </c>
      <c r="B70" s="10">
        <v>194</v>
      </c>
      <c r="C70" s="7" t="str">
        <f t="shared" si="3"/>
        <v>Premium4color</v>
      </c>
      <c r="D70" s="7" t="str">
        <f t="shared" si="4"/>
        <v>Premium</v>
      </c>
      <c r="E70" s="7" t="str">
        <f>IF(COUNTIF('R6追加前'!A:A,B70)=0,IF(I70="PremiumSS","R5only","R3less"),"")</f>
        <v/>
      </c>
      <c r="F70" s="7" t="str">
        <f>IF(COUNTIF('R6開放'!A:A,B70)&gt;0,"R6release","")</f>
        <v/>
      </c>
      <c r="G70" s="7" t="s">
        <v>240</v>
      </c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7">
        <f ca="1">IFERROR(VLOOKUP(B70,input_356100!L:R,7,FALSE),VLOOKUP(tables_356100!C70,input_356100!A:H,8,FALSE))</f>
        <v>27724.799999999999</v>
      </c>
      <c r="P70" s="48">
        <f t="shared" ca="1" si="2"/>
        <v>1.8707692307692307E-2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input_356100!A$2</f>
        <v>356100</v>
      </c>
      <c r="B71" s="6">
        <v>195</v>
      </c>
      <c r="C71" s="7" t="str">
        <f t="shared" si="3"/>
        <v>Premium5color</v>
      </c>
      <c r="D71" s="7" t="str">
        <f t="shared" si="4"/>
        <v>Premium</v>
      </c>
      <c r="E71" s="7" t="str">
        <f>IF(COUNTIF('R6追加前'!A:A,B71)=0,IF(I71="PremiumSS","R5only","R3less"),"")</f>
        <v/>
      </c>
      <c r="F71" s="7" t="str">
        <f>IF(COUNTIF('R6開放'!A:A,B71)&gt;0,"R6release","")</f>
        <v/>
      </c>
      <c r="G71" s="7" t="s">
        <v>240</v>
      </c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7">
        <f ca="1">IFERROR(VLOOKUP(B71,input_356100!L:R,7,FALSE),VLOOKUP(tables_356100!C71,input_356100!A:H,8,FALSE))</f>
        <v>1459.2</v>
      </c>
      <c r="P71" s="48">
        <f t="shared" ca="1" si="2"/>
        <v>9.8461538461538456E-4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input_356100!A$2</f>
        <v>356100</v>
      </c>
      <c r="B72" s="10">
        <v>196</v>
      </c>
      <c r="C72" s="7" t="str">
        <f t="shared" si="3"/>
        <v>Premium3</v>
      </c>
      <c r="D72" s="7" t="str">
        <f t="shared" si="4"/>
        <v>Premium</v>
      </c>
      <c r="E72" s="7" t="str">
        <f>IF(COUNTIF('R6追加前'!A:A,B72)=0,IF(I72="PremiumSS","R5only","R3less"),"")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7">
        <f ca="1">IFERROR(VLOOKUP(B72,input_356100!L:R,7,FALSE),VLOOKUP(tables_356100!C72,input_356100!A:H,8,FALSE))</f>
        <v>0</v>
      </c>
      <c r="P72" s="48">
        <f t="shared" ca="1" si="2"/>
        <v>0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input_356100!A$2</f>
        <v>356100</v>
      </c>
      <c r="B73" s="11">
        <v>197</v>
      </c>
      <c r="C73" s="7" t="str">
        <f t="shared" si="3"/>
        <v>Premium4</v>
      </c>
      <c r="D73" s="7" t="str">
        <f t="shared" si="4"/>
        <v>Premium</v>
      </c>
      <c r="E73" s="7" t="str">
        <f>IF(COUNTIF('R6追加前'!A:A,B73)=0,IF(I73="PremiumSS","R5only","R3less"),"")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7">
        <f ca="1">IFERROR(VLOOKUP(B73,input_356100!L:R,7,FALSE),VLOOKUP(tables_356100!C73,input_356100!A:H,8,FALSE))</f>
        <v>6931.2</v>
      </c>
      <c r="P73" s="48">
        <f t="shared" ca="1" si="2"/>
        <v>4.6769230769230768E-3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input_356100!A$2</f>
        <v>356100</v>
      </c>
      <c r="B74" s="6">
        <v>198</v>
      </c>
      <c r="C74" s="7" t="str">
        <f t="shared" si="3"/>
        <v>Premium5</v>
      </c>
      <c r="D74" s="7" t="str">
        <f t="shared" si="4"/>
        <v>Premium</v>
      </c>
      <c r="E74" s="7" t="str">
        <f>IF(COUNTIF('R6追加前'!A:A,B74)=0,IF(I74="PremiumSS","R5only","R3less"),"")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7">
        <f ca="1">IFERROR(VLOOKUP(B74,input_356100!L:R,7,FALSE),VLOOKUP(tables_356100!C74,input_356100!A:H,8,FALSE))</f>
        <v>364.8</v>
      </c>
      <c r="P74" s="48">
        <f t="shared" ca="1" si="2"/>
        <v>2.4615384615384614E-4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input_356100!A$2</f>
        <v>356100</v>
      </c>
      <c r="B75" s="6">
        <v>199</v>
      </c>
      <c r="C75" s="7" t="str">
        <f t="shared" si="3"/>
        <v>Premium3</v>
      </c>
      <c r="D75" s="7" t="str">
        <f t="shared" si="4"/>
        <v>Premium</v>
      </c>
      <c r="E75" s="7" t="str">
        <f>IF(COUNTIF('R6追加前'!A:A,B75)=0,IF(I75="PremiumSS","R5only","R3less"),"")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7">
        <f ca="1">IFERROR(VLOOKUP(B75,input_356100!L:R,7,FALSE),VLOOKUP(tables_356100!C75,input_356100!A:H,8,FALSE))</f>
        <v>0</v>
      </c>
      <c r="P75" s="48">
        <f t="shared" ca="1" si="2"/>
        <v>0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input_356100!A$2</f>
        <v>356100</v>
      </c>
      <c r="B76" s="6">
        <v>200</v>
      </c>
      <c r="C76" s="7" t="str">
        <f t="shared" si="3"/>
        <v>Premium4</v>
      </c>
      <c r="D76" s="7" t="str">
        <f t="shared" si="4"/>
        <v>Premium</v>
      </c>
      <c r="E76" s="7" t="str">
        <f>IF(COUNTIF('R6追加前'!A:A,B76)=0,IF(I76="PremiumSS","R5only","R3less"),"")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7">
        <f ca="1">IFERROR(VLOOKUP(B76,input_356100!L:R,7,FALSE),VLOOKUP(tables_356100!C76,input_356100!A:H,8,FALSE))</f>
        <v>6931.2</v>
      </c>
      <c r="P76" s="48">
        <f t="shared" ca="1" si="2"/>
        <v>4.6769230769230768E-3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input_356100!A$2</f>
        <v>356100</v>
      </c>
      <c r="B77" s="5">
        <v>201</v>
      </c>
      <c r="C77" s="7" t="str">
        <f t="shared" si="3"/>
        <v>Premium5</v>
      </c>
      <c r="D77" s="7" t="str">
        <f t="shared" si="4"/>
        <v>Premium</v>
      </c>
      <c r="E77" s="7" t="str">
        <f>IF(COUNTIF('R6追加前'!A:A,B77)=0,IF(I77="PremiumSS","R5only","R3less"),"")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7">
        <f ca="1">IFERROR(VLOOKUP(B77,input_356100!L:R,7,FALSE),VLOOKUP(tables_356100!C77,input_356100!A:H,8,FALSE))</f>
        <v>364.8</v>
      </c>
      <c r="P77" s="48">
        <f t="shared" ca="1" si="2"/>
        <v>2.4615384615384614E-4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input_356100!A$2</f>
        <v>356100</v>
      </c>
      <c r="B78" s="5">
        <v>202</v>
      </c>
      <c r="C78" s="7" t="str">
        <f t="shared" si="3"/>
        <v>Premium3color</v>
      </c>
      <c r="D78" s="7" t="str">
        <f t="shared" si="4"/>
        <v>Premium</v>
      </c>
      <c r="E78" s="7" t="str">
        <f>IF(COUNTIF('R6追加前'!A:A,B78)=0,IF(I78="PremiumSS","R5only","R3less"),"")</f>
        <v/>
      </c>
      <c r="F78" s="7" t="str">
        <f>IF(COUNTIF('R6開放'!A:A,B78)&gt;0,"R6release","")</f>
        <v/>
      </c>
      <c r="G78" s="7" t="s">
        <v>240</v>
      </c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7">
        <f ca="1">IFERROR(VLOOKUP(B78,input_356100!L:R,7,FALSE),VLOOKUP(tables_356100!C78,input_356100!A:H,8,FALSE))</f>
        <v>0</v>
      </c>
      <c r="P78" s="48">
        <f t="shared" ca="1" si="2"/>
        <v>0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input_356100!A$2</f>
        <v>356100</v>
      </c>
      <c r="B79" s="5">
        <v>203</v>
      </c>
      <c r="C79" s="7" t="str">
        <f t="shared" si="3"/>
        <v>Premium4color</v>
      </c>
      <c r="D79" s="7" t="str">
        <f t="shared" si="4"/>
        <v>Premium</v>
      </c>
      <c r="E79" s="7" t="str">
        <f>IF(COUNTIF('R6追加前'!A:A,B79)=0,IF(I79="PremiumSS","R5only","R3less"),"")</f>
        <v/>
      </c>
      <c r="F79" s="7" t="str">
        <f>IF(COUNTIF('R6開放'!A:A,B79)&gt;0,"R6release","")</f>
        <v/>
      </c>
      <c r="G79" s="7" t="s">
        <v>240</v>
      </c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7">
        <f ca="1">IFERROR(VLOOKUP(B79,input_356100!L:R,7,FALSE),VLOOKUP(tables_356100!C79,input_356100!A:H,8,FALSE))</f>
        <v>27724.799999999999</v>
      </c>
      <c r="P79" s="48">
        <f t="shared" ref="P79:P142" ca="1" si="5">O79/SUM(O:O)</f>
        <v>1.8707692307692307E-2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input_356100!A$2</f>
        <v>356100</v>
      </c>
      <c r="B80" s="5">
        <v>204</v>
      </c>
      <c r="C80" s="7" t="str">
        <f t="shared" si="3"/>
        <v>Premium5color</v>
      </c>
      <c r="D80" s="7" t="str">
        <f t="shared" si="4"/>
        <v>Premium</v>
      </c>
      <c r="E80" s="7" t="str">
        <f>IF(COUNTIF('R6追加前'!A:A,B80)=0,IF(I80="PremiumSS","R5only","R3less"),"")</f>
        <v/>
      </c>
      <c r="F80" s="7" t="str">
        <f>IF(COUNTIF('R6開放'!A:A,B80)&gt;0,"R6release","")</f>
        <v/>
      </c>
      <c r="G80" s="7" t="s">
        <v>240</v>
      </c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7">
        <f ca="1">IFERROR(VLOOKUP(B80,input_356100!L:R,7,FALSE),VLOOKUP(tables_356100!C80,input_356100!A:H,8,FALSE))</f>
        <v>1459.2</v>
      </c>
      <c r="P80" s="48">
        <f t="shared" ca="1" si="5"/>
        <v>9.8461538461538456E-4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input_356100!A$2</f>
        <v>356100</v>
      </c>
      <c r="B81" s="5">
        <v>205</v>
      </c>
      <c r="C81" s="7" t="str">
        <f t="shared" si="3"/>
        <v>Premium3color</v>
      </c>
      <c r="D81" s="7" t="str">
        <f t="shared" si="4"/>
        <v>Premium</v>
      </c>
      <c r="E81" s="7" t="str">
        <f>IF(COUNTIF('R6追加前'!A:A,B81)=0,IF(I81="PremiumSS","R5only","R3less"),"")</f>
        <v/>
      </c>
      <c r="F81" s="7" t="str">
        <f>IF(COUNTIF('R6開放'!A:A,B81)&gt;0,"R6release","")</f>
        <v/>
      </c>
      <c r="G81" s="7" t="s">
        <v>240</v>
      </c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7">
        <f ca="1">IFERROR(VLOOKUP(B81,input_356100!L:R,7,FALSE),VLOOKUP(tables_356100!C81,input_356100!A:H,8,FALSE))</f>
        <v>0</v>
      </c>
      <c r="P81" s="48">
        <f t="shared" ca="1" si="5"/>
        <v>0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input_356100!A$2</f>
        <v>356100</v>
      </c>
      <c r="B82" s="5">
        <v>206</v>
      </c>
      <c r="C82" s="7" t="str">
        <f t="shared" si="3"/>
        <v>Premium4color</v>
      </c>
      <c r="D82" s="7" t="str">
        <f t="shared" si="4"/>
        <v>Premium</v>
      </c>
      <c r="E82" s="7" t="str">
        <f>IF(COUNTIF('R6追加前'!A:A,B82)=0,IF(I82="PremiumSS","R5only","R3less"),"")</f>
        <v/>
      </c>
      <c r="F82" s="7" t="str">
        <f>IF(COUNTIF('R6開放'!A:A,B82)&gt;0,"R6release","")</f>
        <v/>
      </c>
      <c r="G82" s="7" t="s">
        <v>240</v>
      </c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7">
        <f ca="1">IFERROR(VLOOKUP(B82,input_356100!L:R,7,FALSE),VLOOKUP(tables_356100!C82,input_356100!A:H,8,FALSE))</f>
        <v>27724.799999999999</v>
      </c>
      <c r="P82" s="48">
        <f t="shared" ca="1" si="5"/>
        <v>1.8707692307692307E-2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input_356100!A$2</f>
        <v>356100</v>
      </c>
      <c r="B83" s="5">
        <v>207</v>
      </c>
      <c r="C83" s="7" t="str">
        <f t="shared" si="3"/>
        <v>Premium5color</v>
      </c>
      <c r="D83" s="7" t="str">
        <f t="shared" si="4"/>
        <v>Premium</v>
      </c>
      <c r="E83" s="7" t="str">
        <f>IF(COUNTIF('R6追加前'!A:A,B83)=0,IF(I83="PremiumSS","R5only","R3less"),"")</f>
        <v/>
      </c>
      <c r="F83" s="7" t="str">
        <f>IF(COUNTIF('R6開放'!A:A,B83)&gt;0,"R6release","")</f>
        <v/>
      </c>
      <c r="G83" s="7" t="s">
        <v>240</v>
      </c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7">
        <f ca="1">IFERROR(VLOOKUP(B83,input_356100!L:R,7,FALSE),VLOOKUP(tables_356100!C83,input_356100!A:H,8,FALSE))</f>
        <v>1459.2</v>
      </c>
      <c r="P83" s="48">
        <f t="shared" ca="1" si="5"/>
        <v>9.8461538461538456E-4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input_356100!A$2</f>
        <v>356100</v>
      </c>
      <c r="B84" s="5">
        <v>208</v>
      </c>
      <c r="C84" s="7" t="str">
        <f t="shared" si="3"/>
        <v>Premium3</v>
      </c>
      <c r="D84" s="7" t="str">
        <f t="shared" si="4"/>
        <v>Premium</v>
      </c>
      <c r="E84" s="7" t="str">
        <f>IF(COUNTIF('R6追加前'!A:A,B84)=0,IF(I84="PremiumSS","R5only","R3less"),"")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7">
        <f ca="1">IFERROR(VLOOKUP(B84,input_356100!L:R,7,FALSE),VLOOKUP(tables_356100!C84,input_356100!A:H,8,FALSE))</f>
        <v>0</v>
      </c>
      <c r="P84" s="48">
        <f t="shared" ca="1" si="5"/>
        <v>0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input_356100!A$2</f>
        <v>356100</v>
      </c>
      <c r="B85" s="5">
        <v>209</v>
      </c>
      <c r="C85" s="7" t="str">
        <f t="shared" si="3"/>
        <v>Premium4</v>
      </c>
      <c r="D85" s="7" t="str">
        <f t="shared" si="4"/>
        <v>Premium</v>
      </c>
      <c r="E85" s="7" t="str">
        <f>IF(COUNTIF('R6追加前'!A:A,B85)=0,IF(I85="PremiumSS","R5only","R3less"),"")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7">
        <f ca="1">IFERROR(VLOOKUP(B85,input_356100!L:R,7,FALSE),VLOOKUP(tables_356100!C85,input_356100!A:H,8,FALSE))</f>
        <v>6931.2</v>
      </c>
      <c r="P85" s="48">
        <f t="shared" ca="1" si="5"/>
        <v>4.6769230769230768E-3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input_356100!A$2</f>
        <v>356100</v>
      </c>
      <c r="B86" s="5">
        <v>210</v>
      </c>
      <c r="C86" s="7" t="str">
        <f t="shared" si="3"/>
        <v>Premium5</v>
      </c>
      <c r="D86" s="7" t="str">
        <f t="shared" si="4"/>
        <v>Premium</v>
      </c>
      <c r="E86" s="7" t="str">
        <f>IF(COUNTIF('R6追加前'!A:A,B86)=0,IF(I86="PremiumSS","R5only","R3less"),"")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7">
        <f ca="1">IFERROR(VLOOKUP(B86,input_356100!L:R,7,FALSE),VLOOKUP(tables_356100!C86,input_356100!A:H,8,FALSE))</f>
        <v>364.8</v>
      </c>
      <c r="P86" s="48">
        <f t="shared" ca="1" si="5"/>
        <v>2.4615384615384614E-4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input_356100!A$2</f>
        <v>356100</v>
      </c>
      <c r="B87" s="5">
        <v>211</v>
      </c>
      <c r="C87" s="7" t="str">
        <f t="shared" si="3"/>
        <v>Premium3</v>
      </c>
      <c r="D87" s="7" t="str">
        <f t="shared" si="4"/>
        <v>Premium</v>
      </c>
      <c r="E87" s="7" t="str">
        <f>IF(COUNTIF('R6追加前'!A:A,B87)=0,IF(I87="PremiumSS","R5only","R3less"),"")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7">
        <f ca="1">IFERROR(VLOOKUP(B87,input_356100!L:R,7,FALSE),VLOOKUP(tables_356100!C87,input_356100!A:H,8,FALSE))</f>
        <v>0</v>
      </c>
      <c r="P87" s="48">
        <f t="shared" ca="1" si="5"/>
        <v>0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input_356100!A$2</f>
        <v>356100</v>
      </c>
      <c r="B88" s="5">
        <v>212</v>
      </c>
      <c r="C88" s="7" t="str">
        <f t="shared" si="3"/>
        <v>Premium4</v>
      </c>
      <c r="D88" s="7" t="str">
        <f t="shared" si="4"/>
        <v>Premium</v>
      </c>
      <c r="E88" s="7" t="str">
        <f>IF(COUNTIF('R6追加前'!A:A,B88)=0,IF(I88="PremiumSS","R5only","R3less"),"")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7">
        <f ca="1">IFERROR(VLOOKUP(B88,input_356100!L:R,7,FALSE),VLOOKUP(tables_356100!C88,input_356100!A:H,8,FALSE))</f>
        <v>6931.2</v>
      </c>
      <c r="P88" s="48">
        <f t="shared" ca="1" si="5"/>
        <v>4.6769230769230768E-3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input_356100!A$2</f>
        <v>356100</v>
      </c>
      <c r="B89" s="5">
        <v>213</v>
      </c>
      <c r="C89" s="7" t="str">
        <f t="shared" si="3"/>
        <v>Premium5</v>
      </c>
      <c r="D89" s="7" t="str">
        <f t="shared" si="4"/>
        <v>Premium</v>
      </c>
      <c r="E89" s="7" t="str">
        <f>IF(COUNTIF('R6追加前'!A:A,B89)=0,IF(I89="PremiumSS","R5only","R3less"),"")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7">
        <f ca="1">IFERROR(VLOOKUP(B89,input_356100!L:R,7,FALSE),VLOOKUP(tables_356100!C89,input_356100!A:H,8,FALSE))</f>
        <v>364.8</v>
      </c>
      <c r="P89" s="48">
        <f t="shared" ca="1" si="5"/>
        <v>2.4615384615384614E-4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input_356100!A$2</f>
        <v>356100</v>
      </c>
      <c r="B90" s="5">
        <v>214</v>
      </c>
      <c r="C90" s="7" t="str">
        <f t="shared" si="3"/>
        <v>Premium3color</v>
      </c>
      <c r="D90" s="7" t="str">
        <f t="shared" si="4"/>
        <v>Premium</v>
      </c>
      <c r="E90" s="7" t="str">
        <f>IF(COUNTIF('R6追加前'!A:A,B90)=0,IF(I90="PremiumSS","R5only","R3less"),"")</f>
        <v/>
      </c>
      <c r="F90" s="7" t="str">
        <f>IF(COUNTIF('R6開放'!A:A,B90)&gt;0,"R6release","")</f>
        <v/>
      </c>
      <c r="G90" s="7" t="s">
        <v>240</v>
      </c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7">
        <f ca="1">IFERROR(VLOOKUP(B90,input_356100!L:R,7,FALSE),VLOOKUP(tables_356100!C90,input_356100!A:H,8,FALSE))</f>
        <v>0</v>
      </c>
      <c r="P90" s="48">
        <f t="shared" ca="1" si="5"/>
        <v>0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input_356100!A$2</f>
        <v>356100</v>
      </c>
      <c r="B91" s="5">
        <v>215</v>
      </c>
      <c r="C91" s="7" t="str">
        <f t="shared" si="3"/>
        <v>Premium4color</v>
      </c>
      <c r="D91" s="7" t="str">
        <f t="shared" si="4"/>
        <v>Premium</v>
      </c>
      <c r="E91" s="7" t="str">
        <f>IF(COUNTIF('R6追加前'!A:A,B91)=0,IF(I91="PremiumSS","R5only","R3less"),"")</f>
        <v/>
      </c>
      <c r="F91" s="7" t="str">
        <f>IF(COUNTIF('R6開放'!A:A,B91)&gt;0,"R6release","")</f>
        <v/>
      </c>
      <c r="G91" s="7" t="s">
        <v>240</v>
      </c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7">
        <f ca="1">IFERROR(VLOOKUP(B91,input_356100!L:R,7,FALSE),VLOOKUP(tables_356100!C91,input_356100!A:H,8,FALSE))</f>
        <v>27724.799999999999</v>
      </c>
      <c r="P91" s="48">
        <f t="shared" ca="1" si="5"/>
        <v>1.8707692307692307E-2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input_356100!A$2</f>
        <v>356100</v>
      </c>
      <c r="B92" s="5">
        <v>216</v>
      </c>
      <c r="C92" s="7" t="str">
        <f t="shared" si="3"/>
        <v>Premium5color</v>
      </c>
      <c r="D92" s="7" t="str">
        <f t="shared" si="4"/>
        <v>Premium</v>
      </c>
      <c r="E92" s="7" t="str">
        <f>IF(COUNTIF('R6追加前'!A:A,B92)=0,IF(I92="PremiumSS","R5only","R3less"),"")</f>
        <v/>
      </c>
      <c r="F92" s="7" t="str">
        <f>IF(COUNTIF('R6開放'!A:A,B92)&gt;0,"R6release","")</f>
        <v/>
      </c>
      <c r="G92" s="7" t="s">
        <v>240</v>
      </c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7">
        <f ca="1">IFERROR(VLOOKUP(B92,input_356100!L:R,7,FALSE),VLOOKUP(tables_356100!C92,input_356100!A:H,8,FALSE))</f>
        <v>1459.2</v>
      </c>
      <c r="P92" s="48">
        <f t="shared" ca="1" si="5"/>
        <v>9.8461538461538456E-4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input_356100!A$2</f>
        <v>356100</v>
      </c>
      <c r="B93" s="5">
        <v>217</v>
      </c>
      <c r="C93" s="7" t="str">
        <f t="shared" si="3"/>
        <v>Premium3color</v>
      </c>
      <c r="D93" s="7" t="str">
        <f t="shared" si="4"/>
        <v>Premium</v>
      </c>
      <c r="E93" s="7" t="str">
        <f>IF(COUNTIF('R6追加前'!A:A,B93)=0,IF(I93="PremiumSS","R5only","R3less"),"")</f>
        <v/>
      </c>
      <c r="F93" s="7" t="str">
        <f>IF(COUNTIF('R6開放'!A:A,B93)&gt;0,"R6release","")</f>
        <v/>
      </c>
      <c r="G93" s="7" t="s">
        <v>240</v>
      </c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7">
        <f ca="1">IFERROR(VLOOKUP(B93,input_356100!L:R,7,FALSE),VLOOKUP(tables_356100!C93,input_356100!A:H,8,FALSE))</f>
        <v>0</v>
      </c>
      <c r="P93" s="48">
        <f t="shared" ca="1" si="5"/>
        <v>0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input_356100!A$2</f>
        <v>356100</v>
      </c>
      <c r="B94" s="5">
        <v>218</v>
      </c>
      <c r="C94" s="7" t="str">
        <f t="shared" si="3"/>
        <v>Premium4color</v>
      </c>
      <c r="D94" s="7" t="str">
        <f t="shared" si="4"/>
        <v>Premium</v>
      </c>
      <c r="E94" s="7" t="str">
        <f>IF(COUNTIF('R6追加前'!A:A,B94)=0,IF(I94="PremiumSS","R5only","R3less"),"")</f>
        <v/>
      </c>
      <c r="F94" s="7" t="str">
        <f>IF(COUNTIF('R6開放'!A:A,B94)&gt;0,"R6release","")</f>
        <v/>
      </c>
      <c r="G94" s="7" t="s">
        <v>240</v>
      </c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7">
        <f ca="1">IFERROR(VLOOKUP(B94,input_356100!L:R,7,FALSE),VLOOKUP(tables_356100!C94,input_356100!A:H,8,FALSE))</f>
        <v>27724.799999999999</v>
      </c>
      <c r="P94" s="48">
        <f t="shared" ca="1" si="5"/>
        <v>1.8707692307692307E-2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input_356100!A$2</f>
        <v>356100</v>
      </c>
      <c r="B95" s="5">
        <v>219</v>
      </c>
      <c r="C95" s="7" t="str">
        <f t="shared" si="3"/>
        <v>Premium5color</v>
      </c>
      <c r="D95" s="7" t="str">
        <f t="shared" si="4"/>
        <v>Premium</v>
      </c>
      <c r="E95" s="7" t="str">
        <f>IF(COUNTIF('R6追加前'!A:A,B95)=0,IF(I95="PremiumSS","R5only","R3less"),"")</f>
        <v/>
      </c>
      <c r="F95" s="7" t="str">
        <f>IF(COUNTIF('R6開放'!A:A,B95)&gt;0,"R6release","")</f>
        <v/>
      </c>
      <c r="G95" s="7" t="s">
        <v>240</v>
      </c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7">
        <f ca="1">IFERROR(VLOOKUP(B95,input_356100!L:R,7,FALSE),VLOOKUP(tables_356100!C95,input_356100!A:H,8,FALSE))</f>
        <v>1459.2</v>
      </c>
      <c r="P95" s="48">
        <f t="shared" ca="1" si="5"/>
        <v>9.8461538461538456E-4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input_356100!A$2</f>
        <v>356100</v>
      </c>
      <c r="B96" s="5">
        <v>220</v>
      </c>
      <c r="C96" s="7" t="str">
        <f t="shared" si="3"/>
        <v>Premium3</v>
      </c>
      <c r="D96" s="7" t="str">
        <f t="shared" si="4"/>
        <v>Premium</v>
      </c>
      <c r="E96" s="7" t="str">
        <f>IF(COUNTIF('R6追加前'!A:A,B96)=0,IF(I96="PremiumSS","R5only","R3less"),"")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7">
        <f ca="1">IFERROR(VLOOKUP(B96,input_356100!L:R,7,FALSE),VLOOKUP(tables_356100!C96,input_356100!A:H,8,FALSE))</f>
        <v>0</v>
      </c>
      <c r="P96" s="48">
        <f t="shared" ca="1" si="5"/>
        <v>0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input_356100!A$2</f>
        <v>356100</v>
      </c>
      <c r="B97" s="5">
        <v>221</v>
      </c>
      <c r="C97" s="7" t="str">
        <f t="shared" si="3"/>
        <v>Premium4</v>
      </c>
      <c r="D97" s="7" t="str">
        <f t="shared" si="4"/>
        <v>Premium</v>
      </c>
      <c r="E97" s="7" t="str">
        <f>IF(COUNTIF('R6追加前'!A:A,B97)=0,IF(I97="PremiumSS","R5only","R3less"),"")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7">
        <f ca="1">IFERROR(VLOOKUP(B97,input_356100!L:R,7,FALSE),VLOOKUP(tables_356100!C97,input_356100!A:H,8,FALSE))</f>
        <v>6931.2</v>
      </c>
      <c r="P97" s="48">
        <f t="shared" ca="1" si="5"/>
        <v>4.6769230769230768E-3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input_356100!A$2</f>
        <v>356100</v>
      </c>
      <c r="B98" s="5">
        <v>222</v>
      </c>
      <c r="C98" s="7" t="str">
        <f t="shared" si="3"/>
        <v>Premium5</v>
      </c>
      <c r="D98" s="7" t="str">
        <f t="shared" si="4"/>
        <v>Premium</v>
      </c>
      <c r="E98" s="7" t="str">
        <f>IF(COUNTIF('R6追加前'!A:A,B98)=0,IF(I98="PremiumSS","R5only","R3less"),"")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7">
        <f ca="1">IFERROR(VLOOKUP(B98,input_356100!L:R,7,FALSE),VLOOKUP(tables_356100!C98,input_356100!A:H,8,FALSE))</f>
        <v>364.8</v>
      </c>
      <c r="P98" s="48">
        <f t="shared" ca="1" si="5"/>
        <v>2.4615384615384614E-4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input_356100!A$2</f>
        <v>356100</v>
      </c>
      <c r="B99" s="5">
        <v>223</v>
      </c>
      <c r="C99" s="7" t="str">
        <f t="shared" si="3"/>
        <v>Premium3</v>
      </c>
      <c r="D99" s="7" t="str">
        <f t="shared" si="4"/>
        <v>Premium</v>
      </c>
      <c r="E99" s="7" t="str">
        <f>IF(COUNTIF('R6追加前'!A:A,B99)=0,IF(I99="PremiumSS","R5only","R3less"),"")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7">
        <f ca="1">IFERROR(VLOOKUP(B99,input_356100!L:R,7,FALSE),VLOOKUP(tables_356100!C99,input_356100!A:H,8,FALSE))</f>
        <v>0</v>
      </c>
      <c r="P99" s="48">
        <f t="shared" ca="1" si="5"/>
        <v>0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input_356100!A$2</f>
        <v>356100</v>
      </c>
      <c r="B100" s="5">
        <v>224</v>
      </c>
      <c r="C100" s="7" t="str">
        <f t="shared" si="3"/>
        <v>Premium4</v>
      </c>
      <c r="D100" s="7" t="str">
        <f t="shared" si="4"/>
        <v>Premium</v>
      </c>
      <c r="E100" s="7" t="str">
        <f>IF(COUNTIF('R6追加前'!A:A,B100)=0,IF(I100="PremiumSS","R5only","R3less"),"")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7">
        <f ca="1">IFERROR(VLOOKUP(B100,input_356100!L:R,7,FALSE),VLOOKUP(tables_356100!C100,input_356100!A:H,8,FALSE))</f>
        <v>6931.2</v>
      </c>
      <c r="P100" s="48">
        <f t="shared" ca="1" si="5"/>
        <v>4.6769230769230768E-3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input_356100!A$2</f>
        <v>356100</v>
      </c>
      <c r="B101" s="5">
        <v>225</v>
      </c>
      <c r="C101" s="7" t="str">
        <f t="shared" si="3"/>
        <v>Premium5</v>
      </c>
      <c r="D101" s="7" t="str">
        <f t="shared" si="4"/>
        <v>Premium</v>
      </c>
      <c r="E101" s="7" t="str">
        <f>IF(COUNTIF('R6追加前'!A:A,B101)=0,IF(I101="PremiumSS","R5only","R3less"),"")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7">
        <f ca="1">IFERROR(VLOOKUP(B101,input_356100!L:R,7,FALSE),VLOOKUP(tables_356100!C101,input_356100!A:H,8,FALSE))</f>
        <v>364.8</v>
      </c>
      <c r="P101" s="48">
        <f t="shared" ca="1" si="5"/>
        <v>2.4615384615384614E-4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input_356100!A$2</f>
        <v>356100</v>
      </c>
      <c r="B102" s="5">
        <v>226</v>
      </c>
      <c r="C102" s="7" t="str">
        <f t="shared" si="3"/>
        <v>Premium3color</v>
      </c>
      <c r="D102" s="7" t="str">
        <f t="shared" si="4"/>
        <v>Premium</v>
      </c>
      <c r="E102" s="7" t="str">
        <f>IF(COUNTIF('R6追加前'!A:A,B102)=0,IF(I102="PremiumSS","R5only","R3less"),"")</f>
        <v/>
      </c>
      <c r="F102" s="7" t="str">
        <f>IF(COUNTIF('R6開放'!A:A,B102)&gt;0,"R6release","")</f>
        <v/>
      </c>
      <c r="G102" s="7" t="s">
        <v>240</v>
      </c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7">
        <f ca="1">IFERROR(VLOOKUP(B102,input_356100!L:R,7,FALSE),VLOOKUP(tables_356100!C102,input_356100!A:H,8,FALSE))</f>
        <v>0</v>
      </c>
      <c r="P102" s="48">
        <f t="shared" ca="1" si="5"/>
        <v>0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input_356100!A$2</f>
        <v>356100</v>
      </c>
      <c r="B103" s="5">
        <v>227</v>
      </c>
      <c r="C103" s="7" t="str">
        <f t="shared" si="3"/>
        <v>Premium4color</v>
      </c>
      <c r="D103" s="7" t="str">
        <f t="shared" si="4"/>
        <v>Premium</v>
      </c>
      <c r="E103" s="7" t="str">
        <f>IF(COUNTIF('R6追加前'!A:A,B103)=0,IF(I103="PremiumSS","R5only","R3less"),"")</f>
        <v/>
      </c>
      <c r="F103" s="7" t="str">
        <f>IF(COUNTIF('R6開放'!A:A,B103)&gt;0,"R6release","")</f>
        <v/>
      </c>
      <c r="G103" s="7" t="s">
        <v>240</v>
      </c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7">
        <f ca="1">IFERROR(VLOOKUP(B103,input_356100!L:R,7,FALSE),VLOOKUP(tables_356100!C103,input_356100!A:H,8,FALSE))</f>
        <v>27724.799999999999</v>
      </c>
      <c r="P103" s="48">
        <f t="shared" ca="1" si="5"/>
        <v>1.8707692307692307E-2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input_356100!A$2</f>
        <v>356100</v>
      </c>
      <c r="B104" s="5">
        <v>228</v>
      </c>
      <c r="C104" s="7" t="str">
        <f t="shared" si="3"/>
        <v>Premium5color</v>
      </c>
      <c r="D104" s="7" t="str">
        <f t="shared" si="4"/>
        <v>Premium</v>
      </c>
      <c r="E104" s="7" t="str">
        <f>IF(COUNTIF('R6追加前'!A:A,B104)=0,IF(I104="PremiumSS","R5only","R3less"),"")</f>
        <v/>
      </c>
      <c r="F104" s="7" t="str">
        <f>IF(COUNTIF('R6開放'!A:A,B104)&gt;0,"R6release","")</f>
        <v/>
      </c>
      <c r="G104" s="7" t="s">
        <v>240</v>
      </c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7">
        <f ca="1">IFERROR(VLOOKUP(B104,input_356100!L:R,7,FALSE),VLOOKUP(tables_356100!C104,input_356100!A:H,8,FALSE))</f>
        <v>1459.2</v>
      </c>
      <c r="P104" s="48">
        <f t="shared" ca="1" si="5"/>
        <v>9.8461538461538456E-4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input_356100!A$2</f>
        <v>356100</v>
      </c>
      <c r="B105" s="5">
        <v>229</v>
      </c>
      <c r="C105" s="7" t="str">
        <f t="shared" si="3"/>
        <v>Premium3color</v>
      </c>
      <c r="D105" s="7" t="str">
        <f t="shared" si="4"/>
        <v>Premium</v>
      </c>
      <c r="E105" s="7" t="str">
        <f>IF(COUNTIF('R6追加前'!A:A,B105)=0,IF(I105="PremiumSS","R5only","R3less"),"")</f>
        <v/>
      </c>
      <c r="F105" s="7" t="str">
        <f>IF(COUNTIF('R6開放'!A:A,B105)&gt;0,"R6release","")</f>
        <v/>
      </c>
      <c r="G105" s="7" t="s">
        <v>240</v>
      </c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7">
        <f ca="1">IFERROR(VLOOKUP(B105,input_356100!L:R,7,FALSE),VLOOKUP(tables_356100!C105,input_356100!A:H,8,FALSE))</f>
        <v>0</v>
      </c>
      <c r="P105" s="48">
        <f t="shared" ca="1" si="5"/>
        <v>0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input_356100!A$2</f>
        <v>356100</v>
      </c>
      <c r="B106" s="5">
        <v>230</v>
      </c>
      <c r="C106" s="7" t="str">
        <f t="shared" si="3"/>
        <v>Premium4color</v>
      </c>
      <c r="D106" s="7" t="str">
        <f t="shared" si="4"/>
        <v>Premium</v>
      </c>
      <c r="E106" s="7" t="str">
        <f>IF(COUNTIF('R6追加前'!A:A,B106)=0,IF(I106="PremiumSS","R5only","R3less"),"")</f>
        <v/>
      </c>
      <c r="F106" s="7" t="str">
        <f>IF(COUNTIF('R6開放'!A:A,B106)&gt;0,"R6release","")</f>
        <v/>
      </c>
      <c r="G106" s="7" t="s">
        <v>240</v>
      </c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7">
        <f ca="1">IFERROR(VLOOKUP(B106,input_356100!L:R,7,FALSE),VLOOKUP(tables_356100!C106,input_356100!A:H,8,FALSE))</f>
        <v>27724.799999999999</v>
      </c>
      <c r="P106" s="48">
        <f t="shared" ca="1" si="5"/>
        <v>1.8707692307692307E-2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input_356100!A$2</f>
        <v>356100</v>
      </c>
      <c r="B107" s="5">
        <v>231</v>
      </c>
      <c r="C107" s="7" t="str">
        <f t="shared" si="3"/>
        <v>Premium5color</v>
      </c>
      <c r="D107" s="7" t="str">
        <f t="shared" si="4"/>
        <v>Premium</v>
      </c>
      <c r="E107" s="7" t="str">
        <f>IF(COUNTIF('R6追加前'!A:A,B107)=0,IF(I107="PremiumSS","R5only","R3less"),"")</f>
        <v/>
      </c>
      <c r="F107" s="7" t="str">
        <f>IF(COUNTIF('R6開放'!A:A,B107)&gt;0,"R6release","")</f>
        <v/>
      </c>
      <c r="G107" s="7" t="s">
        <v>240</v>
      </c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7">
        <f ca="1">IFERROR(VLOOKUP(B107,input_356100!L:R,7,FALSE),VLOOKUP(tables_356100!C107,input_356100!A:H,8,FALSE))</f>
        <v>1459.2</v>
      </c>
      <c r="P107" s="48">
        <f t="shared" ca="1" si="5"/>
        <v>9.8461538461538456E-4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input_356100!A$2</f>
        <v>356100</v>
      </c>
      <c r="B108" s="5">
        <v>232</v>
      </c>
      <c r="C108" s="7" t="str">
        <f t="shared" si="3"/>
        <v>Premium3</v>
      </c>
      <c r="D108" s="7" t="str">
        <f t="shared" si="4"/>
        <v>Premium</v>
      </c>
      <c r="E108" s="7" t="str">
        <f>IF(COUNTIF('R6追加前'!A:A,B108)=0,IF(I108="PremiumSS","R5only","R3less"),"")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7">
        <f ca="1">IFERROR(VLOOKUP(B108,input_356100!L:R,7,FALSE),VLOOKUP(tables_356100!C108,input_356100!A:H,8,FALSE))</f>
        <v>0</v>
      </c>
      <c r="P108" s="48">
        <f t="shared" ca="1" si="5"/>
        <v>0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input_356100!A$2</f>
        <v>356100</v>
      </c>
      <c r="B109" s="5">
        <v>233</v>
      </c>
      <c r="C109" s="7" t="str">
        <f t="shared" si="3"/>
        <v>Premium4</v>
      </c>
      <c r="D109" s="7" t="str">
        <f t="shared" si="4"/>
        <v>Premium</v>
      </c>
      <c r="E109" s="7" t="str">
        <f>IF(COUNTIF('R6追加前'!A:A,B109)=0,IF(I109="PremiumSS","R5only","R3less"),"")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7">
        <f ca="1">IFERROR(VLOOKUP(B109,input_356100!L:R,7,FALSE),VLOOKUP(tables_356100!C109,input_356100!A:H,8,FALSE))</f>
        <v>6931.2</v>
      </c>
      <c r="P109" s="48">
        <f t="shared" ca="1" si="5"/>
        <v>4.6769230769230768E-3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input_356100!A$2</f>
        <v>356100</v>
      </c>
      <c r="B110" s="5">
        <v>234</v>
      </c>
      <c r="C110" s="7" t="str">
        <f t="shared" si="3"/>
        <v>Premium5</v>
      </c>
      <c r="D110" s="7" t="str">
        <f t="shared" si="4"/>
        <v>Premium</v>
      </c>
      <c r="E110" s="7" t="str">
        <f>IF(COUNTIF('R6追加前'!A:A,B110)=0,IF(I110="PremiumSS","R5only","R3less"),"")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7">
        <f ca="1">IFERROR(VLOOKUP(B110,input_356100!L:R,7,FALSE),VLOOKUP(tables_356100!C110,input_356100!A:H,8,FALSE))</f>
        <v>364.8</v>
      </c>
      <c r="P110" s="48">
        <f t="shared" ca="1" si="5"/>
        <v>2.4615384615384614E-4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input_356100!A$2</f>
        <v>356100</v>
      </c>
      <c r="B111" s="5">
        <v>235</v>
      </c>
      <c r="C111" s="7" t="str">
        <f t="shared" si="3"/>
        <v>Premium3R6release</v>
      </c>
      <c r="D111" s="7" t="str">
        <f t="shared" si="4"/>
        <v>Premium</v>
      </c>
      <c r="E111" s="7" t="str">
        <f>IF(COUNTIF('R6追加前'!A:A,B111)=0,IF(I111="PremiumSS","R5only","R3less"),"")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7">
        <f ca="1">IFERROR(VLOOKUP(B111,input_356100!L:R,7,FALSE),VLOOKUP(tables_356100!C111,input_356100!A:H,8,FALSE))</f>
        <v>0</v>
      </c>
      <c r="P111" s="48">
        <f t="shared" ca="1" si="5"/>
        <v>0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input_356100!A$2</f>
        <v>356100</v>
      </c>
      <c r="B112" s="5">
        <v>236</v>
      </c>
      <c r="C112" s="7" t="str">
        <f t="shared" si="3"/>
        <v>Premium4R6release</v>
      </c>
      <c r="D112" s="7" t="str">
        <f t="shared" si="4"/>
        <v>Premium</v>
      </c>
      <c r="E112" s="7" t="str">
        <f>IF(COUNTIF('R6追加前'!A:A,B112)=0,IF(I112="PremiumSS","R5only","R3less"),"")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7">
        <f ca="1">IFERROR(VLOOKUP(B112,input_356100!L:R,7,FALSE),VLOOKUP(tables_356100!C112,input_356100!A:H,8,FALSE))</f>
        <v>444.6</v>
      </c>
      <c r="P112" s="48">
        <f t="shared" ca="1" si="5"/>
        <v>3.0000000000000003E-4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input_356100!A$2</f>
        <v>356100</v>
      </c>
      <c r="B113" s="5">
        <v>237</v>
      </c>
      <c r="C113" s="7" t="str">
        <f t="shared" si="3"/>
        <v>Premium5R6release</v>
      </c>
      <c r="D113" s="7" t="str">
        <f t="shared" si="4"/>
        <v>Premium</v>
      </c>
      <c r="E113" s="7" t="str">
        <f>IF(COUNTIF('R6追加前'!A:A,B113)=0,IF(I113="PremiumSS","R5only","R3less"),"")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7">
        <f ca="1">IFERROR(VLOOKUP(B113,input_356100!L:R,7,FALSE),VLOOKUP(tables_356100!C113,input_356100!A:H,8,FALSE))</f>
        <v>23.4</v>
      </c>
      <c r="P113" s="48">
        <f t="shared" ca="1" si="5"/>
        <v>1.5789473684210526E-5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input_356100!A$2</f>
        <v>356100</v>
      </c>
      <c r="B114" s="5">
        <v>238</v>
      </c>
      <c r="C114" s="7" t="str">
        <f t="shared" si="3"/>
        <v>Premium3color</v>
      </c>
      <c r="D114" s="7" t="str">
        <f t="shared" si="4"/>
        <v>Premium</v>
      </c>
      <c r="E114" s="7" t="str">
        <f>IF(COUNTIF('R6追加前'!A:A,B114)=0,IF(I114="PremiumSS","R5only","R3less"),"")</f>
        <v/>
      </c>
      <c r="F114" s="7" t="str">
        <f>IF(COUNTIF('R6開放'!A:A,B114)&gt;0,"R6release","")</f>
        <v/>
      </c>
      <c r="G114" s="7" t="s">
        <v>240</v>
      </c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7">
        <f ca="1">IFERROR(VLOOKUP(B114,input_356100!L:R,7,FALSE),VLOOKUP(tables_356100!C114,input_356100!A:H,8,FALSE))</f>
        <v>0</v>
      </c>
      <c r="P114" s="48">
        <f t="shared" ca="1" si="5"/>
        <v>0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input_356100!A$2</f>
        <v>356100</v>
      </c>
      <c r="B115" s="5">
        <v>239</v>
      </c>
      <c r="C115" s="7" t="str">
        <f t="shared" si="3"/>
        <v>Premium4color</v>
      </c>
      <c r="D115" s="7" t="str">
        <f t="shared" si="4"/>
        <v>Premium</v>
      </c>
      <c r="E115" s="7" t="str">
        <f>IF(COUNTIF('R6追加前'!A:A,B115)=0,IF(I115="PremiumSS","R5only","R3less"),"")</f>
        <v/>
      </c>
      <c r="F115" s="7" t="str">
        <f>IF(COUNTIF('R6開放'!A:A,B115)&gt;0,"R6release","")</f>
        <v/>
      </c>
      <c r="G115" s="7" t="s">
        <v>240</v>
      </c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7">
        <f ca="1">IFERROR(VLOOKUP(B115,input_356100!L:R,7,FALSE),VLOOKUP(tables_356100!C115,input_356100!A:H,8,FALSE))</f>
        <v>27724.799999999999</v>
      </c>
      <c r="P115" s="48">
        <f t="shared" ca="1" si="5"/>
        <v>1.8707692307692307E-2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input_356100!A$2</f>
        <v>356100</v>
      </c>
      <c r="B116" s="5">
        <v>240</v>
      </c>
      <c r="C116" s="7" t="str">
        <f t="shared" si="3"/>
        <v>Premium5color</v>
      </c>
      <c r="D116" s="7" t="str">
        <f t="shared" si="4"/>
        <v>Premium</v>
      </c>
      <c r="E116" s="7" t="str">
        <f>IF(COUNTIF('R6追加前'!A:A,B116)=0,IF(I116="PremiumSS","R5only","R3less"),"")</f>
        <v/>
      </c>
      <c r="F116" s="7" t="str">
        <f>IF(COUNTIF('R6開放'!A:A,B116)&gt;0,"R6release","")</f>
        <v/>
      </c>
      <c r="G116" s="7" t="s">
        <v>240</v>
      </c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7">
        <f ca="1">IFERROR(VLOOKUP(B116,input_356100!L:R,7,FALSE),VLOOKUP(tables_356100!C116,input_356100!A:H,8,FALSE))</f>
        <v>1459.2</v>
      </c>
      <c r="P116" s="48">
        <f t="shared" ca="1" si="5"/>
        <v>9.8461538461538456E-4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input_356100!A$2</f>
        <v>356100</v>
      </c>
      <c r="B117" s="5">
        <v>241</v>
      </c>
      <c r="C117" s="7" t="str">
        <f t="shared" si="3"/>
        <v>Premium3color</v>
      </c>
      <c r="D117" s="7" t="str">
        <f t="shared" si="4"/>
        <v>Premium</v>
      </c>
      <c r="E117" s="7" t="str">
        <f>IF(COUNTIF('R6追加前'!A:A,B117)=0,IF(I117="PremiumSS","R5only","R3less"),"")</f>
        <v/>
      </c>
      <c r="F117" s="7" t="str">
        <f>IF(COUNTIF('R6開放'!A:A,B117)&gt;0,"R6release","")</f>
        <v/>
      </c>
      <c r="G117" s="7" t="s">
        <v>240</v>
      </c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7">
        <f ca="1">IFERROR(VLOOKUP(B117,input_356100!L:R,7,FALSE),VLOOKUP(tables_356100!C117,input_356100!A:H,8,FALSE))</f>
        <v>0</v>
      </c>
      <c r="P117" s="48">
        <f t="shared" ca="1" si="5"/>
        <v>0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input_356100!A$2</f>
        <v>356100</v>
      </c>
      <c r="B118" s="5">
        <v>242</v>
      </c>
      <c r="C118" s="7" t="str">
        <f t="shared" si="3"/>
        <v>Premium4color</v>
      </c>
      <c r="D118" s="7" t="str">
        <f t="shared" si="4"/>
        <v>Premium</v>
      </c>
      <c r="E118" s="7" t="str">
        <f>IF(COUNTIF('R6追加前'!A:A,B118)=0,IF(I118="PremiumSS","R5only","R3less"),"")</f>
        <v/>
      </c>
      <c r="F118" s="7" t="str">
        <f>IF(COUNTIF('R6開放'!A:A,B118)&gt;0,"R6release","")</f>
        <v/>
      </c>
      <c r="G118" s="7" t="s">
        <v>240</v>
      </c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7">
        <f ca="1">IFERROR(VLOOKUP(B118,input_356100!L:R,7,FALSE),VLOOKUP(tables_356100!C118,input_356100!A:H,8,FALSE))</f>
        <v>27724.799999999999</v>
      </c>
      <c r="P118" s="48">
        <f t="shared" ca="1" si="5"/>
        <v>1.8707692307692307E-2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input_356100!A$2</f>
        <v>356100</v>
      </c>
      <c r="B119" s="5">
        <v>243</v>
      </c>
      <c r="C119" s="7" t="str">
        <f t="shared" si="3"/>
        <v>Premium5color</v>
      </c>
      <c r="D119" s="7" t="str">
        <f t="shared" si="4"/>
        <v>Premium</v>
      </c>
      <c r="E119" s="7" t="str">
        <f>IF(COUNTIF('R6追加前'!A:A,B119)=0,IF(I119="PremiumSS","R5only","R3less"),"")</f>
        <v/>
      </c>
      <c r="F119" s="7" t="str">
        <f>IF(COUNTIF('R6開放'!A:A,B119)&gt;0,"R6release","")</f>
        <v/>
      </c>
      <c r="G119" s="7" t="s">
        <v>240</v>
      </c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7">
        <f ca="1">IFERROR(VLOOKUP(B119,input_356100!L:R,7,FALSE),VLOOKUP(tables_356100!C119,input_356100!A:H,8,FALSE))</f>
        <v>1459.2</v>
      </c>
      <c r="P119" s="48">
        <f t="shared" ca="1" si="5"/>
        <v>9.8461538461538456E-4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input_356100!A$2</f>
        <v>356100</v>
      </c>
      <c r="B120" s="5">
        <v>244</v>
      </c>
      <c r="C120" s="7" t="str">
        <f t="shared" si="3"/>
        <v>Premium3</v>
      </c>
      <c r="D120" s="7" t="str">
        <f t="shared" si="4"/>
        <v>Premium</v>
      </c>
      <c r="E120" s="7" t="str">
        <f>IF(COUNTIF('R6追加前'!A:A,B120)=0,IF(I120="PremiumSS","R5only","R3less"),"")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7">
        <f ca="1">IFERROR(VLOOKUP(B120,input_356100!L:R,7,FALSE),VLOOKUP(tables_356100!C120,input_356100!A:H,8,FALSE))</f>
        <v>0</v>
      </c>
      <c r="P120" s="48">
        <f t="shared" ca="1" si="5"/>
        <v>0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input_356100!A$2</f>
        <v>356100</v>
      </c>
      <c r="B121" s="5">
        <v>245</v>
      </c>
      <c r="C121" s="7" t="str">
        <f t="shared" si="3"/>
        <v>Premium4</v>
      </c>
      <c r="D121" s="7" t="str">
        <f t="shared" si="4"/>
        <v>Premium</v>
      </c>
      <c r="E121" s="7" t="str">
        <f>IF(COUNTIF('R6追加前'!A:A,B121)=0,IF(I121="PremiumSS","R5only","R3less"),"")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7">
        <f ca="1">IFERROR(VLOOKUP(B121,input_356100!L:R,7,FALSE),VLOOKUP(tables_356100!C121,input_356100!A:H,8,FALSE))</f>
        <v>6931.2</v>
      </c>
      <c r="P121" s="48">
        <f t="shared" ca="1" si="5"/>
        <v>4.6769230769230768E-3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input_356100!A$2</f>
        <v>356100</v>
      </c>
      <c r="B122" s="5">
        <v>246</v>
      </c>
      <c r="C122" s="7" t="str">
        <f t="shared" si="3"/>
        <v>Premium5</v>
      </c>
      <c r="D122" s="7" t="str">
        <f t="shared" si="4"/>
        <v>Premium</v>
      </c>
      <c r="E122" s="7" t="str">
        <f>IF(COUNTIF('R6追加前'!A:A,B122)=0,IF(I122="PremiumSS","R5only","R3less"),"")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7">
        <f ca="1">IFERROR(VLOOKUP(B122,input_356100!L:R,7,FALSE),VLOOKUP(tables_356100!C122,input_356100!A:H,8,FALSE))</f>
        <v>364.8</v>
      </c>
      <c r="P122" s="48">
        <f t="shared" ca="1" si="5"/>
        <v>2.4615384615384614E-4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input_356100!A$2</f>
        <v>356100</v>
      </c>
      <c r="B123" s="5">
        <v>247</v>
      </c>
      <c r="C123" s="7" t="str">
        <f t="shared" si="3"/>
        <v>Premium3</v>
      </c>
      <c r="D123" s="7" t="str">
        <f t="shared" si="4"/>
        <v>Premium</v>
      </c>
      <c r="E123" s="7" t="str">
        <f>IF(COUNTIF('R6追加前'!A:A,B123)=0,IF(I123="PremiumSS","R5only","R3less"),"")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7">
        <f ca="1">IFERROR(VLOOKUP(B123,input_356100!L:R,7,FALSE),VLOOKUP(tables_356100!C123,input_356100!A:H,8,FALSE))</f>
        <v>0</v>
      </c>
      <c r="P123" s="48">
        <f t="shared" ca="1" si="5"/>
        <v>0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input_356100!A$2</f>
        <v>356100</v>
      </c>
      <c r="B124" s="5">
        <v>248</v>
      </c>
      <c r="C124" s="7" t="str">
        <f t="shared" si="3"/>
        <v>Premium4</v>
      </c>
      <c r="D124" s="7" t="str">
        <f t="shared" si="4"/>
        <v>Premium</v>
      </c>
      <c r="E124" s="7" t="str">
        <f>IF(COUNTIF('R6追加前'!A:A,B124)=0,IF(I124="PremiumSS","R5only","R3less"),"")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7">
        <f ca="1">IFERROR(VLOOKUP(B124,input_356100!L:R,7,FALSE),VLOOKUP(tables_356100!C124,input_356100!A:H,8,FALSE))</f>
        <v>6931.2</v>
      </c>
      <c r="P124" s="48">
        <f t="shared" ca="1" si="5"/>
        <v>4.6769230769230768E-3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input_356100!A$2</f>
        <v>356100</v>
      </c>
      <c r="B125" s="6">
        <v>249</v>
      </c>
      <c r="C125" s="7" t="str">
        <f t="shared" si="3"/>
        <v>Premium5</v>
      </c>
      <c r="D125" s="7" t="str">
        <f t="shared" si="4"/>
        <v>Premium</v>
      </c>
      <c r="E125" s="7" t="str">
        <f>IF(COUNTIF('R6追加前'!A:A,B125)=0,IF(I125="PremiumSS","R5only","R3less"),"")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7">
        <f ca="1">IFERROR(VLOOKUP(B125,input_356100!L:R,7,FALSE),VLOOKUP(tables_356100!C125,input_356100!A:H,8,FALSE))</f>
        <v>364.8</v>
      </c>
      <c r="P125" s="48">
        <f t="shared" ca="1" si="5"/>
        <v>2.4615384615384614E-4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input_356100!A$2</f>
        <v>356100</v>
      </c>
      <c r="B126" s="6">
        <v>250</v>
      </c>
      <c r="C126" s="7" t="str">
        <f t="shared" si="3"/>
        <v>Premium3color</v>
      </c>
      <c r="D126" s="7" t="str">
        <f t="shared" si="4"/>
        <v>Premium</v>
      </c>
      <c r="E126" s="7" t="str">
        <f>IF(COUNTIF('R6追加前'!A:A,B126)=0,IF(I126="PremiumSS","R5only","R3less"),"")</f>
        <v/>
      </c>
      <c r="F126" s="7" t="str">
        <f>IF(COUNTIF('R6開放'!A:A,B126)&gt;0,"R6release","")</f>
        <v/>
      </c>
      <c r="G126" s="7" t="s">
        <v>240</v>
      </c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7">
        <f ca="1">IFERROR(VLOOKUP(B126,input_356100!L:R,7,FALSE),VLOOKUP(tables_356100!C126,input_356100!A:H,8,FALSE))</f>
        <v>0</v>
      </c>
      <c r="P126" s="48">
        <f t="shared" ca="1" si="5"/>
        <v>0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input_356100!A$2</f>
        <v>356100</v>
      </c>
      <c r="B127" s="6">
        <v>251</v>
      </c>
      <c r="C127" s="7" t="str">
        <f t="shared" si="3"/>
        <v>Premium4color</v>
      </c>
      <c r="D127" s="7" t="str">
        <f t="shared" si="4"/>
        <v>Premium</v>
      </c>
      <c r="E127" s="7" t="str">
        <f>IF(COUNTIF('R6追加前'!A:A,B127)=0,IF(I127="PremiumSS","R5only","R3less"),"")</f>
        <v/>
      </c>
      <c r="F127" s="7" t="str">
        <f>IF(COUNTIF('R6開放'!A:A,B127)&gt;0,"R6release","")</f>
        <v/>
      </c>
      <c r="G127" s="7" t="s">
        <v>240</v>
      </c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7">
        <f ca="1">IFERROR(VLOOKUP(B127,input_356100!L:R,7,FALSE),VLOOKUP(tables_356100!C127,input_356100!A:H,8,FALSE))</f>
        <v>27724.799999999999</v>
      </c>
      <c r="P127" s="48">
        <f t="shared" ca="1" si="5"/>
        <v>1.8707692307692307E-2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input_356100!A$2</f>
        <v>356100</v>
      </c>
      <c r="B128" s="6">
        <v>252</v>
      </c>
      <c r="C128" s="7" t="str">
        <f t="shared" si="3"/>
        <v>Premium5color</v>
      </c>
      <c r="D128" s="7" t="str">
        <f t="shared" si="4"/>
        <v>Premium</v>
      </c>
      <c r="E128" s="7" t="str">
        <f>IF(COUNTIF('R6追加前'!A:A,B128)=0,IF(I128="PremiumSS","R5only","R3less"),"")</f>
        <v/>
      </c>
      <c r="F128" s="7" t="str">
        <f>IF(COUNTIF('R6開放'!A:A,B128)&gt;0,"R6release","")</f>
        <v/>
      </c>
      <c r="G128" s="7" t="s">
        <v>240</v>
      </c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7">
        <f ca="1">IFERROR(VLOOKUP(B128,input_356100!L:R,7,FALSE),VLOOKUP(tables_356100!C128,input_356100!A:H,8,FALSE))</f>
        <v>1459.2</v>
      </c>
      <c r="P128" s="48">
        <f t="shared" ca="1" si="5"/>
        <v>9.8461538461538456E-4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input_356100!A$2</f>
        <v>356100</v>
      </c>
      <c r="B129" s="6">
        <v>253</v>
      </c>
      <c r="C129" s="7" t="str">
        <f t="shared" si="3"/>
        <v>Premium3color</v>
      </c>
      <c r="D129" s="7" t="str">
        <f t="shared" si="4"/>
        <v>Premium</v>
      </c>
      <c r="E129" s="7" t="str">
        <f>IF(COUNTIF('R6追加前'!A:A,B129)=0,IF(I129="PremiumSS","R5only","R3less"),"")</f>
        <v/>
      </c>
      <c r="F129" s="7" t="str">
        <f>IF(COUNTIF('R6開放'!A:A,B129)&gt;0,"R6release","")</f>
        <v/>
      </c>
      <c r="G129" s="7" t="s">
        <v>240</v>
      </c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7">
        <f ca="1">IFERROR(VLOOKUP(B129,input_356100!L:R,7,FALSE),VLOOKUP(tables_356100!C129,input_356100!A:H,8,FALSE))</f>
        <v>0</v>
      </c>
      <c r="P129" s="48">
        <f t="shared" ca="1" si="5"/>
        <v>0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input_356100!A$2</f>
        <v>356100</v>
      </c>
      <c r="B130" s="6">
        <v>254</v>
      </c>
      <c r="C130" s="7" t="str">
        <f t="shared" ref="C130:C193" si="6">D130&amp;J130&amp;E130&amp;F130&amp;G130</f>
        <v>Premium4color</v>
      </c>
      <c r="D130" s="7" t="str">
        <f t="shared" si="4"/>
        <v>Premium</v>
      </c>
      <c r="E130" s="7" t="str">
        <f>IF(COUNTIF('R6追加前'!A:A,B130)=0,IF(I130="PremiumSS","R5only","R3less"),"")</f>
        <v/>
      </c>
      <c r="F130" s="7" t="str">
        <f>IF(COUNTIF('R6開放'!A:A,B130)&gt;0,"R6release","")</f>
        <v/>
      </c>
      <c r="G130" s="7" t="s">
        <v>240</v>
      </c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7">
        <f ca="1">IFERROR(VLOOKUP(B130,input_356100!L:R,7,FALSE),VLOOKUP(tables_356100!C130,input_356100!A:H,8,FALSE))</f>
        <v>27724.799999999999</v>
      </c>
      <c r="P130" s="48">
        <f t="shared" ca="1" si="5"/>
        <v>1.8707692307692307E-2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input_356100!A$2</f>
        <v>356100</v>
      </c>
      <c r="B131" s="6">
        <v>255</v>
      </c>
      <c r="C131" s="7" t="str">
        <f t="shared" si="6"/>
        <v>Premium5color</v>
      </c>
      <c r="D131" s="7" t="str">
        <f t="shared" ref="D131:D194" si="7">IF(I131="PremiumSS",I131,IF(I131="PremiumSSS",I131,IF(I131="PremiumW",I131,"Premium")))</f>
        <v>Premium</v>
      </c>
      <c r="E131" s="7" t="str">
        <f>IF(COUNTIF('R6追加前'!A:A,B131)=0,IF(I131="PremiumSS","R5only","R3less"),"")</f>
        <v/>
      </c>
      <c r="F131" s="7" t="str">
        <f>IF(COUNTIF('R6開放'!A:A,B131)&gt;0,"R6release","")</f>
        <v/>
      </c>
      <c r="G131" s="7" t="s">
        <v>240</v>
      </c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7">
        <f ca="1">IFERROR(VLOOKUP(B131,input_356100!L:R,7,FALSE),VLOOKUP(tables_356100!C131,input_356100!A:H,8,FALSE))</f>
        <v>1459.2</v>
      </c>
      <c r="P131" s="48">
        <f t="shared" ca="1" si="5"/>
        <v>9.8461538461538456E-4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input_356100!A$2</f>
        <v>356100</v>
      </c>
      <c r="B132" s="6">
        <v>256</v>
      </c>
      <c r="C132" s="7" t="str">
        <f t="shared" si="6"/>
        <v>Premium3</v>
      </c>
      <c r="D132" s="7" t="str">
        <f t="shared" si="7"/>
        <v>Premium</v>
      </c>
      <c r="E132" s="7" t="str">
        <f>IF(COUNTIF('R6追加前'!A:A,B132)=0,IF(I132="PremiumSS","R5only","R3less"),"")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7">
        <f ca="1">IFERROR(VLOOKUP(B132,input_356100!L:R,7,FALSE),VLOOKUP(tables_356100!C132,input_356100!A:H,8,FALSE))</f>
        <v>0</v>
      </c>
      <c r="P132" s="48">
        <f t="shared" ca="1" si="5"/>
        <v>0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input_356100!A$2</f>
        <v>356100</v>
      </c>
      <c r="B133" s="6">
        <v>257</v>
      </c>
      <c r="C133" s="7" t="str">
        <f t="shared" si="6"/>
        <v>Premium4</v>
      </c>
      <c r="D133" s="7" t="str">
        <f t="shared" si="7"/>
        <v>Premium</v>
      </c>
      <c r="E133" s="7" t="str">
        <f>IF(COUNTIF('R6追加前'!A:A,B133)=0,IF(I133="PremiumSS","R5only","R3less"),"")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7">
        <f ca="1">IFERROR(VLOOKUP(B133,input_356100!L:R,7,FALSE),VLOOKUP(tables_356100!C133,input_356100!A:H,8,FALSE))</f>
        <v>6931.2</v>
      </c>
      <c r="P133" s="48">
        <f t="shared" ca="1" si="5"/>
        <v>4.6769230769230768E-3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input_356100!A$2</f>
        <v>356100</v>
      </c>
      <c r="B134" s="6">
        <v>258</v>
      </c>
      <c r="C134" s="7" t="str">
        <f t="shared" si="6"/>
        <v>Premium5</v>
      </c>
      <c r="D134" s="7" t="str">
        <f t="shared" si="7"/>
        <v>Premium</v>
      </c>
      <c r="E134" s="7" t="str">
        <f>IF(COUNTIF('R6追加前'!A:A,B134)=0,IF(I134="PremiumSS","R5only","R3less"),"")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7">
        <f ca="1">IFERROR(VLOOKUP(B134,input_356100!L:R,7,FALSE),VLOOKUP(tables_356100!C134,input_356100!A:H,8,FALSE))</f>
        <v>364.8</v>
      </c>
      <c r="P134" s="48">
        <f t="shared" ca="1" si="5"/>
        <v>2.4615384615384614E-4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input_356100!A$2</f>
        <v>356100</v>
      </c>
      <c r="B135" s="6">
        <v>259</v>
      </c>
      <c r="C135" s="7" t="str">
        <f t="shared" si="6"/>
        <v>Premium3</v>
      </c>
      <c r="D135" s="7" t="str">
        <f t="shared" si="7"/>
        <v>Premium</v>
      </c>
      <c r="E135" s="7" t="str">
        <f>IF(COUNTIF('R6追加前'!A:A,B135)=0,IF(I135="PremiumSS","R5only","R3less"),"")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7">
        <f ca="1">IFERROR(VLOOKUP(B135,input_356100!L:R,7,FALSE),VLOOKUP(tables_356100!C135,input_356100!A:H,8,FALSE))</f>
        <v>0</v>
      </c>
      <c r="P135" s="48">
        <f t="shared" ca="1" si="5"/>
        <v>0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input_356100!A$2</f>
        <v>356100</v>
      </c>
      <c r="B136" s="8">
        <v>260</v>
      </c>
      <c r="C136" s="7" t="str">
        <f t="shared" si="6"/>
        <v>Premium4</v>
      </c>
      <c r="D136" s="7" t="str">
        <f t="shared" si="7"/>
        <v>Premium</v>
      </c>
      <c r="E136" s="7" t="str">
        <f>IF(COUNTIF('R6追加前'!A:A,B136)=0,IF(I136="PremiumSS","R5only","R3less"),"")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7">
        <f ca="1">IFERROR(VLOOKUP(B136,input_356100!L:R,7,FALSE),VLOOKUP(tables_356100!C136,input_356100!A:H,8,FALSE))</f>
        <v>6931.2</v>
      </c>
      <c r="P136" s="48">
        <f t="shared" ca="1" si="5"/>
        <v>4.6769230769230768E-3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input_356100!A$2</f>
        <v>356100</v>
      </c>
      <c r="B137" s="8">
        <v>261</v>
      </c>
      <c r="C137" s="7" t="str">
        <f t="shared" si="6"/>
        <v>Premium5</v>
      </c>
      <c r="D137" s="7" t="str">
        <f t="shared" si="7"/>
        <v>Premium</v>
      </c>
      <c r="E137" s="7" t="str">
        <f>IF(COUNTIF('R6追加前'!A:A,B137)=0,IF(I137="PremiumSS","R5only","R3less"),"")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7">
        <f ca="1">IFERROR(VLOOKUP(B137,input_356100!L:R,7,FALSE),VLOOKUP(tables_356100!C137,input_356100!A:H,8,FALSE))</f>
        <v>364.8</v>
      </c>
      <c r="P137" s="48">
        <f t="shared" ca="1" si="5"/>
        <v>2.4615384615384614E-4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input_356100!A$2</f>
        <v>356100</v>
      </c>
      <c r="B138" s="6">
        <v>320</v>
      </c>
      <c r="C138" s="7" t="str">
        <f t="shared" si="6"/>
        <v>PremiumSS4color</v>
      </c>
      <c r="D138" s="7" t="str">
        <f t="shared" si="7"/>
        <v>PremiumSS</v>
      </c>
      <c r="E138" s="7" t="str">
        <f>IF(COUNTIF('R6追加前'!A:A,B138)=0,IF(I138="PremiumSS","R5only","R3less"),"")</f>
        <v/>
      </c>
      <c r="F138" s="7" t="str">
        <f>IF(COUNTIF('R6開放'!A:A,B138)&gt;0,"R6release","")</f>
        <v/>
      </c>
      <c r="G138" s="7" t="s">
        <v>240</v>
      </c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7">
        <f ca="1">IFERROR(VLOOKUP(B138,input_356100!L:R,7,FALSE),VLOOKUP(tables_356100!C138,input_356100!A:H,8,FALSE))</f>
        <v>1778.4</v>
      </c>
      <c r="P138" s="48">
        <f t="shared" ca="1" si="5"/>
        <v>1.2000000000000001E-3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input_356100!A$2</f>
        <v>356100</v>
      </c>
      <c r="B139" s="6">
        <v>321</v>
      </c>
      <c r="C139" s="7" t="str">
        <f t="shared" si="6"/>
        <v>PremiumSS5color</v>
      </c>
      <c r="D139" s="7" t="str">
        <f t="shared" si="7"/>
        <v>PremiumSS</v>
      </c>
      <c r="E139" s="7" t="str">
        <f>IF(COUNTIF('R6追加前'!A:A,B139)=0,IF(I139="PremiumSS","R5only","R3less"),"")</f>
        <v/>
      </c>
      <c r="F139" s="7" t="str">
        <f>IF(COUNTIF('R6開放'!A:A,B139)&gt;0,"R6release","")</f>
        <v/>
      </c>
      <c r="G139" s="7" t="s">
        <v>240</v>
      </c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7">
        <f ca="1">IFERROR(VLOOKUP(B139,input_356100!L:R,7,FALSE),VLOOKUP(tables_356100!C139,input_356100!A:H,8,FALSE))</f>
        <v>93.6</v>
      </c>
      <c r="P139" s="48">
        <f t="shared" ca="1" si="5"/>
        <v>6.3157894736842103E-5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input_356100!A$2</f>
        <v>356100</v>
      </c>
      <c r="B140" s="6">
        <v>322</v>
      </c>
      <c r="C140" s="7" t="str">
        <f t="shared" si="6"/>
        <v>PremiumSS4color</v>
      </c>
      <c r="D140" s="7" t="str">
        <f t="shared" si="7"/>
        <v>PremiumSS</v>
      </c>
      <c r="E140" s="7" t="str">
        <f>IF(COUNTIF('R6追加前'!A:A,B140)=0,IF(I140="PremiumSS","R5only","R3less"),"")</f>
        <v/>
      </c>
      <c r="F140" s="7" t="str">
        <f>IF(COUNTIF('R6開放'!A:A,B140)&gt;0,"R6release","")</f>
        <v/>
      </c>
      <c r="G140" s="7" t="s">
        <v>240</v>
      </c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7">
        <f ca="1">IFERROR(VLOOKUP(B140,input_356100!L:R,7,FALSE),VLOOKUP(tables_356100!C140,input_356100!A:H,8,FALSE))</f>
        <v>1778.4</v>
      </c>
      <c r="P140" s="48">
        <f t="shared" ca="1" si="5"/>
        <v>1.2000000000000001E-3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input_356100!A$2</f>
        <v>356100</v>
      </c>
      <c r="B141" s="6">
        <v>323</v>
      </c>
      <c r="C141" s="7" t="str">
        <f t="shared" si="6"/>
        <v>PremiumSS5color</v>
      </c>
      <c r="D141" s="7" t="str">
        <f t="shared" si="7"/>
        <v>PremiumSS</v>
      </c>
      <c r="E141" s="7" t="str">
        <f>IF(COUNTIF('R6追加前'!A:A,B141)=0,IF(I141="PremiumSS","R5only","R3less"),"")</f>
        <v/>
      </c>
      <c r="F141" s="7" t="str">
        <f>IF(COUNTIF('R6開放'!A:A,B141)&gt;0,"R6release","")</f>
        <v/>
      </c>
      <c r="G141" s="7" t="s">
        <v>240</v>
      </c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7">
        <f ca="1">IFERROR(VLOOKUP(B141,input_356100!L:R,7,FALSE),VLOOKUP(tables_356100!C141,input_356100!A:H,8,FALSE))</f>
        <v>93.6</v>
      </c>
      <c r="P141" s="48">
        <f t="shared" ca="1" si="5"/>
        <v>6.3157894736842103E-5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input_356100!A$2</f>
        <v>356100</v>
      </c>
      <c r="B142" s="6">
        <v>324</v>
      </c>
      <c r="C142" s="7" t="str">
        <f t="shared" si="6"/>
        <v>PremiumSS4</v>
      </c>
      <c r="D142" s="7" t="str">
        <f t="shared" si="7"/>
        <v>PremiumSS</v>
      </c>
      <c r="E142" s="7" t="str">
        <f>IF(COUNTIF('R6追加前'!A:A,B142)=0,IF(I142="PremiumSS","R5only","R3less"),"")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7">
        <f ca="1">IFERROR(VLOOKUP(B142,input_356100!L:R,7,FALSE),VLOOKUP(tables_356100!C142,input_356100!A:H,8,FALSE))</f>
        <v>444.6</v>
      </c>
      <c r="P142" s="48">
        <f t="shared" ca="1" si="5"/>
        <v>3.0000000000000003E-4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input_356100!A$2</f>
        <v>356100</v>
      </c>
      <c r="B143" s="6">
        <v>325</v>
      </c>
      <c r="C143" s="7" t="str">
        <f t="shared" si="6"/>
        <v>PremiumSS5</v>
      </c>
      <c r="D143" s="7" t="str">
        <f t="shared" si="7"/>
        <v>PremiumSS</v>
      </c>
      <c r="E143" s="7" t="str">
        <f>IF(COUNTIF('R6追加前'!A:A,B143)=0,IF(I143="PremiumSS","R5only","R3less"),"")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7">
        <f ca="1">IFERROR(VLOOKUP(B143,input_356100!L:R,7,FALSE),VLOOKUP(tables_356100!C143,input_356100!A:H,8,FALSE))</f>
        <v>23.4</v>
      </c>
      <c r="P143" s="48">
        <f t="shared" ref="P143:P206" ca="1" si="8">O143/SUM(O:O)</f>
        <v>1.5789473684210526E-5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input_356100!A$2</f>
        <v>356100</v>
      </c>
      <c r="B144" s="6">
        <v>326</v>
      </c>
      <c r="C144" s="7" t="str">
        <f t="shared" si="6"/>
        <v>PremiumSS4</v>
      </c>
      <c r="D144" s="7" t="str">
        <f t="shared" si="7"/>
        <v>PremiumSS</v>
      </c>
      <c r="E144" s="7" t="str">
        <f>IF(COUNTIF('R6追加前'!A:A,B144)=0,IF(I144="PremiumSS","R5only","R3less"),"")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7">
        <f ca="1">IFERROR(VLOOKUP(B144,input_356100!L:R,7,FALSE),VLOOKUP(tables_356100!C144,input_356100!A:H,8,FALSE))</f>
        <v>444.6</v>
      </c>
      <c r="P144" s="48">
        <f t="shared" ca="1" si="8"/>
        <v>3.0000000000000003E-4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input_356100!A$2</f>
        <v>356100</v>
      </c>
      <c r="B145" s="6">
        <v>327</v>
      </c>
      <c r="C145" s="7" t="str">
        <f t="shared" si="6"/>
        <v>PremiumSS5</v>
      </c>
      <c r="D145" s="7" t="str">
        <f t="shared" si="7"/>
        <v>PremiumSS</v>
      </c>
      <c r="E145" s="7" t="str">
        <f>IF(COUNTIF('R6追加前'!A:A,B145)=0,IF(I145="PremiumSS","R5only","R3less"),"")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7">
        <f ca="1">IFERROR(VLOOKUP(B145,input_356100!L:R,7,FALSE),VLOOKUP(tables_356100!C145,input_356100!A:H,8,FALSE))</f>
        <v>23.4</v>
      </c>
      <c r="P145" s="48">
        <f t="shared" ca="1" si="8"/>
        <v>1.5789473684210526E-5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input_356100!A$2</f>
        <v>356100</v>
      </c>
      <c r="B146" s="6">
        <v>380</v>
      </c>
      <c r="C146" s="7" t="str">
        <f t="shared" si="6"/>
        <v>Premium3color</v>
      </c>
      <c r="D146" s="7" t="str">
        <f t="shared" si="7"/>
        <v>Premium</v>
      </c>
      <c r="E146" s="7" t="str">
        <f>IF(COUNTIF('R6追加前'!A:A,B146)=0,IF(I146="PremiumSS","R5only","R3less"),"")</f>
        <v/>
      </c>
      <c r="F146" s="7" t="str">
        <f>IF(COUNTIF('R6開放'!A:A,B146)&gt;0,"R6release","")</f>
        <v/>
      </c>
      <c r="G146" s="7" t="s">
        <v>240</v>
      </c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7">
        <f ca="1">IFERROR(VLOOKUP(B146,input_356100!L:R,7,FALSE),VLOOKUP(tables_356100!C146,input_356100!A:H,8,FALSE))</f>
        <v>0</v>
      </c>
      <c r="P146" s="48">
        <f t="shared" ca="1" si="8"/>
        <v>0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input_356100!A$2</f>
        <v>356100</v>
      </c>
      <c r="B147" s="6">
        <v>381</v>
      </c>
      <c r="C147" s="7" t="str">
        <f t="shared" si="6"/>
        <v>Premium4color</v>
      </c>
      <c r="D147" s="7" t="str">
        <f t="shared" si="7"/>
        <v>Premium</v>
      </c>
      <c r="E147" s="7" t="str">
        <f>IF(COUNTIF('R6追加前'!A:A,B147)=0,IF(I147="PremiumSS","R5only","R3less"),"")</f>
        <v/>
      </c>
      <c r="F147" s="7" t="str">
        <f>IF(COUNTIF('R6開放'!A:A,B147)&gt;0,"R6release","")</f>
        <v/>
      </c>
      <c r="G147" s="7" t="s">
        <v>240</v>
      </c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7">
        <f ca="1">IFERROR(VLOOKUP(B147,input_356100!L:R,7,FALSE),VLOOKUP(tables_356100!C147,input_356100!A:H,8,FALSE))</f>
        <v>27724.799999999999</v>
      </c>
      <c r="P147" s="48">
        <f t="shared" ca="1" si="8"/>
        <v>1.8707692307692307E-2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input_356100!A$2</f>
        <v>356100</v>
      </c>
      <c r="B148" s="6">
        <v>382</v>
      </c>
      <c r="C148" s="7" t="str">
        <f t="shared" si="6"/>
        <v>Premium5color</v>
      </c>
      <c r="D148" s="7" t="str">
        <f t="shared" si="7"/>
        <v>Premium</v>
      </c>
      <c r="E148" s="7" t="str">
        <f>IF(COUNTIF('R6追加前'!A:A,B148)=0,IF(I148="PremiumSS","R5only","R3less"),"")</f>
        <v/>
      </c>
      <c r="F148" s="7" t="str">
        <f>IF(COUNTIF('R6開放'!A:A,B148)&gt;0,"R6release","")</f>
        <v/>
      </c>
      <c r="G148" s="7" t="s">
        <v>240</v>
      </c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7">
        <f ca="1">IFERROR(VLOOKUP(B148,input_356100!L:R,7,FALSE),VLOOKUP(tables_356100!C148,input_356100!A:H,8,FALSE))</f>
        <v>1459.2</v>
      </c>
      <c r="P148" s="48">
        <f t="shared" ca="1" si="8"/>
        <v>9.8461538461538456E-4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input_356100!A$2</f>
        <v>356100</v>
      </c>
      <c r="B149" s="6">
        <v>383</v>
      </c>
      <c r="C149" s="7" t="str">
        <f t="shared" si="6"/>
        <v>PremiumSS4color</v>
      </c>
      <c r="D149" s="7" t="str">
        <f t="shared" si="7"/>
        <v>PremiumSS</v>
      </c>
      <c r="E149" s="7" t="str">
        <f>IF(COUNTIF('R6追加前'!A:A,B149)=0,IF(I149="PremiumSS","R5only","R3less"),"")</f>
        <v/>
      </c>
      <c r="F149" s="7" t="str">
        <f>IF(COUNTIF('R6開放'!A:A,B149)&gt;0,"R6release","")</f>
        <v/>
      </c>
      <c r="G149" s="7" t="s">
        <v>240</v>
      </c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7">
        <f ca="1">IFERROR(VLOOKUP(B149,input_356100!L:R,7,FALSE),VLOOKUP(tables_356100!C149,input_356100!A:H,8,FALSE))</f>
        <v>1778.4</v>
      </c>
      <c r="P149" s="48">
        <f t="shared" ca="1" si="8"/>
        <v>1.2000000000000001E-3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input_356100!A$2</f>
        <v>356100</v>
      </c>
      <c r="B150" s="6">
        <v>384</v>
      </c>
      <c r="C150" s="7" t="str">
        <f t="shared" si="6"/>
        <v>PremiumSS5color</v>
      </c>
      <c r="D150" s="7" t="str">
        <f t="shared" si="7"/>
        <v>PremiumSS</v>
      </c>
      <c r="E150" s="7" t="str">
        <f>IF(COUNTIF('R6追加前'!A:A,B150)=0,IF(I150="PremiumSS","R5only","R3less"),"")</f>
        <v/>
      </c>
      <c r="F150" s="7" t="str">
        <f>IF(COUNTIF('R6開放'!A:A,B150)&gt;0,"R6release","")</f>
        <v/>
      </c>
      <c r="G150" s="7" t="s">
        <v>240</v>
      </c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7">
        <f ca="1">IFERROR(VLOOKUP(B150,input_356100!L:R,7,FALSE),VLOOKUP(tables_356100!C150,input_356100!A:H,8,FALSE))</f>
        <v>93.6</v>
      </c>
      <c r="P150" s="48">
        <f t="shared" ca="1" si="8"/>
        <v>6.3157894736842103E-5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input_356100!A$2</f>
        <v>356100</v>
      </c>
      <c r="B151" s="6">
        <v>385</v>
      </c>
      <c r="C151" s="7" t="str">
        <f t="shared" si="6"/>
        <v>PremiumSS4</v>
      </c>
      <c r="D151" s="7" t="str">
        <f t="shared" si="7"/>
        <v>PremiumSS</v>
      </c>
      <c r="E151" s="7" t="str">
        <f>IF(COUNTIF('R6追加前'!A:A,B151)=0,IF(I151="PremiumSS","R5only","R3less"),"")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7">
        <f ca="1">IFERROR(VLOOKUP(B151,input_356100!L:R,7,FALSE),VLOOKUP(tables_356100!C151,input_356100!A:H,8,FALSE))</f>
        <v>444.6</v>
      </c>
      <c r="P151" s="48">
        <f t="shared" ca="1" si="8"/>
        <v>3.0000000000000003E-4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input_356100!A$2</f>
        <v>356100</v>
      </c>
      <c r="B152" s="6">
        <v>386</v>
      </c>
      <c r="C152" s="7" t="str">
        <f t="shared" si="6"/>
        <v>PremiumSS5</v>
      </c>
      <c r="D152" s="7" t="str">
        <f t="shared" si="7"/>
        <v>PremiumSS</v>
      </c>
      <c r="E152" s="7" t="str">
        <f>IF(COUNTIF('R6追加前'!A:A,B152)=0,IF(I152="PremiumSS","R5only","R3less"),"")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7">
        <f ca="1">IFERROR(VLOOKUP(B152,input_356100!L:R,7,FALSE),VLOOKUP(tables_356100!C152,input_356100!A:H,8,FALSE))</f>
        <v>23.4</v>
      </c>
      <c r="P152" s="48">
        <f t="shared" ca="1" si="8"/>
        <v>1.5789473684210526E-5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input_356100!A$2</f>
        <v>356100</v>
      </c>
      <c r="B153" s="6">
        <v>387</v>
      </c>
      <c r="C153" s="7" t="str">
        <f t="shared" si="6"/>
        <v>Premium3</v>
      </c>
      <c r="D153" s="7" t="str">
        <f t="shared" si="7"/>
        <v>Premium</v>
      </c>
      <c r="E153" s="7" t="str">
        <f>IF(COUNTIF('R6追加前'!A:A,B153)=0,IF(I153="PremiumSS","R5only","R3less"),"")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7">
        <f ca="1">IFERROR(VLOOKUP(B153,input_356100!L:R,7,FALSE),VLOOKUP(tables_356100!C153,input_356100!A:H,8,FALSE))</f>
        <v>0</v>
      </c>
      <c r="P153" s="48">
        <f t="shared" ca="1" si="8"/>
        <v>0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input_356100!A$2</f>
        <v>356100</v>
      </c>
      <c r="B154" s="6">
        <v>388</v>
      </c>
      <c r="C154" s="7" t="str">
        <f t="shared" si="6"/>
        <v>Premium4</v>
      </c>
      <c r="D154" s="7" t="str">
        <f t="shared" si="7"/>
        <v>Premium</v>
      </c>
      <c r="E154" s="7" t="str">
        <f>IF(COUNTIF('R6追加前'!A:A,B154)=0,IF(I154="PremiumSS","R5only","R3less"),"")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7">
        <f ca="1">IFERROR(VLOOKUP(B154,input_356100!L:R,7,FALSE),VLOOKUP(tables_356100!C154,input_356100!A:H,8,FALSE))</f>
        <v>6931.2</v>
      </c>
      <c r="P154" s="48">
        <f t="shared" ca="1" si="8"/>
        <v>4.6769230769230768E-3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input_356100!A$2</f>
        <v>356100</v>
      </c>
      <c r="B155" s="6">
        <v>389</v>
      </c>
      <c r="C155" s="7" t="str">
        <f t="shared" si="6"/>
        <v>Premium5</v>
      </c>
      <c r="D155" s="7" t="str">
        <f t="shared" si="7"/>
        <v>Premium</v>
      </c>
      <c r="E155" s="7" t="str">
        <f>IF(COUNTIF('R6追加前'!A:A,B155)=0,IF(I155="PremiumSS","R5only","R3less"),"")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7">
        <f ca="1">IFERROR(VLOOKUP(B155,input_356100!L:R,7,FALSE),VLOOKUP(tables_356100!C155,input_356100!A:H,8,FALSE))</f>
        <v>364.8</v>
      </c>
      <c r="P155" s="48">
        <f t="shared" ca="1" si="8"/>
        <v>2.4615384615384614E-4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input_356100!A$2</f>
        <v>356100</v>
      </c>
      <c r="B156" s="6">
        <v>390</v>
      </c>
      <c r="C156" s="7" t="str">
        <f t="shared" si="6"/>
        <v>PremiumSS4color</v>
      </c>
      <c r="D156" s="7" t="str">
        <f t="shared" si="7"/>
        <v>PremiumSS</v>
      </c>
      <c r="E156" s="7" t="str">
        <f>IF(COUNTIF('R6追加前'!A:A,B156)=0,IF(I156="PremiumSS","R5only","R3less"),"")</f>
        <v/>
      </c>
      <c r="F156" s="7" t="str">
        <f>IF(COUNTIF('R6開放'!A:A,B156)&gt;0,"R6release","")</f>
        <v/>
      </c>
      <c r="G156" s="7" t="s">
        <v>240</v>
      </c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7">
        <f ca="1">IFERROR(VLOOKUP(B156,input_356100!L:R,7,FALSE),VLOOKUP(tables_356100!C156,input_356100!A:H,8,FALSE))</f>
        <v>1778.4</v>
      </c>
      <c r="P156" s="48">
        <f t="shared" ca="1" si="8"/>
        <v>1.2000000000000001E-3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input_356100!A$2</f>
        <v>356100</v>
      </c>
      <c r="B157" s="6">
        <v>391</v>
      </c>
      <c r="C157" s="7" t="str">
        <f t="shared" si="6"/>
        <v>PremiumSS5color</v>
      </c>
      <c r="D157" s="7" t="str">
        <f t="shared" si="7"/>
        <v>PremiumSS</v>
      </c>
      <c r="E157" s="7" t="str">
        <f>IF(COUNTIF('R6追加前'!A:A,B157)=0,IF(I157="PremiumSS","R5only","R3less"),"")</f>
        <v/>
      </c>
      <c r="F157" s="7" t="str">
        <f>IF(COUNTIF('R6開放'!A:A,B157)&gt;0,"R6release","")</f>
        <v/>
      </c>
      <c r="G157" s="7" t="s">
        <v>240</v>
      </c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7">
        <f ca="1">IFERROR(VLOOKUP(B157,input_356100!L:R,7,FALSE),VLOOKUP(tables_356100!C157,input_356100!A:H,8,FALSE))</f>
        <v>93.6</v>
      </c>
      <c r="P157" s="48">
        <f t="shared" ca="1" si="8"/>
        <v>6.3157894736842103E-5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input_356100!A$2</f>
        <v>356100</v>
      </c>
      <c r="B158" s="6">
        <v>392</v>
      </c>
      <c r="C158" s="7" t="str">
        <f t="shared" si="6"/>
        <v>Premium3color</v>
      </c>
      <c r="D158" s="7" t="str">
        <f t="shared" si="7"/>
        <v>Premium</v>
      </c>
      <c r="E158" s="7" t="str">
        <f>IF(COUNTIF('R6追加前'!A:A,B158)=0,IF(I158="PremiumSS","R5only","R3less"),"")</f>
        <v/>
      </c>
      <c r="F158" s="7" t="str">
        <f>IF(COUNTIF('R6開放'!A:A,B158)&gt;0,"R6release","")</f>
        <v/>
      </c>
      <c r="G158" s="7" t="s">
        <v>240</v>
      </c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7">
        <f ca="1">IFERROR(VLOOKUP(B158,input_356100!L:R,7,FALSE),VLOOKUP(tables_356100!C158,input_356100!A:H,8,FALSE))</f>
        <v>0</v>
      </c>
      <c r="P158" s="48">
        <f t="shared" ca="1" si="8"/>
        <v>0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input_356100!A$2</f>
        <v>356100</v>
      </c>
      <c r="B159" s="6">
        <v>393</v>
      </c>
      <c r="C159" s="7" t="str">
        <f t="shared" si="6"/>
        <v>Premium4color</v>
      </c>
      <c r="D159" s="7" t="str">
        <f t="shared" si="7"/>
        <v>Premium</v>
      </c>
      <c r="E159" s="7" t="str">
        <f>IF(COUNTIF('R6追加前'!A:A,B159)=0,IF(I159="PremiumSS","R5only","R3less"),"")</f>
        <v/>
      </c>
      <c r="F159" s="7" t="str">
        <f>IF(COUNTIF('R6開放'!A:A,B159)&gt;0,"R6release","")</f>
        <v/>
      </c>
      <c r="G159" s="7" t="s">
        <v>240</v>
      </c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7">
        <f ca="1">IFERROR(VLOOKUP(B159,input_356100!L:R,7,FALSE),VLOOKUP(tables_356100!C159,input_356100!A:H,8,FALSE))</f>
        <v>27724.799999999999</v>
      </c>
      <c r="P159" s="48">
        <f t="shared" ca="1" si="8"/>
        <v>1.8707692307692307E-2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input_356100!A$2</f>
        <v>356100</v>
      </c>
      <c r="B160" s="6">
        <v>394</v>
      </c>
      <c r="C160" s="7" t="str">
        <f t="shared" si="6"/>
        <v>Premium5color</v>
      </c>
      <c r="D160" s="7" t="str">
        <f t="shared" si="7"/>
        <v>Premium</v>
      </c>
      <c r="E160" s="7" t="str">
        <f>IF(COUNTIF('R6追加前'!A:A,B160)=0,IF(I160="PremiumSS","R5only","R3less"),"")</f>
        <v/>
      </c>
      <c r="F160" s="7" t="str">
        <f>IF(COUNTIF('R6開放'!A:A,B160)&gt;0,"R6release","")</f>
        <v/>
      </c>
      <c r="G160" s="7" t="s">
        <v>240</v>
      </c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7">
        <f ca="1">IFERROR(VLOOKUP(B160,input_356100!L:R,7,FALSE),VLOOKUP(tables_356100!C160,input_356100!A:H,8,FALSE))</f>
        <v>1459.2</v>
      </c>
      <c r="P160" s="48">
        <f t="shared" ca="1" si="8"/>
        <v>9.8461538461538456E-4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input_356100!A$2</f>
        <v>356100</v>
      </c>
      <c r="B161" s="6">
        <v>395</v>
      </c>
      <c r="C161" s="7" t="str">
        <f t="shared" si="6"/>
        <v>Premium3</v>
      </c>
      <c r="D161" s="7" t="str">
        <f t="shared" si="7"/>
        <v>Premium</v>
      </c>
      <c r="E161" s="7" t="str">
        <f>IF(COUNTIF('R6追加前'!A:A,B161)=0,IF(I161="PremiumSS","R5only","R3less"),"")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7">
        <f ca="1">IFERROR(VLOOKUP(B161,input_356100!L:R,7,FALSE),VLOOKUP(tables_356100!C161,input_356100!A:H,8,FALSE))</f>
        <v>0</v>
      </c>
      <c r="P161" s="48">
        <f t="shared" ca="1" si="8"/>
        <v>0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input_356100!A$2</f>
        <v>356100</v>
      </c>
      <c r="B162" s="6">
        <v>396</v>
      </c>
      <c r="C162" s="7" t="str">
        <f t="shared" si="6"/>
        <v>Premium4</v>
      </c>
      <c r="D162" s="7" t="str">
        <f t="shared" si="7"/>
        <v>Premium</v>
      </c>
      <c r="E162" s="7" t="str">
        <f>IF(COUNTIF('R6追加前'!A:A,B162)=0,IF(I162="PremiumSS","R5only","R3less"),"")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7">
        <f ca="1">IFERROR(VLOOKUP(B162,input_356100!L:R,7,FALSE),VLOOKUP(tables_356100!C162,input_356100!A:H,8,FALSE))</f>
        <v>6931.2</v>
      </c>
      <c r="P162" s="48">
        <f t="shared" ca="1" si="8"/>
        <v>4.6769230769230768E-3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input_356100!A$2</f>
        <v>356100</v>
      </c>
      <c r="B163" s="6">
        <v>397</v>
      </c>
      <c r="C163" s="7" t="str">
        <f t="shared" si="6"/>
        <v>Premium5</v>
      </c>
      <c r="D163" s="7" t="str">
        <f t="shared" si="7"/>
        <v>Premium</v>
      </c>
      <c r="E163" s="7" t="str">
        <f>IF(COUNTIF('R6追加前'!A:A,B163)=0,IF(I163="PremiumSS","R5only","R3less"),"")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7">
        <f ca="1">IFERROR(VLOOKUP(B163,input_356100!L:R,7,FALSE),VLOOKUP(tables_356100!C163,input_356100!A:H,8,FALSE))</f>
        <v>364.8</v>
      </c>
      <c r="P163" s="48">
        <f t="shared" ca="1" si="8"/>
        <v>2.4615384615384614E-4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input_356100!A$2</f>
        <v>356100</v>
      </c>
      <c r="B164" s="6">
        <v>398</v>
      </c>
      <c r="C164" s="7" t="str">
        <f t="shared" si="6"/>
        <v>PremiumSS4</v>
      </c>
      <c r="D164" s="7" t="str">
        <f t="shared" si="7"/>
        <v>PremiumSS</v>
      </c>
      <c r="E164" s="7" t="str">
        <f>IF(COUNTIF('R6追加前'!A:A,B164)=0,IF(I164="PremiumSS","R5only","R3less"),"")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7">
        <f ca="1">IFERROR(VLOOKUP(B164,input_356100!L:R,7,FALSE),VLOOKUP(tables_356100!C164,input_356100!A:H,8,FALSE))</f>
        <v>444.6</v>
      </c>
      <c r="P164" s="48">
        <f t="shared" ca="1" si="8"/>
        <v>3.0000000000000003E-4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input_356100!A$2</f>
        <v>356100</v>
      </c>
      <c r="B165" s="6">
        <v>399</v>
      </c>
      <c r="C165" s="7" t="str">
        <f t="shared" si="6"/>
        <v>PremiumSS5</v>
      </c>
      <c r="D165" s="7" t="str">
        <f t="shared" si="7"/>
        <v>PremiumSS</v>
      </c>
      <c r="E165" s="7" t="str">
        <f>IF(COUNTIF('R6追加前'!A:A,B165)=0,IF(I165="PremiumSS","R5only","R3less"),"")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7">
        <f ca="1">IFERROR(VLOOKUP(B165,input_356100!L:R,7,FALSE),VLOOKUP(tables_356100!C165,input_356100!A:H,8,FALSE))</f>
        <v>23.4</v>
      </c>
      <c r="P165" s="48">
        <f t="shared" ca="1" si="8"/>
        <v>1.5789473684210526E-5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input_356100!A$2</f>
        <v>356100</v>
      </c>
      <c r="B166" s="6">
        <v>400</v>
      </c>
      <c r="C166" s="7" t="str">
        <f t="shared" si="6"/>
        <v>Premium3color</v>
      </c>
      <c r="D166" s="7" t="str">
        <f t="shared" si="7"/>
        <v>Premium</v>
      </c>
      <c r="E166" s="7" t="str">
        <f>IF(COUNTIF('R6追加前'!A:A,B166)=0,IF(I166="PremiumSS","R5only","R3less"),"")</f>
        <v/>
      </c>
      <c r="F166" s="7" t="str">
        <f>IF(COUNTIF('R6開放'!A:A,B166)&gt;0,"R6release","")</f>
        <v/>
      </c>
      <c r="G166" s="7" t="s">
        <v>240</v>
      </c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7">
        <f ca="1">IFERROR(VLOOKUP(B166,input_356100!L:R,7,FALSE),VLOOKUP(tables_356100!C166,input_356100!A:H,8,FALSE))</f>
        <v>0</v>
      </c>
      <c r="P166" s="48">
        <f t="shared" ca="1" si="8"/>
        <v>0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input_356100!A$2</f>
        <v>356100</v>
      </c>
      <c r="B167" s="6">
        <v>401</v>
      </c>
      <c r="C167" s="7" t="str">
        <f t="shared" si="6"/>
        <v>Premium4color</v>
      </c>
      <c r="D167" s="7" t="str">
        <f t="shared" si="7"/>
        <v>Premium</v>
      </c>
      <c r="E167" s="7" t="str">
        <f>IF(COUNTIF('R6追加前'!A:A,B167)=0,IF(I167="PremiumSS","R5only","R3less"),"")</f>
        <v/>
      </c>
      <c r="F167" s="7" t="str">
        <f>IF(COUNTIF('R6開放'!A:A,B167)&gt;0,"R6release","")</f>
        <v/>
      </c>
      <c r="G167" s="7" t="s">
        <v>240</v>
      </c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7">
        <f ca="1">IFERROR(VLOOKUP(B167,input_356100!L:R,7,FALSE),VLOOKUP(tables_356100!C167,input_356100!A:H,8,FALSE))</f>
        <v>27724.799999999999</v>
      </c>
      <c r="P167" s="48">
        <f t="shared" ca="1" si="8"/>
        <v>1.8707692307692307E-2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input_356100!A$2</f>
        <v>356100</v>
      </c>
      <c r="B168" s="6">
        <v>402</v>
      </c>
      <c r="C168" s="7" t="str">
        <f t="shared" si="6"/>
        <v>Premium5color</v>
      </c>
      <c r="D168" s="7" t="str">
        <f t="shared" si="7"/>
        <v>Premium</v>
      </c>
      <c r="E168" s="7" t="str">
        <f>IF(COUNTIF('R6追加前'!A:A,B168)=0,IF(I168="PremiumSS","R5only","R3less"),"")</f>
        <v/>
      </c>
      <c r="F168" s="7" t="str">
        <f>IF(COUNTIF('R6開放'!A:A,B168)&gt;0,"R6release","")</f>
        <v/>
      </c>
      <c r="G168" s="7" t="s">
        <v>240</v>
      </c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7">
        <f ca="1">IFERROR(VLOOKUP(B168,input_356100!L:R,7,FALSE),VLOOKUP(tables_356100!C168,input_356100!A:H,8,FALSE))</f>
        <v>1459.2</v>
      </c>
      <c r="P168" s="48">
        <f t="shared" ca="1" si="8"/>
        <v>9.8461538461538456E-4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input_356100!A$2</f>
        <v>356100</v>
      </c>
      <c r="B169" s="6">
        <v>403</v>
      </c>
      <c r="C169" s="7" t="str">
        <f t="shared" si="6"/>
        <v>PremiumSS4color</v>
      </c>
      <c r="D169" s="7" t="str">
        <f t="shared" si="7"/>
        <v>PremiumSS</v>
      </c>
      <c r="E169" s="7" t="str">
        <f>IF(COUNTIF('R6追加前'!A:A,B169)=0,IF(I169="PremiumSS","R5only","R3less"),"")</f>
        <v/>
      </c>
      <c r="F169" s="7" t="str">
        <f>IF(COUNTIF('R6開放'!A:A,B169)&gt;0,"R6release","")</f>
        <v/>
      </c>
      <c r="G169" s="7" t="s">
        <v>240</v>
      </c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7">
        <f ca="1">IFERROR(VLOOKUP(B169,input_356100!L:R,7,FALSE),VLOOKUP(tables_356100!C169,input_356100!A:H,8,FALSE))</f>
        <v>1778.4</v>
      </c>
      <c r="P169" s="48">
        <f t="shared" ca="1" si="8"/>
        <v>1.2000000000000001E-3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input_356100!A$2</f>
        <v>356100</v>
      </c>
      <c r="B170" s="6">
        <v>404</v>
      </c>
      <c r="C170" s="7" t="str">
        <f t="shared" si="6"/>
        <v>PremiumSS5color</v>
      </c>
      <c r="D170" s="7" t="str">
        <f t="shared" si="7"/>
        <v>PremiumSS</v>
      </c>
      <c r="E170" s="7" t="str">
        <f>IF(COUNTIF('R6追加前'!A:A,B170)=0,IF(I170="PremiumSS","R5only","R3less"),"")</f>
        <v/>
      </c>
      <c r="F170" s="7" t="str">
        <f>IF(COUNTIF('R6開放'!A:A,B170)&gt;0,"R6release","")</f>
        <v/>
      </c>
      <c r="G170" s="7" t="s">
        <v>240</v>
      </c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7">
        <f ca="1">IFERROR(VLOOKUP(B170,input_356100!L:R,7,FALSE),VLOOKUP(tables_356100!C170,input_356100!A:H,8,FALSE))</f>
        <v>93.6</v>
      </c>
      <c r="P170" s="48">
        <f t="shared" ca="1" si="8"/>
        <v>6.3157894736842103E-5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input_356100!A$2</f>
        <v>356100</v>
      </c>
      <c r="B171" s="6">
        <v>405</v>
      </c>
      <c r="C171" s="7" t="str">
        <f t="shared" si="6"/>
        <v>Premium3</v>
      </c>
      <c r="D171" s="7" t="str">
        <f t="shared" si="7"/>
        <v>Premium</v>
      </c>
      <c r="E171" s="7" t="str">
        <f>IF(COUNTIF('R6追加前'!A:A,B171)=0,IF(I171="PremiumSS","R5only","R3less"),"")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7">
        <f ca="1">IFERROR(VLOOKUP(B171,input_356100!L:R,7,FALSE),VLOOKUP(tables_356100!C171,input_356100!A:H,8,FALSE))</f>
        <v>0</v>
      </c>
      <c r="P171" s="48">
        <f t="shared" ca="1" si="8"/>
        <v>0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input_356100!A$2</f>
        <v>356100</v>
      </c>
      <c r="B172" s="6">
        <v>406</v>
      </c>
      <c r="C172" s="7" t="str">
        <f t="shared" si="6"/>
        <v>Premium4</v>
      </c>
      <c r="D172" s="7" t="str">
        <f t="shared" si="7"/>
        <v>Premium</v>
      </c>
      <c r="E172" s="7" t="str">
        <f>IF(COUNTIF('R6追加前'!A:A,B172)=0,IF(I172="PremiumSS","R5only","R3less"),"")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7">
        <f ca="1">IFERROR(VLOOKUP(B172,input_356100!L:R,7,FALSE),VLOOKUP(tables_356100!C172,input_356100!A:H,8,FALSE))</f>
        <v>6931.2</v>
      </c>
      <c r="P172" s="48">
        <f t="shared" ca="1" si="8"/>
        <v>4.6769230769230768E-3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input_356100!A$2</f>
        <v>356100</v>
      </c>
      <c r="B173" s="6">
        <v>407</v>
      </c>
      <c r="C173" s="7" t="str">
        <f t="shared" si="6"/>
        <v>Premium5</v>
      </c>
      <c r="D173" s="7" t="str">
        <f t="shared" si="7"/>
        <v>Premium</v>
      </c>
      <c r="E173" s="7" t="str">
        <f>IF(COUNTIF('R6追加前'!A:A,B173)=0,IF(I173="PremiumSS","R5only","R3less"),"")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7">
        <f ca="1">IFERROR(VLOOKUP(B173,input_356100!L:R,7,FALSE),VLOOKUP(tables_356100!C173,input_356100!A:H,8,FALSE))</f>
        <v>364.8</v>
      </c>
      <c r="P173" s="48">
        <f t="shared" ca="1" si="8"/>
        <v>2.4615384615384614E-4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input_356100!A$2</f>
        <v>356100</v>
      </c>
      <c r="B174" s="6">
        <v>408</v>
      </c>
      <c r="C174" s="7" t="str">
        <f t="shared" si="6"/>
        <v>PremiumSS4</v>
      </c>
      <c r="D174" s="7" t="str">
        <f t="shared" si="7"/>
        <v>PremiumSS</v>
      </c>
      <c r="E174" s="7" t="str">
        <f>IF(COUNTIF('R6追加前'!A:A,B174)=0,IF(I174="PremiumSS","R5only","R3less"),"")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7">
        <f ca="1">IFERROR(VLOOKUP(B174,input_356100!L:R,7,FALSE),VLOOKUP(tables_356100!C174,input_356100!A:H,8,FALSE))</f>
        <v>444.6</v>
      </c>
      <c r="P174" s="48">
        <f t="shared" ca="1" si="8"/>
        <v>3.0000000000000003E-4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input_356100!A$2</f>
        <v>356100</v>
      </c>
      <c r="B175" s="6">
        <v>409</v>
      </c>
      <c r="C175" s="7" t="str">
        <f t="shared" si="6"/>
        <v>PremiumSS5</v>
      </c>
      <c r="D175" s="7" t="str">
        <f t="shared" si="7"/>
        <v>PremiumSS</v>
      </c>
      <c r="E175" s="7" t="str">
        <f>IF(COUNTIF('R6追加前'!A:A,B175)=0,IF(I175="PremiumSS","R5only","R3less"),"")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7">
        <f ca="1">IFERROR(VLOOKUP(B175,input_356100!L:R,7,FALSE),VLOOKUP(tables_356100!C175,input_356100!A:H,8,FALSE))</f>
        <v>23.4</v>
      </c>
      <c r="P175" s="48">
        <f t="shared" ca="1" si="8"/>
        <v>1.5789473684210526E-5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input_356100!A$2</f>
        <v>356100</v>
      </c>
      <c r="B176" s="6">
        <v>434</v>
      </c>
      <c r="C176" s="7" t="str">
        <f t="shared" si="6"/>
        <v>PremiumSS4color</v>
      </c>
      <c r="D176" s="7" t="str">
        <f t="shared" si="7"/>
        <v>PremiumSS</v>
      </c>
      <c r="E176" s="7" t="str">
        <f>IF(COUNTIF('R6追加前'!A:A,B176)=0,IF(I176="PremiumSS","R5only","R3less"),"")</f>
        <v/>
      </c>
      <c r="F176" s="7" t="str">
        <f>IF(COUNTIF('R6開放'!A:A,B176)&gt;0,"R6release","")</f>
        <v/>
      </c>
      <c r="G176" s="7" t="s">
        <v>240</v>
      </c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7">
        <f ca="1">IFERROR(VLOOKUP(B176,input_356100!L:R,7,FALSE),VLOOKUP(tables_356100!C176,input_356100!A:H,8,FALSE))</f>
        <v>1778.4</v>
      </c>
      <c r="P176" s="48">
        <f t="shared" ca="1" si="8"/>
        <v>1.2000000000000001E-3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input_356100!A$2</f>
        <v>356100</v>
      </c>
      <c r="B177" s="6">
        <v>435</v>
      </c>
      <c r="C177" s="7" t="str">
        <f t="shared" si="6"/>
        <v>PremiumSS5color</v>
      </c>
      <c r="D177" s="7" t="str">
        <f t="shared" si="7"/>
        <v>PremiumSS</v>
      </c>
      <c r="E177" s="7" t="str">
        <f>IF(COUNTIF('R6追加前'!A:A,B177)=0,IF(I177="PremiumSS","R5only","R3less"),"")</f>
        <v/>
      </c>
      <c r="F177" s="7" t="str">
        <f>IF(COUNTIF('R6開放'!A:A,B177)&gt;0,"R6release","")</f>
        <v/>
      </c>
      <c r="G177" s="7" t="s">
        <v>240</v>
      </c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7">
        <f ca="1">IFERROR(VLOOKUP(B177,input_356100!L:R,7,FALSE),VLOOKUP(tables_356100!C177,input_356100!A:H,8,FALSE))</f>
        <v>93.6</v>
      </c>
      <c r="P177" s="48">
        <f t="shared" ca="1" si="8"/>
        <v>6.3157894736842103E-5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input_356100!A$2</f>
        <v>356100</v>
      </c>
      <c r="B178" s="6">
        <v>436</v>
      </c>
      <c r="C178" s="7" t="str">
        <f t="shared" si="6"/>
        <v>Premium3color</v>
      </c>
      <c r="D178" s="7" t="str">
        <f t="shared" si="7"/>
        <v>Premium</v>
      </c>
      <c r="E178" s="7" t="str">
        <f>IF(COUNTIF('R6追加前'!A:A,B178)=0,IF(I178="PremiumSS","R5only","R3less"),"")</f>
        <v/>
      </c>
      <c r="F178" s="7" t="str">
        <f>IF(COUNTIF('R6開放'!A:A,B178)&gt;0,"R6release","")</f>
        <v/>
      </c>
      <c r="G178" s="7" t="s">
        <v>240</v>
      </c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7">
        <f ca="1">IFERROR(VLOOKUP(B178,input_356100!L:R,7,FALSE),VLOOKUP(tables_356100!C178,input_356100!A:H,8,FALSE))</f>
        <v>0</v>
      </c>
      <c r="P178" s="48">
        <f t="shared" ca="1" si="8"/>
        <v>0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input_356100!A$2</f>
        <v>356100</v>
      </c>
      <c r="B179" s="6">
        <v>437</v>
      </c>
      <c r="C179" s="7" t="str">
        <f t="shared" si="6"/>
        <v>Premium4color</v>
      </c>
      <c r="D179" s="7" t="str">
        <f t="shared" si="7"/>
        <v>Premium</v>
      </c>
      <c r="E179" s="7" t="str">
        <f>IF(COUNTIF('R6追加前'!A:A,B179)=0,IF(I179="PremiumSS","R5only","R3less"),"")</f>
        <v/>
      </c>
      <c r="F179" s="7" t="str">
        <f>IF(COUNTIF('R6開放'!A:A,B179)&gt;0,"R6release","")</f>
        <v/>
      </c>
      <c r="G179" s="7" t="s">
        <v>240</v>
      </c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7">
        <f ca="1">IFERROR(VLOOKUP(B179,input_356100!L:R,7,FALSE),VLOOKUP(tables_356100!C179,input_356100!A:H,8,FALSE))</f>
        <v>27724.799999999999</v>
      </c>
      <c r="P179" s="48">
        <f t="shared" ca="1" si="8"/>
        <v>1.8707692307692307E-2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input_356100!A$2</f>
        <v>356100</v>
      </c>
      <c r="B180" s="6">
        <v>438</v>
      </c>
      <c r="C180" s="7" t="str">
        <f t="shared" si="6"/>
        <v>Premium5color</v>
      </c>
      <c r="D180" s="7" t="str">
        <f t="shared" si="7"/>
        <v>Premium</v>
      </c>
      <c r="E180" s="7" t="str">
        <f>IF(COUNTIF('R6追加前'!A:A,B180)=0,IF(I180="PremiumSS","R5only","R3less"),"")</f>
        <v/>
      </c>
      <c r="F180" s="7" t="str">
        <f>IF(COUNTIF('R6開放'!A:A,B180)&gt;0,"R6release","")</f>
        <v/>
      </c>
      <c r="G180" s="7" t="s">
        <v>240</v>
      </c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7">
        <f ca="1">IFERROR(VLOOKUP(B180,input_356100!L:R,7,FALSE),VLOOKUP(tables_356100!C180,input_356100!A:H,8,FALSE))</f>
        <v>1459.2</v>
      </c>
      <c r="P180" s="48">
        <f t="shared" ca="1" si="8"/>
        <v>9.8461538461538456E-4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input_356100!A$2</f>
        <v>356100</v>
      </c>
      <c r="B181" s="6">
        <v>439</v>
      </c>
      <c r="C181" s="7" t="str">
        <f t="shared" si="6"/>
        <v>Premium3</v>
      </c>
      <c r="D181" s="7" t="str">
        <f t="shared" si="7"/>
        <v>Premium</v>
      </c>
      <c r="E181" s="7" t="str">
        <f>IF(COUNTIF('R6追加前'!A:A,B181)=0,IF(I181="PremiumSS","R5only","R3less"),"")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7">
        <f ca="1">IFERROR(VLOOKUP(B181,input_356100!L:R,7,FALSE),VLOOKUP(tables_356100!C181,input_356100!A:H,8,FALSE))</f>
        <v>0</v>
      </c>
      <c r="P181" s="48">
        <f t="shared" ca="1" si="8"/>
        <v>0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input_356100!A$2</f>
        <v>356100</v>
      </c>
      <c r="B182" s="6">
        <v>440</v>
      </c>
      <c r="C182" s="7" t="str">
        <f t="shared" si="6"/>
        <v>Premium4</v>
      </c>
      <c r="D182" s="7" t="str">
        <f t="shared" si="7"/>
        <v>Premium</v>
      </c>
      <c r="E182" s="7" t="str">
        <f>IF(COUNTIF('R6追加前'!A:A,B182)=0,IF(I182="PremiumSS","R5only","R3less"),"")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7">
        <f ca="1">IFERROR(VLOOKUP(B182,input_356100!L:R,7,FALSE),VLOOKUP(tables_356100!C182,input_356100!A:H,8,FALSE))</f>
        <v>6931.2</v>
      </c>
      <c r="P182" s="48">
        <f t="shared" ca="1" si="8"/>
        <v>4.6769230769230768E-3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input_356100!A$2</f>
        <v>356100</v>
      </c>
      <c r="B183" s="6">
        <v>441</v>
      </c>
      <c r="C183" s="7" t="str">
        <f t="shared" si="6"/>
        <v>Premium5</v>
      </c>
      <c r="D183" s="7" t="str">
        <f t="shared" si="7"/>
        <v>Premium</v>
      </c>
      <c r="E183" s="7" t="str">
        <f>IF(COUNTIF('R6追加前'!A:A,B183)=0,IF(I183="PremiumSS","R5only","R3less"),"")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7">
        <f ca="1">IFERROR(VLOOKUP(B183,input_356100!L:R,7,FALSE),VLOOKUP(tables_356100!C183,input_356100!A:H,8,FALSE))</f>
        <v>364.8</v>
      </c>
      <c r="P183" s="48">
        <f t="shared" ca="1" si="8"/>
        <v>2.4615384615384614E-4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input_356100!A$2</f>
        <v>356100</v>
      </c>
      <c r="B184" s="6">
        <v>442</v>
      </c>
      <c r="C184" s="7" t="str">
        <f t="shared" si="6"/>
        <v>PremiumSS4</v>
      </c>
      <c r="D184" s="7" t="str">
        <f t="shared" si="7"/>
        <v>PremiumSS</v>
      </c>
      <c r="E184" s="7" t="str">
        <f>IF(COUNTIF('R6追加前'!A:A,B184)=0,IF(I184="PremiumSS","R5only","R3less"),"")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7">
        <f ca="1">IFERROR(VLOOKUP(B184,input_356100!L:R,7,FALSE),VLOOKUP(tables_356100!C184,input_356100!A:H,8,FALSE))</f>
        <v>444.6</v>
      </c>
      <c r="P184" s="48">
        <f t="shared" ca="1" si="8"/>
        <v>3.0000000000000003E-4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input_356100!A$2</f>
        <v>356100</v>
      </c>
      <c r="B185" s="6">
        <v>443</v>
      </c>
      <c r="C185" s="7" t="str">
        <f t="shared" si="6"/>
        <v>PremiumSS5</v>
      </c>
      <c r="D185" s="7" t="str">
        <f t="shared" si="7"/>
        <v>PremiumSS</v>
      </c>
      <c r="E185" s="7" t="str">
        <f>IF(COUNTIF('R6追加前'!A:A,B185)=0,IF(I185="PremiumSS","R5only","R3less"),"")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7">
        <f ca="1">IFERROR(VLOOKUP(B185,input_356100!L:R,7,FALSE),VLOOKUP(tables_356100!C185,input_356100!A:H,8,FALSE))</f>
        <v>23.4</v>
      </c>
      <c r="P185" s="48">
        <f t="shared" ca="1" si="8"/>
        <v>1.5789473684210526E-5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input_356100!A$2</f>
        <v>356100</v>
      </c>
      <c r="B186" s="8">
        <v>462</v>
      </c>
      <c r="C186" s="7" t="str">
        <f t="shared" si="6"/>
        <v>Premium3color</v>
      </c>
      <c r="D186" s="7" t="str">
        <f t="shared" si="7"/>
        <v>Premium</v>
      </c>
      <c r="E186" s="7" t="str">
        <f>IF(COUNTIF('R6追加前'!A:A,B186)=0,IF(I186="PremiumSS","R5only","R3less"),"")</f>
        <v/>
      </c>
      <c r="F186" s="7" t="str">
        <f>IF(COUNTIF('R6開放'!A:A,B186)&gt;0,"R6release","")</f>
        <v/>
      </c>
      <c r="G186" s="7" t="s">
        <v>240</v>
      </c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7">
        <f ca="1">IFERROR(VLOOKUP(B186,input_356100!L:R,7,FALSE),VLOOKUP(tables_356100!C186,input_356100!A:H,8,FALSE))</f>
        <v>0</v>
      </c>
      <c r="P186" s="48">
        <f t="shared" ca="1" si="8"/>
        <v>0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input_356100!A$2</f>
        <v>356100</v>
      </c>
      <c r="B187" s="8">
        <v>463</v>
      </c>
      <c r="C187" s="7" t="str">
        <f t="shared" si="6"/>
        <v>Premium4color</v>
      </c>
      <c r="D187" s="7" t="str">
        <f t="shared" si="7"/>
        <v>Premium</v>
      </c>
      <c r="E187" s="7" t="str">
        <f>IF(COUNTIF('R6追加前'!A:A,B187)=0,IF(I187="PremiumSS","R5only","R3less"),"")</f>
        <v/>
      </c>
      <c r="F187" s="7" t="str">
        <f>IF(COUNTIF('R6開放'!A:A,B187)&gt;0,"R6release","")</f>
        <v/>
      </c>
      <c r="G187" s="7" t="s">
        <v>240</v>
      </c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7">
        <f ca="1">IFERROR(VLOOKUP(B187,input_356100!L:R,7,FALSE),VLOOKUP(tables_356100!C187,input_356100!A:H,8,FALSE))</f>
        <v>27724.799999999999</v>
      </c>
      <c r="P187" s="48">
        <f t="shared" ca="1" si="8"/>
        <v>1.8707692307692307E-2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input_356100!A$2</f>
        <v>356100</v>
      </c>
      <c r="B188" s="8">
        <v>464</v>
      </c>
      <c r="C188" s="7" t="str">
        <f t="shared" si="6"/>
        <v>Premium5color</v>
      </c>
      <c r="D188" s="7" t="str">
        <f t="shared" si="7"/>
        <v>Premium</v>
      </c>
      <c r="E188" s="7" t="str">
        <f>IF(COUNTIF('R6追加前'!A:A,B188)=0,IF(I188="PremiumSS","R5only","R3less"),"")</f>
        <v/>
      </c>
      <c r="F188" s="7" t="str">
        <f>IF(COUNTIF('R6開放'!A:A,B188)&gt;0,"R6release","")</f>
        <v/>
      </c>
      <c r="G188" s="7" t="s">
        <v>240</v>
      </c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7">
        <f ca="1">IFERROR(VLOOKUP(B188,input_356100!L:R,7,FALSE),VLOOKUP(tables_356100!C188,input_356100!A:H,8,FALSE))</f>
        <v>1459.2</v>
      </c>
      <c r="P188" s="48">
        <f t="shared" ca="1" si="8"/>
        <v>9.8461538461538456E-4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input_356100!A$2</f>
        <v>356100</v>
      </c>
      <c r="B189" s="8">
        <v>465</v>
      </c>
      <c r="C189" s="7" t="str">
        <f t="shared" si="6"/>
        <v>PremiumSS4color</v>
      </c>
      <c r="D189" s="7" t="str">
        <f t="shared" si="7"/>
        <v>PremiumSS</v>
      </c>
      <c r="E189" s="7" t="str">
        <f>IF(COUNTIF('R6追加前'!A:A,B189)=0,IF(I189="PremiumSS","R5only","R3less"),"")</f>
        <v/>
      </c>
      <c r="F189" s="7" t="str">
        <f>IF(COUNTIF('R6開放'!A:A,B189)&gt;0,"R6release","")</f>
        <v/>
      </c>
      <c r="G189" s="7" t="s">
        <v>240</v>
      </c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7">
        <f ca="1">IFERROR(VLOOKUP(B189,input_356100!L:R,7,FALSE),VLOOKUP(tables_356100!C189,input_356100!A:H,8,FALSE))</f>
        <v>1778.4</v>
      </c>
      <c r="P189" s="48">
        <f t="shared" ca="1" si="8"/>
        <v>1.2000000000000001E-3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input_356100!A$2</f>
        <v>356100</v>
      </c>
      <c r="B190" s="6">
        <v>466</v>
      </c>
      <c r="C190" s="7" t="str">
        <f t="shared" si="6"/>
        <v>PremiumSS5color</v>
      </c>
      <c r="D190" s="7" t="str">
        <f t="shared" si="7"/>
        <v>PremiumSS</v>
      </c>
      <c r="E190" s="7" t="str">
        <f>IF(COUNTIF('R6追加前'!A:A,B190)=0,IF(I190="PremiumSS","R5only","R3less"),"")</f>
        <v/>
      </c>
      <c r="F190" s="7" t="str">
        <f>IF(COUNTIF('R6開放'!A:A,B190)&gt;0,"R6release","")</f>
        <v/>
      </c>
      <c r="G190" s="7" t="s">
        <v>240</v>
      </c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7">
        <f ca="1">IFERROR(VLOOKUP(B190,input_356100!L:R,7,FALSE),VLOOKUP(tables_356100!C190,input_356100!A:H,8,FALSE))</f>
        <v>93.6</v>
      </c>
      <c r="P190" s="48">
        <f t="shared" ca="1" si="8"/>
        <v>6.3157894736842103E-5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input_356100!A$2</f>
        <v>356100</v>
      </c>
      <c r="B191" s="6">
        <v>467</v>
      </c>
      <c r="C191" s="7" t="str">
        <f t="shared" si="6"/>
        <v>PremiumSS4</v>
      </c>
      <c r="D191" s="7" t="str">
        <f t="shared" si="7"/>
        <v>PremiumSS</v>
      </c>
      <c r="E191" s="7" t="str">
        <f>IF(COUNTIF('R6追加前'!A:A,B191)=0,IF(I191="PremiumSS","R5only","R3less"),"")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7">
        <f ca="1">IFERROR(VLOOKUP(B191,input_356100!L:R,7,FALSE),VLOOKUP(tables_356100!C191,input_356100!A:H,8,FALSE))</f>
        <v>444.6</v>
      </c>
      <c r="P191" s="48">
        <f t="shared" ca="1" si="8"/>
        <v>3.0000000000000003E-4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input_356100!A$2</f>
        <v>356100</v>
      </c>
      <c r="B192" s="6">
        <v>468</v>
      </c>
      <c r="C192" s="7" t="str">
        <f t="shared" si="6"/>
        <v>PremiumSS5</v>
      </c>
      <c r="D192" s="7" t="str">
        <f t="shared" si="7"/>
        <v>PremiumSS</v>
      </c>
      <c r="E192" s="7" t="str">
        <f>IF(COUNTIF('R6追加前'!A:A,B192)=0,IF(I192="PremiumSS","R5only","R3less"),"")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7">
        <f ca="1">IFERROR(VLOOKUP(B192,input_356100!L:R,7,FALSE),VLOOKUP(tables_356100!C192,input_356100!A:H,8,FALSE))</f>
        <v>23.4</v>
      </c>
      <c r="P192" s="48">
        <f t="shared" ca="1" si="8"/>
        <v>1.5789473684210526E-5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input_356100!A$2</f>
        <v>356100</v>
      </c>
      <c r="B193" s="6">
        <v>469</v>
      </c>
      <c r="C193" s="7" t="str">
        <f t="shared" si="6"/>
        <v>Premium3</v>
      </c>
      <c r="D193" s="7" t="str">
        <f t="shared" si="7"/>
        <v>Premium</v>
      </c>
      <c r="E193" s="7" t="str">
        <f>IF(COUNTIF('R6追加前'!A:A,B193)=0,IF(I193="PremiumSS","R5only","R3less"),"")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7">
        <f ca="1">IFERROR(VLOOKUP(B193,input_356100!L:R,7,FALSE),VLOOKUP(tables_356100!C193,input_356100!A:H,8,FALSE))</f>
        <v>0</v>
      </c>
      <c r="P193" s="48">
        <f t="shared" ca="1" si="8"/>
        <v>0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input_356100!A$2</f>
        <v>356100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si="7"/>
        <v>Premium</v>
      </c>
      <c r="E194" s="7" t="str">
        <f>IF(COUNTIF('R6追加前'!A:A,B194)=0,IF(I194="PremiumSS","R5only","R3less"),"")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7">
        <f ca="1">IFERROR(VLOOKUP(B194,input_356100!L:R,7,FALSE),VLOOKUP(tables_356100!C194,input_356100!A:H,8,FALSE))</f>
        <v>6931.2</v>
      </c>
      <c r="P194" s="48">
        <f t="shared" ca="1" si="8"/>
        <v>4.6769230769230768E-3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input_356100!A$2</f>
        <v>356100</v>
      </c>
      <c r="B195" s="6">
        <v>471</v>
      </c>
      <c r="C195" s="7" t="str">
        <f t="shared" si="9"/>
        <v>Premium5</v>
      </c>
      <c r="D195" s="7" t="str">
        <f t="shared" ref="D195:D258" si="10">IF(I195="PremiumSS",I195,IF(I195="PremiumSSS",I195,IF(I195="PremiumW",I195,"Premium")))</f>
        <v>Premium</v>
      </c>
      <c r="E195" s="7" t="str">
        <f>IF(COUNTIF('R6追加前'!A:A,B195)=0,IF(I195="PremiumSS","R5only","R3less"),"")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7">
        <f ca="1">IFERROR(VLOOKUP(B195,input_356100!L:R,7,FALSE),VLOOKUP(tables_356100!C195,input_356100!A:H,8,FALSE))</f>
        <v>364.8</v>
      </c>
      <c r="P195" s="48">
        <f t="shared" ca="1" si="8"/>
        <v>2.4615384615384614E-4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input_356100!A$2</f>
        <v>356100</v>
      </c>
      <c r="B196" s="6">
        <v>474</v>
      </c>
      <c r="C196" s="7" t="str">
        <f t="shared" si="9"/>
        <v>PremiumSS4color</v>
      </c>
      <c r="D196" s="7" t="str">
        <f t="shared" si="10"/>
        <v>PremiumSS</v>
      </c>
      <c r="E196" s="7" t="str">
        <f>IF(COUNTIF('R6追加前'!A:A,B196)=0,IF(I196="PremiumSS","R5only","R3less"),"")</f>
        <v/>
      </c>
      <c r="F196" s="7" t="str">
        <f>IF(COUNTIF('R6開放'!A:A,B196)&gt;0,"R6release","")</f>
        <v/>
      </c>
      <c r="G196" s="7" t="s">
        <v>240</v>
      </c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7">
        <f ca="1">IFERROR(VLOOKUP(B196,input_356100!L:R,7,FALSE),VLOOKUP(tables_356100!C196,input_356100!A:H,8,FALSE))</f>
        <v>1778.4</v>
      </c>
      <c r="P196" s="48">
        <f t="shared" ca="1" si="8"/>
        <v>1.2000000000000001E-3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input_356100!A$2</f>
        <v>356100</v>
      </c>
      <c r="B197" s="6">
        <v>475</v>
      </c>
      <c r="C197" s="7" t="str">
        <f t="shared" si="9"/>
        <v>PremiumSS5color</v>
      </c>
      <c r="D197" s="7" t="str">
        <f t="shared" si="10"/>
        <v>PremiumSS</v>
      </c>
      <c r="E197" s="7" t="str">
        <f>IF(COUNTIF('R6追加前'!A:A,B197)=0,IF(I197="PremiumSS","R5only","R3less"),"")</f>
        <v/>
      </c>
      <c r="F197" s="7" t="str">
        <f>IF(COUNTIF('R6開放'!A:A,B197)&gt;0,"R6release","")</f>
        <v/>
      </c>
      <c r="G197" s="7" t="s">
        <v>240</v>
      </c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7">
        <f ca="1">IFERROR(VLOOKUP(B197,input_356100!L:R,7,FALSE),VLOOKUP(tables_356100!C197,input_356100!A:H,8,FALSE))</f>
        <v>93.6</v>
      </c>
      <c r="P197" s="48">
        <f t="shared" ca="1" si="8"/>
        <v>6.3157894736842103E-5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input_356100!A$2</f>
        <v>356100</v>
      </c>
      <c r="B198" s="6">
        <v>476</v>
      </c>
      <c r="C198" s="7" t="str">
        <f t="shared" si="9"/>
        <v>Premium3color</v>
      </c>
      <c r="D198" s="7" t="str">
        <f t="shared" si="10"/>
        <v>Premium</v>
      </c>
      <c r="E198" s="7" t="str">
        <f>IF(COUNTIF('R6追加前'!A:A,B198)=0,IF(I198="PremiumSS","R5only","R3less"),"")</f>
        <v/>
      </c>
      <c r="F198" s="7" t="str">
        <f>IF(COUNTIF('R6開放'!A:A,B198)&gt;0,"R6release","")</f>
        <v/>
      </c>
      <c r="G198" s="7" t="s">
        <v>240</v>
      </c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7">
        <f ca="1">IFERROR(VLOOKUP(B198,input_356100!L:R,7,FALSE),VLOOKUP(tables_356100!C198,input_356100!A:H,8,FALSE))</f>
        <v>0</v>
      </c>
      <c r="P198" s="48">
        <f t="shared" ca="1" si="8"/>
        <v>0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input_356100!A$2</f>
        <v>356100</v>
      </c>
      <c r="B199" s="6">
        <v>477</v>
      </c>
      <c r="C199" s="7" t="str">
        <f t="shared" si="9"/>
        <v>Premium4color</v>
      </c>
      <c r="D199" s="7" t="str">
        <f t="shared" si="10"/>
        <v>Premium</v>
      </c>
      <c r="E199" s="7" t="str">
        <f>IF(COUNTIF('R6追加前'!A:A,B199)=0,IF(I199="PremiumSS","R5only","R3less"),"")</f>
        <v/>
      </c>
      <c r="F199" s="7" t="str">
        <f>IF(COUNTIF('R6開放'!A:A,B199)&gt;0,"R6release","")</f>
        <v/>
      </c>
      <c r="G199" s="7" t="s">
        <v>240</v>
      </c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7">
        <f ca="1">IFERROR(VLOOKUP(B199,input_356100!L:R,7,FALSE),VLOOKUP(tables_356100!C199,input_356100!A:H,8,FALSE))</f>
        <v>27724.799999999999</v>
      </c>
      <c r="P199" s="48">
        <f t="shared" ca="1" si="8"/>
        <v>1.8707692307692307E-2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input_356100!A$2</f>
        <v>356100</v>
      </c>
      <c r="B200" s="6">
        <v>478</v>
      </c>
      <c r="C200" s="7" t="str">
        <f t="shared" si="9"/>
        <v>Premium5color</v>
      </c>
      <c r="D200" s="7" t="str">
        <f t="shared" si="10"/>
        <v>Premium</v>
      </c>
      <c r="E200" s="7" t="str">
        <f>IF(COUNTIF('R6追加前'!A:A,B200)=0,IF(I200="PremiumSS","R5only","R3less"),"")</f>
        <v/>
      </c>
      <c r="F200" s="7" t="str">
        <f>IF(COUNTIF('R6開放'!A:A,B200)&gt;0,"R6release","")</f>
        <v/>
      </c>
      <c r="G200" s="7" t="s">
        <v>240</v>
      </c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7">
        <f ca="1">IFERROR(VLOOKUP(B200,input_356100!L:R,7,FALSE),VLOOKUP(tables_356100!C200,input_356100!A:H,8,FALSE))</f>
        <v>1459.2</v>
      </c>
      <c r="P200" s="48">
        <f t="shared" ca="1" si="8"/>
        <v>9.8461538461538456E-4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input_356100!A$2</f>
        <v>356100</v>
      </c>
      <c r="B201" s="6">
        <v>479</v>
      </c>
      <c r="C201" s="7" t="str">
        <f t="shared" si="9"/>
        <v>PremiumSS4</v>
      </c>
      <c r="D201" s="7" t="str">
        <f t="shared" si="10"/>
        <v>PremiumSS</v>
      </c>
      <c r="E201" s="7" t="str">
        <f>IF(COUNTIF('R6追加前'!A:A,B201)=0,IF(I201="PremiumSS","R5only","R3less"),"")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7">
        <f ca="1">IFERROR(VLOOKUP(B201,input_356100!L:R,7,FALSE),VLOOKUP(tables_356100!C201,input_356100!A:H,8,FALSE))</f>
        <v>444.6</v>
      </c>
      <c r="P201" s="48">
        <f t="shared" ca="1" si="8"/>
        <v>3.0000000000000003E-4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input_356100!A$2</f>
        <v>356100</v>
      </c>
      <c r="B202" s="6">
        <v>480</v>
      </c>
      <c r="C202" s="7" t="str">
        <f t="shared" si="9"/>
        <v>PremiumSS5</v>
      </c>
      <c r="D202" s="7" t="str">
        <f t="shared" si="10"/>
        <v>PremiumSS</v>
      </c>
      <c r="E202" s="7" t="str">
        <f>IF(COUNTIF('R6追加前'!A:A,B202)=0,IF(I202="PremiumSS","R5only","R3less"),"")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7">
        <f ca="1">IFERROR(VLOOKUP(B202,input_356100!L:R,7,FALSE),VLOOKUP(tables_356100!C202,input_356100!A:H,8,FALSE))</f>
        <v>23.4</v>
      </c>
      <c r="P202" s="48">
        <f t="shared" ca="1" si="8"/>
        <v>1.5789473684210526E-5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input_356100!A$2</f>
        <v>356100</v>
      </c>
      <c r="B203" s="6">
        <v>481</v>
      </c>
      <c r="C203" s="7" t="str">
        <f t="shared" si="9"/>
        <v>Premium3</v>
      </c>
      <c r="D203" s="7" t="str">
        <f t="shared" si="10"/>
        <v>Premium</v>
      </c>
      <c r="E203" s="7" t="str">
        <f>IF(COUNTIF('R6追加前'!A:A,B203)=0,IF(I203="PremiumSS","R5only","R3less"),"")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7">
        <f ca="1">IFERROR(VLOOKUP(B203,input_356100!L:R,7,FALSE),VLOOKUP(tables_356100!C203,input_356100!A:H,8,FALSE))</f>
        <v>0</v>
      </c>
      <c r="P203" s="48">
        <f t="shared" ca="1" si="8"/>
        <v>0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input_356100!A$2</f>
        <v>356100</v>
      </c>
      <c r="B204" s="6">
        <v>482</v>
      </c>
      <c r="C204" s="7" t="str">
        <f t="shared" si="9"/>
        <v>Premium4</v>
      </c>
      <c r="D204" s="7" t="str">
        <f t="shared" si="10"/>
        <v>Premium</v>
      </c>
      <c r="E204" s="7" t="str">
        <f>IF(COUNTIF('R6追加前'!A:A,B204)=0,IF(I204="PremiumSS","R5only","R3less"),"")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7">
        <f ca="1">IFERROR(VLOOKUP(B204,input_356100!L:R,7,FALSE),VLOOKUP(tables_356100!C204,input_356100!A:H,8,FALSE))</f>
        <v>6931.2</v>
      </c>
      <c r="P204" s="48">
        <f t="shared" ca="1" si="8"/>
        <v>4.6769230769230768E-3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input_356100!A$2</f>
        <v>356100</v>
      </c>
      <c r="B205" s="6">
        <v>483</v>
      </c>
      <c r="C205" s="7" t="str">
        <f t="shared" si="9"/>
        <v>Premium5</v>
      </c>
      <c r="D205" s="7" t="str">
        <f t="shared" si="10"/>
        <v>Premium</v>
      </c>
      <c r="E205" s="7" t="str">
        <f>IF(COUNTIF('R6追加前'!A:A,B205)=0,IF(I205="PremiumSS","R5only","R3less"),"")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7">
        <f ca="1">IFERROR(VLOOKUP(B205,input_356100!L:R,7,FALSE),VLOOKUP(tables_356100!C205,input_356100!A:H,8,FALSE))</f>
        <v>364.8</v>
      </c>
      <c r="P205" s="48">
        <f t="shared" ca="1" si="8"/>
        <v>2.4615384615384614E-4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input_356100!A$2</f>
        <v>356100</v>
      </c>
      <c r="B206" s="6">
        <v>492</v>
      </c>
      <c r="C206" s="7" t="str">
        <f t="shared" si="9"/>
        <v>PremiumSS4color</v>
      </c>
      <c r="D206" s="7" t="str">
        <f t="shared" si="10"/>
        <v>PremiumSS</v>
      </c>
      <c r="E206" s="7" t="str">
        <f>IF(COUNTIF('R6追加前'!A:A,B206)=0,IF(I206="PremiumSS","R5only","R3less"),"")</f>
        <v/>
      </c>
      <c r="F206" s="7" t="str">
        <f>IF(COUNTIF('R6開放'!A:A,B206)&gt;0,"R6release","")</f>
        <v/>
      </c>
      <c r="G206" s="7" t="s">
        <v>240</v>
      </c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7">
        <f ca="1">IFERROR(VLOOKUP(B206,input_356100!L:R,7,FALSE),VLOOKUP(tables_356100!C206,input_356100!A:H,8,FALSE))</f>
        <v>1778.4</v>
      </c>
      <c r="P206" s="48">
        <f t="shared" ca="1" si="8"/>
        <v>1.2000000000000001E-3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input_356100!A$2</f>
        <v>356100</v>
      </c>
      <c r="B207" s="6">
        <v>493</v>
      </c>
      <c r="C207" s="7" t="str">
        <f t="shared" si="9"/>
        <v>PremiumSS5color</v>
      </c>
      <c r="D207" s="7" t="str">
        <f t="shared" si="10"/>
        <v>PremiumSS</v>
      </c>
      <c r="E207" s="7" t="str">
        <f>IF(COUNTIF('R6追加前'!A:A,B207)=0,IF(I207="PremiumSS","R5only","R3less"),"")</f>
        <v/>
      </c>
      <c r="F207" s="7" t="str">
        <f>IF(COUNTIF('R6開放'!A:A,B207)&gt;0,"R6release","")</f>
        <v/>
      </c>
      <c r="G207" s="7" t="s">
        <v>240</v>
      </c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7">
        <f ca="1">IFERROR(VLOOKUP(B207,input_356100!L:R,7,FALSE),VLOOKUP(tables_356100!C207,input_356100!A:H,8,FALSE))</f>
        <v>93.6</v>
      </c>
      <c r="P207" s="48">
        <f t="shared" ref="P207:P270" ca="1" si="11">O207/SUM(O:O)</f>
        <v>6.3157894736842103E-5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input_356100!A$2</f>
        <v>356100</v>
      </c>
      <c r="B208" s="6">
        <v>494</v>
      </c>
      <c r="C208" s="7" t="str">
        <f t="shared" si="9"/>
        <v>PremiumSS4color</v>
      </c>
      <c r="D208" s="7" t="str">
        <f t="shared" si="10"/>
        <v>PremiumSS</v>
      </c>
      <c r="E208" s="7" t="str">
        <f>IF(COUNTIF('R6追加前'!A:A,B208)=0,IF(I208="PremiumSS","R5only","R3less"),"")</f>
        <v/>
      </c>
      <c r="F208" s="7" t="str">
        <f>IF(COUNTIF('R6開放'!A:A,B208)&gt;0,"R6release","")</f>
        <v/>
      </c>
      <c r="G208" s="7" t="s">
        <v>240</v>
      </c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7">
        <f ca="1">IFERROR(VLOOKUP(B208,input_356100!L:R,7,FALSE),VLOOKUP(tables_356100!C208,input_356100!A:H,8,FALSE))</f>
        <v>1778.4</v>
      </c>
      <c r="P208" s="48">
        <f t="shared" ca="1" si="11"/>
        <v>1.2000000000000001E-3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input_356100!A$2</f>
        <v>356100</v>
      </c>
      <c r="B209" s="6">
        <v>495</v>
      </c>
      <c r="C209" s="7" t="str">
        <f t="shared" si="9"/>
        <v>PremiumSS5color</v>
      </c>
      <c r="D209" s="7" t="str">
        <f t="shared" si="10"/>
        <v>PremiumSS</v>
      </c>
      <c r="E209" s="7" t="str">
        <f>IF(COUNTIF('R6追加前'!A:A,B209)=0,IF(I209="PremiumSS","R5only","R3less"),"")</f>
        <v/>
      </c>
      <c r="F209" s="7" t="str">
        <f>IF(COUNTIF('R6開放'!A:A,B209)&gt;0,"R6release","")</f>
        <v/>
      </c>
      <c r="G209" s="7" t="s">
        <v>240</v>
      </c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7">
        <f ca="1">IFERROR(VLOOKUP(B209,input_356100!L:R,7,FALSE),VLOOKUP(tables_356100!C209,input_356100!A:H,8,FALSE))</f>
        <v>93.6</v>
      </c>
      <c r="P209" s="48">
        <f t="shared" ca="1" si="11"/>
        <v>6.3157894736842103E-5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input_356100!A$2</f>
        <v>356100</v>
      </c>
      <c r="B210" s="6">
        <v>496</v>
      </c>
      <c r="C210" s="7" t="str">
        <f t="shared" si="9"/>
        <v>Premium3</v>
      </c>
      <c r="D210" s="7" t="str">
        <f t="shared" si="10"/>
        <v>Premium</v>
      </c>
      <c r="E210" s="7" t="str">
        <f>IF(COUNTIF('R6追加前'!A:A,B210)=0,IF(I210="PremiumSS","R5only","R3less"),"")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7">
        <f ca="1">IFERROR(VLOOKUP(B210,input_356100!L:R,7,FALSE),VLOOKUP(tables_356100!C210,input_356100!A:H,8,FALSE))</f>
        <v>0</v>
      </c>
      <c r="P210" s="48">
        <f t="shared" ca="1" si="11"/>
        <v>0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input_356100!A$2</f>
        <v>356100</v>
      </c>
      <c r="B211" s="6">
        <v>497</v>
      </c>
      <c r="C211" s="7" t="str">
        <f t="shared" si="9"/>
        <v>Premium4</v>
      </c>
      <c r="D211" s="7" t="str">
        <f t="shared" si="10"/>
        <v>Premium</v>
      </c>
      <c r="E211" s="7" t="str">
        <f>IF(COUNTIF('R6追加前'!A:A,B211)=0,IF(I211="PremiumSS","R5only","R3less"),"")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7">
        <f ca="1">IFERROR(VLOOKUP(B211,input_356100!L:R,7,FALSE),VLOOKUP(tables_356100!C211,input_356100!A:H,8,FALSE))</f>
        <v>6931.2</v>
      </c>
      <c r="P211" s="48">
        <f t="shared" ca="1" si="11"/>
        <v>4.6769230769230768E-3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input_356100!A$2</f>
        <v>356100</v>
      </c>
      <c r="B212" s="6">
        <v>498</v>
      </c>
      <c r="C212" s="7" t="str">
        <f t="shared" si="9"/>
        <v>Premium5</v>
      </c>
      <c r="D212" s="7" t="str">
        <f t="shared" si="10"/>
        <v>Premium</v>
      </c>
      <c r="E212" s="7" t="str">
        <f>IF(COUNTIF('R6追加前'!A:A,B212)=0,IF(I212="PremiumSS","R5only","R3less"),"")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7">
        <f ca="1">IFERROR(VLOOKUP(B212,input_356100!L:R,7,FALSE),VLOOKUP(tables_356100!C212,input_356100!A:H,8,FALSE))</f>
        <v>364.8</v>
      </c>
      <c r="P212" s="48">
        <f t="shared" ca="1" si="11"/>
        <v>2.4615384615384614E-4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input_356100!A$2</f>
        <v>356100</v>
      </c>
      <c r="B213" s="6">
        <v>499</v>
      </c>
      <c r="C213" s="7" t="str">
        <f t="shared" si="9"/>
        <v>PremiumSS4</v>
      </c>
      <c r="D213" s="7" t="str">
        <f t="shared" si="10"/>
        <v>PremiumSS</v>
      </c>
      <c r="E213" s="7" t="str">
        <f>IF(COUNTIF('R6追加前'!A:A,B213)=0,IF(I213="PremiumSS","R5only","R3less"),"")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7">
        <f ca="1">IFERROR(VLOOKUP(B213,input_356100!L:R,7,FALSE),VLOOKUP(tables_356100!C213,input_356100!A:H,8,FALSE))</f>
        <v>444.6</v>
      </c>
      <c r="P213" s="48">
        <f t="shared" ca="1" si="11"/>
        <v>3.0000000000000003E-4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input_356100!A$2</f>
        <v>356100</v>
      </c>
      <c r="B214" s="6">
        <v>500</v>
      </c>
      <c r="C214" s="7" t="str">
        <f t="shared" si="9"/>
        <v>PremiumSS5</v>
      </c>
      <c r="D214" s="7" t="str">
        <f t="shared" si="10"/>
        <v>PremiumSS</v>
      </c>
      <c r="E214" s="7" t="str">
        <f>IF(COUNTIF('R6追加前'!A:A,B214)=0,IF(I214="PremiumSS","R5only","R3less"),"")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7">
        <f ca="1">IFERROR(VLOOKUP(B214,input_356100!L:R,7,FALSE),VLOOKUP(tables_356100!C214,input_356100!A:H,8,FALSE))</f>
        <v>23.4</v>
      </c>
      <c r="P214" s="48">
        <f t="shared" ca="1" si="11"/>
        <v>1.5789473684210526E-5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input_356100!A$2</f>
        <v>356100</v>
      </c>
      <c r="B215" s="6">
        <v>586</v>
      </c>
      <c r="C215" s="7" t="str">
        <f t="shared" si="9"/>
        <v>PremiumSS4color</v>
      </c>
      <c r="D215" s="7" t="str">
        <f t="shared" si="10"/>
        <v>PremiumSS</v>
      </c>
      <c r="E215" s="7" t="str">
        <f>IF(COUNTIF('R6追加前'!A:A,B215)=0,IF(I215="PremiumSS","R5only","R3less"),"")</f>
        <v/>
      </c>
      <c r="F215" s="7" t="str">
        <f>IF(COUNTIF('R6開放'!A:A,B215)&gt;0,"R6release","")</f>
        <v/>
      </c>
      <c r="G215" s="7" t="s">
        <v>240</v>
      </c>
      <c r="H215" s="7" t="str">
        <f>VLOOKUP(B215,[1]characters!$A:$C,3,FALSE)</f>
        <v>ユミル</v>
      </c>
      <c r="I215" s="7" t="str">
        <f>VLOOKUP(B215,[1]characters!$A:$J,10,FALSE)</f>
        <v>PremiumSS</v>
      </c>
      <c r="J215" s="7">
        <f>VLOOKUP(B215,[1]characters!$A:$I,9,FALSE)</f>
        <v>4</v>
      </c>
      <c r="K215" s="7" t="str">
        <f>VLOOKUP(B215,[1]characters!$A:$H,8,FALSE)</f>
        <v>red</v>
      </c>
      <c r="L215" s="7" t="str">
        <f>VLOOKUP(B215,[1]characters!$A:$K,11,FALSE)</f>
        <v>hp</v>
      </c>
      <c r="M215" s="7" t="str">
        <f>VLOOKUP(B215,[1]characters!$A:$M,13,FALSE)</f>
        <v>machine</v>
      </c>
      <c r="N215" s="7" t="str">
        <f>VLOOKUP(B215,[1]characters!$A:$G,7,FALSE)</f>
        <v>不明</v>
      </c>
      <c r="O215" s="47">
        <f ca="1">IFERROR(VLOOKUP(B215,input_356100!L:R,7,FALSE),VLOOKUP(tables_356100!C215,input_356100!A:H,8,FALSE))</f>
        <v>1778.4</v>
      </c>
      <c r="P215" s="48">
        <f t="shared" ca="1" si="11"/>
        <v>1.2000000000000001E-3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input_356100!A$2</f>
        <v>356100</v>
      </c>
      <c r="B216" s="6">
        <v>587</v>
      </c>
      <c r="C216" s="7" t="str">
        <f t="shared" si="9"/>
        <v>PremiumSS5color</v>
      </c>
      <c r="D216" s="7" t="str">
        <f t="shared" si="10"/>
        <v>PremiumSS</v>
      </c>
      <c r="E216" s="7" t="str">
        <f>IF(COUNTIF('R6追加前'!A:A,B216)=0,IF(I216="PremiumSS","R5only","R3less"),"")</f>
        <v/>
      </c>
      <c r="F216" s="7" t="str">
        <f>IF(COUNTIF('R6開放'!A:A,B216)&gt;0,"R6release","")</f>
        <v/>
      </c>
      <c r="G216" s="7" t="s">
        <v>240</v>
      </c>
      <c r="H216" s="7" t="str">
        <f>VLOOKUP(B216,[1]characters!$A:$C,3,FALSE)</f>
        <v>原初の煉鋼巨刃 ユミル</v>
      </c>
      <c r="I216" s="7" t="str">
        <f>VLOOKUP(B216,[1]characters!$A:$J,10,FALSE)</f>
        <v>PremiumSS</v>
      </c>
      <c r="J216" s="7">
        <f>VLOOKUP(B216,[1]characters!$A:$I,9,FALSE)</f>
        <v>5</v>
      </c>
      <c r="K216" s="7" t="str">
        <f>VLOOKUP(B216,[1]characters!$A:$H,8,FALSE)</f>
        <v>red</v>
      </c>
      <c r="L216" s="7" t="str">
        <f>VLOOKUP(B216,[1]characters!$A:$K,11,FALSE)</f>
        <v>hp</v>
      </c>
      <c r="M216" s="7" t="str">
        <f>VLOOKUP(B216,[1]characters!$A:$M,13,FALSE)</f>
        <v>machine</v>
      </c>
      <c r="N216" s="7" t="str">
        <f>VLOOKUP(B216,[1]characters!$A:$G,7,FALSE)</f>
        <v>不明</v>
      </c>
      <c r="O216" s="47">
        <f ca="1">IFERROR(VLOOKUP(B216,input_356100!L:R,7,FALSE),VLOOKUP(tables_356100!C216,input_356100!A:H,8,FALSE))</f>
        <v>93.6</v>
      </c>
      <c r="P216" s="48">
        <f t="shared" ca="1" si="11"/>
        <v>6.3157894736842103E-5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input_356100!A$2</f>
        <v>356100</v>
      </c>
      <c r="B217" s="6">
        <v>588</v>
      </c>
      <c r="C217" s="7" t="str">
        <f t="shared" si="9"/>
        <v>Premium3color</v>
      </c>
      <c r="D217" s="7" t="str">
        <f t="shared" si="10"/>
        <v>Premium</v>
      </c>
      <c r="E217" s="7" t="str">
        <f>IF(COUNTIF('R6追加前'!A:A,B217)=0,IF(I217="PremiumSS","R5only","R3less"),"")</f>
        <v/>
      </c>
      <c r="F217" s="7" t="str">
        <f>IF(COUNTIF('R6開放'!A:A,B217)&gt;0,"R6release","")</f>
        <v/>
      </c>
      <c r="G217" s="7" t="s">
        <v>240</v>
      </c>
      <c r="H217" s="7" t="str">
        <f>VLOOKUP(B217,[1]characters!$A:$C,3,FALSE)</f>
        <v>ニーベルゲン</v>
      </c>
      <c r="I217" s="7" t="str">
        <f>VLOOKUP(B217,[1]characters!$A:$J,10,FALSE)</f>
        <v>PremiumS</v>
      </c>
      <c r="J217" s="7">
        <f>VLOOKUP(B217,[1]characters!$A:$I,9,FALSE)</f>
        <v>3</v>
      </c>
      <c r="K217" s="7" t="str">
        <f>VLOOKUP(B217,[1]characters!$A:$H,8,FALSE)</f>
        <v>green</v>
      </c>
      <c r="L217" s="7" t="str">
        <f>VLOOKUP(B217,[1]characters!$A:$K,11,FALSE)</f>
        <v>balance</v>
      </c>
      <c r="M217" s="7" t="str">
        <f>VLOOKUP(B217,[1]characters!$A:$M,13,FALSE)</f>
        <v>unknown</v>
      </c>
      <c r="N217" s="7" t="str">
        <f>VLOOKUP(B217,[1]characters!$A:$G,7,FALSE)</f>
        <v>女性</v>
      </c>
      <c r="O217" s="47">
        <f ca="1">IFERROR(VLOOKUP(B217,input_356100!L:R,7,FALSE),VLOOKUP(tables_356100!C217,input_356100!A:H,8,FALSE))</f>
        <v>0</v>
      </c>
      <c r="P217" s="48">
        <f t="shared" ca="1" si="11"/>
        <v>0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input_356100!A$2</f>
        <v>356100</v>
      </c>
      <c r="B218" s="6">
        <v>589</v>
      </c>
      <c r="C218" s="7" t="str">
        <f t="shared" si="9"/>
        <v>Premium4color</v>
      </c>
      <c r="D218" s="7" t="str">
        <f t="shared" si="10"/>
        <v>Premium</v>
      </c>
      <c r="E218" s="7" t="str">
        <f>IF(COUNTIF('R6追加前'!A:A,B218)=0,IF(I218="PremiumSS","R5only","R3less"),"")</f>
        <v/>
      </c>
      <c r="F218" s="7" t="str">
        <f>IF(COUNTIF('R6開放'!A:A,B218)&gt;0,"R6release","")</f>
        <v/>
      </c>
      <c r="G218" s="7" t="s">
        <v>240</v>
      </c>
      <c r="H218" s="7" t="str">
        <f>VLOOKUP(B218,[1]characters!$A:$C,3,FALSE)</f>
        <v>不幸の円環 ニーベルゲン</v>
      </c>
      <c r="I218" s="7" t="str">
        <f>VLOOKUP(B218,[1]characters!$A:$J,10,FALSE)</f>
        <v>PremiumS</v>
      </c>
      <c r="J218" s="7">
        <f>VLOOKUP(B218,[1]characters!$A:$I,9,FALSE)</f>
        <v>4</v>
      </c>
      <c r="K218" s="7" t="str">
        <f>VLOOKUP(B218,[1]characters!$A:$H,8,FALSE)</f>
        <v>green</v>
      </c>
      <c r="L218" s="7" t="str">
        <f>VLOOKUP(B218,[1]characters!$A:$K,11,FALSE)</f>
        <v>balance</v>
      </c>
      <c r="M218" s="7" t="str">
        <f>VLOOKUP(B218,[1]characters!$A:$M,13,FALSE)</f>
        <v>unknown</v>
      </c>
      <c r="N218" s="7" t="str">
        <f>VLOOKUP(B218,[1]characters!$A:$G,7,FALSE)</f>
        <v>女性</v>
      </c>
      <c r="O218" s="47">
        <f ca="1">IFERROR(VLOOKUP(B218,input_356100!L:R,7,FALSE),VLOOKUP(tables_356100!C218,input_356100!A:H,8,FALSE))</f>
        <v>27724.799999999999</v>
      </c>
      <c r="P218" s="48">
        <f t="shared" ca="1" si="11"/>
        <v>1.8707692307692307E-2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input_356100!A$2</f>
        <v>356100</v>
      </c>
      <c r="B219" s="6">
        <v>590</v>
      </c>
      <c r="C219" s="7" t="str">
        <f t="shared" si="9"/>
        <v>Premium5color</v>
      </c>
      <c r="D219" s="7" t="str">
        <f t="shared" si="10"/>
        <v>Premium</v>
      </c>
      <c r="E219" s="7" t="str">
        <f>IF(COUNTIF('R6追加前'!A:A,B219)=0,IF(I219="PremiumSS","R5only","R3less"),"")</f>
        <v/>
      </c>
      <c r="F219" s="7" t="str">
        <f>IF(COUNTIF('R6開放'!A:A,B219)&gt;0,"R6release","")</f>
        <v/>
      </c>
      <c r="G219" s="7" t="s">
        <v>240</v>
      </c>
      <c r="H219" s="7" t="str">
        <f>VLOOKUP(B219,[1]characters!$A:$C,3,FALSE)</f>
        <v>永遠を廻る呪い ニーベルゲン</v>
      </c>
      <c r="I219" s="7" t="str">
        <f>VLOOKUP(B219,[1]characters!$A:$J,10,FALSE)</f>
        <v>PremiumS</v>
      </c>
      <c r="J219" s="7">
        <f>VLOOKUP(B219,[1]characters!$A:$I,9,FALSE)</f>
        <v>5</v>
      </c>
      <c r="K219" s="7" t="str">
        <f>VLOOKUP(B219,[1]characters!$A:$H,8,FALSE)</f>
        <v>green</v>
      </c>
      <c r="L219" s="7" t="str">
        <f>VLOOKUP(B219,[1]characters!$A:$K,11,FALSE)</f>
        <v>balance</v>
      </c>
      <c r="M219" s="7" t="str">
        <f>VLOOKUP(B219,[1]characters!$A:$M,13,FALSE)</f>
        <v>unknown</v>
      </c>
      <c r="N219" s="7" t="str">
        <f>VLOOKUP(B219,[1]characters!$A:$G,7,FALSE)</f>
        <v>女性</v>
      </c>
      <c r="O219" s="47">
        <f ca="1">IFERROR(VLOOKUP(B219,input_356100!L:R,7,FALSE),VLOOKUP(tables_356100!C219,input_356100!A:H,8,FALSE))</f>
        <v>1459.2</v>
      </c>
      <c r="P219" s="48">
        <f t="shared" ca="1" si="11"/>
        <v>9.8461538461538456E-4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input_356100!A$2</f>
        <v>356100</v>
      </c>
      <c r="B220" s="6">
        <v>591</v>
      </c>
      <c r="C220" s="7" t="str">
        <f t="shared" si="9"/>
        <v>Premium3</v>
      </c>
      <c r="D220" s="7" t="str">
        <f t="shared" si="10"/>
        <v>Premium</v>
      </c>
      <c r="E220" s="7" t="str">
        <f>IF(COUNTIF('R6追加前'!A:A,B220)=0,IF(I220="PremiumSS","R5only","R3less"),"")</f>
        <v/>
      </c>
      <c r="F220" s="7" t="str">
        <f>IF(COUNTIF('R6開放'!A:A,B220)&gt;0,"R6release","")</f>
        <v/>
      </c>
      <c r="G220" s="7"/>
      <c r="H220" s="7" t="str">
        <f>VLOOKUP(B220,[1]characters!$A:$C,3,FALSE)</f>
        <v>ファフニール</v>
      </c>
      <c r="I220" s="7" t="str">
        <f>VLOOKUP(B220,[1]characters!$A:$J,10,FALSE)</f>
        <v>PremiumS</v>
      </c>
      <c r="J220" s="7">
        <f>VLOOKUP(B220,[1]characters!$A:$I,9,FALSE)</f>
        <v>3</v>
      </c>
      <c r="K220" s="7" t="str">
        <f>VLOOKUP(B220,[1]characters!$A:$H,8,FALSE)</f>
        <v>blue</v>
      </c>
      <c r="L220" s="7" t="str">
        <f>VLOOKUP(B220,[1]characters!$A:$K,11,FALSE)</f>
        <v>technical</v>
      </c>
      <c r="M220" s="7" t="str">
        <f>VLOOKUP(B220,[1]characters!$A:$M,13,FALSE)</f>
        <v>dragon</v>
      </c>
      <c r="N220" s="7" t="str">
        <f>VLOOKUP(B220,[1]characters!$A:$G,7,FALSE)</f>
        <v>不明</v>
      </c>
      <c r="O220" s="47">
        <f ca="1">IFERROR(VLOOKUP(B220,input_356100!L:R,7,FALSE),VLOOKUP(tables_356100!C220,input_356100!A:H,8,FALSE))</f>
        <v>0</v>
      </c>
      <c r="P220" s="48">
        <f t="shared" ca="1" si="11"/>
        <v>0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input_356100!A$2</f>
        <v>356100</v>
      </c>
      <c r="B221" s="6">
        <v>592</v>
      </c>
      <c r="C221" s="7" t="str">
        <f t="shared" si="9"/>
        <v>Premium4</v>
      </c>
      <c r="D221" s="7" t="str">
        <f t="shared" si="10"/>
        <v>Premium</v>
      </c>
      <c r="E221" s="7" t="str">
        <f>IF(COUNTIF('R6追加前'!A:A,B221)=0,IF(I221="PremiumSS","R5only","R3less"),"")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財宝への執着 ファフニール</v>
      </c>
      <c r="I221" s="7" t="str">
        <f>VLOOKUP(B221,[1]characters!$A:$J,10,FALSE)</f>
        <v>PremiumS</v>
      </c>
      <c r="J221" s="7">
        <f>VLOOKUP(B221,[1]characters!$A:$I,9,FALSE)</f>
        <v>4</v>
      </c>
      <c r="K221" s="7" t="str">
        <f>VLOOKUP(B221,[1]characters!$A:$H,8,FALSE)</f>
        <v>blue</v>
      </c>
      <c r="L221" s="7" t="str">
        <f>VLOOKUP(B221,[1]characters!$A:$K,11,FALSE)</f>
        <v>technical</v>
      </c>
      <c r="M221" s="7" t="str">
        <f>VLOOKUP(B221,[1]characters!$A:$M,13,FALSE)</f>
        <v>dragon</v>
      </c>
      <c r="N221" s="7" t="str">
        <f>VLOOKUP(B221,[1]characters!$A:$G,7,FALSE)</f>
        <v>不明</v>
      </c>
      <c r="O221" s="47">
        <f ca="1">IFERROR(VLOOKUP(B221,input_356100!L:R,7,FALSE),VLOOKUP(tables_356100!C221,input_356100!A:H,8,FALSE))</f>
        <v>6931.2</v>
      </c>
      <c r="P221" s="48">
        <f t="shared" ca="1" si="11"/>
        <v>4.6769230769230768E-3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input_356100!A$2</f>
        <v>356100</v>
      </c>
      <c r="B222" s="6">
        <v>593</v>
      </c>
      <c r="C222" s="7" t="str">
        <f t="shared" si="9"/>
        <v>Premium5</v>
      </c>
      <c r="D222" s="7" t="str">
        <f t="shared" si="10"/>
        <v>Premium</v>
      </c>
      <c r="E222" s="7" t="str">
        <f>IF(COUNTIF('R6追加前'!A:A,B222)=0,IF(I222="PremiumSS","R5only","R3less"),"")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妄執する邪毒龍 ファフニール</v>
      </c>
      <c r="I222" s="7" t="str">
        <f>VLOOKUP(B222,[1]characters!$A:$J,10,FALSE)</f>
        <v>PremiumS</v>
      </c>
      <c r="J222" s="7">
        <f>VLOOKUP(B222,[1]characters!$A:$I,9,FALSE)</f>
        <v>5</v>
      </c>
      <c r="K222" s="7" t="str">
        <f>VLOOKUP(B222,[1]characters!$A:$H,8,FALSE)</f>
        <v>blue</v>
      </c>
      <c r="L222" s="7" t="str">
        <f>VLOOKUP(B222,[1]characters!$A:$K,11,FALSE)</f>
        <v>technical</v>
      </c>
      <c r="M222" s="7" t="str">
        <f>VLOOKUP(B222,[1]characters!$A:$M,13,FALSE)</f>
        <v>dragon</v>
      </c>
      <c r="N222" s="7" t="str">
        <f>VLOOKUP(B222,[1]characters!$A:$G,7,FALSE)</f>
        <v>不明</v>
      </c>
      <c r="O222" s="47">
        <f ca="1">IFERROR(VLOOKUP(B222,input_356100!L:R,7,FALSE),VLOOKUP(tables_356100!C222,input_356100!A:H,8,FALSE))</f>
        <v>364.8</v>
      </c>
      <c r="P222" s="48">
        <f t="shared" ca="1" si="11"/>
        <v>2.4615384615384614E-4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input_356100!A$2</f>
        <v>356100</v>
      </c>
      <c r="B223" s="6">
        <v>594</v>
      </c>
      <c r="C223" s="7" t="str">
        <f t="shared" si="9"/>
        <v>PremiumSS4</v>
      </c>
      <c r="D223" s="7" t="str">
        <f t="shared" si="10"/>
        <v>PremiumSS</v>
      </c>
      <c r="E223" s="7" t="str">
        <f>IF(COUNTIF('R6追加前'!A:A,B223)=0,IF(I223="PremiumSS","R5only","R3less"),"")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アルフヘイム</v>
      </c>
      <c r="I223" s="7" t="str">
        <f>VLOOKUP(B223,[1]characters!$A:$J,10,FALSE)</f>
        <v>PremiumSS</v>
      </c>
      <c r="J223" s="7">
        <f>VLOOKUP(B223,[1]characters!$A:$I,9,FALSE)</f>
        <v>4</v>
      </c>
      <c r="K223" s="7" t="str">
        <f>VLOOKUP(B223,[1]characters!$A:$H,8,FALSE)</f>
        <v>yellow</v>
      </c>
      <c r="L223" s="7" t="str">
        <f>VLOOKUP(B223,[1]characters!$A:$K,11,FALSE)</f>
        <v>attack</v>
      </c>
      <c r="M223" s="7" t="str">
        <f>VLOOKUP(B223,[1]characters!$A:$M,13,FALSE)</f>
        <v>dragon</v>
      </c>
      <c r="N223" s="7" t="str">
        <f>VLOOKUP(B223,[1]characters!$A:$G,7,FALSE)</f>
        <v>不明</v>
      </c>
      <c r="O223" s="47">
        <f ca="1">IFERROR(VLOOKUP(B223,input_356100!L:R,7,FALSE),VLOOKUP(tables_356100!C223,input_356100!A:H,8,FALSE))</f>
        <v>444.6</v>
      </c>
      <c r="P223" s="48">
        <f t="shared" ca="1" si="11"/>
        <v>3.0000000000000003E-4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input_356100!A$2</f>
        <v>356100</v>
      </c>
      <c r="B224" s="6">
        <v>595</v>
      </c>
      <c r="C224" s="7" t="str">
        <f t="shared" si="9"/>
        <v>PremiumSS5</v>
      </c>
      <c r="D224" s="7" t="str">
        <f t="shared" si="10"/>
        <v>PremiumSS</v>
      </c>
      <c r="E224" s="7" t="str">
        <f>IF(COUNTIF('R6追加前'!A:A,B224)=0,IF(I224="PremiumSS","R5only","R3less"),"")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光華なる神域 アルフヘイム</v>
      </c>
      <c r="I224" s="7" t="str">
        <f>VLOOKUP(B224,[1]characters!$A:$J,10,FALSE)</f>
        <v>PremiumSS</v>
      </c>
      <c r="J224" s="7">
        <f>VLOOKUP(B224,[1]characters!$A:$I,9,FALSE)</f>
        <v>5</v>
      </c>
      <c r="K224" s="7" t="str">
        <f>VLOOKUP(B224,[1]characters!$A:$H,8,FALSE)</f>
        <v>yellow</v>
      </c>
      <c r="L224" s="7" t="str">
        <f>VLOOKUP(B224,[1]characters!$A:$K,11,FALSE)</f>
        <v>attack</v>
      </c>
      <c r="M224" s="7" t="str">
        <f>VLOOKUP(B224,[1]characters!$A:$M,13,FALSE)</f>
        <v>dragon</v>
      </c>
      <c r="N224" s="7" t="str">
        <f>VLOOKUP(B224,[1]characters!$A:$G,7,FALSE)</f>
        <v>不明</v>
      </c>
      <c r="O224" s="47">
        <f ca="1">IFERROR(VLOOKUP(B224,input_356100!L:R,7,FALSE),VLOOKUP(tables_356100!C224,input_356100!A:H,8,FALSE))</f>
        <v>23.4</v>
      </c>
      <c r="P224" s="48">
        <f t="shared" ca="1" si="11"/>
        <v>1.5789473684210526E-5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input_356100!A$2</f>
        <v>356100</v>
      </c>
      <c r="B225" s="6">
        <v>596</v>
      </c>
      <c r="C225" s="7" t="str">
        <f t="shared" si="9"/>
        <v>Premium3color</v>
      </c>
      <c r="D225" s="7" t="str">
        <f t="shared" si="10"/>
        <v>Premium</v>
      </c>
      <c r="E225" s="7" t="str">
        <f>IF(COUNTIF('R6追加前'!A:A,B225)=0,IF(I225="PremiumSS","R5only","R3less"),"")</f>
        <v/>
      </c>
      <c r="F225" s="7" t="str">
        <f>IF(COUNTIF('R6開放'!A:A,B225)&gt;0,"R6release","")</f>
        <v/>
      </c>
      <c r="G225" s="7" t="s">
        <v>240</v>
      </c>
      <c r="H225" s="7" t="str">
        <f>VLOOKUP(B225,[1]characters!$A:$C,3,FALSE)</f>
        <v>ムスペルヘイム</v>
      </c>
      <c r="I225" s="7" t="str">
        <f>VLOOKUP(B225,[1]characters!$A:$J,10,FALSE)</f>
        <v>PremiumS</v>
      </c>
      <c r="J225" s="7">
        <f>VLOOKUP(B225,[1]characters!$A:$I,9,FALSE)</f>
        <v>3</v>
      </c>
      <c r="K225" s="7" t="str">
        <f>VLOOKUP(B225,[1]characters!$A:$H,8,FALSE)</f>
        <v>red</v>
      </c>
      <c r="L225" s="7" t="str">
        <f>VLOOKUP(B225,[1]characters!$A:$K,11,FALSE)</f>
        <v>balance</v>
      </c>
      <c r="M225" s="7" t="str">
        <f>VLOOKUP(B225,[1]characters!$A:$M,13,FALSE)</f>
        <v>human</v>
      </c>
      <c r="N225" s="7" t="str">
        <f>VLOOKUP(B225,[1]characters!$A:$G,7,FALSE)</f>
        <v>男性</v>
      </c>
      <c r="O225" s="47">
        <f ca="1">IFERROR(VLOOKUP(B225,input_356100!L:R,7,FALSE),VLOOKUP(tables_356100!C225,input_356100!A:H,8,FALSE))</f>
        <v>0</v>
      </c>
      <c r="P225" s="48">
        <f t="shared" ca="1" si="11"/>
        <v>0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input_356100!A$2</f>
        <v>356100</v>
      </c>
      <c r="B226" s="6">
        <v>597</v>
      </c>
      <c r="C226" s="7" t="str">
        <f t="shared" si="9"/>
        <v>Premium4color</v>
      </c>
      <c r="D226" s="7" t="str">
        <f t="shared" si="10"/>
        <v>Premium</v>
      </c>
      <c r="E226" s="7" t="str">
        <f>IF(COUNTIF('R6追加前'!A:A,B226)=0,IF(I226="PremiumSS","R5only","R3less"),"")</f>
        <v/>
      </c>
      <c r="F226" s="7" t="str">
        <f>IF(COUNTIF('R6開放'!A:A,B226)&gt;0,"R6release","")</f>
        <v/>
      </c>
      <c r="G226" s="7" t="s">
        <v>240</v>
      </c>
      <c r="H226" s="7" t="str">
        <f>VLOOKUP(B226,[1]characters!$A:$C,3,FALSE)</f>
        <v>灼熱の魂 ムスペルヘイム</v>
      </c>
      <c r="I226" s="7" t="str">
        <f>VLOOKUP(B226,[1]characters!$A:$J,10,FALSE)</f>
        <v>PremiumS</v>
      </c>
      <c r="J226" s="7">
        <f>VLOOKUP(B226,[1]characters!$A:$I,9,FALSE)</f>
        <v>4</v>
      </c>
      <c r="K226" s="7" t="str">
        <f>VLOOKUP(B226,[1]characters!$A:$H,8,FALSE)</f>
        <v>red</v>
      </c>
      <c r="L226" s="7" t="str">
        <f>VLOOKUP(B226,[1]characters!$A:$K,11,FALSE)</f>
        <v>balance</v>
      </c>
      <c r="M226" s="7" t="str">
        <f>VLOOKUP(B226,[1]characters!$A:$M,13,FALSE)</f>
        <v>human</v>
      </c>
      <c r="N226" s="7" t="str">
        <f>VLOOKUP(B226,[1]characters!$A:$G,7,FALSE)</f>
        <v>男性</v>
      </c>
      <c r="O226" s="47">
        <f ca="1">IFERROR(VLOOKUP(B226,input_356100!L:R,7,FALSE),VLOOKUP(tables_356100!C226,input_356100!A:H,8,FALSE))</f>
        <v>27724.799999999999</v>
      </c>
      <c r="P226" s="48">
        <f t="shared" ca="1" si="11"/>
        <v>1.8707692307692307E-2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input_356100!A$2</f>
        <v>356100</v>
      </c>
      <c r="B227" s="6">
        <v>598</v>
      </c>
      <c r="C227" s="7" t="str">
        <f t="shared" si="9"/>
        <v>Premium5color</v>
      </c>
      <c r="D227" s="7" t="str">
        <f t="shared" si="10"/>
        <v>Premium</v>
      </c>
      <c r="E227" s="7" t="str">
        <f>IF(COUNTIF('R6追加前'!A:A,B227)=0,IF(I227="PremiumSS","R5only","R3less"),"")</f>
        <v/>
      </c>
      <c r="F227" s="7" t="str">
        <f>IF(COUNTIF('R6開放'!A:A,B227)&gt;0,"R6release","")</f>
        <v/>
      </c>
      <c r="G227" s="7" t="s">
        <v>240</v>
      </c>
      <c r="H227" s="7" t="str">
        <f>VLOOKUP(B227,[1]characters!$A:$C,3,FALSE)</f>
        <v>焼燃の情熱 ムスペルヘイム</v>
      </c>
      <c r="I227" s="7" t="str">
        <f>VLOOKUP(B227,[1]characters!$A:$J,10,FALSE)</f>
        <v>PremiumS</v>
      </c>
      <c r="J227" s="7">
        <f>VLOOKUP(B227,[1]characters!$A:$I,9,FALSE)</f>
        <v>5</v>
      </c>
      <c r="K227" s="7" t="str">
        <f>VLOOKUP(B227,[1]characters!$A:$H,8,FALSE)</f>
        <v>red</v>
      </c>
      <c r="L227" s="7" t="str">
        <f>VLOOKUP(B227,[1]characters!$A:$K,11,FALSE)</f>
        <v>balance</v>
      </c>
      <c r="M227" s="7" t="str">
        <f>VLOOKUP(B227,[1]characters!$A:$M,13,FALSE)</f>
        <v>human</v>
      </c>
      <c r="N227" s="7" t="str">
        <f>VLOOKUP(B227,[1]characters!$A:$G,7,FALSE)</f>
        <v>男性</v>
      </c>
      <c r="O227" s="47">
        <f ca="1">IFERROR(VLOOKUP(B227,input_356100!L:R,7,FALSE),VLOOKUP(tables_356100!C227,input_356100!A:H,8,FALSE))</f>
        <v>1459.2</v>
      </c>
      <c r="P227" s="48">
        <f t="shared" ca="1" si="11"/>
        <v>9.8461538461538456E-4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input_356100!A$2</f>
        <v>356100</v>
      </c>
      <c r="B228" s="6">
        <v>599</v>
      </c>
      <c r="C228" s="7" t="str">
        <f t="shared" si="9"/>
        <v>Premium3color</v>
      </c>
      <c r="D228" s="7" t="str">
        <f t="shared" si="10"/>
        <v>Premium</v>
      </c>
      <c r="E228" s="7" t="str">
        <f>IF(COUNTIF('R6追加前'!A:A,B228)=0,IF(I228="PremiumSS","R5only","R3less"),"")</f>
        <v/>
      </c>
      <c r="F228" s="7" t="str">
        <f>IF(COUNTIF('R6開放'!A:A,B228)&gt;0,"R6release","")</f>
        <v/>
      </c>
      <c r="G228" s="7" t="s">
        <v>240</v>
      </c>
      <c r="H228" s="7" t="str">
        <f>VLOOKUP(B228,[1]characters!$A:$C,3,FALSE)</f>
        <v>ニーズヘッグ</v>
      </c>
      <c r="I228" s="7" t="str">
        <f>VLOOKUP(B228,[1]characters!$A:$J,10,FALSE)</f>
        <v>PremiumS</v>
      </c>
      <c r="J228" s="7">
        <f>VLOOKUP(B228,[1]characters!$A:$I,9,FALSE)</f>
        <v>3</v>
      </c>
      <c r="K228" s="7" t="str">
        <f>VLOOKUP(B228,[1]characters!$A:$H,8,FALSE)</f>
        <v>green</v>
      </c>
      <c r="L228" s="7" t="str">
        <f>VLOOKUP(B228,[1]characters!$A:$K,11,FALSE)</f>
        <v>attack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7">
        <f ca="1">IFERROR(VLOOKUP(B228,input_356100!L:R,7,FALSE),VLOOKUP(tables_356100!C228,input_356100!A:H,8,FALSE))</f>
        <v>0</v>
      </c>
      <c r="P228" s="48">
        <f t="shared" ca="1" si="11"/>
        <v>0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input_356100!A$2</f>
        <v>356100</v>
      </c>
      <c r="B229" s="6">
        <v>600</v>
      </c>
      <c r="C229" s="7" t="str">
        <f t="shared" si="9"/>
        <v>Premium4color</v>
      </c>
      <c r="D229" s="7" t="str">
        <f t="shared" si="10"/>
        <v>Premium</v>
      </c>
      <c r="E229" s="7" t="str">
        <f>IF(COUNTIF('R6追加前'!A:A,B229)=0,IF(I229="PremiumSS","R5only","R3less"),"")</f>
        <v/>
      </c>
      <c r="F229" s="7" t="str">
        <f>IF(COUNTIF('R6開放'!A:A,B229)&gt;0,"R6release","")</f>
        <v/>
      </c>
      <c r="G229" s="7" t="s">
        <v>240</v>
      </c>
      <c r="H229" s="7" t="str">
        <f>VLOOKUP(B229,[1]characters!$A:$C,3,FALSE)</f>
        <v>界下に潜む蛇 ニーズヘッグ</v>
      </c>
      <c r="I229" s="7" t="str">
        <f>VLOOKUP(B229,[1]characters!$A:$J,10,FALSE)</f>
        <v>PremiumS</v>
      </c>
      <c r="J229" s="7">
        <f>VLOOKUP(B229,[1]characters!$A:$I,9,FALSE)</f>
        <v>4</v>
      </c>
      <c r="K229" s="7" t="str">
        <f>VLOOKUP(B229,[1]characters!$A:$H,8,FALSE)</f>
        <v>green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7">
        <f ca="1">IFERROR(VLOOKUP(B229,input_356100!L:R,7,FALSE),VLOOKUP(tables_356100!C229,input_356100!A:H,8,FALSE))</f>
        <v>27724.799999999999</v>
      </c>
      <c r="P229" s="48">
        <f t="shared" ca="1" si="11"/>
        <v>1.8707692307692307E-2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input_356100!A$2</f>
        <v>356100</v>
      </c>
      <c r="B230" s="6">
        <v>601</v>
      </c>
      <c r="C230" s="7" t="str">
        <f t="shared" si="9"/>
        <v>Premium5color</v>
      </c>
      <c r="D230" s="7" t="str">
        <f t="shared" si="10"/>
        <v>Premium</v>
      </c>
      <c r="E230" s="7" t="str">
        <f>IF(COUNTIF('R6追加前'!A:A,B230)=0,IF(I230="PremiumSS","R5only","R3less"),"")</f>
        <v/>
      </c>
      <c r="F230" s="7" t="str">
        <f>IF(COUNTIF('R6開放'!A:A,B230)&gt;0,"R6release","")</f>
        <v/>
      </c>
      <c r="G230" s="7" t="s">
        <v>240</v>
      </c>
      <c r="H230" s="7" t="str">
        <f>VLOOKUP(B230,[1]characters!$A:$C,3,FALSE)</f>
        <v>界根蝕む悪食 ニーズヘッグ</v>
      </c>
      <c r="I230" s="7" t="str">
        <f>VLOOKUP(B230,[1]characters!$A:$J,10,FALSE)</f>
        <v>PremiumS</v>
      </c>
      <c r="J230" s="7">
        <f>VLOOKUP(B230,[1]characters!$A:$I,9,FALSE)</f>
        <v>5</v>
      </c>
      <c r="K230" s="7" t="str">
        <f>VLOOKUP(B230,[1]characters!$A:$H,8,FALSE)</f>
        <v>green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7">
        <f ca="1">IFERROR(VLOOKUP(B230,input_356100!L:R,7,FALSE),VLOOKUP(tables_356100!C230,input_356100!A:H,8,FALSE))</f>
        <v>1459.2</v>
      </c>
      <c r="P230" s="48">
        <f t="shared" ca="1" si="11"/>
        <v>9.8461538461538456E-4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input_356100!A$2</f>
        <v>356100</v>
      </c>
      <c r="B231" s="6">
        <v>602</v>
      </c>
      <c r="C231" s="7" t="str">
        <f t="shared" si="9"/>
        <v>PremiumSS4</v>
      </c>
      <c r="D231" s="7" t="str">
        <f t="shared" si="10"/>
        <v>PremiumSS</v>
      </c>
      <c r="E231" s="7" t="str">
        <f>IF(COUNTIF('R6追加前'!A:A,B231)=0,IF(I231="PremiumSS","R5only","R3less"),"")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フレイヤ</v>
      </c>
      <c r="I231" s="7" t="str">
        <f>VLOOKUP(B231,[1]characters!$A:$J,10,FALSE)</f>
        <v>PremiumSS</v>
      </c>
      <c r="J231" s="7">
        <f>VLOOKUP(B231,[1]characters!$A:$I,9,FALSE)</f>
        <v>4</v>
      </c>
      <c r="K231" s="7" t="str">
        <f>VLOOKUP(B231,[1]characters!$A:$H,8,FALSE)</f>
        <v>blue</v>
      </c>
      <c r="L231" s="7" t="str">
        <f>VLOOKUP(B231,[1]characters!$A:$K,11,FALSE)</f>
        <v>heal</v>
      </c>
      <c r="M231" s="7" t="str">
        <f>VLOOKUP(B231,[1]characters!$A:$M,13,FALSE)</f>
        <v>animal</v>
      </c>
      <c r="N231" s="7" t="str">
        <f>VLOOKUP(B231,[1]characters!$A:$G,7,FALSE)</f>
        <v>女性</v>
      </c>
      <c r="O231" s="47">
        <f ca="1">IFERROR(VLOOKUP(B231,input_356100!L:R,7,FALSE),VLOOKUP(tables_356100!C231,input_356100!A:H,8,FALSE))</f>
        <v>444.6</v>
      </c>
      <c r="P231" s="48">
        <f t="shared" ca="1" si="11"/>
        <v>3.0000000000000003E-4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input_356100!A$2</f>
        <v>356100</v>
      </c>
      <c r="B232" s="6">
        <v>603</v>
      </c>
      <c r="C232" s="7" t="str">
        <f t="shared" si="9"/>
        <v>PremiumSS5</v>
      </c>
      <c r="D232" s="7" t="str">
        <f t="shared" si="10"/>
        <v>PremiumSS</v>
      </c>
      <c r="E232" s="7" t="str">
        <f>IF(COUNTIF('R6追加前'!A:A,B232)=0,IF(I232="PremiumSS","R5only","R3less"),"")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掌愛の豊穣女神 フレイヤ</v>
      </c>
      <c r="I232" s="7" t="str">
        <f>VLOOKUP(B232,[1]characters!$A:$J,10,FALSE)</f>
        <v>PremiumSS</v>
      </c>
      <c r="J232" s="7">
        <f>VLOOKUP(B232,[1]characters!$A:$I,9,FALSE)</f>
        <v>5</v>
      </c>
      <c r="K232" s="7" t="str">
        <f>VLOOKUP(B232,[1]characters!$A:$H,8,FALSE)</f>
        <v>blue</v>
      </c>
      <c r="L232" s="7" t="str">
        <f>VLOOKUP(B232,[1]characters!$A:$K,11,FALSE)</f>
        <v>heal</v>
      </c>
      <c r="M232" s="7" t="str">
        <f>VLOOKUP(B232,[1]characters!$A:$M,13,FALSE)</f>
        <v>animal</v>
      </c>
      <c r="N232" s="7" t="str">
        <f>VLOOKUP(B232,[1]characters!$A:$G,7,FALSE)</f>
        <v>女性</v>
      </c>
      <c r="O232" s="47">
        <f ca="1">IFERROR(VLOOKUP(B232,input_356100!L:R,7,FALSE),VLOOKUP(tables_356100!C232,input_356100!A:H,8,FALSE))</f>
        <v>23.4</v>
      </c>
      <c r="P232" s="48">
        <f t="shared" ca="1" si="11"/>
        <v>1.5789473684210526E-5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input_356100!A$2</f>
        <v>356100</v>
      </c>
      <c r="B233" s="6">
        <v>604</v>
      </c>
      <c r="C233" s="7" t="str">
        <f t="shared" si="9"/>
        <v>Premium3</v>
      </c>
      <c r="D233" s="7" t="str">
        <f t="shared" si="10"/>
        <v>Premium</v>
      </c>
      <c r="E233" s="7" t="str">
        <f>IF(COUNTIF('R6追加前'!A:A,B233)=0,IF(I233="PremiumSS","R5only","R3less"),"")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バルドル</v>
      </c>
      <c r="I233" s="7" t="str">
        <f>VLOOKUP(B233,[1]characters!$A:$J,10,FALSE)</f>
        <v>PremiumS</v>
      </c>
      <c r="J233" s="7">
        <f>VLOOKUP(B233,[1]characters!$A:$I,9,FALSE)</f>
        <v>3</v>
      </c>
      <c r="K233" s="7" t="str">
        <f>VLOOKUP(B233,[1]characters!$A:$H,8,FALSE)</f>
        <v>yellow</v>
      </c>
      <c r="L233" s="7" t="str">
        <f>VLOOKUP(B233,[1]characters!$A:$K,11,FALSE)</f>
        <v>heal</v>
      </c>
      <c r="M233" s="7" t="str">
        <f>VLOOKUP(B233,[1]characters!$A:$M,13,FALSE)</f>
        <v>god</v>
      </c>
      <c r="N233" s="7" t="str">
        <f>VLOOKUP(B233,[1]characters!$A:$G,7,FALSE)</f>
        <v>男性</v>
      </c>
      <c r="O233" s="47">
        <f ca="1">IFERROR(VLOOKUP(B233,input_356100!L:R,7,FALSE),VLOOKUP(tables_356100!C233,input_356100!A:H,8,FALSE))</f>
        <v>0</v>
      </c>
      <c r="P233" s="48">
        <f t="shared" ca="1" si="11"/>
        <v>0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input_356100!A$2</f>
        <v>356100</v>
      </c>
      <c r="B234" s="6">
        <v>605</v>
      </c>
      <c r="C234" s="7" t="str">
        <f t="shared" si="9"/>
        <v>Premium4</v>
      </c>
      <c r="D234" s="7" t="str">
        <f t="shared" si="10"/>
        <v>Premium</v>
      </c>
      <c r="E234" s="7" t="str">
        <f>IF(COUNTIF('R6追加前'!A:A,B234)=0,IF(I234="PremiumSS","R5only","R3less"),"")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祝福される光耀 バルドル</v>
      </c>
      <c r="I234" s="7" t="str">
        <f>VLOOKUP(B234,[1]characters!$A:$J,10,FALSE)</f>
        <v>PremiumS</v>
      </c>
      <c r="J234" s="7">
        <f>VLOOKUP(B234,[1]characters!$A:$I,9,FALSE)</f>
        <v>4</v>
      </c>
      <c r="K234" s="7" t="str">
        <f>VLOOKUP(B234,[1]characters!$A:$H,8,FALSE)</f>
        <v>yellow</v>
      </c>
      <c r="L234" s="7" t="str">
        <f>VLOOKUP(B234,[1]characters!$A:$K,11,FALSE)</f>
        <v>heal</v>
      </c>
      <c r="M234" s="7" t="str">
        <f>VLOOKUP(B234,[1]characters!$A:$M,13,FALSE)</f>
        <v>god</v>
      </c>
      <c r="N234" s="7" t="str">
        <f>VLOOKUP(B234,[1]characters!$A:$G,7,FALSE)</f>
        <v>男性</v>
      </c>
      <c r="O234" s="47">
        <f ca="1">IFERROR(VLOOKUP(B234,input_356100!L:R,7,FALSE),VLOOKUP(tables_356100!C234,input_356100!A:H,8,FALSE))</f>
        <v>6931.2</v>
      </c>
      <c r="P234" s="48">
        <f t="shared" ca="1" si="11"/>
        <v>4.6769230769230768E-3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input_356100!A$2</f>
        <v>356100</v>
      </c>
      <c r="B235" s="6">
        <v>606</v>
      </c>
      <c r="C235" s="7" t="str">
        <f t="shared" si="9"/>
        <v>Premium5</v>
      </c>
      <c r="D235" s="7" t="str">
        <f t="shared" si="10"/>
        <v>Premium</v>
      </c>
      <c r="E235" s="7" t="str">
        <f>IF(COUNTIF('R6追加前'!A:A,B235)=0,IF(I235="PremiumSS","R5only","R3less"),"")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冀望の光芒 バルドル</v>
      </c>
      <c r="I235" s="7" t="str">
        <f>VLOOKUP(B235,[1]characters!$A:$J,10,FALSE)</f>
        <v>PremiumS</v>
      </c>
      <c r="J235" s="7">
        <f>VLOOKUP(B235,[1]characters!$A:$I,9,FALSE)</f>
        <v>5</v>
      </c>
      <c r="K235" s="7" t="str">
        <f>VLOOKUP(B235,[1]characters!$A:$H,8,FALSE)</f>
        <v>yellow</v>
      </c>
      <c r="L235" s="7" t="str">
        <f>VLOOKUP(B235,[1]characters!$A:$K,11,FALSE)</f>
        <v>heal</v>
      </c>
      <c r="M235" s="7" t="str">
        <f>VLOOKUP(B235,[1]characters!$A:$M,13,FALSE)</f>
        <v>god</v>
      </c>
      <c r="N235" s="7" t="str">
        <f>VLOOKUP(B235,[1]characters!$A:$G,7,FALSE)</f>
        <v>男性</v>
      </c>
      <c r="O235" s="47">
        <f ca="1">IFERROR(VLOOKUP(B235,input_356100!L:R,7,FALSE),VLOOKUP(tables_356100!C235,input_356100!A:H,8,FALSE))</f>
        <v>364.8</v>
      </c>
      <c r="P235" s="48">
        <f t="shared" ca="1" si="11"/>
        <v>2.4615384615384614E-4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input_356100!A$2</f>
        <v>356100</v>
      </c>
      <c r="B236" s="6">
        <v>658</v>
      </c>
      <c r="C236" s="7" t="str">
        <f t="shared" si="9"/>
        <v>PremiumSS4color</v>
      </c>
      <c r="D236" s="7" t="str">
        <f t="shared" si="10"/>
        <v>PremiumSS</v>
      </c>
      <c r="E236" s="7" t="str">
        <f>IF(COUNTIF('R6追加前'!A:A,B236)=0,IF(I236="PremiumSS","R5only","R3less"),"")</f>
        <v/>
      </c>
      <c r="F236" s="7" t="str">
        <f>IF(COUNTIF('R6開放'!A:A,B236)&gt;0,"R6release","")</f>
        <v/>
      </c>
      <c r="G236" s="7" t="s">
        <v>240</v>
      </c>
      <c r="H236" s="7" t="str">
        <f>VLOOKUP(B236,[1]characters!$A:$C,3,FALSE)</f>
        <v>猫又 クルミ</v>
      </c>
      <c r="I236" s="7" t="str">
        <f>VLOOKUP(B236,[1]characters!$A:$J,10,FALSE)</f>
        <v>PremiumSS</v>
      </c>
      <c r="J236" s="7">
        <f>VLOOKUP(B236,[1]characters!$A:$I,9,FALSE)</f>
        <v>4</v>
      </c>
      <c r="K236" s="7" t="str">
        <f>VLOOKUP(B236,[1]characters!$A:$H,8,FALSE)</f>
        <v>red</v>
      </c>
      <c r="L236" s="7" t="str">
        <f>VLOOKUP(B236,[1]characters!$A:$K,11,FALSE)</f>
        <v>attack</v>
      </c>
      <c r="M236" s="7" t="str">
        <f>VLOOKUP(B236,[1]characters!$A:$M,13,FALSE)</f>
        <v>animal</v>
      </c>
      <c r="N236" s="7" t="str">
        <f>VLOOKUP(B236,[1]characters!$A:$G,7,FALSE)</f>
        <v>女性</v>
      </c>
      <c r="O236" s="47">
        <f ca="1">IFERROR(VLOOKUP(B236,input_356100!L:R,7,FALSE),VLOOKUP(tables_356100!C236,input_356100!A:H,8,FALSE))</f>
        <v>1778.4</v>
      </c>
      <c r="P236" s="48">
        <f t="shared" ca="1" si="11"/>
        <v>1.2000000000000001E-3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input_356100!A$2</f>
        <v>356100</v>
      </c>
      <c r="B237" s="6">
        <v>659</v>
      </c>
      <c r="C237" s="7" t="str">
        <f t="shared" si="9"/>
        <v>PremiumSS5color</v>
      </c>
      <c r="D237" s="7" t="str">
        <f t="shared" si="10"/>
        <v>PremiumSS</v>
      </c>
      <c r="E237" s="7" t="str">
        <f>IF(COUNTIF('R6追加前'!A:A,B237)=0,IF(I237="PremiumSS","R5only","R3less"),"")</f>
        <v/>
      </c>
      <c r="F237" s="7" t="str">
        <f>IF(COUNTIF('R6開放'!A:A,B237)&gt;0,"R6release","")</f>
        <v/>
      </c>
      <c r="G237" s="7" t="s">
        <v>240</v>
      </c>
      <c r="H237" s="7" t="str">
        <f>VLOOKUP(B237,[1]characters!$A:$C,3,FALSE)</f>
        <v>跳梁する化猫 クルミ</v>
      </c>
      <c r="I237" s="7" t="str">
        <f>VLOOKUP(B237,[1]characters!$A:$J,10,FALSE)</f>
        <v>PremiumSS</v>
      </c>
      <c r="J237" s="7">
        <f>VLOOKUP(B237,[1]characters!$A:$I,9,FALSE)</f>
        <v>5</v>
      </c>
      <c r="K237" s="7" t="str">
        <f>VLOOKUP(B237,[1]characters!$A:$H,8,FALSE)</f>
        <v>red</v>
      </c>
      <c r="L237" s="7" t="str">
        <f>VLOOKUP(B237,[1]characters!$A:$K,11,FALSE)</f>
        <v>attack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7">
        <f ca="1">IFERROR(VLOOKUP(B237,input_356100!L:R,7,FALSE),VLOOKUP(tables_356100!C237,input_356100!A:H,8,FALSE))</f>
        <v>93.6</v>
      </c>
      <c r="P237" s="48">
        <f t="shared" ca="1" si="11"/>
        <v>6.3157894736842103E-5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input_356100!A$2</f>
        <v>356100</v>
      </c>
      <c r="B238" s="6">
        <v>660</v>
      </c>
      <c r="C238" s="7" t="str">
        <f t="shared" si="9"/>
        <v>PremiumSS4color</v>
      </c>
      <c r="D238" s="7" t="str">
        <f t="shared" si="10"/>
        <v>PremiumSS</v>
      </c>
      <c r="E238" s="7" t="str">
        <f>IF(COUNTIF('R6追加前'!A:A,B238)=0,IF(I238="PremiumSS","R5only","R3less"),"")</f>
        <v/>
      </c>
      <c r="F238" s="7" t="str">
        <f>IF(COUNTIF('R6開放'!A:A,B238)&gt;0,"R6release","")</f>
        <v/>
      </c>
      <c r="G238" s="7" t="s">
        <v>240</v>
      </c>
      <c r="H238" s="7" t="str">
        <f>VLOOKUP(B238,[1]characters!$A:$C,3,FALSE)</f>
        <v>烏天狗 フウガ</v>
      </c>
      <c r="I238" s="7" t="str">
        <f>VLOOKUP(B238,[1]characters!$A:$J,10,FALSE)</f>
        <v>PremiumSS</v>
      </c>
      <c r="J238" s="7">
        <f>VLOOKUP(B238,[1]characters!$A:$I,9,FALSE)</f>
        <v>4</v>
      </c>
      <c r="K238" s="7" t="str">
        <f>VLOOKUP(B238,[1]characters!$A:$H,8,FALSE)</f>
        <v>green</v>
      </c>
      <c r="L238" s="7" t="str">
        <f>VLOOKUP(B238,[1]characters!$A:$K,11,FALSE)</f>
        <v>balance</v>
      </c>
      <c r="M238" s="7" t="str">
        <f>VLOOKUP(B238,[1]characters!$A:$M,13,FALSE)</f>
        <v>animal</v>
      </c>
      <c r="N238" s="7" t="str">
        <f>VLOOKUP(B238,[1]characters!$A:$G,7,FALSE)</f>
        <v>男性</v>
      </c>
      <c r="O238" s="47">
        <f ca="1">IFERROR(VLOOKUP(B238,input_356100!L:R,7,FALSE),VLOOKUP(tables_356100!C238,input_356100!A:H,8,FALSE))</f>
        <v>1778.4</v>
      </c>
      <c r="P238" s="48">
        <f t="shared" ca="1" si="11"/>
        <v>1.2000000000000001E-3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input_356100!A$2</f>
        <v>356100</v>
      </c>
      <c r="B239" s="6">
        <v>661</v>
      </c>
      <c r="C239" s="7" t="str">
        <f t="shared" si="9"/>
        <v>PremiumSS5color</v>
      </c>
      <c r="D239" s="7" t="str">
        <f t="shared" si="10"/>
        <v>PremiumSS</v>
      </c>
      <c r="E239" s="7" t="str">
        <f>IF(COUNTIF('R6追加前'!A:A,B239)=0,IF(I239="PremiumSS","R5only","R3less"),"")</f>
        <v/>
      </c>
      <c r="F239" s="7" t="str">
        <f>IF(COUNTIF('R6開放'!A:A,B239)&gt;0,"R6release","")</f>
        <v/>
      </c>
      <c r="G239" s="7" t="s">
        <v>240</v>
      </c>
      <c r="H239" s="7" t="str">
        <f>VLOOKUP(B239,[1]characters!$A:$C,3,FALSE)</f>
        <v>疾風の天狗礫 フウガ</v>
      </c>
      <c r="I239" s="7" t="str">
        <f>VLOOKUP(B239,[1]characters!$A:$J,10,FALSE)</f>
        <v>PremiumSS</v>
      </c>
      <c r="J239" s="7">
        <f>VLOOKUP(B239,[1]characters!$A:$I,9,FALSE)</f>
        <v>5</v>
      </c>
      <c r="K239" s="7" t="str">
        <f>VLOOKUP(B239,[1]characters!$A:$H,8,FALSE)</f>
        <v>green</v>
      </c>
      <c r="L239" s="7" t="str">
        <f>VLOOKUP(B239,[1]characters!$A:$K,11,FALSE)</f>
        <v>balance</v>
      </c>
      <c r="M239" s="7" t="str">
        <f>VLOOKUP(B239,[1]characters!$A:$M,13,FALSE)</f>
        <v>animal</v>
      </c>
      <c r="N239" s="7" t="str">
        <f>VLOOKUP(B239,[1]characters!$A:$G,7,FALSE)</f>
        <v>男性</v>
      </c>
      <c r="O239" s="47">
        <f ca="1">IFERROR(VLOOKUP(B239,input_356100!L:R,7,FALSE),VLOOKUP(tables_356100!C239,input_356100!A:H,8,FALSE))</f>
        <v>93.6</v>
      </c>
      <c r="P239" s="48">
        <f t="shared" ca="1" si="11"/>
        <v>6.3157894736842103E-5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input_356100!A$2</f>
        <v>356100</v>
      </c>
      <c r="B240" s="6">
        <v>662</v>
      </c>
      <c r="C240" s="7" t="str">
        <f t="shared" si="9"/>
        <v>Premium3</v>
      </c>
      <c r="D240" s="7" t="str">
        <f t="shared" si="10"/>
        <v>Premium</v>
      </c>
      <c r="E240" s="7" t="str">
        <f>IF(COUNTIF('R6追加前'!A:A,B240)=0,IF(I240="PremiumSS","R5only","R3less"),"")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ダイダラ</v>
      </c>
      <c r="I240" s="7" t="str">
        <f>VLOOKUP(B240,[1]characters!$A:$J,10,FALSE)</f>
        <v>PremiumS</v>
      </c>
      <c r="J240" s="7">
        <f>VLOOKUP(B240,[1]characters!$A:$I,9,FALSE)</f>
        <v>3</v>
      </c>
      <c r="K240" s="7" t="str">
        <f>VLOOKUP(B240,[1]characters!$A:$H,8,FALSE)</f>
        <v>blue</v>
      </c>
      <c r="L240" s="7" t="str">
        <f>VLOOKUP(B240,[1]characters!$A:$K,11,FALSE)</f>
        <v>hp</v>
      </c>
      <c r="M240" s="7" t="str">
        <f>VLOOKUP(B240,[1]characters!$A:$M,13,FALSE)</f>
        <v>unknown</v>
      </c>
      <c r="N240" s="7" t="str">
        <f>VLOOKUP(B240,[1]characters!$A:$G,7,FALSE)</f>
        <v>不明</v>
      </c>
      <c r="O240" s="47">
        <f ca="1">IFERROR(VLOOKUP(B240,input_356100!L:R,7,FALSE),VLOOKUP(tables_356100!C240,input_356100!A:H,8,FALSE))</f>
        <v>0</v>
      </c>
      <c r="P240" s="48">
        <f t="shared" ca="1" si="11"/>
        <v>0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input_356100!A$2</f>
        <v>356100</v>
      </c>
      <c r="B241" s="6">
        <v>663</v>
      </c>
      <c r="C241" s="7" t="str">
        <f t="shared" si="9"/>
        <v>Premium4</v>
      </c>
      <c r="D241" s="7" t="str">
        <f t="shared" si="10"/>
        <v>Premium</v>
      </c>
      <c r="E241" s="7" t="str">
        <f>IF(COUNTIF('R6追加前'!A:A,B241)=0,IF(I241="PremiumSS","R5only","R3less"),"")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都揺らす地響き ダイダラ</v>
      </c>
      <c r="I241" s="7" t="str">
        <f>VLOOKUP(B241,[1]characters!$A:$J,10,FALSE)</f>
        <v>PremiumS</v>
      </c>
      <c r="J241" s="7">
        <f>VLOOKUP(B241,[1]characters!$A:$I,9,FALSE)</f>
        <v>4</v>
      </c>
      <c r="K241" s="7" t="str">
        <f>VLOOKUP(B241,[1]characters!$A:$H,8,FALSE)</f>
        <v>blue</v>
      </c>
      <c r="L241" s="7" t="str">
        <f>VLOOKUP(B241,[1]characters!$A:$K,11,FALSE)</f>
        <v>hp</v>
      </c>
      <c r="M241" s="7" t="str">
        <f>VLOOKUP(B241,[1]characters!$A:$M,13,FALSE)</f>
        <v>unknown</v>
      </c>
      <c r="N241" s="7" t="str">
        <f>VLOOKUP(B241,[1]characters!$A:$G,7,FALSE)</f>
        <v>不明</v>
      </c>
      <c r="O241" s="47">
        <f ca="1">IFERROR(VLOOKUP(B241,input_356100!L:R,7,FALSE),VLOOKUP(tables_356100!C241,input_356100!A:H,8,FALSE))</f>
        <v>6931.2</v>
      </c>
      <c r="P241" s="48">
        <f t="shared" ca="1" si="11"/>
        <v>4.6769230769230768E-3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input_356100!A$2</f>
        <v>356100</v>
      </c>
      <c r="B242" s="6">
        <v>664</v>
      </c>
      <c r="C242" s="7" t="str">
        <f t="shared" si="9"/>
        <v>Premium5</v>
      </c>
      <c r="D242" s="7" t="str">
        <f t="shared" si="10"/>
        <v>Premium</v>
      </c>
      <c r="E242" s="7" t="str">
        <f>IF(COUNTIF('R6追加前'!A:A,B242)=0,IF(I242="PremiumSS","R5only","R3less"),"")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山掴み国造り ダイダラ</v>
      </c>
      <c r="I242" s="7" t="str">
        <f>VLOOKUP(B242,[1]characters!$A:$J,10,FALSE)</f>
        <v>PremiumS</v>
      </c>
      <c r="J242" s="7">
        <f>VLOOKUP(B242,[1]characters!$A:$I,9,FALSE)</f>
        <v>5</v>
      </c>
      <c r="K242" s="7" t="str">
        <f>VLOOKUP(B242,[1]characters!$A:$H,8,FALSE)</f>
        <v>blue</v>
      </c>
      <c r="L242" s="7" t="str">
        <f>VLOOKUP(B242,[1]characters!$A:$K,11,FALSE)</f>
        <v>hp</v>
      </c>
      <c r="M242" s="7" t="str">
        <f>VLOOKUP(B242,[1]characters!$A:$M,13,FALSE)</f>
        <v>unknown</v>
      </c>
      <c r="N242" s="7" t="str">
        <f>VLOOKUP(B242,[1]characters!$A:$G,7,FALSE)</f>
        <v>不明</v>
      </c>
      <c r="O242" s="47">
        <f ca="1">IFERROR(VLOOKUP(B242,input_356100!L:R,7,FALSE),VLOOKUP(tables_356100!C242,input_356100!A:H,8,FALSE))</f>
        <v>364.8</v>
      </c>
      <c r="P242" s="48">
        <f t="shared" ca="1" si="11"/>
        <v>2.4615384615384614E-4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input_356100!A$2</f>
        <v>356100</v>
      </c>
      <c r="B243" s="6">
        <v>665</v>
      </c>
      <c r="C243" s="7" t="str">
        <f t="shared" si="9"/>
        <v>Premium3</v>
      </c>
      <c r="D243" s="7" t="str">
        <f t="shared" si="10"/>
        <v>Premium</v>
      </c>
      <c r="E243" s="7" t="str">
        <f>IF(COUNTIF('R6追加前'!A:A,B243)=0,IF(I243="PremiumSS","R5only","R3less"),"")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座敷童子 テマリ</v>
      </c>
      <c r="I243" s="7" t="str">
        <f>VLOOKUP(B243,[1]characters!$A:$J,10,FALSE)</f>
        <v>PremiumS</v>
      </c>
      <c r="J243" s="7">
        <f>VLOOKUP(B243,[1]characters!$A:$I,9,FALSE)</f>
        <v>3</v>
      </c>
      <c r="K243" s="7" t="str">
        <f>VLOOKUP(B243,[1]characters!$A:$H,8,FALSE)</f>
        <v>yellow</v>
      </c>
      <c r="L243" s="7" t="str">
        <f>VLOOKUP(B243,[1]characters!$A:$K,11,FALSE)</f>
        <v>balance</v>
      </c>
      <c r="M243" s="7" t="str">
        <f>VLOOKUP(B243,[1]characters!$A:$M,13,FALSE)</f>
        <v>unknown</v>
      </c>
      <c r="N243" s="7" t="str">
        <f>VLOOKUP(B243,[1]characters!$A:$G,7,FALSE)</f>
        <v>女性</v>
      </c>
      <c r="O243" s="47">
        <f ca="1">IFERROR(VLOOKUP(B243,input_356100!L:R,7,FALSE),VLOOKUP(tables_356100!C243,input_356100!A:H,8,FALSE))</f>
        <v>0</v>
      </c>
      <c r="P243" s="48">
        <f t="shared" ca="1" si="11"/>
        <v>0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input_356100!A$2</f>
        <v>356100</v>
      </c>
      <c r="B244" s="6">
        <v>666</v>
      </c>
      <c r="C244" s="7" t="str">
        <f t="shared" si="9"/>
        <v>Premium4</v>
      </c>
      <c r="D244" s="7" t="str">
        <f t="shared" si="10"/>
        <v>Premium</v>
      </c>
      <c r="E244" s="7" t="str">
        <f>IF(COUNTIF('R6追加前'!A:A,B244)=0,IF(I244="PremiumSS","R5only","R3less"),"")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拡散する幸福 テマリ</v>
      </c>
      <c r="I244" s="7" t="str">
        <f>VLOOKUP(B244,[1]characters!$A:$J,10,FALSE)</f>
        <v>PremiumS</v>
      </c>
      <c r="J244" s="7">
        <f>VLOOKUP(B244,[1]characters!$A:$I,9,FALSE)</f>
        <v>4</v>
      </c>
      <c r="K244" s="7" t="str">
        <f>VLOOKUP(B244,[1]characters!$A:$H,8,FALSE)</f>
        <v>yellow</v>
      </c>
      <c r="L244" s="7" t="str">
        <f>VLOOKUP(B244,[1]characters!$A:$K,11,FALSE)</f>
        <v>balance</v>
      </c>
      <c r="M244" s="7" t="str">
        <f>VLOOKUP(B244,[1]characters!$A:$M,13,FALSE)</f>
        <v>unknown</v>
      </c>
      <c r="N244" s="7" t="str">
        <f>VLOOKUP(B244,[1]characters!$A:$G,7,FALSE)</f>
        <v>女性</v>
      </c>
      <c r="O244" s="47">
        <f ca="1">IFERROR(VLOOKUP(B244,input_356100!L:R,7,FALSE),VLOOKUP(tables_356100!C244,input_356100!A:H,8,FALSE))</f>
        <v>6931.2</v>
      </c>
      <c r="P244" s="48">
        <f t="shared" ca="1" si="11"/>
        <v>4.6769230769230768E-3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input_356100!A$2</f>
        <v>356100</v>
      </c>
      <c r="B245" s="6">
        <v>667</v>
      </c>
      <c r="C245" s="7" t="str">
        <f t="shared" si="9"/>
        <v>Premium5</v>
      </c>
      <c r="D245" s="7" t="str">
        <f t="shared" si="10"/>
        <v>Premium</v>
      </c>
      <c r="E245" s="7" t="str">
        <f>IF(COUNTIF('R6追加前'!A:A,B245)=0,IF(I245="PremiumSS","R5only","R3less"),"")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最幸運の妖童 テマリ</v>
      </c>
      <c r="I245" s="7" t="str">
        <f>VLOOKUP(B245,[1]characters!$A:$J,10,FALSE)</f>
        <v>PremiumS</v>
      </c>
      <c r="J245" s="7">
        <f>VLOOKUP(B245,[1]characters!$A:$I,9,FALSE)</f>
        <v>5</v>
      </c>
      <c r="K245" s="7" t="str">
        <f>VLOOKUP(B245,[1]characters!$A:$H,8,FALSE)</f>
        <v>yellow</v>
      </c>
      <c r="L245" s="7" t="str">
        <f>VLOOKUP(B245,[1]characters!$A:$K,11,FALSE)</f>
        <v>balance</v>
      </c>
      <c r="M245" s="7" t="str">
        <f>VLOOKUP(B245,[1]characters!$A:$M,13,FALSE)</f>
        <v>unknown</v>
      </c>
      <c r="N245" s="7" t="str">
        <f>VLOOKUP(B245,[1]characters!$A:$G,7,FALSE)</f>
        <v>女性</v>
      </c>
      <c r="O245" s="47">
        <f ca="1">IFERROR(VLOOKUP(B245,input_356100!L:R,7,FALSE),VLOOKUP(tables_356100!C245,input_356100!A:H,8,FALSE))</f>
        <v>364.8</v>
      </c>
      <c r="P245" s="48">
        <f t="shared" ca="1" si="11"/>
        <v>2.4615384615384614E-4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input_356100!A$2</f>
        <v>356100</v>
      </c>
      <c r="B246" s="62">
        <v>668</v>
      </c>
      <c r="C246" s="7" t="str">
        <f t="shared" si="9"/>
        <v>Premium3color</v>
      </c>
      <c r="D246" s="7" t="str">
        <f t="shared" si="10"/>
        <v>Premium</v>
      </c>
      <c r="E246" s="7" t="str">
        <f>IF(COUNTIF('R6追加前'!A:A,B246)=0,IF(I246="PremiumSS","R5only","R3less"),"")</f>
        <v/>
      </c>
      <c r="F246" s="7" t="str">
        <f>IF(COUNTIF('R6開放'!A:A,B246)&gt;0,"R6release","")</f>
        <v/>
      </c>
      <c r="G246" s="7" t="s">
        <v>240</v>
      </c>
      <c r="H246" s="7" t="str">
        <f>VLOOKUP(B246,[1]characters!$A:$C,3,FALSE)</f>
        <v>アグニ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red</v>
      </c>
      <c r="L246" s="7" t="str">
        <f>VLOOKUP(B246,[1]characters!$A:$K,11,FALSE)</f>
        <v>hp</v>
      </c>
      <c r="M246" s="7" t="str">
        <f>VLOOKUP(B246,[1]characters!$A:$M,13,FALSE)</f>
        <v>god</v>
      </c>
      <c r="N246" s="7" t="str">
        <f>VLOOKUP(B246,[1]characters!$A:$G,7,FALSE)</f>
        <v>男性</v>
      </c>
      <c r="O246" s="47">
        <f ca="1">IFERROR(VLOOKUP(B246,input_356100!L:R,7,FALSE),VLOOKUP(tables_356100!C246,input_356100!A:H,8,FALSE))</f>
        <v>0</v>
      </c>
      <c r="P246" s="48">
        <f t="shared" ca="1" si="11"/>
        <v>0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input_356100!A$2</f>
        <v>356100</v>
      </c>
      <c r="B247" s="62">
        <v>669</v>
      </c>
      <c r="C247" s="7" t="str">
        <f t="shared" si="9"/>
        <v>Premium4color</v>
      </c>
      <c r="D247" s="7" t="str">
        <f t="shared" si="10"/>
        <v>Premium</v>
      </c>
      <c r="E247" s="7" t="str">
        <f>IF(COUNTIF('R6追加前'!A:A,B247)=0,IF(I247="PremiumSS","R5only","R3less"),"")</f>
        <v/>
      </c>
      <c r="F247" s="7" t="str">
        <f>IF(COUNTIF('R6開放'!A:A,B247)&gt;0,"R6release","")</f>
        <v/>
      </c>
      <c r="G247" s="7" t="s">
        <v>240</v>
      </c>
      <c r="H247" s="7" t="str">
        <f>VLOOKUP(B247,[1]characters!$A:$C,3,FALSE)</f>
        <v>天地の仲界 アグニ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red</v>
      </c>
      <c r="L247" s="7" t="str">
        <f>VLOOKUP(B247,[1]characters!$A:$K,11,FALSE)</f>
        <v>hp</v>
      </c>
      <c r="M247" s="7" t="str">
        <f>VLOOKUP(B247,[1]characters!$A:$M,13,FALSE)</f>
        <v>god</v>
      </c>
      <c r="N247" s="7" t="str">
        <f>VLOOKUP(B247,[1]characters!$A:$G,7,FALSE)</f>
        <v>男性</v>
      </c>
      <c r="O247" s="47">
        <f ca="1">IFERROR(VLOOKUP(B247,input_356100!L:R,7,FALSE),VLOOKUP(tables_356100!C247,input_356100!A:H,8,FALSE))</f>
        <v>27724.799999999999</v>
      </c>
      <c r="P247" s="48">
        <f t="shared" ca="1" si="11"/>
        <v>1.8707692307692307E-2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input_356100!A$2</f>
        <v>356100</v>
      </c>
      <c r="B248" s="62">
        <v>670</v>
      </c>
      <c r="C248" s="7" t="str">
        <f t="shared" si="9"/>
        <v>Premium5color</v>
      </c>
      <c r="D248" s="7" t="str">
        <f t="shared" si="10"/>
        <v>Premium</v>
      </c>
      <c r="E248" s="7" t="str">
        <f>IF(COUNTIF('R6追加前'!A:A,B248)=0,IF(I248="PremiumSS","R5only","R3less"),"")</f>
        <v/>
      </c>
      <c r="F248" s="7" t="str">
        <f>IF(COUNTIF('R6開放'!A:A,B248)&gt;0,"R6release","")</f>
        <v/>
      </c>
      <c r="G248" s="7" t="s">
        <v>240</v>
      </c>
      <c r="H248" s="7" t="str">
        <f>VLOOKUP(B248,[1]characters!$A:$C,3,FALSE)</f>
        <v>陽天の噴煙 アグニ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red</v>
      </c>
      <c r="L248" s="7" t="str">
        <f>VLOOKUP(B248,[1]characters!$A:$K,11,FALSE)</f>
        <v>hp</v>
      </c>
      <c r="M248" s="7" t="str">
        <f>VLOOKUP(B248,[1]characters!$A:$M,13,FALSE)</f>
        <v>god</v>
      </c>
      <c r="N248" s="7" t="str">
        <f>VLOOKUP(B248,[1]characters!$A:$G,7,FALSE)</f>
        <v>男性</v>
      </c>
      <c r="O248" s="47">
        <f ca="1">IFERROR(VLOOKUP(B248,input_356100!L:R,7,FALSE),VLOOKUP(tables_356100!C248,input_356100!A:H,8,FALSE))</f>
        <v>1459.2</v>
      </c>
      <c r="P248" s="48">
        <f t="shared" ca="1" si="11"/>
        <v>9.8461538461538456E-4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input_356100!A$2</f>
        <v>356100</v>
      </c>
      <c r="B249" s="62">
        <v>671</v>
      </c>
      <c r="C249" s="7" t="str">
        <f t="shared" si="9"/>
        <v>Premium3color</v>
      </c>
      <c r="D249" s="7" t="str">
        <f t="shared" si="10"/>
        <v>Premium</v>
      </c>
      <c r="E249" s="7" t="str">
        <f>IF(COUNTIF('R6追加前'!A:A,B249)=0,IF(I249="PremiumSS","R5only","R3less"),"")</f>
        <v/>
      </c>
      <c r="F249" s="7" t="str">
        <f>IF(COUNTIF('R6開放'!A:A,B249)&gt;0,"R6release","")</f>
        <v/>
      </c>
      <c r="G249" s="7" t="s">
        <v>240</v>
      </c>
      <c r="H249" s="7" t="str">
        <f>VLOOKUP(B249,[1]characters!$A:$C,3,FALSE)</f>
        <v>ハヌマーン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green</v>
      </c>
      <c r="L249" s="7" t="str">
        <f>VLOOKUP(B249,[1]characters!$A:$K,11,FALSE)</f>
        <v>attack</v>
      </c>
      <c r="M249" s="7" t="str">
        <f>VLOOKUP(B249,[1]characters!$A:$M,13,FALSE)</f>
        <v>animal</v>
      </c>
      <c r="N249" s="7" t="str">
        <f>VLOOKUP(B249,[1]characters!$A:$G,7,FALSE)</f>
        <v>男性</v>
      </c>
      <c r="O249" s="47">
        <f ca="1">IFERROR(VLOOKUP(B249,input_356100!L:R,7,FALSE),VLOOKUP(tables_356100!C249,input_356100!A:H,8,FALSE))</f>
        <v>0</v>
      </c>
      <c r="P249" s="48">
        <f t="shared" ca="1" si="11"/>
        <v>0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input_356100!A$2</f>
        <v>356100</v>
      </c>
      <c r="B250" s="62">
        <v>672</v>
      </c>
      <c r="C250" s="7" t="str">
        <f t="shared" si="9"/>
        <v>Premium4color</v>
      </c>
      <c r="D250" s="7" t="str">
        <f t="shared" si="10"/>
        <v>Premium</v>
      </c>
      <c r="E250" s="7" t="str">
        <f>IF(COUNTIF('R6追加前'!A:A,B250)=0,IF(I250="PremiumSS","R5only","R3less"),"")</f>
        <v/>
      </c>
      <c r="F250" s="7" t="str">
        <f>IF(COUNTIF('R6開放'!A:A,B250)&gt;0,"R6release","")</f>
        <v/>
      </c>
      <c r="G250" s="7" t="s">
        <v>240</v>
      </c>
      <c r="H250" s="7" t="str">
        <f>VLOOKUP(B250,[1]characters!$A:$C,3,FALSE)</f>
        <v>西遊韋駄天 ハヌマーン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green</v>
      </c>
      <c r="L250" s="7" t="str">
        <f>VLOOKUP(B250,[1]characters!$A:$K,11,FALSE)</f>
        <v>attack</v>
      </c>
      <c r="M250" s="7" t="str">
        <f>VLOOKUP(B250,[1]characters!$A:$M,13,FALSE)</f>
        <v>animal</v>
      </c>
      <c r="N250" s="7" t="str">
        <f>VLOOKUP(B250,[1]characters!$A:$G,7,FALSE)</f>
        <v>男性</v>
      </c>
      <c r="O250" s="47">
        <f ca="1">IFERROR(VLOOKUP(B250,input_356100!L:R,7,FALSE),VLOOKUP(tables_356100!C250,input_356100!A:H,8,FALSE))</f>
        <v>27724.799999999999</v>
      </c>
      <c r="P250" s="48">
        <f t="shared" ca="1" si="11"/>
        <v>1.8707692307692307E-2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input_356100!A$2</f>
        <v>356100</v>
      </c>
      <c r="B251" s="62">
        <v>673</v>
      </c>
      <c r="C251" s="7" t="str">
        <f t="shared" si="9"/>
        <v>Premium5color</v>
      </c>
      <c r="D251" s="7" t="str">
        <f t="shared" si="10"/>
        <v>Premium</v>
      </c>
      <c r="E251" s="7" t="str">
        <f>IF(COUNTIF('R6追加前'!A:A,B251)=0,IF(I251="PremiumSS","R5only","R3less"),"")</f>
        <v/>
      </c>
      <c r="F251" s="7" t="str">
        <f>IF(COUNTIF('R6開放'!A:A,B251)&gt;0,"R6release","")</f>
        <v/>
      </c>
      <c r="G251" s="7" t="s">
        <v>240</v>
      </c>
      <c r="H251" s="7" t="str">
        <f>VLOOKUP(B251,[1]characters!$A:$C,3,FALSE)</f>
        <v>変幻自在の猿王 ハヌマーン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green</v>
      </c>
      <c r="L251" s="7" t="str">
        <f>VLOOKUP(B251,[1]characters!$A:$K,11,FALSE)</f>
        <v>attack</v>
      </c>
      <c r="M251" s="7" t="str">
        <f>VLOOKUP(B251,[1]characters!$A:$M,13,FALSE)</f>
        <v>animal</v>
      </c>
      <c r="N251" s="7" t="str">
        <f>VLOOKUP(B251,[1]characters!$A:$G,7,FALSE)</f>
        <v>男性</v>
      </c>
      <c r="O251" s="47">
        <f ca="1">IFERROR(VLOOKUP(B251,input_356100!L:R,7,FALSE),VLOOKUP(tables_356100!C251,input_356100!A:H,8,FALSE))</f>
        <v>1459.2</v>
      </c>
      <c r="P251" s="48">
        <f t="shared" ca="1" si="11"/>
        <v>9.8461538461538456E-4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input_356100!A$2</f>
        <v>356100</v>
      </c>
      <c r="B252" s="62">
        <v>674</v>
      </c>
      <c r="C252" s="7" t="str">
        <f t="shared" si="9"/>
        <v>PremiumSS4</v>
      </c>
      <c r="D252" s="7" t="str">
        <f t="shared" si="10"/>
        <v>PremiumSS</v>
      </c>
      <c r="E252" s="7" t="str">
        <f>IF(COUNTIF('R6追加前'!A:A,B252)=0,IF(I252="PremiumSS","R5only","R3less"),"")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サラスヴァティ</v>
      </c>
      <c r="I252" s="7" t="str">
        <f>VLOOKUP(B252,[1]characters!$A:$J,10,FALSE)</f>
        <v>PremiumSS</v>
      </c>
      <c r="J252" s="7">
        <f>VLOOKUP(B252,[1]characters!$A:$I,9,FALSE)</f>
        <v>4</v>
      </c>
      <c r="K252" s="7" t="str">
        <f>VLOOKUP(B252,[1]characters!$A:$H,8,FALSE)</f>
        <v>blue</v>
      </c>
      <c r="L252" s="7" t="str">
        <f>VLOOKUP(B252,[1]characters!$A:$K,11,FALSE)</f>
        <v>balance</v>
      </c>
      <c r="M252" s="7" t="str">
        <f>VLOOKUP(B252,[1]characters!$A:$M,13,FALSE)</f>
        <v>god</v>
      </c>
      <c r="N252" s="7" t="str">
        <f>VLOOKUP(B252,[1]characters!$A:$G,7,FALSE)</f>
        <v>女性</v>
      </c>
      <c r="O252" s="47">
        <f ca="1">IFERROR(VLOOKUP(B252,input_356100!L:R,7,FALSE),VLOOKUP(tables_356100!C252,input_356100!A:H,8,FALSE))</f>
        <v>444.6</v>
      </c>
      <c r="P252" s="48">
        <f t="shared" ca="1" si="11"/>
        <v>3.0000000000000003E-4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input_356100!A$2</f>
        <v>356100</v>
      </c>
      <c r="B253" s="62">
        <v>675</v>
      </c>
      <c r="C253" s="7" t="str">
        <f t="shared" si="9"/>
        <v>PremiumSS5</v>
      </c>
      <c r="D253" s="7" t="str">
        <f t="shared" si="10"/>
        <v>PremiumSS</v>
      </c>
      <c r="E253" s="7" t="str">
        <f>IF(COUNTIF('R6追加前'!A:A,B253)=0,IF(I253="PremiumSS","R5only","R3less"),"")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芸楽の奔流 サラスヴァティ</v>
      </c>
      <c r="I253" s="7" t="str">
        <f>VLOOKUP(B253,[1]characters!$A:$J,10,FALSE)</f>
        <v>PremiumSS</v>
      </c>
      <c r="J253" s="7">
        <f>VLOOKUP(B253,[1]characters!$A:$I,9,FALSE)</f>
        <v>5</v>
      </c>
      <c r="K253" s="7" t="str">
        <f>VLOOKUP(B253,[1]characters!$A:$H,8,FALSE)</f>
        <v>blue</v>
      </c>
      <c r="L253" s="7" t="str">
        <f>VLOOKUP(B253,[1]characters!$A:$K,11,FALSE)</f>
        <v>balance</v>
      </c>
      <c r="M253" s="7" t="str">
        <f>VLOOKUP(B253,[1]characters!$A:$M,13,FALSE)</f>
        <v>god</v>
      </c>
      <c r="N253" s="7" t="str">
        <f>VLOOKUP(B253,[1]characters!$A:$G,7,FALSE)</f>
        <v>女性</v>
      </c>
      <c r="O253" s="47">
        <f ca="1">IFERROR(VLOOKUP(B253,input_356100!L:R,7,FALSE),VLOOKUP(tables_356100!C253,input_356100!A:H,8,FALSE))</f>
        <v>23.4</v>
      </c>
      <c r="P253" s="48">
        <f t="shared" ca="1" si="11"/>
        <v>1.5789473684210526E-5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input_356100!A$2</f>
        <v>356100</v>
      </c>
      <c r="B254" s="62">
        <v>676</v>
      </c>
      <c r="C254" s="7" t="str">
        <f t="shared" si="9"/>
        <v>PremiumSS4</v>
      </c>
      <c r="D254" s="7" t="str">
        <f t="shared" si="10"/>
        <v>PremiumSS</v>
      </c>
      <c r="E254" s="7" t="str">
        <f>IF(COUNTIF('R6追加前'!A:A,B254)=0,IF(I254="PremiumSS","R5only","R3less"),"")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ヴィシュヌ</v>
      </c>
      <c r="I254" s="7" t="str">
        <f>VLOOKUP(B254,[1]characters!$A:$J,10,FALSE)</f>
        <v>PremiumSS</v>
      </c>
      <c r="J254" s="7">
        <f>VLOOKUP(B254,[1]characters!$A:$I,9,FALSE)</f>
        <v>4</v>
      </c>
      <c r="K254" s="7" t="str">
        <f>VLOOKUP(B254,[1]characters!$A:$H,8,FALSE)</f>
        <v>yellow</v>
      </c>
      <c r="L254" s="7" t="str">
        <f>VLOOKUP(B254,[1]characters!$A:$K,11,FALSE)</f>
        <v>attack</v>
      </c>
      <c r="M254" s="7" t="str">
        <f>VLOOKUP(B254,[1]characters!$A:$M,13,FALSE)</f>
        <v>god</v>
      </c>
      <c r="N254" s="7" t="str">
        <f>VLOOKUP(B254,[1]characters!$A:$G,7,FALSE)</f>
        <v>女性</v>
      </c>
      <c r="O254" s="47">
        <f ca="1">IFERROR(VLOOKUP(B254,input_356100!L:R,7,FALSE),VLOOKUP(tables_356100!C254,input_356100!A:H,8,FALSE))</f>
        <v>444.6</v>
      </c>
      <c r="P254" s="48">
        <f t="shared" ca="1" si="11"/>
        <v>3.0000000000000003E-4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input_356100!A$2</f>
        <v>356100</v>
      </c>
      <c r="B255" s="62">
        <v>677</v>
      </c>
      <c r="C255" s="7" t="str">
        <f t="shared" si="9"/>
        <v>PremiumSS5</v>
      </c>
      <c r="D255" s="7" t="str">
        <f t="shared" si="10"/>
        <v>PremiumSS</v>
      </c>
      <c r="E255" s="7" t="str">
        <f>IF(COUNTIF('R6追加前'!A:A,B255)=0,IF(I255="PremiumSS","R5only","R3less"),"")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武遊闊歩 ヴィシュヌ</v>
      </c>
      <c r="I255" s="7" t="str">
        <f>VLOOKUP(B255,[1]characters!$A:$J,10,FALSE)</f>
        <v>PremiumSS</v>
      </c>
      <c r="J255" s="7">
        <f>VLOOKUP(B255,[1]characters!$A:$I,9,FALSE)</f>
        <v>5</v>
      </c>
      <c r="K255" s="7" t="str">
        <f>VLOOKUP(B255,[1]characters!$A:$H,8,FALSE)</f>
        <v>yellow</v>
      </c>
      <c r="L255" s="7" t="str">
        <f>VLOOKUP(B255,[1]characters!$A:$K,11,FALSE)</f>
        <v>attack</v>
      </c>
      <c r="M255" s="7" t="str">
        <f>VLOOKUP(B255,[1]characters!$A:$M,13,FALSE)</f>
        <v>god</v>
      </c>
      <c r="N255" s="7" t="str">
        <f>VLOOKUP(B255,[1]characters!$A:$G,7,FALSE)</f>
        <v>女性</v>
      </c>
      <c r="O255" s="47">
        <f ca="1">IFERROR(VLOOKUP(B255,input_356100!L:R,7,FALSE),VLOOKUP(tables_356100!C255,input_356100!A:H,8,FALSE))</f>
        <v>23.4</v>
      </c>
      <c r="P255" s="48">
        <f t="shared" ca="1" si="11"/>
        <v>1.5789473684210526E-5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input_356100!A$2</f>
        <v>356100</v>
      </c>
      <c r="B256" s="62">
        <v>770</v>
      </c>
      <c r="C256" s="7" t="str">
        <f t="shared" si="9"/>
        <v>PremiumSS4color</v>
      </c>
      <c r="D256" s="7" t="str">
        <f t="shared" si="10"/>
        <v>PremiumSS</v>
      </c>
      <c r="E256" s="7" t="str">
        <f>IF(COUNTIF('R6追加前'!A:A,B256)=0,IF(I256="PremiumSS","R5only","R3less"),"")</f>
        <v/>
      </c>
      <c r="F256" s="7" t="str">
        <f>IF(COUNTIF('R6開放'!A:A,B256)&gt;0,"R6release","")</f>
        <v/>
      </c>
      <c r="G256" s="7" t="s">
        <v>240</v>
      </c>
      <c r="H256" s="7" t="str">
        <f>VLOOKUP(B256,[1]characters!$A:$C,3,FALSE)</f>
        <v>ハヅル</v>
      </c>
      <c r="I256" s="7" t="str">
        <f>VLOOKUP(B256,[1]characters!$A:$J,10,FALSE)</f>
        <v>PremiumSS</v>
      </c>
      <c r="J256" s="7">
        <f>VLOOKUP(B256,[1]characters!$A:$I,9,FALSE)</f>
        <v>4</v>
      </c>
      <c r="K256" s="7" t="str">
        <f>VLOOKUP(B256,[1]characters!$A:$H,8,FALSE)</f>
        <v>red</v>
      </c>
      <c r="L256" s="7" t="str">
        <f>VLOOKUP(B256,[1]characters!$A:$K,11,FALSE)</f>
        <v>balance</v>
      </c>
      <c r="M256" s="7" t="str">
        <f>VLOOKUP(B256,[1]characters!$A:$M,13,FALSE)</f>
        <v>animal</v>
      </c>
      <c r="N256" s="7" t="str">
        <f>VLOOKUP(B256,[1]characters!$A:$G,7,FALSE)</f>
        <v>女性</v>
      </c>
      <c r="O256" s="47">
        <f ca="1">IFERROR(VLOOKUP(B256,input_356100!L:R,7,FALSE),VLOOKUP(tables_356100!C256,input_356100!A:H,8,FALSE))</f>
        <v>1778.4</v>
      </c>
      <c r="P256" s="48">
        <f t="shared" ca="1" si="11"/>
        <v>1.2000000000000001E-3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input_356100!A$2</f>
        <v>356100</v>
      </c>
      <c r="B257" s="62">
        <v>771</v>
      </c>
      <c r="C257" s="7" t="str">
        <f t="shared" si="9"/>
        <v>PremiumSS5color</v>
      </c>
      <c r="D257" s="7" t="str">
        <f t="shared" si="10"/>
        <v>PremiumSS</v>
      </c>
      <c r="E257" s="7" t="str">
        <f>IF(COUNTIF('R6追加前'!A:A,B257)=0,IF(I257="PremiumSS","R5only","R3less"),"")</f>
        <v/>
      </c>
      <c r="F257" s="7" t="str">
        <f>IF(COUNTIF('R6開放'!A:A,B257)&gt;0,"R6release","")</f>
        <v/>
      </c>
      <c r="G257" s="7" t="s">
        <v>240</v>
      </c>
      <c r="H257" s="7" t="str">
        <f>VLOOKUP(B257,[1]characters!$A:$C,3,FALSE)</f>
        <v>天織羽鶴 ハヅル</v>
      </c>
      <c r="I257" s="7" t="str">
        <f>VLOOKUP(B257,[1]characters!$A:$J,10,FALSE)</f>
        <v>PremiumSS</v>
      </c>
      <c r="J257" s="7">
        <f>VLOOKUP(B257,[1]characters!$A:$I,9,FALSE)</f>
        <v>5</v>
      </c>
      <c r="K257" s="7" t="str">
        <f>VLOOKUP(B257,[1]characters!$A:$H,8,FALSE)</f>
        <v>red</v>
      </c>
      <c r="L257" s="7" t="str">
        <f>VLOOKUP(B257,[1]characters!$A:$K,11,FALSE)</f>
        <v>balance</v>
      </c>
      <c r="M257" s="7" t="str">
        <f>VLOOKUP(B257,[1]characters!$A:$M,13,FALSE)</f>
        <v>animal</v>
      </c>
      <c r="N257" s="7" t="str">
        <f>VLOOKUP(B257,[1]characters!$A:$G,7,FALSE)</f>
        <v>女性</v>
      </c>
      <c r="O257" s="47">
        <f ca="1">IFERROR(VLOOKUP(B257,input_356100!L:R,7,FALSE),VLOOKUP(tables_356100!C257,input_356100!A:H,8,FALSE))</f>
        <v>93.6</v>
      </c>
      <c r="P257" s="48">
        <f t="shared" ca="1" si="11"/>
        <v>6.3157894736842103E-5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input_356100!A$2</f>
        <v>356100</v>
      </c>
      <c r="B258" s="62">
        <v>772</v>
      </c>
      <c r="C258" s="7" t="str">
        <f t="shared" ref="C258:C285" si="12">D258&amp;J258&amp;E258&amp;F258&amp;G258</f>
        <v>PremiumSS4color</v>
      </c>
      <c r="D258" s="7" t="str">
        <f t="shared" si="10"/>
        <v>PremiumSS</v>
      </c>
      <c r="E258" s="7" t="str">
        <f>IF(COUNTIF('R6追加前'!A:A,B258)=0,IF(I258="PremiumSS","R5only","R3less"),"")</f>
        <v/>
      </c>
      <c r="F258" s="7" t="str">
        <f>IF(COUNTIF('R6開放'!A:A,B258)&gt;0,"R6release","")</f>
        <v/>
      </c>
      <c r="G258" s="7" t="s">
        <v>240</v>
      </c>
      <c r="H258" s="7" t="str">
        <f>VLOOKUP(B258,[1]characters!$A:$C,3,FALSE)</f>
        <v>イナバ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green</v>
      </c>
      <c r="L258" s="7" t="str">
        <f>VLOOKUP(B258,[1]characters!$A:$K,11,FALSE)</f>
        <v>balance</v>
      </c>
      <c r="M258" s="7" t="str">
        <f>VLOOKUP(B258,[1]characters!$A:$M,13,FALSE)</f>
        <v>animal</v>
      </c>
      <c r="N258" s="7" t="str">
        <f>VLOOKUP(B258,[1]characters!$A:$G,7,FALSE)</f>
        <v>女性</v>
      </c>
      <c r="O258" s="47">
        <f ca="1">IFERROR(VLOOKUP(B258,input_356100!L:R,7,FALSE),VLOOKUP(tables_356100!C258,input_356100!A:H,8,FALSE))</f>
        <v>1778.4</v>
      </c>
      <c r="P258" s="48">
        <f t="shared" ca="1" si="11"/>
        <v>1.2000000000000001E-3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input_356100!A$2</f>
        <v>356100</v>
      </c>
      <c r="B259" s="62">
        <v>773</v>
      </c>
      <c r="C259" s="7" t="str">
        <f t="shared" si="12"/>
        <v>PremiumSS5color</v>
      </c>
      <c r="D259" s="7" t="str">
        <f t="shared" ref="D259:D285" si="13">IF(I259="PremiumSS",I259,IF(I259="PremiumSSS",I259,IF(I259="PremiumW",I259,"Premium")))</f>
        <v>PremiumSS</v>
      </c>
      <c r="E259" s="7" t="str">
        <f>IF(COUNTIF('R6追加前'!A:A,B259)=0,IF(I259="PremiumSS","R5only","R3less"),"")</f>
        <v/>
      </c>
      <c r="F259" s="7" t="str">
        <f>IF(COUNTIF('R6開放'!A:A,B259)&gt;0,"R6release","")</f>
        <v/>
      </c>
      <c r="G259" s="7" t="s">
        <v>240</v>
      </c>
      <c r="H259" s="7" t="str">
        <f>VLOOKUP(B259,[1]characters!$A:$C,3,FALSE)</f>
        <v>浮跳天兎 イナバ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green</v>
      </c>
      <c r="L259" s="7" t="str">
        <f>VLOOKUP(B259,[1]characters!$A:$K,11,FALSE)</f>
        <v>balance</v>
      </c>
      <c r="M259" s="7" t="str">
        <f>VLOOKUP(B259,[1]characters!$A:$M,13,FALSE)</f>
        <v>animal</v>
      </c>
      <c r="N259" s="7" t="str">
        <f>VLOOKUP(B259,[1]characters!$A:$G,7,FALSE)</f>
        <v>女性</v>
      </c>
      <c r="O259" s="47">
        <f ca="1">IFERROR(VLOOKUP(B259,input_356100!L:R,7,FALSE),VLOOKUP(tables_356100!C259,input_356100!A:H,8,FALSE))</f>
        <v>93.6</v>
      </c>
      <c r="P259" s="48">
        <f t="shared" ca="1" si="11"/>
        <v>6.3157894736842103E-5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input_356100!A$2</f>
        <v>356100</v>
      </c>
      <c r="B260" s="62">
        <v>774</v>
      </c>
      <c r="C260" s="7" t="str">
        <f t="shared" si="12"/>
        <v>Premium3</v>
      </c>
      <c r="D260" s="7" t="str">
        <f t="shared" si="13"/>
        <v>Premium</v>
      </c>
      <c r="E260" s="7" t="str">
        <f>IF(COUNTIF('R6追加前'!A:A,B260)=0,IF(I260="PremiumSS","R5only","R3less"),"")</f>
        <v/>
      </c>
      <c r="F260" s="7" t="str">
        <f>IF(COUNTIF('R6開放'!A:A,B260)&gt;0,"R6release","")</f>
        <v/>
      </c>
      <c r="G260" s="7"/>
      <c r="H260" s="7" t="str">
        <f>VLOOKUP(B260,[1]characters!$A:$C,3,FALSE)</f>
        <v>ミズチ</v>
      </c>
      <c r="I260" s="7" t="str">
        <f>VLOOKUP(B260,[1]characters!$A:$J,10,FALSE)</f>
        <v>PremiumS</v>
      </c>
      <c r="J260" s="7">
        <f>VLOOKUP(B260,[1]characters!$A:$I,9,FALSE)</f>
        <v>3</v>
      </c>
      <c r="K260" s="7" t="str">
        <f>VLOOKUP(B260,[1]characters!$A:$H,8,FALSE)</f>
        <v>blue</v>
      </c>
      <c r="L260" s="7" t="str">
        <f>VLOOKUP(B260,[1]characters!$A:$K,11,FALSE)</f>
        <v>heal</v>
      </c>
      <c r="M260" s="7" t="str">
        <f>VLOOKUP(B260,[1]characters!$A:$M,13,FALSE)</f>
        <v>dragon</v>
      </c>
      <c r="N260" s="7" t="str">
        <f>VLOOKUP(B260,[1]characters!$A:$G,7,FALSE)</f>
        <v>不明</v>
      </c>
      <c r="O260" s="47">
        <f ca="1">IFERROR(VLOOKUP(B260,input_356100!L:R,7,FALSE),VLOOKUP(tables_356100!C260,input_356100!A:H,8,FALSE))</f>
        <v>0</v>
      </c>
      <c r="P260" s="48">
        <f t="shared" ca="1" si="11"/>
        <v>0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input_356100!A$2</f>
        <v>356100</v>
      </c>
      <c r="B261" s="62">
        <v>775</v>
      </c>
      <c r="C261" s="7" t="str">
        <f t="shared" si="12"/>
        <v>Premium4</v>
      </c>
      <c r="D261" s="7" t="str">
        <f t="shared" si="13"/>
        <v>Premium</v>
      </c>
      <c r="E261" s="7" t="str">
        <f>IF(COUNTIF('R6追加前'!A:A,B261)=0,IF(I261="PremiumSS","R5only","R3less"),"")</f>
        <v/>
      </c>
      <c r="F261" s="7" t="str">
        <f>IF(COUNTIF('R6開放'!A:A,B261)&gt;0,"R6release","")</f>
        <v/>
      </c>
      <c r="G261" s="7"/>
      <c r="H261" s="7" t="str">
        <f>VLOOKUP(B261,[1]characters!$A:$C,3,FALSE)</f>
        <v>水底霊竜 ミズチ</v>
      </c>
      <c r="I261" s="7" t="str">
        <f>VLOOKUP(B261,[1]characters!$A:$J,10,FALSE)</f>
        <v>PremiumS</v>
      </c>
      <c r="J261" s="7">
        <f>VLOOKUP(B261,[1]characters!$A:$I,9,FALSE)</f>
        <v>4</v>
      </c>
      <c r="K261" s="7" t="str">
        <f>VLOOKUP(B261,[1]characters!$A:$H,8,FALSE)</f>
        <v>blue</v>
      </c>
      <c r="L261" s="7" t="str">
        <f>VLOOKUP(B261,[1]characters!$A:$K,11,FALSE)</f>
        <v>heal</v>
      </c>
      <c r="M261" s="7" t="str">
        <f>VLOOKUP(B261,[1]characters!$A:$M,13,FALSE)</f>
        <v>dragon</v>
      </c>
      <c r="N261" s="7" t="str">
        <f>VLOOKUP(B261,[1]characters!$A:$G,7,FALSE)</f>
        <v>不明</v>
      </c>
      <c r="O261" s="47">
        <f ca="1">IFERROR(VLOOKUP(B261,input_356100!L:R,7,FALSE),VLOOKUP(tables_356100!C261,input_356100!A:H,8,FALSE))</f>
        <v>6931.2</v>
      </c>
      <c r="P261" s="48">
        <f t="shared" ca="1" si="11"/>
        <v>4.6769230769230768E-3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input_356100!A$2</f>
        <v>356100</v>
      </c>
      <c r="B262" s="62">
        <v>776</v>
      </c>
      <c r="C262" s="7" t="str">
        <f t="shared" si="12"/>
        <v>Premium5</v>
      </c>
      <c r="D262" s="7" t="str">
        <f t="shared" si="13"/>
        <v>Premium</v>
      </c>
      <c r="E262" s="7" t="str">
        <f>IF(COUNTIF('R6追加前'!A:A,B262)=0,IF(I262="PremiumSS","R5only","R3less"),"")</f>
        <v/>
      </c>
      <c r="F262" s="7" t="str">
        <f>IF(COUNTIF('R6開放'!A:A,B262)&gt;0,"R6release","")</f>
        <v/>
      </c>
      <c r="G262" s="7"/>
      <c r="H262" s="7" t="str">
        <f>VLOOKUP(B262,[1]characters!$A:$C,3,FALSE)</f>
        <v>水竜底主 ミズチ</v>
      </c>
      <c r="I262" s="7" t="str">
        <f>VLOOKUP(B262,[1]characters!$A:$J,10,FALSE)</f>
        <v>PremiumS</v>
      </c>
      <c r="J262" s="7">
        <f>VLOOKUP(B262,[1]characters!$A:$I,9,FALSE)</f>
        <v>5</v>
      </c>
      <c r="K262" s="7" t="str">
        <f>VLOOKUP(B262,[1]characters!$A:$H,8,FALSE)</f>
        <v>blue</v>
      </c>
      <c r="L262" s="7" t="str">
        <f>VLOOKUP(B262,[1]characters!$A:$K,11,FALSE)</f>
        <v>heal</v>
      </c>
      <c r="M262" s="7" t="str">
        <f>VLOOKUP(B262,[1]characters!$A:$M,13,FALSE)</f>
        <v>dragon</v>
      </c>
      <c r="N262" s="7" t="str">
        <f>VLOOKUP(B262,[1]characters!$A:$G,7,FALSE)</f>
        <v>不明</v>
      </c>
      <c r="O262" s="47">
        <f ca="1">IFERROR(VLOOKUP(B262,input_356100!L:R,7,FALSE),VLOOKUP(tables_356100!C262,input_356100!A:H,8,FALSE))</f>
        <v>364.8</v>
      </c>
      <c r="P262" s="48">
        <f t="shared" ca="1" si="11"/>
        <v>2.4615384615384614E-4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input_356100!A$2</f>
        <v>356100</v>
      </c>
      <c r="B263" s="62">
        <v>777</v>
      </c>
      <c r="C263" s="7" t="str">
        <f t="shared" si="12"/>
        <v>Premium3</v>
      </c>
      <c r="D263" s="7" t="str">
        <f t="shared" si="13"/>
        <v>Premium</v>
      </c>
      <c r="E263" s="7" t="str">
        <f>IF(COUNTIF('R6追加前'!A:A,B263)=0,IF(I263="PremiumSS","R5only","R3less"),"")</f>
        <v/>
      </c>
      <c r="F263" s="7" t="str">
        <f>IF(COUNTIF('R6開放'!A:A,B263)&gt;0,"R6release","")</f>
        <v/>
      </c>
      <c r="G263" s="7"/>
      <c r="H263" s="7" t="str">
        <f>VLOOKUP(B263,[1]characters!$A:$C,3,FALSE)</f>
        <v>ガメック</v>
      </c>
      <c r="I263" s="7" t="str">
        <f>VLOOKUP(B263,[1]characters!$A:$J,10,FALSE)</f>
        <v>PremiumS</v>
      </c>
      <c r="J263" s="7">
        <f>VLOOKUP(B263,[1]characters!$A:$I,9,FALSE)</f>
        <v>3</v>
      </c>
      <c r="K263" s="7" t="str">
        <f>VLOOKUP(B263,[1]characters!$A:$H,8,FALSE)</f>
        <v>yellow</v>
      </c>
      <c r="L263" s="7" t="str">
        <f>VLOOKUP(B263,[1]characters!$A:$K,11,FALSE)</f>
        <v>hp</v>
      </c>
      <c r="M263" s="7" t="str">
        <f>VLOOKUP(B263,[1]characters!$A:$M,13,FALSE)</f>
        <v>animal</v>
      </c>
      <c r="N263" s="7" t="str">
        <f>VLOOKUP(B263,[1]characters!$A:$G,7,FALSE)</f>
        <v>不明</v>
      </c>
      <c r="O263" s="47">
        <f ca="1">IFERROR(VLOOKUP(B263,input_356100!L:R,7,FALSE),VLOOKUP(tables_356100!C263,input_356100!A:H,8,FALSE))</f>
        <v>0</v>
      </c>
      <c r="P263" s="48">
        <f t="shared" ca="1" si="11"/>
        <v>0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input_356100!A$2</f>
        <v>356100</v>
      </c>
      <c r="B264" s="62">
        <v>778</v>
      </c>
      <c r="C264" s="7" t="str">
        <f t="shared" si="12"/>
        <v>Premium4</v>
      </c>
      <c r="D264" s="7" t="str">
        <f t="shared" si="13"/>
        <v>Premium</v>
      </c>
      <c r="E264" s="7" t="str">
        <f>IF(COUNTIF('R6追加前'!A:A,B264)=0,IF(I264="PremiumSS","R5only","R3less"),"")</f>
        <v/>
      </c>
      <c r="F264" s="7" t="str">
        <f>IF(COUNTIF('R6開放'!A:A,B264)&gt;0,"R6release","")</f>
        <v/>
      </c>
      <c r="G264" s="7"/>
      <c r="H264" s="7" t="str">
        <f>VLOOKUP(B264,[1]characters!$A:$C,3,FALSE)</f>
        <v>一亀懸明 ガメック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yellow</v>
      </c>
      <c r="L264" s="7" t="str">
        <f>VLOOKUP(B264,[1]characters!$A:$K,11,FALSE)</f>
        <v>hp</v>
      </c>
      <c r="M264" s="7" t="str">
        <f>VLOOKUP(B264,[1]characters!$A:$M,13,FALSE)</f>
        <v>animal</v>
      </c>
      <c r="N264" s="7" t="str">
        <f>VLOOKUP(B264,[1]characters!$A:$G,7,FALSE)</f>
        <v>不明</v>
      </c>
      <c r="O264" s="47">
        <f ca="1">IFERROR(VLOOKUP(B264,input_356100!L:R,7,FALSE),VLOOKUP(tables_356100!C264,input_356100!A:H,8,FALSE))</f>
        <v>6931.2</v>
      </c>
      <c r="P264" s="48">
        <f t="shared" ca="1" si="11"/>
        <v>4.6769230769230768E-3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input_356100!A$2</f>
        <v>356100</v>
      </c>
      <c r="B265" s="62">
        <v>779</v>
      </c>
      <c r="C265" s="7" t="str">
        <f t="shared" si="12"/>
        <v>Premium5</v>
      </c>
      <c r="D265" s="7" t="str">
        <f t="shared" si="13"/>
        <v>Premium</v>
      </c>
      <c r="E265" s="7" t="str">
        <f>IF(COUNTIF('R6追加前'!A:A,B265)=0,IF(I265="PremiumSS","R5only","R3less"),"")</f>
        <v/>
      </c>
      <c r="F265" s="7" t="str">
        <f>IF(COUNTIF('R6開放'!A:A,B265)&gt;0,"R6release","")</f>
        <v/>
      </c>
      <c r="G265" s="7"/>
      <c r="H265" s="7" t="str">
        <f>VLOOKUP(B265,[1]characters!$A:$C,3,FALSE)</f>
        <v>頑堅咬亀 ガメック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yellow</v>
      </c>
      <c r="L265" s="7" t="str">
        <f>VLOOKUP(B265,[1]characters!$A:$K,11,FALSE)</f>
        <v>hp</v>
      </c>
      <c r="M265" s="7" t="str">
        <f>VLOOKUP(B265,[1]characters!$A:$M,13,FALSE)</f>
        <v>animal</v>
      </c>
      <c r="N265" s="7" t="str">
        <f>VLOOKUP(B265,[1]characters!$A:$G,7,FALSE)</f>
        <v>不明</v>
      </c>
      <c r="O265" s="47">
        <f ca="1">IFERROR(VLOOKUP(B265,input_356100!L:R,7,FALSE),VLOOKUP(tables_356100!C265,input_356100!A:H,8,FALSE))</f>
        <v>364.8</v>
      </c>
      <c r="P265" s="48">
        <f t="shared" ca="1" si="11"/>
        <v>2.4615384615384614E-4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input_356100!A$2</f>
        <v>356100</v>
      </c>
      <c r="B266" s="62">
        <v>728</v>
      </c>
      <c r="C266" s="7" t="str">
        <f t="shared" si="12"/>
        <v>Premium4R3lesscolor</v>
      </c>
      <c r="D266" s="7" t="str">
        <f t="shared" si="13"/>
        <v>Premium</v>
      </c>
      <c r="E266" s="7" t="str">
        <f>IF(COUNTIF('R6追加前'!A:A,B266)=0,IF(I266="PremiumSS","R5only","R3less"),"")</f>
        <v>R3less</v>
      </c>
      <c r="F266" s="7" t="str">
        <f>IF(COUNTIF('R6開放'!A:A,B266)&gt;0,"R6release","")</f>
        <v/>
      </c>
      <c r="G266" s="7" t="s">
        <v>240</v>
      </c>
      <c r="H266" s="7" t="str">
        <f>VLOOKUP(B266,[1]characters!$A:$C,3,FALSE)</f>
        <v>井伊直虎</v>
      </c>
      <c r="I266" s="7" t="str">
        <f>VLOOKUP(B266,[1]characters!$A:$J,10,FALSE)</f>
        <v>PremiumS</v>
      </c>
      <c r="J266" s="7">
        <f>VLOOKUP(B266,[1]characters!$A:$I,9,FALSE)</f>
        <v>4</v>
      </c>
      <c r="K266" s="7" t="str">
        <f>VLOOKUP(B266,[1]characters!$A:$H,8,FALSE)</f>
        <v>red</v>
      </c>
      <c r="L266" s="7" t="str">
        <f>VLOOKUP(B266,[1]characters!$A:$K,11,FALSE)</f>
        <v>balance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47">
        <f ca="1">IFERROR(VLOOKUP(B266,input_356100!L:R,7,FALSE),VLOOKUP(tables_356100!C266,input_356100!A:H,8,FALSE))</f>
        <v>24817.8</v>
      </c>
      <c r="P266" s="48">
        <f t="shared" ca="1" si="11"/>
        <v>1.6746153846153845E-2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input_356100!A$2</f>
        <v>356100</v>
      </c>
      <c r="B267" s="62">
        <v>729</v>
      </c>
      <c r="C267" s="7" t="str">
        <f t="shared" si="12"/>
        <v>Premium5R3lesscolor</v>
      </c>
      <c r="D267" s="7" t="str">
        <f t="shared" si="13"/>
        <v>Premium</v>
      </c>
      <c r="E267" s="7" t="str">
        <f>IF(COUNTIF('R6追加前'!A:A,B267)=0,IF(I267="PremiumSS","R5only","R3less"),"")</f>
        <v>R3less</v>
      </c>
      <c r="F267" s="7" t="str">
        <f>IF(COUNTIF('R6開放'!A:A,B267)&gt;0,"R6release","")</f>
        <v/>
      </c>
      <c r="G267" s="7" t="s">
        <v>240</v>
      </c>
      <c r="H267" s="7" t="str">
        <f>VLOOKUP(B267,[1]characters!$A:$C,3,FALSE)</f>
        <v>暗厄の双刀 井伊直虎</v>
      </c>
      <c r="I267" s="7" t="str">
        <f>VLOOKUP(B267,[1]characters!$A:$J,10,FALSE)</f>
        <v>PremiumS</v>
      </c>
      <c r="J267" s="7">
        <f>VLOOKUP(B267,[1]characters!$A:$I,9,FALSE)</f>
        <v>5</v>
      </c>
      <c r="K267" s="7" t="str">
        <f>VLOOKUP(B267,[1]characters!$A:$H,8,FALSE)</f>
        <v>red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女性</v>
      </c>
      <c r="O267" s="47">
        <f ca="1">IFERROR(VLOOKUP(B267,input_356100!L:R,7,FALSE),VLOOKUP(tables_356100!C267,input_356100!A:H,8,FALSE))</f>
        <v>4366.2</v>
      </c>
      <c r="P267" s="48">
        <f t="shared" ca="1" si="11"/>
        <v>2.9461538461538462E-3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input_356100!A$2</f>
        <v>356100</v>
      </c>
      <c r="B268" s="62">
        <v>730</v>
      </c>
      <c r="C268" s="7" t="str">
        <f t="shared" si="12"/>
        <v>Premium4R3lesscolor</v>
      </c>
      <c r="D268" s="7" t="str">
        <f t="shared" si="13"/>
        <v>Premium</v>
      </c>
      <c r="E268" s="7" t="str">
        <f>IF(COUNTIF('R6追加前'!A:A,B268)=0,IF(I268="PremiumSS","R5only","R3less"),"")</f>
        <v>R3less</v>
      </c>
      <c r="F268" s="7" t="str">
        <f>IF(COUNTIF('R6開放'!A:A,B268)&gt;0,"R6release","")</f>
        <v/>
      </c>
      <c r="G268" s="7" t="s">
        <v>240</v>
      </c>
      <c r="H268" s="7" t="str">
        <f>VLOOKUP(B268,[1]characters!$A:$C,3,FALSE)</f>
        <v>ガラシャ</v>
      </c>
      <c r="I268" s="7" t="str">
        <f>VLOOKUP(B268,[1]characters!$A:$J,10,FALSE)</f>
        <v>PremiumS</v>
      </c>
      <c r="J268" s="7">
        <f>VLOOKUP(B268,[1]characters!$A:$I,9,FALSE)</f>
        <v>4</v>
      </c>
      <c r="K268" s="7" t="str">
        <f>VLOOKUP(B268,[1]characters!$A:$H,8,FALSE)</f>
        <v>green</v>
      </c>
      <c r="L268" s="7" t="str">
        <f>VLOOKUP(B268,[1]characters!$A:$K,11,FALSE)</f>
        <v>heal</v>
      </c>
      <c r="M268" s="7" t="str">
        <f>VLOOKUP(B268,[1]characters!$A:$M,13,FALSE)</f>
        <v>human</v>
      </c>
      <c r="N268" s="7" t="str">
        <f>VLOOKUP(B268,[1]characters!$A:$G,7,FALSE)</f>
        <v>女性</v>
      </c>
      <c r="O268" s="47">
        <f ca="1">IFERROR(VLOOKUP(B268,input_356100!L:R,7,FALSE),VLOOKUP(tables_356100!C268,input_356100!A:H,8,FALSE))</f>
        <v>24817.8</v>
      </c>
      <c r="P268" s="48">
        <f t="shared" ca="1" si="11"/>
        <v>1.6746153846153845E-2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input_356100!A$2</f>
        <v>356100</v>
      </c>
      <c r="B269" s="62">
        <v>731</v>
      </c>
      <c r="C269" s="7" t="str">
        <f t="shared" si="12"/>
        <v>Premium5R3lesscolor</v>
      </c>
      <c r="D269" s="7" t="str">
        <f t="shared" si="13"/>
        <v>Premium</v>
      </c>
      <c r="E269" s="7" t="str">
        <f>IF(COUNTIF('R6追加前'!A:A,B269)=0,IF(I269="PremiumSS","R5only","R3less"),"")</f>
        <v>R3less</v>
      </c>
      <c r="F269" s="7" t="str">
        <f>IF(COUNTIF('R6開放'!A:A,B269)&gt;0,"R6release","")</f>
        <v/>
      </c>
      <c r="G269" s="7" t="s">
        <v>240</v>
      </c>
      <c r="H269" s="7" t="str">
        <f>VLOOKUP(B269,[1]characters!$A:$C,3,FALSE)</f>
        <v>敬虔なる追銃 ガラシャ</v>
      </c>
      <c r="I269" s="7" t="str">
        <f>VLOOKUP(B269,[1]characters!$A:$J,10,FALSE)</f>
        <v>PremiumS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heal</v>
      </c>
      <c r="M269" s="7" t="str">
        <f>VLOOKUP(B269,[1]characters!$A:$M,13,FALSE)</f>
        <v>human</v>
      </c>
      <c r="N269" s="7" t="str">
        <f>VLOOKUP(B269,[1]characters!$A:$G,7,FALSE)</f>
        <v>女性</v>
      </c>
      <c r="O269" s="47">
        <f ca="1">IFERROR(VLOOKUP(B269,input_356100!L:R,7,FALSE),VLOOKUP(tables_356100!C269,input_356100!A:H,8,FALSE))</f>
        <v>4366.2</v>
      </c>
      <c r="P269" s="48">
        <f t="shared" ca="1" si="11"/>
        <v>2.9461538461538462E-3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input_356100!A$2</f>
        <v>356100</v>
      </c>
      <c r="B270" s="62">
        <v>732</v>
      </c>
      <c r="C270" s="7" t="str">
        <f t="shared" si="12"/>
        <v>PremiumSS5R5only</v>
      </c>
      <c r="D270" s="7" t="str">
        <f t="shared" si="13"/>
        <v>PremiumSS</v>
      </c>
      <c r="E270" s="7" t="str">
        <f>IF(COUNTIF('R6追加前'!A:A,B270)=0,IF(I270="PremiumSS","R5only","R3less"),"")</f>
        <v>R5only</v>
      </c>
      <c r="F270" s="7" t="str">
        <f>IF(COUNTIF('R6開放'!A:A,B270)&gt;0,"R6release","")</f>
        <v/>
      </c>
      <c r="G270" s="7"/>
      <c r="H270" s="7" t="str">
        <f>VLOOKUP(B270,[1]characters!$A:$C,3,FALSE)</f>
        <v>上杉謙信</v>
      </c>
      <c r="I270" s="7" t="str">
        <f>VLOOKUP(B270,[1]characters!$A:$J,10,FALSE)</f>
        <v>PremiumSS</v>
      </c>
      <c r="J270" s="7">
        <f>VLOOKUP(B270,[1]characters!$A:$I,9,FALSE)</f>
        <v>5</v>
      </c>
      <c r="K270" s="7" t="str">
        <f>VLOOKUP(B270,[1]characters!$A:$H,8,FALSE)</f>
        <v>blue</v>
      </c>
      <c r="L270" s="7" t="str">
        <f>VLOOKUP(B270,[1]characters!$A:$K,11,FALSE)</f>
        <v>attack</v>
      </c>
      <c r="M270" s="7" t="str">
        <f>VLOOKUP(B270,[1]characters!$A:$M,13,FALSE)</f>
        <v>human</v>
      </c>
      <c r="N270" s="7" t="str">
        <f>VLOOKUP(B270,[1]characters!$A:$G,7,FALSE)</f>
        <v>女性</v>
      </c>
      <c r="O270" s="47">
        <f ca="1">IFERROR(VLOOKUP(B270,input_356100!L:R,7,FALSE),VLOOKUP(tables_356100!C270,input_356100!A:H,8,FALSE))</f>
        <v>468</v>
      </c>
      <c r="P270" s="48">
        <f t="shared" ca="1" si="11"/>
        <v>3.1578947368421053E-4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input_356100!A$2</f>
        <v>356100</v>
      </c>
      <c r="B271" s="62">
        <v>734</v>
      </c>
      <c r="C271" s="7" t="str">
        <f t="shared" si="12"/>
        <v>PremiumSS5R5only</v>
      </c>
      <c r="D271" s="7" t="str">
        <f t="shared" si="13"/>
        <v>PremiumSS</v>
      </c>
      <c r="E271" s="7" t="str">
        <f>IF(COUNTIF('R6追加前'!A:A,B271)=0,IF(I271="PremiumSS","R5only","R3less"),"")</f>
        <v>R5only</v>
      </c>
      <c r="F271" s="7" t="str">
        <f>IF(COUNTIF('R6開放'!A:A,B271)&gt;0,"R6release","")</f>
        <v/>
      </c>
      <c r="G271" s="7"/>
      <c r="H271" s="7" t="str">
        <f>VLOOKUP(B271,[1]characters!$A:$C,3,FALSE)</f>
        <v>伊達政宗</v>
      </c>
      <c r="I271" s="7" t="str">
        <f>VLOOKUP(B271,[1]characters!$A:$J,10,FALSE)</f>
        <v>PremiumSS</v>
      </c>
      <c r="J271" s="7">
        <f>VLOOKUP(B271,[1]characters!$A:$I,9,FALSE)</f>
        <v>5</v>
      </c>
      <c r="K271" s="7" t="str">
        <f>VLOOKUP(B271,[1]characters!$A:$H,8,FALSE)</f>
        <v>yellow</v>
      </c>
      <c r="L271" s="7" t="str">
        <f>VLOOKUP(B271,[1]characters!$A:$K,11,FALSE)</f>
        <v>balance</v>
      </c>
      <c r="M271" s="7" t="str">
        <f>VLOOKUP(B271,[1]characters!$A:$M,13,FALSE)</f>
        <v>human</v>
      </c>
      <c r="N271" s="7" t="str">
        <f>VLOOKUP(B271,[1]characters!$A:$G,7,FALSE)</f>
        <v>男性</v>
      </c>
      <c r="O271" s="47">
        <f ca="1">IFERROR(VLOOKUP(B271,input_356100!L:R,7,FALSE),VLOOKUP(tables_356100!C271,input_356100!A:H,8,FALSE))</f>
        <v>468</v>
      </c>
      <c r="P271" s="48">
        <f t="shared" ref="P271:P285" ca="1" si="14">O271/SUM(O:O)</f>
        <v>3.1578947368421053E-4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input_356100!A$2</f>
        <v>356100</v>
      </c>
      <c r="B272" s="82">
        <v>848</v>
      </c>
      <c r="C272" s="7" t="str">
        <f t="shared" si="12"/>
        <v>PremiumSS5R5onlycolor</v>
      </c>
      <c r="D272" s="7" t="str">
        <f t="shared" si="13"/>
        <v>PremiumSS</v>
      </c>
      <c r="E272" s="7" t="str">
        <f>IF(COUNTIF('R6追加前'!A:A,B272)=0,IF(I272="PremiumSS","R5only","R3less"),"")</f>
        <v>R5only</v>
      </c>
      <c r="F272" s="7" t="str">
        <f>IF(COUNTIF('R6開放'!A:A,B272)&gt;0,"R6release","")</f>
        <v/>
      </c>
      <c r="G272" s="7" t="s">
        <v>240</v>
      </c>
      <c r="H272" s="7" t="str">
        <f>VLOOKUP(B272,[1]characters!$A:$C,3,FALSE)</f>
        <v>メタトロン</v>
      </c>
      <c r="I272" s="7" t="str">
        <f>VLOOKUP(B272,[1]characters!$A:$J,10,FALSE)</f>
        <v>PremiumSS</v>
      </c>
      <c r="J272" s="7">
        <f>VLOOKUP(B272,[1]characters!$A:$I,9,FALSE)</f>
        <v>5</v>
      </c>
      <c r="K272" s="7" t="str">
        <f>VLOOKUP(B272,[1]characters!$A:$H,8,FALSE)</f>
        <v>red</v>
      </c>
      <c r="L272" s="7" t="str">
        <f>VLOOKUP(B272,[1]characters!$A:$K,11,FALSE)</f>
        <v>balance</v>
      </c>
      <c r="M272" s="7" t="str">
        <f>VLOOKUP(B272,[1]characters!$A:$M,13,FALSE)</f>
        <v>god</v>
      </c>
      <c r="N272" s="7" t="str">
        <f>VLOOKUP(B272,[1]characters!$A:$G,7,FALSE)</f>
        <v>男性</v>
      </c>
      <c r="O272" s="47">
        <f ca="1">IFERROR(VLOOKUP(B272,input_356100!L:R,7,FALSE),VLOOKUP(tables_356100!C272,input_356100!A:H,8,FALSE))</f>
        <v>1872</v>
      </c>
      <c r="P272" s="48">
        <f t="shared" ca="1" si="14"/>
        <v>1.2631578947368421E-3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input_356100!A$2</f>
        <v>356100</v>
      </c>
      <c r="B273" s="82">
        <v>850</v>
      </c>
      <c r="C273" s="7" t="str">
        <f t="shared" si="12"/>
        <v>PremiumSS5R5onlycolor</v>
      </c>
      <c r="D273" s="7" t="str">
        <f t="shared" si="13"/>
        <v>PremiumSS</v>
      </c>
      <c r="E273" s="7" t="str">
        <f>IF(COUNTIF('R6追加前'!A:A,B273)=0,IF(I273="PremiumSS","R5only","R3less"),"")</f>
        <v>R5only</v>
      </c>
      <c r="F273" s="7" t="str">
        <f>IF(COUNTIF('R6開放'!A:A,B273)&gt;0,"R6release","")</f>
        <v/>
      </c>
      <c r="G273" s="7" t="s">
        <v>240</v>
      </c>
      <c r="H273" s="7" t="str">
        <f>VLOOKUP(B273,[1]characters!$A:$C,3,FALSE)</f>
        <v>バアル</v>
      </c>
      <c r="I273" s="7" t="str">
        <f>VLOOKUP(B273,[1]characters!$A:$J,10,FALSE)</f>
        <v>PremiumSS</v>
      </c>
      <c r="J273" s="7">
        <f>VLOOKUP(B273,[1]characters!$A:$I,9,FALSE)</f>
        <v>5</v>
      </c>
      <c r="K273" s="7" t="str">
        <f>VLOOKUP(B273,[1]characters!$A:$H,8,FALSE)</f>
        <v>green</v>
      </c>
      <c r="L273" s="7" t="str">
        <f>VLOOKUP(B273,[1]characters!$A:$K,11,FALSE)</f>
        <v>technical</v>
      </c>
      <c r="M273" s="7" t="str">
        <f>VLOOKUP(B273,[1]characters!$A:$M,13,FALSE)</f>
        <v>god</v>
      </c>
      <c r="N273" s="7" t="str">
        <f>VLOOKUP(B273,[1]characters!$A:$G,7,FALSE)</f>
        <v>男性</v>
      </c>
      <c r="O273" s="47">
        <f ca="1">IFERROR(VLOOKUP(B273,input_356100!L:R,7,FALSE),VLOOKUP(tables_356100!C273,input_356100!A:H,8,FALSE))</f>
        <v>1872</v>
      </c>
      <c r="P273" s="48">
        <f t="shared" ca="1" si="14"/>
        <v>1.2631578947368421E-3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input_356100!A$2</f>
        <v>356100</v>
      </c>
      <c r="B274" s="82">
        <v>852</v>
      </c>
      <c r="C274" s="7" t="str">
        <f t="shared" si="12"/>
        <v>Premium4R3less</v>
      </c>
      <c r="D274" s="7" t="str">
        <f t="shared" si="13"/>
        <v>Premium</v>
      </c>
      <c r="E274" s="7" t="str">
        <f>IF(COUNTIF('R6追加前'!A:A,B274)=0,IF(I274="PremiumSS","R5only","R3less"),"")</f>
        <v>R3less</v>
      </c>
      <c r="F274" s="7" t="str">
        <f>IF(COUNTIF('R6開放'!A:A,B274)&gt;0,"R6release","")</f>
        <v/>
      </c>
      <c r="G274" s="7"/>
      <c r="H274" s="7" t="str">
        <f>VLOOKUP(B274,[1]characters!$A:$C,3,FALSE)</f>
        <v>サキエル</v>
      </c>
      <c r="I274" s="7" t="str">
        <f>VLOOKUP(B274,[1]characters!$A:$J,10,FALSE)</f>
        <v>PremiumS</v>
      </c>
      <c r="J274" s="7">
        <f>VLOOKUP(B274,[1]characters!$A:$I,9,FALSE)</f>
        <v>4</v>
      </c>
      <c r="K274" s="7" t="str">
        <f>VLOOKUP(B274,[1]characters!$A:$H,8,FALSE)</f>
        <v>blue</v>
      </c>
      <c r="L274" s="7" t="str">
        <f>VLOOKUP(B274,[1]characters!$A:$K,11,FALSE)</f>
        <v>hp</v>
      </c>
      <c r="M274" s="7" t="str">
        <f>VLOOKUP(B274,[1]characters!$A:$M,13,FALSE)</f>
        <v>god</v>
      </c>
      <c r="N274" s="7" t="str">
        <f>VLOOKUP(B274,[1]characters!$A:$G,7,FALSE)</f>
        <v>男性</v>
      </c>
      <c r="O274" s="47">
        <f ca="1">IFERROR(VLOOKUP(B274,input_356100!L:R,7,FALSE),VLOOKUP(tables_356100!C274,input_356100!A:H,8,FALSE))</f>
        <v>5922.3</v>
      </c>
      <c r="P274" s="48">
        <f t="shared" ca="1" si="14"/>
        <v>3.9961538461538463E-3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input_356100!A$2</f>
        <v>356100</v>
      </c>
      <c r="B275" s="82">
        <v>853</v>
      </c>
      <c r="C275" s="7" t="str">
        <f t="shared" si="12"/>
        <v>Premium5R3less</v>
      </c>
      <c r="D275" s="7" t="str">
        <f t="shared" si="13"/>
        <v>Premium</v>
      </c>
      <c r="E275" s="7" t="str">
        <f>IF(COUNTIF('R6追加前'!A:A,B275)=0,IF(I275="PremiumSS","R5only","R3less"),"")</f>
        <v>R3less</v>
      </c>
      <c r="F275" s="7" t="str">
        <f>IF(COUNTIF('R6開放'!A:A,B275)&gt;0,"R6release","")</f>
        <v/>
      </c>
      <c r="G275" s="7"/>
      <c r="H275" s="7" t="str">
        <f>VLOOKUP(B275,[1]characters!$A:$C,3,FALSE)</f>
        <v>裂爪の天使 サキエル・ティア</v>
      </c>
      <c r="I275" s="7" t="str">
        <f>VLOOKUP(B275,[1]characters!$A:$J,10,FALSE)</f>
        <v>PremiumS</v>
      </c>
      <c r="J275" s="7">
        <f>VLOOKUP(B275,[1]characters!$A:$I,9,FALSE)</f>
        <v>5</v>
      </c>
      <c r="K275" s="7" t="str">
        <f>VLOOKUP(B275,[1]characters!$A:$H,8,FALSE)</f>
        <v>blue</v>
      </c>
      <c r="L275" s="7" t="str">
        <f>VLOOKUP(B275,[1]characters!$A:$K,11,FALSE)</f>
        <v>hp</v>
      </c>
      <c r="M275" s="7" t="str">
        <f>VLOOKUP(B275,[1]characters!$A:$M,13,FALSE)</f>
        <v>god</v>
      </c>
      <c r="N275" s="7" t="str">
        <f>VLOOKUP(B275,[1]characters!$A:$G,7,FALSE)</f>
        <v>男性</v>
      </c>
      <c r="O275" s="47">
        <f ca="1">IFERROR(VLOOKUP(B275,input_356100!L:R,7,FALSE),VLOOKUP(tables_356100!C275,input_356100!A:H,8,FALSE))</f>
        <v>1373.7</v>
      </c>
      <c r="P275" s="48">
        <f t="shared" ca="1" si="14"/>
        <v>9.2692307692307692E-4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input_356100!A$2</f>
        <v>356100</v>
      </c>
      <c r="B276" s="82">
        <v>854</v>
      </c>
      <c r="C276" s="7" t="str">
        <f t="shared" si="12"/>
        <v>Premium4R3less</v>
      </c>
      <c r="D276" s="7" t="str">
        <f t="shared" si="13"/>
        <v>Premium</v>
      </c>
      <c r="E276" s="7" t="str">
        <f>IF(COUNTIF('R6追加前'!A:A,B276)=0,IF(I276="PremiumSS","R5only","R3less"),"")</f>
        <v>R3less</v>
      </c>
      <c r="F276" s="7" t="str">
        <f>IF(COUNTIF('R6開放'!A:A,B276)&gt;0,"R6release","")</f>
        <v/>
      </c>
      <c r="G276" s="7"/>
      <c r="H276" s="7" t="str">
        <f>VLOOKUP(B276,[1]characters!$A:$C,3,FALSE)</f>
        <v>フラウロス</v>
      </c>
      <c r="I276" s="7" t="str">
        <f>VLOOKUP(B276,[1]characters!$A:$J,10,FALSE)</f>
        <v>PremiumS</v>
      </c>
      <c r="J276" s="7">
        <f>VLOOKUP(B276,[1]characters!$A:$I,9,FALSE)</f>
        <v>4</v>
      </c>
      <c r="K276" s="7" t="str">
        <f>VLOOKUP(B276,[1]characters!$A:$H,8,FALSE)</f>
        <v>yellow</v>
      </c>
      <c r="L276" s="7" t="str">
        <f>VLOOKUP(B276,[1]characters!$A:$K,11,FALSE)</f>
        <v>attack</v>
      </c>
      <c r="M276" s="7" t="str">
        <f>VLOOKUP(B276,[1]characters!$A:$M,13,FALSE)</f>
        <v>animal</v>
      </c>
      <c r="N276" s="7" t="str">
        <f>VLOOKUP(B276,[1]characters!$A:$G,7,FALSE)</f>
        <v>男性</v>
      </c>
      <c r="O276" s="47">
        <f ca="1">IFERROR(VLOOKUP(B276,input_356100!L:R,7,FALSE),VLOOKUP(tables_356100!C276,input_356100!A:H,8,FALSE))</f>
        <v>5922.3</v>
      </c>
      <c r="P276" s="48">
        <f t="shared" ca="1" si="14"/>
        <v>3.9961538461538463E-3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input_356100!A$2</f>
        <v>356100</v>
      </c>
      <c r="B277" s="82">
        <v>855</v>
      </c>
      <c r="C277" s="7" t="str">
        <f t="shared" si="12"/>
        <v>Premium5R3less</v>
      </c>
      <c r="D277" s="7" t="str">
        <f t="shared" si="13"/>
        <v>Premium</v>
      </c>
      <c r="E277" s="7" t="str">
        <f>IF(COUNTIF('R6追加前'!A:A,B277)=0,IF(I277="PremiumSS","R5only","R3less"),"")</f>
        <v>R3less</v>
      </c>
      <c r="F277" s="7" t="str">
        <f>IF(COUNTIF('R6開放'!A:A,B277)&gt;0,"R6release","")</f>
        <v/>
      </c>
      <c r="G277" s="7"/>
      <c r="H277" s="7" t="str">
        <f>VLOOKUP(B277,[1]characters!$A:$C,3,FALSE)</f>
        <v>豹魔の侠客 フラウロス</v>
      </c>
      <c r="I277" s="7" t="str">
        <f>VLOOKUP(B277,[1]characters!$A:$J,10,FALSE)</f>
        <v>PremiumS</v>
      </c>
      <c r="J277" s="7">
        <f>VLOOKUP(B277,[1]characters!$A:$I,9,FALSE)</f>
        <v>5</v>
      </c>
      <c r="K277" s="7" t="str">
        <f>VLOOKUP(B277,[1]characters!$A:$H,8,FALSE)</f>
        <v>yellow</v>
      </c>
      <c r="L277" s="7" t="str">
        <f>VLOOKUP(B277,[1]characters!$A:$K,11,FALSE)</f>
        <v>attack</v>
      </c>
      <c r="M277" s="7" t="str">
        <f>VLOOKUP(B277,[1]characters!$A:$M,13,FALSE)</f>
        <v>animal</v>
      </c>
      <c r="N277" s="7" t="str">
        <f>VLOOKUP(B277,[1]characters!$A:$G,7,FALSE)</f>
        <v>男性</v>
      </c>
      <c r="O277" s="47">
        <f ca="1">IFERROR(VLOOKUP(B277,input_356100!L:R,7,FALSE),VLOOKUP(tables_356100!C277,input_356100!A:H,8,FALSE))</f>
        <v>1373.7</v>
      </c>
      <c r="P277" s="48">
        <f t="shared" ca="1" si="14"/>
        <v>9.2692307692307692E-4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input_356100!A$2</f>
        <v>356100</v>
      </c>
      <c r="B278" s="82">
        <v>862</v>
      </c>
      <c r="C278" s="7" t="str">
        <f t="shared" si="12"/>
        <v>Premium4R3lesscolor</v>
      </c>
      <c r="D278" s="7" t="str">
        <f t="shared" si="13"/>
        <v>Premium</v>
      </c>
      <c r="E278" s="7" t="str">
        <f>IF(COUNTIF('R6追加前'!A:A,B278)=0,IF(I278="PremiumSS","R5only","R3less"),"")</f>
        <v>R3less</v>
      </c>
      <c r="F278" s="7" t="str">
        <f>IF(COUNTIF('R6開放'!A:A,B278)&gt;0,"R6release","")</f>
        <v/>
      </c>
      <c r="G278" s="7" t="s">
        <v>240</v>
      </c>
      <c r="H278" s="7" t="str">
        <f>VLOOKUP(B278,[1]characters!$A:$C,3,FALSE)</f>
        <v>ブレーメン</v>
      </c>
      <c r="I278" s="7" t="str">
        <f>VLOOKUP(B278,[1]characters!$A:$J,10,FALSE)</f>
        <v>PremiumS</v>
      </c>
      <c r="J278" s="7">
        <f>VLOOKUP(B278,[1]characters!$A:$I,9,FALSE)</f>
        <v>4</v>
      </c>
      <c r="K278" s="7" t="str">
        <f>VLOOKUP(B278,[1]characters!$A:$H,8,FALSE)</f>
        <v>red</v>
      </c>
      <c r="L278" s="7" t="str">
        <f>VLOOKUP(B278,[1]characters!$A:$K,11,FALSE)</f>
        <v>balance</v>
      </c>
      <c r="M278" s="7" t="str">
        <f>VLOOKUP(B278,[1]characters!$A:$M,13,FALSE)</f>
        <v>animal</v>
      </c>
      <c r="N278" s="7" t="str">
        <f>VLOOKUP(B278,[1]characters!$A:$G,7,FALSE)</f>
        <v>男性</v>
      </c>
      <c r="O278" s="47">
        <f ca="1">IFERROR(VLOOKUP(B278,input_356100!L:R,7,FALSE),VLOOKUP(tables_356100!C278,input_356100!A:H,8,FALSE))</f>
        <v>24817.8</v>
      </c>
      <c r="P278" s="48">
        <f t="shared" ca="1" si="14"/>
        <v>1.6746153846153845E-2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input_356100!A$2</f>
        <v>356100</v>
      </c>
      <c r="B279" s="82">
        <v>863</v>
      </c>
      <c r="C279" s="7" t="str">
        <f t="shared" si="12"/>
        <v>Premium5R3lesscolor</v>
      </c>
      <c r="D279" s="7" t="str">
        <f t="shared" si="13"/>
        <v>Premium</v>
      </c>
      <c r="E279" s="7" t="str">
        <f>IF(COUNTIF('R6追加前'!A:A,B279)=0,IF(I279="PremiumSS","R5only","R3less"),"")</f>
        <v>R3less</v>
      </c>
      <c r="F279" s="7" t="str">
        <f>IF(COUNTIF('R6開放'!A:A,B279)&gt;0,"R6release","")</f>
        <v/>
      </c>
      <c r="G279" s="7" t="s">
        <v>240</v>
      </c>
      <c r="H279" s="7" t="str">
        <f>VLOOKUP(B279,[1]characters!$A:$C,3,FALSE)</f>
        <v>歓揮の楽団長 ブレーメン</v>
      </c>
      <c r="I279" s="7" t="str">
        <f>VLOOKUP(B279,[1]characters!$A:$J,10,FALSE)</f>
        <v>PremiumS</v>
      </c>
      <c r="J279" s="7">
        <f>VLOOKUP(B279,[1]characters!$A:$I,9,FALSE)</f>
        <v>5</v>
      </c>
      <c r="K279" s="7" t="str">
        <f>VLOOKUP(B279,[1]characters!$A:$H,8,FALSE)</f>
        <v>red</v>
      </c>
      <c r="L279" s="7" t="str">
        <f>VLOOKUP(B279,[1]characters!$A:$K,11,FALSE)</f>
        <v>balance</v>
      </c>
      <c r="M279" s="7" t="str">
        <f>VLOOKUP(B279,[1]characters!$A:$M,13,FALSE)</f>
        <v>animal</v>
      </c>
      <c r="N279" s="7" t="str">
        <f>VLOOKUP(B279,[1]characters!$A:$G,7,FALSE)</f>
        <v>男性</v>
      </c>
      <c r="O279" s="47">
        <f ca="1">IFERROR(VLOOKUP(B279,input_356100!L:R,7,FALSE),VLOOKUP(tables_356100!C279,input_356100!A:H,8,FALSE))</f>
        <v>4366.2</v>
      </c>
      <c r="P279" s="48">
        <f t="shared" ca="1" si="14"/>
        <v>2.9461538461538462E-3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input_356100!A$2</f>
        <v>356100</v>
      </c>
      <c r="B280" s="82">
        <v>864</v>
      </c>
      <c r="C280" s="7" t="str">
        <f t="shared" si="12"/>
        <v>Premium4R3lesscolor</v>
      </c>
      <c r="D280" s="7" t="str">
        <f t="shared" si="13"/>
        <v>Premium</v>
      </c>
      <c r="E280" s="7" t="str">
        <f>IF(COUNTIF('R6追加前'!A:A,B280)=0,IF(I280="PremiumSS","R5only","R3less"),"")</f>
        <v>R3less</v>
      </c>
      <c r="F280" s="7" t="str">
        <f>IF(COUNTIF('R6開放'!A:A,B280)&gt;0,"R6release","")</f>
        <v/>
      </c>
      <c r="G280" s="7" t="s">
        <v>240</v>
      </c>
      <c r="H280" s="7" t="str">
        <f>VLOOKUP(B280,[1]characters!$A:$C,3,FALSE)</f>
        <v>ピノキオ</v>
      </c>
      <c r="I280" s="7" t="str">
        <f>VLOOKUP(B280,[1]characters!$A:$J,10,FALSE)</f>
        <v>PremiumS</v>
      </c>
      <c r="J280" s="7">
        <f>VLOOKUP(B280,[1]characters!$A:$I,9,FALSE)</f>
        <v>4</v>
      </c>
      <c r="K280" s="7" t="str">
        <f>VLOOKUP(B280,[1]characters!$A:$H,8,FALSE)</f>
        <v>green</v>
      </c>
      <c r="L280" s="7" t="str">
        <f>VLOOKUP(B280,[1]characters!$A:$K,11,FALSE)</f>
        <v>attack</v>
      </c>
      <c r="M280" s="7" t="str">
        <f>VLOOKUP(B280,[1]characters!$A:$M,13,FALSE)</f>
        <v>machine</v>
      </c>
      <c r="N280" s="7" t="str">
        <f>VLOOKUP(B280,[1]characters!$A:$G,7,FALSE)</f>
        <v>男性</v>
      </c>
      <c r="O280" s="47">
        <f ca="1">IFERROR(VLOOKUP(B280,input_356100!L:R,7,FALSE),VLOOKUP(tables_356100!C280,input_356100!A:H,8,FALSE))</f>
        <v>24817.8</v>
      </c>
      <c r="P280" s="48">
        <f t="shared" ca="1" si="14"/>
        <v>1.6746153846153845E-2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input_356100!A$2</f>
        <v>356100</v>
      </c>
      <c r="B281" s="82">
        <v>865</v>
      </c>
      <c r="C281" s="7" t="str">
        <f t="shared" si="12"/>
        <v>Premium5R3lesscolor</v>
      </c>
      <c r="D281" s="7" t="str">
        <f t="shared" si="13"/>
        <v>Premium</v>
      </c>
      <c r="E281" s="7" t="str">
        <f>IF(COUNTIF('R6追加前'!A:A,B281)=0,IF(I281="PremiumSS","R5only","R3less"),"")</f>
        <v>R3less</v>
      </c>
      <c r="F281" s="7" t="str">
        <f>IF(COUNTIF('R6開放'!A:A,B281)&gt;0,"R6release","")</f>
        <v/>
      </c>
      <c r="G281" s="7" t="s">
        <v>240</v>
      </c>
      <c r="H281" s="7" t="str">
        <f>VLOOKUP(B281,[1]characters!$A:$C,3,FALSE)</f>
        <v>無情の感線 ピノキオ</v>
      </c>
      <c r="I281" s="7" t="str">
        <f>VLOOKUP(B281,[1]characters!$A:$J,10,FALSE)</f>
        <v>PremiumS</v>
      </c>
      <c r="J281" s="7">
        <f>VLOOKUP(B281,[1]characters!$A:$I,9,FALSE)</f>
        <v>5</v>
      </c>
      <c r="K281" s="7" t="str">
        <f>VLOOKUP(B281,[1]characters!$A:$H,8,FALSE)</f>
        <v>green</v>
      </c>
      <c r="L281" s="7" t="str">
        <f>VLOOKUP(B281,[1]characters!$A:$K,11,FALSE)</f>
        <v>attack</v>
      </c>
      <c r="M281" s="7" t="str">
        <f>VLOOKUP(B281,[1]characters!$A:$M,13,FALSE)</f>
        <v>machine</v>
      </c>
      <c r="N281" s="7" t="str">
        <f>VLOOKUP(B281,[1]characters!$A:$G,7,FALSE)</f>
        <v>男性</v>
      </c>
      <c r="O281" s="47">
        <f ca="1">IFERROR(VLOOKUP(B281,input_356100!L:R,7,FALSE),VLOOKUP(tables_356100!C281,input_356100!A:H,8,FALSE))</f>
        <v>4366.2</v>
      </c>
      <c r="P281" s="48">
        <f t="shared" ca="1" si="14"/>
        <v>2.9461538461538462E-3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input_356100!A$2</f>
        <v>356100</v>
      </c>
      <c r="B282" s="82">
        <v>866</v>
      </c>
      <c r="C282" s="7" t="str">
        <f t="shared" si="12"/>
        <v>PremiumSS5R5only</v>
      </c>
      <c r="D282" s="7" t="str">
        <f t="shared" si="13"/>
        <v>PremiumSS</v>
      </c>
      <c r="E282" s="7" t="str">
        <f>IF(COUNTIF('R6追加前'!A:A,B282)=0,IF(I282="PremiumSS","R5only","R3less"),"")</f>
        <v>R5only</v>
      </c>
      <c r="F282" s="7" t="str">
        <f>IF(COUNTIF('R6開放'!A:A,B282)&gt;0,"R6release","")</f>
        <v/>
      </c>
      <c r="G282" s="7"/>
      <c r="H282" s="7" t="str">
        <f>VLOOKUP(B282,[1]characters!$A:$C,3,FALSE)</f>
        <v>無敗の司令姫 白雪姫</v>
      </c>
      <c r="I282" s="7" t="str">
        <f>VLOOKUP(B282,[1]characters!$A:$J,10,FALSE)</f>
        <v>PremiumSS</v>
      </c>
      <c r="J282" s="7">
        <f>VLOOKUP(B282,[1]characters!$A:$I,9,FALSE)</f>
        <v>5</v>
      </c>
      <c r="K282" s="7" t="str">
        <f>VLOOKUP(B282,[1]characters!$A:$H,8,FALSE)</f>
        <v>blue</v>
      </c>
      <c r="L282" s="7" t="str">
        <f>VLOOKUP(B282,[1]characters!$A:$K,11,FALSE)</f>
        <v>balance</v>
      </c>
      <c r="M282" s="7" t="str">
        <f>VLOOKUP(B282,[1]characters!$A:$M,13,FALSE)</f>
        <v>human</v>
      </c>
      <c r="N282" s="7" t="str">
        <f>VLOOKUP(B282,[1]characters!$A:$G,7,FALSE)</f>
        <v>男性</v>
      </c>
      <c r="O282" s="47">
        <f ca="1">IFERROR(VLOOKUP(B282,input_356100!L:R,7,FALSE),VLOOKUP(tables_356100!C282,input_356100!A:H,8,FALSE))</f>
        <v>468</v>
      </c>
      <c r="P282" s="48">
        <f t="shared" ca="1" si="14"/>
        <v>3.1578947368421053E-4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input_356100!A$2</f>
        <v>356100</v>
      </c>
      <c r="B283" s="82">
        <v>868</v>
      </c>
      <c r="C283" s="7" t="str">
        <f t="shared" si="12"/>
        <v>PremiumSS5R5only</v>
      </c>
      <c r="D283" s="7" t="str">
        <f t="shared" si="13"/>
        <v>PremiumSS</v>
      </c>
      <c r="E283" s="7" t="str">
        <f>IF(COUNTIF('R6追加前'!A:A,B283)=0,IF(I283="PremiumSS","R5only","R3less"),"")</f>
        <v>R5only</v>
      </c>
      <c r="F283" s="7" t="str">
        <f>IF(COUNTIF('R6開放'!A:A,B283)&gt;0,"R6release","")</f>
        <v/>
      </c>
      <c r="G283" s="7"/>
      <c r="H283" s="7" t="str">
        <f>VLOOKUP(B283,[1]characters!$A:$C,3,FALSE)</f>
        <v>アラジンと殲滅機兵LAMP</v>
      </c>
      <c r="I283" s="7" t="str">
        <f>VLOOKUP(B283,[1]characters!$A:$J,10,FALSE)</f>
        <v>PremiumSS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human</v>
      </c>
      <c r="N283" s="7" t="str">
        <f>VLOOKUP(B283,[1]characters!$A:$G,7,FALSE)</f>
        <v>男性</v>
      </c>
      <c r="O283" s="47">
        <f ca="1">IFERROR(VLOOKUP(B283,input_356100!L:R,7,FALSE),VLOOKUP(tables_356100!C283,input_356100!A:H,8,FALSE))</f>
        <v>468</v>
      </c>
      <c r="P283" s="48">
        <f t="shared" ca="1" si="14"/>
        <v>3.1578947368421053E-4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input_356100!A$2</f>
        <v>356100</v>
      </c>
      <c r="B284" s="82">
        <v>486</v>
      </c>
      <c r="C284" s="7" t="str">
        <f t="shared" si="12"/>
        <v>PremiumSSS5R3lesscolor</v>
      </c>
      <c r="D284" s="7" t="str">
        <f t="shared" si="13"/>
        <v>PremiumSSS</v>
      </c>
      <c r="E284" s="7" t="str">
        <f>IF(COUNTIF('R6追加前'!A:A,B284)=0,IF(I284="PremiumSS","R5only","R3less"),"")</f>
        <v>R3less</v>
      </c>
      <c r="F284" s="7" t="str">
        <f>IF(COUNTIF('R6開放'!A:A,B284)&gt;0,"R6release","")</f>
        <v/>
      </c>
      <c r="G284" s="7" t="s">
        <v>240</v>
      </c>
      <c r="H284" s="7" t="str">
        <f>VLOOKUP(B284,[1]characters!$A:$C,3,FALSE)</f>
        <v>重なる世解 シュレディンガー</v>
      </c>
      <c r="I284" s="7" t="str">
        <f>VLOOKUP(B284,[1]characters!$A:$J,10,FALSE)</f>
        <v>PremiumSSS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balance</v>
      </c>
      <c r="M284" s="7" t="str">
        <f>VLOOKUP(B284,[1]characters!$A:$M,13,FALSE)</f>
        <v>animal</v>
      </c>
      <c r="N284" s="7" t="str">
        <f>VLOOKUP(B284,[1]characters!$A:$G,7,FALSE)</f>
        <v>男性</v>
      </c>
      <c r="O284" s="47">
        <f ca="1">IFERROR(VLOOKUP(B284,input_356100!L:R,7,FALSE),VLOOKUP(tables_356100!C284,input_356100!A:H,8,FALSE))</f>
        <v>7410</v>
      </c>
      <c r="P284" s="48">
        <f t="shared" ca="1" si="14"/>
        <v>5.0000000000000001E-3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input_356100!A$2</f>
        <v>356100</v>
      </c>
      <c r="B285" s="82">
        <v>487</v>
      </c>
      <c r="C285" s="7" t="str">
        <f t="shared" si="12"/>
        <v>PremiumSSS5R3lesscolor</v>
      </c>
      <c r="D285" s="7" t="str">
        <f t="shared" si="13"/>
        <v>PremiumSSS</v>
      </c>
      <c r="E285" s="7" t="str">
        <f>IF(COUNTIF('R6追加前'!A:A,B285)=0,IF(I285="PremiumSS","R5only","R3less"),"")</f>
        <v>R3less</v>
      </c>
      <c r="F285" s="7" t="str">
        <f>IF(COUNTIF('R6開放'!A:A,B285)&gt;0,"R6release","")</f>
        <v/>
      </c>
      <c r="G285" s="7" t="s">
        <v>240</v>
      </c>
      <c r="H285" s="7" t="str">
        <f>VLOOKUP(B285,[1]characters!$A:$C,3,FALSE)</f>
        <v>暴創の造物 チューリング</v>
      </c>
      <c r="I285" s="7" t="str">
        <f>VLOOKUP(B285,[1]characters!$A:$J,10,FALSE)</f>
        <v>PremiumSSS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hp</v>
      </c>
      <c r="M285" s="7" t="str">
        <f>VLOOKUP(B285,[1]characters!$A:$M,13,FALSE)</f>
        <v>human</v>
      </c>
      <c r="N285" s="7" t="str">
        <f>VLOOKUP(B285,[1]characters!$A:$G,7,FALSE)</f>
        <v>女性</v>
      </c>
      <c r="O285" s="47">
        <f ca="1">IFERROR(VLOOKUP(B285,input_356100!L:R,7,FALSE),VLOOKUP(tables_356100!C285,input_356100!A:H,8,FALSE))</f>
        <v>7410</v>
      </c>
      <c r="P285" s="48">
        <f t="shared" ca="1" si="14"/>
        <v>5.0000000000000001E-3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</sheetData>
  <autoFilter ref="A1:V285"/>
  <phoneticPr fontId="17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5" enableFormatConditionsCalculation="0">
    <tabColor rgb="FF0000FF"/>
    <outlinePr summaryBelow="0" summaryRight="0"/>
  </sheetPr>
  <dimension ref="A1:V51"/>
  <sheetViews>
    <sheetView showGridLines="0" zoomScale="75" zoomScaleNormal="75" zoomScalePageLayoutView="75" workbookViewId="0">
      <pane ySplit="1" topLeftCell="A28" activePane="bottomLeft" state="frozen"/>
      <selection activeCell="J293" sqref="J293"/>
      <selection pane="bottomLeft" activeCell="B52" sqref="B52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88</v>
      </c>
      <c r="B1" s="15" t="s">
        <v>1</v>
      </c>
      <c r="C1" s="3" t="s">
        <v>31</v>
      </c>
      <c r="D1" s="3" t="s">
        <v>100</v>
      </c>
      <c r="E1" s="3" t="s">
        <v>196</v>
      </c>
      <c r="F1" s="3" t="s">
        <v>197</v>
      </c>
      <c r="G1" s="3" t="s">
        <v>108</v>
      </c>
      <c r="H1" s="3" t="s">
        <v>33</v>
      </c>
      <c r="I1" s="3" t="s">
        <v>34</v>
      </c>
      <c r="J1" s="3" t="s">
        <v>35</v>
      </c>
      <c r="K1" s="3" t="s">
        <v>53</v>
      </c>
      <c r="L1" s="3" t="s">
        <v>36</v>
      </c>
      <c r="M1" s="3" t="s">
        <v>37</v>
      </c>
      <c r="N1" s="3" t="s">
        <v>61</v>
      </c>
      <c r="O1" s="15" t="s">
        <v>2</v>
      </c>
      <c r="P1" s="3" t="s">
        <v>66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85" t="s">
        <v>224</v>
      </c>
      <c r="B2" s="6">
        <v>168</v>
      </c>
      <c r="C2" s="7" t="str">
        <f t="shared" ref="C2:C5" si="0">D2&amp;J2&amp;E2&amp;F2&amp;G2</f>
        <v>Premium5R6release</v>
      </c>
      <c r="D2" s="7" t="str">
        <f t="shared" ref="D2:D5" si="1">IF(I2="PremiumSS",I2,IF(I2="PremiumSSS",I2,IF(I2="PremiumW",I2,"Premium")))</f>
        <v>Premium</v>
      </c>
      <c r="E2" s="7" t="str">
        <f>IF(COUNTIF('R6追加前'!A:A,B2)=0,IF(I2="PremiumSS","R5only","R3less"),"")</f>
        <v/>
      </c>
      <c r="F2" s="7" t="str">
        <f>IF(COUNTIF('R6開放'!A:A,B2)&gt;0,"R6release","")</f>
        <v>R6release</v>
      </c>
      <c r="G2" s="7"/>
      <c r="H2" s="7" t="str">
        <f>VLOOKUP(B2,[1]characters!$A:$C,3,FALSE)</f>
        <v>猛進の大逆者 ベリアル</v>
      </c>
      <c r="I2" s="7" t="str">
        <f>VLOOKUP(B2,[1]characters!$A:$J,10,FALSE)</f>
        <v>PremiumN</v>
      </c>
      <c r="J2" s="7">
        <f>VLOOKUP(B2,[1]characters!$A:$I,9,FALSE)</f>
        <v>5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god</v>
      </c>
      <c r="N2" s="7" t="str">
        <f>VLOOKUP(B2,[1]characters!$A:$G,7,FALSE)</f>
        <v>男性</v>
      </c>
      <c r="O2" s="47">
        <f>ROUND(1000000*0.03/(COUNTIF(D:D,"PremiumSS")+COUNTIF(F:F,"R6release")),0)</f>
        <v>1579</v>
      </c>
      <c r="P2" s="48">
        <f t="shared" ref="P2:P33" si="2">O2/SUM(O:O)</f>
        <v>1.5790189482273787E-3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85" t="s">
        <v>224</v>
      </c>
      <c r="B3" s="6">
        <v>171</v>
      </c>
      <c r="C3" s="7" t="str">
        <f t="shared" si="0"/>
        <v>Premium5R6release</v>
      </c>
      <c r="D3" s="7" t="str">
        <f t="shared" si="1"/>
        <v>Premium</v>
      </c>
      <c r="E3" s="7" t="str">
        <f>IF(COUNTIF('R6追加前'!A:A,B3)=0,IF(I3="PremiumSS","R5only","R3less"),"")</f>
        <v/>
      </c>
      <c r="F3" s="7" t="str">
        <f>IF(COUNTIF('R6開放'!A:A,B3)&gt;0,"R6release","")</f>
        <v>R6release</v>
      </c>
      <c r="G3" s="7"/>
      <c r="H3" s="7" t="str">
        <f>VLOOKUP(B3,[1]characters!$A:$C,3,FALSE)</f>
        <v>精解の預知者 オセ</v>
      </c>
      <c r="I3" s="7" t="str">
        <f>VLOOKUP(B3,[1]characters!$A:$J,10,FALSE)</f>
        <v>PremiumN</v>
      </c>
      <c r="J3" s="7">
        <f>VLOOKUP(B3,[1]characters!$A:$I,9,FALSE)</f>
        <v>5</v>
      </c>
      <c r="K3" s="7" t="str">
        <f>VLOOKUP(B3,[1]characters!$A:$H,8,FALSE)</f>
        <v>green</v>
      </c>
      <c r="L3" s="7" t="str">
        <f>VLOOKUP(B3,[1]characters!$A:$K,11,FALSE)</f>
        <v>attack</v>
      </c>
      <c r="M3" s="7" t="str">
        <f>VLOOKUP(B3,[1]characters!$A:$M,13,FALSE)</f>
        <v>god</v>
      </c>
      <c r="N3" s="7" t="str">
        <f>VLOOKUP(B3,[1]characters!$A:$G,7,FALSE)</f>
        <v>女性</v>
      </c>
      <c r="O3" s="47">
        <f>ROUND(1000000*0.03/(COUNTIF(D:D,"PremiumSS")+COUNTIF(F:F,"R6release")),0)</f>
        <v>1579</v>
      </c>
      <c r="P3" s="48">
        <f t="shared" si="2"/>
        <v>1.5790189482273787E-3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85" t="s">
        <v>224</v>
      </c>
      <c r="B4" s="6">
        <v>180</v>
      </c>
      <c r="C4" s="7" t="str">
        <f t="shared" si="0"/>
        <v>Premium5</v>
      </c>
      <c r="D4" s="7" t="str">
        <f t="shared" si="1"/>
        <v>Premium</v>
      </c>
      <c r="E4" s="7" t="str">
        <f>IF(COUNTIF('R6追加前'!A:A,B4)=0,IF(I4="PremiumSS","R5only","R3less"),"")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地獄の大門番 ケルベロス</v>
      </c>
      <c r="I4" s="7" t="str">
        <f>VLOOKUP(B4,[1]characters!$A:$J,10,FALSE)</f>
        <v>PremiumN</v>
      </c>
      <c r="J4" s="7">
        <f>VLOOKUP(B4,[1]characters!$A:$I,9,FALSE)</f>
        <v>5</v>
      </c>
      <c r="K4" s="7" t="str">
        <f>VLOOKUP(B4,[1]characters!$A:$H,8,FALSE)</f>
        <v>red</v>
      </c>
      <c r="L4" s="7" t="str">
        <f>VLOOKUP(B4,[1]characters!$A:$K,11,FALSE)</f>
        <v>balance</v>
      </c>
      <c r="M4" s="7" t="str">
        <f>VLOOKUP(B4,[1]characters!$A:$M,13,FALSE)</f>
        <v>animal</v>
      </c>
      <c r="N4" s="7" t="str">
        <f>VLOOKUP(B4,[1]characters!$A:$G,7,FALSE)</f>
        <v>女性</v>
      </c>
      <c r="O4" s="47">
        <f>ROUND(1000000*0.96/(COUNTA(A$2:A$51)-COUNTIF(D:D,"PremiumSS")-COUNTIF(F:F,"R6release")-COUNTIF(D:D,"PremiumSSS")),0)</f>
        <v>33103</v>
      </c>
      <c r="P4" s="48">
        <f t="shared" si="2"/>
        <v>3.3103397240766892E-2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85" t="s">
        <v>224</v>
      </c>
      <c r="B5" s="6">
        <v>183</v>
      </c>
      <c r="C5" s="7" t="str">
        <f t="shared" si="0"/>
        <v>Premium5</v>
      </c>
      <c r="D5" s="7" t="str">
        <f t="shared" si="1"/>
        <v>Premium</v>
      </c>
      <c r="E5" s="7" t="str">
        <f>IF(COUNTIF('R6追加前'!A:A,B5)=0,IF(I5="PremiumSS","R5only","R3less"),"")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鈍重な彷徨者 ベヒモス</v>
      </c>
      <c r="I5" s="7" t="str">
        <f>VLOOKUP(B5,[1]characters!$A:$J,10,FALSE)</f>
        <v>PremiumN</v>
      </c>
      <c r="J5" s="7">
        <f>VLOOKUP(B5,[1]characters!$A:$I,9,FALSE)</f>
        <v>5</v>
      </c>
      <c r="K5" s="7" t="str">
        <f>VLOOKUP(B5,[1]characters!$A:$H,8,FALSE)</f>
        <v>green</v>
      </c>
      <c r="L5" s="7" t="str">
        <f>VLOOKUP(B5,[1]characters!$A:$K,11,FALSE)</f>
        <v>hp</v>
      </c>
      <c r="M5" s="7" t="str">
        <f>VLOOKUP(B5,[1]characters!$A:$M,13,FALSE)</f>
        <v>animal</v>
      </c>
      <c r="N5" s="7" t="str">
        <f>VLOOKUP(B5,[1]characters!$A:$G,7,FALSE)</f>
        <v>女性</v>
      </c>
      <c r="O5" s="47">
        <f t="shared" ref="O5:O17" si="3">ROUND(1000000*0.96/(COUNTA(A$2:A$51)-COUNTIF(D:D,"PremiumSS")-COUNTIF(F:F,"R6release")-COUNTIF(D:D,"PremiumSSS")),0)</f>
        <v>33103</v>
      </c>
      <c r="P5" s="48">
        <f t="shared" si="2"/>
        <v>3.3103397240766892E-2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85" t="s">
        <v>224</v>
      </c>
      <c r="B6" s="6">
        <v>192</v>
      </c>
      <c r="C6" s="7" t="str">
        <f t="shared" ref="C6:C16" si="4">D6&amp;J6&amp;E6&amp;F6&amp;G6</f>
        <v>Premium5</v>
      </c>
      <c r="D6" s="7" t="str">
        <f t="shared" ref="D6:D16" si="5">IF(I6="PremiumSS",I6,IF(I6="PremiumSSS",I6,IF(I6="PremiumW",I6,"Premium")))</f>
        <v>Premium</v>
      </c>
      <c r="E6" s="7" t="str">
        <f>IF(COUNTIF('R6追加前'!A:A,B6)=0,IF(I6="PremiumSS","R5only","R3less"),"")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荘厳なる始祖帝 卑弥呼</v>
      </c>
      <c r="I6" s="7" t="str">
        <f>VLOOKUP(B6,[1]characters!$A:$J,10,FALSE)</f>
        <v>PremiumN</v>
      </c>
      <c r="J6" s="7">
        <f>VLOOKUP(B6,[1]characters!$A:$I,9,FALSE)</f>
        <v>5</v>
      </c>
      <c r="K6" s="7" t="str">
        <f>VLOOKUP(B6,[1]characters!$A:$H,8,FALSE)</f>
        <v>red</v>
      </c>
      <c r="L6" s="7" t="str">
        <f>VLOOKUP(B6,[1]characters!$A:$K,11,FALSE)</f>
        <v>balance</v>
      </c>
      <c r="M6" s="7" t="str">
        <f>VLOOKUP(B6,[1]characters!$A:$M,13,FALSE)</f>
        <v>human</v>
      </c>
      <c r="N6" s="7" t="str">
        <f>VLOOKUP(B6,[1]characters!$A:$G,7,FALSE)</f>
        <v>女性</v>
      </c>
      <c r="O6" s="47">
        <f t="shared" si="3"/>
        <v>33103</v>
      </c>
      <c r="P6" s="48">
        <f t="shared" si="2"/>
        <v>3.3103397240766892E-2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85" t="s">
        <v>224</v>
      </c>
      <c r="B7" s="6">
        <v>195</v>
      </c>
      <c r="C7" s="7" t="str">
        <f t="shared" si="4"/>
        <v>Premium5</v>
      </c>
      <c r="D7" s="7" t="str">
        <f t="shared" si="5"/>
        <v>Premium</v>
      </c>
      <c r="E7" s="7" t="str">
        <f>IF(COUNTIF('R6追加前'!A:A,B7)=0,IF(I7="PremiumSS","R5only","R3less"),"")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グランドハンター ロビンフッド</v>
      </c>
      <c r="I7" s="7" t="str">
        <f>VLOOKUP(B7,[1]characters!$A:$J,10,FALSE)</f>
        <v>PremiumN</v>
      </c>
      <c r="J7" s="7">
        <f>VLOOKUP(B7,[1]characters!$A:$I,9,FALSE)</f>
        <v>5</v>
      </c>
      <c r="K7" s="7" t="str">
        <f>VLOOKUP(B7,[1]characters!$A:$H,8,FALSE)</f>
        <v>green</v>
      </c>
      <c r="L7" s="7" t="str">
        <f>VLOOKUP(B7,[1]characters!$A:$K,11,FALSE)</f>
        <v>balance</v>
      </c>
      <c r="M7" s="7" t="str">
        <f>VLOOKUP(B7,[1]characters!$A:$M,13,FALSE)</f>
        <v>human</v>
      </c>
      <c r="N7" s="7" t="str">
        <f>VLOOKUP(B7,[1]characters!$A:$G,7,FALSE)</f>
        <v>女性</v>
      </c>
      <c r="O7" s="47">
        <f t="shared" si="3"/>
        <v>33103</v>
      </c>
      <c r="P7" s="48">
        <f t="shared" si="2"/>
        <v>3.3103397240766892E-2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85" t="s">
        <v>224</v>
      </c>
      <c r="B8" s="5">
        <v>204</v>
      </c>
      <c r="C8" s="7" t="str">
        <f t="shared" si="4"/>
        <v>Premium5</v>
      </c>
      <c r="D8" s="7" t="str">
        <f t="shared" si="5"/>
        <v>Premium</v>
      </c>
      <c r="E8" s="7" t="str">
        <f>IF(COUNTIF('R6追加前'!A:A,B8)=0,IF(I8="PremiumSS","R5only","R3less"),"")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慟哭の巨焔 プロメテウス</v>
      </c>
      <c r="I8" s="7" t="str">
        <f>VLOOKUP(B8,[1]characters!$A:$J,10,FALSE)</f>
        <v>PremiumN</v>
      </c>
      <c r="J8" s="7">
        <f>VLOOKUP(B8,[1]characters!$A:$I,9,FALSE)</f>
        <v>5</v>
      </c>
      <c r="K8" s="7" t="str">
        <f>VLOOKUP(B8,[1]characters!$A:$H,8,FALSE)</f>
        <v>red</v>
      </c>
      <c r="L8" s="7" t="str">
        <f>VLOOKUP(B8,[1]characters!$A:$K,11,FALSE)</f>
        <v>hp</v>
      </c>
      <c r="M8" s="7" t="str">
        <f>VLOOKUP(B8,[1]characters!$A:$M,13,FALSE)</f>
        <v>god</v>
      </c>
      <c r="N8" s="7" t="str">
        <f>VLOOKUP(B8,[1]characters!$A:$G,7,FALSE)</f>
        <v>男性</v>
      </c>
      <c r="O8" s="47">
        <f t="shared" si="3"/>
        <v>33103</v>
      </c>
      <c r="P8" s="48">
        <f t="shared" si="2"/>
        <v>3.3103397240766892E-2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85" t="s">
        <v>224</v>
      </c>
      <c r="B9" s="5">
        <v>207</v>
      </c>
      <c r="C9" s="7" t="str">
        <f t="shared" si="4"/>
        <v>Premium5</v>
      </c>
      <c r="D9" s="7" t="str">
        <f t="shared" si="5"/>
        <v>Premium</v>
      </c>
      <c r="E9" s="7" t="str">
        <f>IF(COUNTIF('R6追加前'!A:A,B9)=0,IF(I9="PremiumSS","R5only","R3less"),"")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豊穣の麗神・アフロディーテ</v>
      </c>
      <c r="I9" s="7" t="str">
        <f>VLOOKUP(B9,[1]characters!$A:$J,10,FALSE)</f>
        <v>PremiumN</v>
      </c>
      <c r="J9" s="7">
        <f>VLOOKUP(B9,[1]characters!$A:$I,9,FALSE)</f>
        <v>5</v>
      </c>
      <c r="K9" s="7" t="str">
        <f>VLOOKUP(B9,[1]characters!$A:$H,8,FALSE)</f>
        <v>green</v>
      </c>
      <c r="L9" s="7" t="str">
        <f>VLOOKUP(B9,[1]characters!$A:$K,11,FALSE)</f>
        <v>hp</v>
      </c>
      <c r="M9" s="7" t="str">
        <f>VLOOKUP(B9,[1]characters!$A:$M,13,FALSE)</f>
        <v>god</v>
      </c>
      <c r="N9" s="7" t="str">
        <f>VLOOKUP(B9,[1]characters!$A:$G,7,FALSE)</f>
        <v>女性</v>
      </c>
      <c r="O9" s="47">
        <f t="shared" si="3"/>
        <v>33103</v>
      </c>
      <c r="P9" s="48">
        <f t="shared" si="2"/>
        <v>3.3103397240766892E-2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85" t="s">
        <v>224</v>
      </c>
      <c r="B10" s="5">
        <v>216</v>
      </c>
      <c r="C10" s="7" t="str">
        <f t="shared" si="4"/>
        <v>Premium5</v>
      </c>
      <c r="D10" s="7" t="str">
        <f t="shared" si="5"/>
        <v>Premium</v>
      </c>
      <c r="E10" s="7" t="str">
        <f>IF(COUNTIF('R6追加前'!A:A,B10)=0,IF(I10="PremiumSS","R5only","R3less"),"")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百読の死導司書 アズラエル</v>
      </c>
      <c r="I10" s="7" t="str">
        <f>VLOOKUP(B10,[1]characters!$A:$J,10,FALSE)</f>
        <v>PremiumN</v>
      </c>
      <c r="J10" s="7">
        <f>VLOOKUP(B10,[1]characters!$A:$I,9,FALSE)</f>
        <v>5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god</v>
      </c>
      <c r="N10" s="7" t="str">
        <f>VLOOKUP(B10,[1]characters!$A:$G,7,FALSE)</f>
        <v>女性</v>
      </c>
      <c r="O10" s="47">
        <f t="shared" si="3"/>
        <v>33103</v>
      </c>
      <c r="P10" s="48">
        <f t="shared" si="2"/>
        <v>3.3103397240766892E-2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85" t="s">
        <v>224</v>
      </c>
      <c r="B11" s="5">
        <v>219</v>
      </c>
      <c r="C11" s="7" t="str">
        <f t="shared" si="4"/>
        <v>Premium5</v>
      </c>
      <c r="D11" s="7" t="str">
        <f t="shared" si="5"/>
        <v>Premium</v>
      </c>
      <c r="E11" s="7" t="str">
        <f>IF(COUNTIF('R6追加前'!A:A,B11)=0,IF(I11="PremiumSS","R5only","R3less"),"")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覇翼の聖蛇竜 ケツァクアトル</v>
      </c>
      <c r="I11" s="7" t="str">
        <f>VLOOKUP(B11,[1]characters!$A:$J,10,FALSE)</f>
        <v>PremiumN</v>
      </c>
      <c r="J11" s="7">
        <f>VLOOKUP(B11,[1]characters!$A:$I,9,FALSE)</f>
        <v>5</v>
      </c>
      <c r="K11" s="7" t="str">
        <f>VLOOKUP(B11,[1]characters!$A:$H,8,FALSE)</f>
        <v>green</v>
      </c>
      <c r="L11" s="7" t="str">
        <f>VLOOKUP(B11,[1]characters!$A:$K,11,FALSE)</f>
        <v>hp</v>
      </c>
      <c r="M11" s="7" t="str">
        <f>VLOOKUP(B11,[1]characters!$A:$M,13,FALSE)</f>
        <v>dragon</v>
      </c>
      <c r="N11" s="7" t="str">
        <f>VLOOKUP(B11,[1]characters!$A:$G,7,FALSE)</f>
        <v>女性</v>
      </c>
      <c r="O11" s="47">
        <f t="shared" si="3"/>
        <v>33103</v>
      </c>
      <c r="P11" s="48">
        <f t="shared" si="2"/>
        <v>3.3103397240766892E-2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85" t="s">
        <v>224</v>
      </c>
      <c r="B12" s="5">
        <v>228</v>
      </c>
      <c r="C12" s="7" t="str">
        <f t="shared" si="4"/>
        <v>Premium5</v>
      </c>
      <c r="D12" s="7" t="str">
        <f t="shared" si="5"/>
        <v>Premium</v>
      </c>
      <c r="E12" s="7" t="str">
        <f>IF(COUNTIF('R6追加前'!A:A,B12)=0,IF(I12="PremiumSS","R5only","R3less"),"")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殲滅の掃射砲 アレス</v>
      </c>
      <c r="I12" s="7" t="str">
        <f>VLOOKUP(B12,[1]characters!$A:$J,10,FALSE)</f>
        <v>PremiumS</v>
      </c>
      <c r="J12" s="7">
        <f>VLOOKUP(B12,[1]characters!$A:$I,9,FALSE)</f>
        <v>5</v>
      </c>
      <c r="K12" s="7" t="str">
        <f>VLOOKUP(B12,[1]characters!$A:$H,8,FALSE)</f>
        <v>red</v>
      </c>
      <c r="L12" s="7" t="str">
        <f>VLOOKUP(B12,[1]characters!$A:$K,11,FALSE)</f>
        <v>attack</v>
      </c>
      <c r="M12" s="7" t="str">
        <f>VLOOKUP(B12,[1]characters!$A:$M,13,FALSE)</f>
        <v>god</v>
      </c>
      <c r="N12" s="7" t="str">
        <f>VLOOKUP(B12,[1]characters!$A:$G,7,FALSE)</f>
        <v>男性</v>
      </c>
      <c r="O12" s="47">
        <f t="shared" si="3"/>
        <v>33103</v>
      </c>
      <c r="P12" s="48">
        <f t="shared" si="2"/>
        <v>3.3103397240766892E-2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85" t="s">
        <v>224</v>
      </c>
      <c r="B13" s="5">
        <v>231</v>
      </c>
      <c r="C13" s="7" t="str">
        <f t="shared" si="4"/>
        <v>Premium5</v>
      </c>
      <c r="D13" s="7" t="str">
        <f t="shared" si="5"/>
        <v>Premium</v>
      </c>
      <c r="E13" s="7" t="str">
        <f>IF(COUNTIF('R6追加前'!A:A,B13)=0,IF(I13="PremiumSS","R5only","R3less"),"")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必中の咬銃 ヨルムンガンド</v>
      </c>
      <c r="I13" s="7" t="str">
        <f>VLOOKUP(B13,[1]characters!$A:$J,10,FALSE)</f>
        <v>PremiumS</v>
      </c>
      <c r="J13" s="7">
        <f>VLOOKUP(B13,[1]characters!$A:$I,9,FALSE)</f>
        <v>5</v>
      </c>
      <c r="K13" s="7" t="str">
        <f>VLOOKUP(B13,[1]characters!$A:$H,8,FALSE)</f>
        <v>green</v>
      </c>
      <c r="L13" s="7" t="str">
        <f>VLOOKUP(B13,[1]characters!$A:$K,11,FALSE)</f>
        <v>technical</v>
      </c>
      <c r="M13" s="7" t="str">
        <f>VLOOKUP(B13,[1]characters!$A:$M,13,FALSE)</f>
        <v>dragon</v>
      </c>
      <c r="N13" s="7" t="str">
        <f>VLOOKUP(B13,[1]characters!$A:$G,7,FALSE)</f>
        <v>女性</v>
      </c>
      <c r="O13" s="47">
        <f t="shared" si="3"/>
        <v>33103</v>
      </c>
      <c r="P13" s="48">
        <f t="shared" si="2"/>
        <v>3.3103397240766892E-2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85" t="s">
        <v>224</v>
      </c>
      <c r="B14" s="5">
        <v>240</v>
      </c>
      <c r="C14" s="7" t="str">
        <f t="shared" si="4"/>
        <v>Premium5</v>
      </c>
      <c r="D14" s="7" t="str">
        <f t="shared" si="5"/>
        <v>Premium</v>
      </c>
      <c r="E14" s="7" t="str">
        <f>IF(COUNTIF('R6追加前'!A:A,B14)=0,IF(I14="PremiumSS","R5only","R3less"),"")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轟炎の天使 ウリエル・スレイヤー</v>
      </c>
      <c r="I14" s="7" t="str">
        <f>VLOOKUP(B14,[1]characters!$A:$J,10,FALSE)</f>
        <v>PremiumS</v>
      </c>
      <c r="J14" s="7">
        <f>VLOOKUP(B14,[1]characters!$A:$I,9,FALSE)</f>
        <v>5</v>
      </c>
      <c r="K14" s="7" t="str">
        <f>VLOOKUP(B14,[1]characters!$A:$H,8,FALSE)</f>
        <v>red</v>
      </c>
      <c r="L14" s="7" t="str">
        <f>VLOOKUP(B14,[1]characters!$A:$K,11,FALSE)</f>
        <v>hp</v>
      </c>
      <c r="M14" s="7" t="str">
        <f>VLOOKUP(B14,[1]characters!$A:$M,13,FALSE)</f>
        <v>machine</v>
      </c>
      <c r="N14" s="7" t="str">
        <f>VLOOKUP(B14,[1]characters!$A:$G,7,FALSE)</f>
        <v>女性</v>
      </c>
      <c r="O14" s="47">
        <f t="shared" si="3"/>
        <v>33103</v>
      </c>
      <c r="P14" s="48">
        <f t="shared" si="2"/>
        <v>3.3103397240766892E-2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85" t="s">
        <v>224</v>
      </c>
      <c r="B15" s="5">
        <v>243</v>
      </c>
      <c r="C15" s="7" t="str">
        <f t="shared" si="4"/>
        <v>Premium5</v>
      </c>
      <c r="D15" s="7" t="str">
        <f t="shared" si="5"/>
        <v>Premium</v>
      </c>
      <c r="E15" s="7" t="str">
        <f>IF(COUNTIF('R6追加前'!A:A,B15)=0,IF(I15="PremiumSS","R5only","R3less"),"")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万花の天使 ガブリエル・ブルーム</v>
      </c>
      <c r="I15" s="7" t="str">
        <f>VLOOKUP(B15,[1]characters!$A:$J,10,FALSE)</f>
        <v>PremiumS</v>
      </c>
      <c r="J15" s="7">
        <f>VLOOKUP(B15,[1]characters!$A:$I,9,FALSE)</f>
        <v>5</v>
      </c>
      <c r="K15" s="7" t="str">
        <f>VLOOKUP(B15,[1]characters!$A:$H,8,FALSE)</f>
        <v>green</v>
      </c>
      <c r="L15" s="7" t="str">
        <f>VLOOKUP(B15,[1]characters!$A:$K,11,FALSE)</f>
        <v>balance</v>
      </c>
      <c r="M15" s="7" t="str">
        <f>VLOOKUP(B15,[1]characters!$A:$M,13,FALSE)</f>
        <v>machine</v>
      </c>
      <c r="N15" s="7" t="str">
        <f>VLOOKUP(B15,[1]characters!$A:$G,7,FALSE)</f>
        <v>女性</v>
      </c>
      <c r="O15" s="47">
        <f t="shared" si="3"/>
        <v>33103</v>
      </c>
      <c r="P15" s="48">
        <f t="shared" si="2"/>
        <v>3.3103397240766892E-2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85" t="s">
        <v>224</v>
      </c>
      <c r="B16" s="6">
        <v>252</v>
      </c>
      <c r="C16" s="7" t="str">
        <f t="shared" si="4"/>
        <v>Premium5</v>
      </c>
      <c r="D16" s="7" t="str">
        <f t="shared" si="5"/>
        <v>Premium</v>
      </c>
      <c r="E16" s="7" t="str">
        <f>IF(COUNTIF('R6追加前'!A:A,B16)=0,IF(I16="PremiumSS","R5only","R3less"),"")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強欲の沸騰 マンモン</v>
      </c>
      <c r="I16" s="7" t="str">
        <f>VLOOKUP(B16,[1]characters!$A:$J,10,FALSE)</f>
        <v>PremiumS</v>
      </c>
      <c r="J16" s="7">
        <f>VLOOKUP(B16,[1]characters!$A:$I,9,FALSE)</f>
        <v>5</v>
      </c>
      <c r="K16" s="7" t="str">
        <f>VLOOKUP(B16,[1]characters!$A:$H,8,FALSE)</f>
        <v>red</v>
      </c>
      <c r="L16" s="7" t="str">
        <f>VLOOKUP(B16,[1]characters!$A:$K,11,FALSE)</f>
        <v>balance</v>
      </c>
      <c r="M16" s="7" t="str">
        <f>VLOOKUP(B16,[1]characters!$A:$M,13,FALSE)</f>
        <v>god</v>
      </c>
      <c r="N16" s="7" t="str">
        <f>VLOOKUP(B16,[1]characters!$A:$G,7,FALSE)</f>
        <v>女性</v>
      </c>
      <c r="O16" s="47">
        <f t="shared" si="3"/>
        <v>33103</v>
      </c>
      <c r="P16" s="48">
        <f t="shared" si="2"/>
        <v>3.3103397240766892E-2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85" t="s">
        <v>224</v>
      </c>
      <c r="B17" s="6">
        <v>255</v>
      </c>
      <c r="C17" s="7" t="str">
        <f t="shared" ref="C17:C29" si="6">D17&amp;J17&amp;E17&amp;F17&amp;G17</f>
        <v>Premium5</v>
      </c>
      <c r="D17" s="7" t="str">
        <f t="shared" ref="D17:D29" si="7">IF(I17="PremiumSS",I17,IF(I17="PremiumSSS",I17,IF(I17="PremiumW",I17,"Premium")))</f>
        <v>Premium</v>
      </c>
      <c r="E17" s="7" t="str">
        <f>IF(COUNTIF('R6追加前'!A:A,B17)=0,IF(I17="PremiumSS","R5only","R3less"),"")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怠惰の頂点 ベルフェゴール</v>
      </c>
      <c r="I17" s="7" t="str">
        <f>VLOOKUP(B17,[1]characters!$A:$J,10,FALSE)</f>
        <v>PremiumS</v>
      </c>
      <c r="J17" s="7">
        <f>VLOOKUP(B17,[1]characters!$A:$I,9,FALSE)</f>
        <v>5</v>
      </c>
      <c r="K17" s="7" t="str">
        <f>VLOOKUP(B17,[1]characters!$A:$H,8,FALSE)</f>
        <v>green</v>
      </c>
      <c r="L17" s="7" t="str">
        <f>VLOOKUP(B17,[1]characters!$A:$K,11,FALSE)</f>
        <v>technical</v>
      </c>
      <c r="M17" s="7" t="str">
        <f>VLOOKUP(B17,[1]characters!$A:$M,13,FALSE)</f>
        <v>god</v>
      </c>
      <c r="N17" s="7" t="str">
        <f>VLOOKUP(B17,[1]characters!$A:$G,7,FALSE)</f>
        <v>女性</v>
      </c>
      <c r="O17" s="47">
        <f t="shared" si="3"/>
        <v>33103</v>
      </c>
      <c r="P17" s="48">
        <f t="shared" si="2"/>
        <v>3.3103397240766892E-2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85" t="s">
        <v>224</v>
      </c>
      <c r="B18" s="6">
        <v>321</v>
      </c>
      <c r="C18" s="7" t="str">
        <f t="shared" si="6"/>
        <v>PremiumSS5</v>
      </c>
      <c r="D18" s="7" t="str">
        <f t="shared" si="7"/>
        <v>PremiumSS</v>
      </c>
      <c r="E18" s="7" t="str">
        <f>IF(COUNTIF('R6追加前'!A:A,B18)=0,IF(I18="PremiumSS","R5only","R3less"),"")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巌鉄の烈志士 近藤勇</v>
      </c>
      <c r="I18" s="7" t="str">
        <f>VLOOKUP(B18,[1]characters!$A:$J,10,FALSE)</f>
        <v>PremiumSS</v>
      </c>
      <c r="J18" s="7">
        <f>VLOOKUP(B18,[1]characters!$A:$I,9,FALSE)</f>
        <v>5</v>
      </c>
      <c r="K18" s="7" t="str">
        <f>VLOOKUP(B18,[1]characters!$A:$H,8,FALSE)</f>
        <v>red</v>
      </c>
      <c r="L18" s="7" t="str">
        <f>VLOOKUP(B18,[1]characters!$A:$K,11,FALSE)</f>
        <v>hp</v>
      </c>
      <c r="M18" s="7" t="str">
        <f>VLOOKUP(B18,[1]characters!$A:$M,13,FALSE)</f>
        <v>human</v>
      </c>
      <c r="N18" s="7" t="str">
        <f>VLOOKUP(B18,[1]characters!$A:$G,7,FALSE)</f>
        <v>男性</v>
      </c>
      <c r="O18" s="47">
        <f t="shared" ref="O18:O19" si="8">ROUND(1000000*0.03/(COUNTIF(D:D,"PremiumSS")+COUNTIF(F:F,"R6release")),0)</f>
        <v>1579</v>
      </c>
      <c r="P18" s="48">
        <f t="shared" si="2"/>
        <v>1.5790189482273787E-3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ht="21" customHeight="1" x14ac:dyDescent="0.15">
      <c r="A19" s="85" t="s">
        <v>224</v>
      </c>
      <c r="B19" s="6">
        <v>323</v>
      </c>
      <c r="C19" s="7" t="str">
        <f t="shared" si="6"/>
        <v>PremiumSS5</v>
      </c>
      <c r="D19" s="7" t="str">
        <f t="shared" si="7"/>
        <v>PremiumSS</v>
      </c>
      <c r="E19" s="7" t="str">
        <f>IF(COUNTIF('R6追加前'!A:A,B19)=0,IF(I19="PremiumSS","R5only","R3less"),"")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流麗の愛志士 土方歳三</v>
      </c>
      <c r="I19" s="7" t="str">
        <f>VLOOKUP(B19,[1]characters!$A:$J,10,FALSE)</f>
        <v>PremiumSS</v>
      </c>
      <c r="J19" s="7">
        <f>VLOOKUP(B19,[1]characters!$A:$I,9,FALSE)</f>
        <v>5</v>
      </c>
      <c r="K19" s="7" t="str">
        <f>VLOOKUP(B19,[1]characters!$A:$H,8,FALSE)</f>
        <v>green</v>
      </c>
      <c r="L19" s="7" t="str">
        <f>VLOOKUP(B19,[1]characters!$A:$K,11,FALSE)</f>
        <v>attack</v>
      </c>
      <c r="M19" s="7" t="str">
        <f>VLOOKUP(B19,[1]characters!$A:$M,13,FALSE)</f>
        <v>human</v>
      </c>
      <c r="N19" s="7" t="str">
        <f>VLOOKUP(B19,[1]characters!$A:$G,7,FALSE)</f>
        <v>女性</v>
      </c>
      <c r="O19" s="47">
        <f t="shared" si="8"/>
        <v>1579</v>
      </c>
      <c r="P19" s="48">
        <f t="shared" si="2"/>
        <v>1.5790189482273787E-3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85" t="s">
        <v>224</v>
      </c>
      <c r="B20" s="6">
        <v>382</v>
      </c>
      <c r="C20" s="7" t="str">
        <f t="shared" si="6"/>
        <v>Premium5</v>
      </c>
      <c r="D20" s="7" t="str">
        <f t="shared" si="7"/>
        <v>Premium</v>
      </c>
      <c r="E20" s="7" t="str">
        <f>IF(COUNTIF('R6追加前'!A:A,B20)=0,IF(I20="PremiumSS","R5only","R3less"),"")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激情の愛炎 バハムート</v>
      </c>
      <c r="I20" s="7" t="str">
        <f>VLOOKUP(B20,[1]characters!$A:$J,10,FALSE)</f>
        <v>PremiumS</v>
      </c>
      <c r="J20" s="7">
        <f>VLOOKUP(B20,[1]characters!$A:$I,9,FALSE)</f>
        <v>5</v>
      </c>
      <c r="K20" s="7" t="str">
        <f>VLOOKUP(B20,[1]characters!$A:$H,8,FALSE)</f>
        <v>red</v>
      </c>
      <c r="L20" s="7" t="str">
        <f>VLOOKUP(B20,[1]characters!$A:$K,11,FALSE)</f>
        <v>technical</v>
      </c>
      <c r="M20" s="7" t="str">
        <f>VLOOKUP(B20,[1]characters!$A:$M,13,FALSE)</f>
        <v>dragon</v>
      </c>
      <c r="N20" s="7" t="str">
        <f>VLOOKUP(B20,[1]characters!$A:$G,7,FALSE)</f>
        <v>女性</v>
      </c>
      <c r="O20" s="47">
        <f>ROUND(1000000*0.96/(COUNTA(A$2:A$51)-COUNTIF(D:D,"PremiumSS")-COUNTIF(F:F,"R6release")-COUNTIF(D:D,"PremiumSSS")),0)</f>
        <v>33103</v>
      </c>
      <c r="P20" s="48">
        <f t="shared" si="2"/>
        <v>3.3103397240766892E-2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85" t="s">
        <v>224</v>
      </c>
      <c r="B21" s="6">
        <v>384</v>
      </c>
      <c r="C21" s="7" t="str">
        <f t="shared" si="6"/>
        <v>PremiumSS5</v>
      </c>
      <c r="D21" s="7" t="str">
        <f t="shared" si="7"/>
        <v>PremiumSS</v>
      </c>
      <c r="E21" s="7" t="str">
        <f>IF(COUNTIF('R6追加前'!A:A,B21)=0,IF(I21="PremiumSS","R5only","R3less"),"")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破国の呑龍 ヤマタノオロチ</v>
      </c>
      <c r="I21" s="7" t="str">
        <f>VLOOKUP(B21,[1]characters!$A:$J,10,FALSE)</f>
        <v>PremiumSS</v>
      </c>
      <c r="J21" s="7">
        <f>VLOOKUP(B21,[1]characters!$A:$I,9,FALSE)</f>
        <v>5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dragon</v>
      </c>
      <c r="N21" s="7" t="str">
        <f>VLOOKUP(B21,[1]characters!$A:$G,7,FALSE)</f>
        <v>女性</v>
      </c>
      <c r="O21" s="47">
        <f t="shared" ref="O21:O22" si="9">ROUND(1000000*0.03/(COUNTIF(D:D,"PremiumSS")+COUNTIF(F:F,"R6release")),0)</f>
        <v>1579</v>
      </c>
      <c r="P21" s="48">
        <f t="shared" si="2"/>
        <v>1.5790189482273787E-3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85" t="s">
        <v>224</v>
      </c>
      <c r="B22" s="6">
        <v>391</v>
      </c>
      <c r="C22" s="7" t="str">
        <f t="shared" si="6"/>
        <v>PremiumSS5</v>
      </c>
      <c r="D22" s="7" t="str">
        <f t="shared" si="7"/>
        <v>PremiumSS</v>
      </c>
      <c r="E22" s="7" t="str">
        <f>IF(COUNTIF('R6追加前'!A:A,B22)=0,IF(I22="PremiumSS","R5only","R3less"),"")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燕翼の旅人 親指姫</v>
      </c>
      <c r="I22" s="7" t="str">
        <f>VLOOKUP(B22,[1]characters!$A:$J,10,FALSE)</f>
        <v>PremiumSS</v>
      </c>
      <c r="J22" s="7">
        <f>VLOOKUP(B22,[1]characters!$A:$I,9,FALSE)</f>
        <v>5</v>
      </c>
      <c r="K22" s="7" t="str">
        <f>VLOOKUP(B22,[1]characters!$A:$H,8,FALSE)</f>
        <v>red</v>
      </c>
      <c r="L22" s="7" t="str">
        <f>VLOOKUP(B22,[1]characters!$A:$K,11,FALSE)</f>
        <v>heal</v>
      </c>
      <c r="M22" s="7" t="str">
        <f>VLOOKUP(B22,[1]characters!$A:$M,13,FALSE)</f>
        <v>human</v>
      </c>
      <c r="N22" s="7" t="str">
        <f>VLOOKUP(B22,[1]characters!$A:$G,7,FALSE)</f>
        <v>女性</v>
      </c>
      <c r="O22" s="47">
        <f t="shared" si="9"/>
        <v>1579</v>
      </c>
      <c r="P22" s="48">
        <f t="shared" si="2"/>
        <v>1.5790189482273787E-3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85" t="s">
        <v>224</v>
      </c>
      <c r="B23" s="6">
        <v>394</v>
      </c>
      <c r="C23" s="7" t="str">
        <f t="shared" si="6"/>
        <v>Premium5</v>
      </c>
      <c r="D23" s="7" t="str">
        <f t="shared" si="7"/>
        <v>Premium</v>
      </c>
      <c r="E23" s="7" t="str">
        <f>IF(COUNTIF('R6追加前'!A:A,B23)=0,IF(I23="PremiumSS","R5only","R3less"),"")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影求の悪童 ピーターパン</v>
      </c>
      <c r="I23" s="7" t="str">
        <f>VLOOKUP(B23,[1]characters!$A:$J,10,FALSE)</f>
        <v>PremiumS</v>
      </c>
      <c r="J23" s="7">
        <f>VLOOKUP(B23,[1]characters!$A:$I,9,FALSE)</f>
        <v>5</v>
      </c>
      <c r="K23" s="7" t="str">
        <f>VLOOKUP(B23,[1]characters!$A:$H,8,FALSE)</f>
        <v>green</v>
      </c>
      <c r="L23" s="7" t="str">
        <f>VLOOKUP(B23,[1]characters!$A:$K,11,FALSE)</f>
        <v>attack</v>
      </c>
      <c r="M23" s="7" t="str">
        <f>VLOOKUP(B23,[1]characters!$A:$M,13,FALSE)</f>
        <v>human</v>
      </c>
      <c r="N23" s="7" t="str">
        <f>VLOOKUP(B23,[1]characters!$A:$G,7,FALSE)</f>
        <v>男性</v>
      </c>
      <c r="O23" s="47">
        <f>ROUND(1000000*0.96/(COUNTA(A$2:A$51)-COUNTIF(D:D,"PremiumSS")-COUNTIF(F:F,"R6release")-COUNTIF(D:D,"PremiumSSS")),0)</f>
        <v>33103</v>
      </c>
      <c r="P23" s="48">
        <f t="shared" si="2"/>
        <v>3.3103397240766892E-2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85" t="s">
        <v>224</v>
      </c>
      <c r="B24" s="6">
        <v>402</v>
      </c>
      <c r="C24" s="7" t="str">
        <f t="shared" si="6"/>
        <v>Premium5</v>
      </c>
      <c r="D24" s="7" t="str">
        <f t="shared" si="7"/>
        <v>Premium</v>
      </c>
      <c r="E24" s="7" t="str">
        <f>IF(COUNTIF('R6追加前'!A:A,B24)=0,IF(I24="PremiumSS","R5only","R3less"),"")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天災の神狼 フェンリル</v>
      </c>
      <c r="I24" s="7" t="str">
        <f>VLOOKUP(B24,[1]characters!$A:$J,10,FALSE)</f>
        <v>PremiumS</v>
      </c>
      <c r="J24" s="7">
        <f>VLOOKUP(B24,[1]characters!$A:$I,9,FALSE)</f>
        <v>5</v>
      </c>
      <c r="K24" s="7" t="str">
        <f>VLOOKUP(B24,[1]characters!$A:$H,8,FALSE)</f>
        <v>red</v>
      </c>
      <c r="L24" s="7" t="str">
        <f>VLOOKUP(B24,[1]characters!$A:$K,11,FALSE)</f>
        <v>attack</v>
      </c>
      <c r="M24" s="7" t="str">
        <f>VLOOKUP(B24,[1]characters!$A:$M,13,FALSE)</f>
        <v>animal</v>
      </c>
      <c r="N24" s="7" t="str">
        <f>VLOOKUP(B24,[1]characters!$A:$G,7,FALSE)</f>
        <v>女性</v>
      </c>
      <c r="O24" s="47">
        <f>ROUND(1000000*0.96/(COUNTA(A$2:A$51)-COUNTIF(D:D,"PremiumSS")-COUNTIF(F:F,"R6release")-COUNTIF(D:D,"PremiumSSS")),0)</f>
        <v>33103</v>
      </c>
      <c r="P24" s="48">
        <f t="shared" si="2"/>
        <v>3.3103397240766892E-2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85" t="s">
        <v>224</v>
      </c>
      <c r="B25" s="6">
        <v>404</v>
      </c>
      <c r="C25" s="7" t="str">
        <f t="shared" si="6"/>
        <v>PremiumSS5</v>
      </c>
      <c r="D25" s="7" t="str">
        <f t="shared" si="7"/>
        <v>PremiumSS</v>
      </c>
      <c r="E25" s="7" t="str">
        <f>IF(COUNTIF('R6追加前'!A:A,B25)=0,IF(I25="PremiumSS","R5only","R3less"),"")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空襲の神眼 八咫烏</v>
      </c>
      <c r="I25" s="7" t="str">
        <f>VLOOKUP(B25,[1]characters!$A:$J,10,FALSE)</f>
        <v>PremiumSS</v>
      </c>
      <c r="J25" s="7">
        <f>VLOOKUP(B25,[1]characters!$A:$I,9,FALSE)</f>
        <v>5</v>
      </c>
      <c r="K25" s="7" t="str">
        <f>VLOOKUP(B25,[1]characters!$A:$H,8,FALSE)</f>
        <v>green</v>
      </c>
      <c r="L25" s="7" t="str">
        <f>VLOOKUP(B25,[1]characters!$A:$K,11,FALSE)</f>
        <v>balance</v>
      </c>
      <c r="M25" s="7" t="str">
        <f>VLOOKUP(B25,[1]characters!$A:$M,13,FALSE)</f>
        <v>animal</v>
      </c>
      <c r="N25" s="7" t="str">
        <f>VLOOKUP(B25,[1]characters!$A:$G,7,FALSE)</f>
        <v>女性</v>
      </c>
      <c r="O25" s="47">
        <f t="shared" ref="O25:O26" si="10">ROUND(1000000*0.03/(COUNTIF(D:D,"PremiumSS")+COUNTIF(F:F,"R6release")),0)</f>
        <v>1579</v>
      </c>
      <c r="P25" s="48">
        <f t="shared" si="2"/>
        <v>1.5790189482273787E-3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85" t="s">
        <v>224</v>
      </c>
      <c r="B26" s="6">
        <v>435</v>
      </c>
      <c r="C26" s="7" t="str">
        <f t="shared" si="6"/>
        <v>PremiumSS5</v>
      </c>
      <c r="D26" s="7" t="str">
        <f t="shared" si="7"/>
        <v>PremiumSS</v>
      </c>
      <c r="E26" s="7" t="str">
        <f>IF(COUNTIF('R6追加前'!A:A,B26)=0,IF(I26="PremiumSS","R5only","R3less"),"")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曝弾の密偵 D.R.T.H.</v>
      </c>
      <c r="I26" s="7" t="str">
        <f>VLOOKUP(B26,[1]characters!$A:$J,10,FALSE)</f>
        <v>PremiumSS</v>
      </c>
      <c r="J26" s="7">
        <f>VLOOKUP(B26,[1]characters!$A:$I,9,FALSE)</f>
        <v>5</v>
      </c>
      <c r="K26" s="7" t="str">
        <f>VLOOKUP(B26,[1]characters!$A:$H,8,FALSE)</f>
        <v>red</v>
      </c>
      <c r="L26" s="7" t="str">
        <f>VLOOKUP(B26,[1]characters!$A:$K,11,FALSE)</f>
        <v>balance</v>
      </c>
      <c r="M26" s="7" t="str">
        <f>VLOOKUP(B26,[1]characters!$A:$M,13,FALSE)</f>
        <v>human</v>
      </c>
      <c r="N26" s="7" t="str">
        <f>VLOOKUP(B26,[1]characters!$A:$G,7,FALSE)</f>
        <v>女性</v>
      </c>
      <c r="O26" s="47">
        <f t="shared" si="10"/>
        <v>1579</v>
      </c>
      <c r="P26" s="48">
        <f t="shared" si="2"/>
        <v>1.5790189482273787E-3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85" t="s">
        <v>224</v>
      </c>
      <c r="B27" s="6">
        <v>438</v>
      </c>
      <c r="C27" s="7" t="str">
        <f t="shared" si="6"/>
        <v>Premium5</v>
      </c>
      <c r="D27" s="7" t="str">
        <f t="shared" si="7"/>
        <v>Premium</v>
      </c>
      <c r="E27" s="7" t="str">
        <f>IF(COUNTIF('R6追加前'!A:A,B27)=0,IF(I27="PremiumSS","R5only","R3less"),"")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記憶の奪還 カカシ</v>
      </c>
      <c r="I27" s="7" t="str">
        <f>VLOOKUP(B27,[1]characters!$A:$J,10,FALSE)</f>
        <v>PremiumS</v>
      </c>
      <c r="J27" s="7">
        <f>VLOOKUP(B27,[1]characters!$A:$I,9,FALSE)</f>
        <v>5</v>
      </c>
      <c r="K27" s="7" t="str">
        <f>VLOOKUP(B27,[1]characters!$A:$H,8,FALSE)</f>
        <v>green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男性</v>
      </c>
      <c r="O27" s="47">
        <f>ROUND(1000000*0.96/(COUNTA(A$2:A$51)-COUNTIF(D:D,"PremiumSS")-COUNTIF(F:F,"R6release")-COUNTIF(D:D,"PremiumSSS")),0)</f>
        <v>33103</v>
      </c>
      <c r="P27" s="48">
        <f t="shared" si="2"/>
        <v>3.3103397240766892E-2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85" t="s">
        <v>224</v>
      </c>
      <c r="B28" s="8">
        <v>464</v>
      </c>
      <c r="C28" s="7" t="str">
        <f t="shared" si="6"/>
        <v>Premium5</v>
      </c>
      <c r="D28" s="7" t="str">
        <f t="shared" si="7"/>
        <v>Premium</v>
      </c>
      <c r="E28" s="7" t="str">
        <f>IF(COUNTIF('R6追加前'!A:A,B28)=0,IF(I28="PremiumSS","R5only","R3less"),"")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円熟の弾導 ガウェイン</v>
      </c>
      <c r="I28" s="7" t="str">
        <f>VLOOKUP(B28,[1]characters!$A:$J,10,FALSE)</f>
        <v>PremiumS</v>
      </c>
      <c r="J28" s="7">
        <f>VLOOKUP(B28,[1]characters!$A:$I,9,FALSE)</f>
        <v>5</v>
      </c>
      <c r="K28" s="7" t="str">
        <f>VLOOKUP(B28,[1]characters!$A:$H,8,FALSE)</f>
        <v>red</v>
      </c>
      <c r="L28" s="7" t="str">
        <f>VLOOKUP(B28,[1]characters!$A:$K,11,FALSE)</f>
        <v>hp</v>
      </c>
      <c r="M28" s="7" t="str">
        <f>VLOOKUP(B28,[1]characters!$A:$M,13,FALSE)</f>
        <v>human</v>
      </c>
      <c r="N28" s="7" t="str">
        <f>VLOOKUP(B28,[1]characters!$A:$G,7,FALSE)</f>
        <v>男性</v>
      </c>
      <c r="O28" s="47">
        <f>ROUND(1000000*0.96/(COUNTA(A$2:A$51)-COUNTIF(D:D,"PremiumSS")-COUNTIF(F:F,"R6release")-COUNTIF(D:D,"PremiumSSS")),0)</f>
        <v>33103</v>
      </c>
      <c r="P28" s="48">
        <f t="shared" si="2"/>
        <v>3.3103397240766892E-2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s="9" customFormat="1" ht="21" customHeight="1" thickBot="1" x14ac:dyDescent="0.2">
      <c r="A29" s="85" t="s">
        <v>224</v>
      </c>
      <c r="B29" s="6">
        <v>466</v>
      </c>
      <c r="C29" s="7" t="str">
        <f t="shared" si="6"/>
        <v>PremiumSS5</v>
      </c>
      <c r="D29" s="7" t="str">
        <f t="shared" si="7"/>
        <v>PremiumSS</v>
      </c>
      <c r="E29" s="7" t="str">
        <f>IF(COUNTIF('R6追加前'!A:A,B29)=0,IF(I29="PremiumSS","R5only","R3less"),"")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真断の勇覇 ランスロット</v>
      </c>
      <c r="I29" s="7" t="str">
        <f>VLOOKUP(B29,[1]characters!$A:$J,10,FALSE)</f>
        <v>PremiumSS</v>
      </c>
      <c r="J29" s="7">
        <f>VLOOKUP(B29,[1]characters!$A:$I,9,FALSE)</f>
        <v>5</v>
      </c>
      <c r="K29" s="7" t="str">
        <f>VLOOKUP(B29,[1]characters!$A:$H,8,FALSE)</f>
        <v>green</v>
      </c>
      <c r="L29" s="7" t="str">
        <f>VLOOKUP(B29,[1]characters!$A:$K,11,FALSE)</f>
        <v>balance</v>
      </c>
      <c r="M29" s="7" t="str">
        <f>VLOOKUP(B29,[1]characters!$A:$M,13,FALSE)</f>
        <v>human</v>
      </c>
      <c r="N29" s="7" t="str">
        <f>VLOOKUP(B29,[1]characters!$A:$G,7,FALSE)</f>
        <v>男性</v>
      </c>
      <c r="O29" s="47">
        <f t="shared" ref="O29:O30" si="11">ROUND(1000000*0.03/(COUNTIF(D:D,"PremiumSS")+COUNTIF(F:F,"R6release")),0)</f>
        <v>1579</v>
      </c>
      <c r="P29" s="48">
        <f t="shared" si="2"/>
        <v>1.5790189482273787E-3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85" t="s">
        <v>224</v>
      </c>
      <c r="B30" s="6">
        <v>475</v>
      </c>
      <c r="C30" s="7" t="str">
        <f t="shared" ref="C30:C42" si="12">D30&amp;J30&amp;E30&amp;F30&amp;G30</f>
        <v>PremiumSS5</v>
      </c>
      <c r="D30" s="7" t="str">
        <f t="shared" ref="D30:D42" si="13">IF(I30="PremiumSS",I30,IF(I30="PremiumSSS",I30,IF(I30="PremiumW",I30,"Premium")))</f>
        <v>PremiumSS</v>
      </c>
      <c r="E30" s="7" t="str">
        <f>IF(COUNTIF('R6追加前'!A:A,B30)=0,IF(I30="PremiumSS","R5only","R3less"),"")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緋王 キング・ドライグ</v>
      </c>
      <c r="I30" s="7" t="str">
        <f>VLOOKUP(B30,[1]characters!$A:$J,10,FALSE)</f>
        <v>PremiumSS</v>
      </c>
      <c r="J30" s="7">
        <f>VLOOKUP(B30,[1]characters!$A:$I,9,FALSE)</f>
        <v>5</v>
      </c>
      <c r="K30" s="7" t="str">
        <f>VLOOKUP(B30,[1]characters!$A:$H,8,FALSE)</f>
        <v>red</v>
      </c>
      <c r="L30" s="7" t="str">
        <f>VLOOKUP(B30,[1]characters!$A:$K,11,FALSE)</f>
        <v>attack</v>
      </c>
      <c r="M30" s="7" t="str">
        <f>VLOOKUP(B30,[1]characters!$A:$M,13,FALSE)</f>
        <v>dragon</v>
      </c>
      <c r="N30" s="7" t="str">
        <f>VLOOKUP(B30,[1]characters!$A:$G,7,FALSE)</f>
        <v>不明</v>
      </c>
      <c r="O30" s="47">
        <f t="shared" si="11"/>
        <v>1579</v>
      </c>
      <c r="P30" s="48">
        <f t="shared" si="2"/>
        <v>1.5790189482273787E-3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85" t="s">
        <v>224</v>
      </c>
      <c r="B31" s="6">
        <v>478</v>
      </c>
      <c r="C31" s="7" t="str">
        <f t="shared" si="12"/>
        <v>Premium5</v>
      </c>
      <c r="D31" s="7" t="str">
        <f t="shared" si="13"/>
        <v>Premium</v>
      </c>
      <c r="E31" s="7" t="str">
        <f>IF(COUNTIF('R6追加前'!A:A,B31)=0,IF(I31="PremiumSS","R5only","R3less"),"")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時計仕掛けの愛羽妖精 ファータ</v>
      </c>
      <c r="I31" s="7" t="str">
        <f>VLOOKUP(B31,[1]characters!$A:$J,10,FALSE)</f>
        <v>PremiumS</v>
      </c>
      <c r="J31" s="7">
        <f>VLOOKUP(B31,[1]characters!$A:$I,9,FALSE)</f>
        <v>5</v>
      </c>
      <c r="K31" s="7" t="str">
        <f>VLOOKUP(B31,[1]characters!$A:$H,8,FALSE)</f>
        <v>green</v>
      </c>
      <c r="L31" s="7" t="str">
        <f>VLOOKUP(B31,[1]characters!$A:$K,11,FALSE)</f>
        <v>heal</v>
      </c>
      <c r="M31" s="7" t="str">
        <f>VLOOKUP(B31,[1]characters!$A:$M,13,FALSE)</f>
        <v>unknown</v>
      </c>
      <c r="N31" s="7" t="str">
        <f>VLOOKUP(B31,[1]characters!$A:$G,7,FALSE)</f>
        <v>女性</v>
      </c>
      <c r="O31" s="47">
        <f>ROUND(1000000*0.96/(COUNTA(A$2:A$51)-COUNTIF(D:D,"PremiumSS")-COUNTIF(F:F,"R6release")-COUNTIF(D:D,"PremiumSSS")),0)</f>
        <v>33103</v>
      </c>
      <c r="P31" s="48">
        <f t="shared" si="2"/>
        <v>3.3103397240766892E-2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85" t="s">
        <v>224</v>
      </c>
      <c r="B32" s="6">
        <v>493</v>
      </c>
      <c r="C32" s="7" t="str">
        <f t="shared" si="12"/>
        <v>PremiumSS5</v>
      </c>
      <c r="D32" s="7" t="str">
        <f t="shared" si="13"/>
        <v>PremiumSS</v>
      </c>
      <c r="E32" s="7" t="str">
        <f>IF(COUNTIF('R6追加前'!A:A,B32)=0,IF(I32="PremiumSS","R5only","R3less"),"")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跋扈の機脚 ブートレグ・ペロー</v>
      </c>
      <c r="I32" s="7" t="str">
        <f>VLOOKUP(B32,[1]characters!$A:$J,10,FALSE)</f>
        <v>PremiumSS</v>
      </c>
      <c r="J32" s="7">
        <f>VLOOKUP(B32,[1]characters!$A:$I,9,FALSE)</f>
        <v>5</v>
      </c>
      <c r="K32" s="7" t="str">
        <f>VLOOKUP(B32,[1]characters!$A:$H,8,FALSE)</f>
        <v>red</v>
      </c>
      <c r="L32" s="7" t="str">
        <f>VLOOKUP(B32,[1]characters!$A:$K,11,FALSE)</f>
        <v>hp</v>
      </c>
      <c r="M32" s="7" t="str">
        <f>VLOOKUP(B32,[1]characters!$A:$M,13,FALSE)</f>
        <v>animal</v>
      </c>
      <c r="N32" s="7" t="str">
        <f>VLOOKUP(B32,[1]characters!$A:$G,7,FALSE)</f>
        <v>不明</v>
      </c>
      <c r="O32" s="47">
        <f t="shared" ref="O32:O34" si="14">ROUND(1000000*0.03/(COUNTIF(D:D,"PremiumSS")+COUNTIF(F:F,"R6release")),0)</f>
        <v>1579</v>
      </c>
      <c r="P32" s="48">
        <f t="shared" si="2"/>
        <v>1.5790189482273787E-3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85" t="s">
        <v>224</v>
      </c>
      <c r="B33" s="6">
        <v>495</v>
      </c>
      <c r="C33" s="7" t="str">
        <f t="shared" si="12"/>
        <v>PremiumSS5</v>
      </c>
      <c r="D33" s="7" t="str">
        <f t="shared" si="13"/>
        <v>PremiumSS</v>
      </c>
      <c r="E33" s="7" t="str">
        <f>IF(COUNTIF('R6追加前'!A:A,B33)=0,IF(I33="PremiumSS","R5only","R3less"),"")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鼠災呼ぶ笛音 ハーメルン</v>
      </c>
      <c r="I33" s="7" t="str">
        <f>VLOOKUP(B33,[1]characters!$A:$J,10,FALSE)</f>
        <v>PremiumSS</v>
      </c>
      <c r="J33" s="7">
        <f>VLOOKUP(B33,[1]characters!$A:$I,9,FALSE)</f>
        <v>5</v>
      </c>
      <c r="K33" s="7" t="str">
        <f>VLOOKUP(B33,[1]characters!$A:$H,8,FALSE)</f>
        <v>green</v>
      </c>
      <c r="L33" s="7" t="str">
        <f>VLOOKUP(B33,[1]characters!$A:$K,11,FALSE)</f>
        <v>technical</v>
      </c>
      <c r="M33" s="7" t="str">
        <f>VLOOKUP(B33,[1]characters!$A:$M,13,FALSE)</f>
        <v>human</v>
      </c>
      <c r="N33" s="7" t="str">
        <f>VLOOKUP(B33,[1]characters!$A:$G,7,FALSE)</f>
        <v>男性</v>
      </c>
      <c r="O33" s="47">
        <f t="shared" si="14"/>
        <v>1579</v>
      </c>
      <c r="P33" s="48">
        <f t="shared" si="2"/>
        <v>1.5790189482273787E-3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85" t="s">
        <v>224</v>
      </c>
      <c r="B34" s="6">
        <v>587</v>
      </c>
      <c r="C34" s="7" t="str">
        <f t="shared" si="12"/>
        <v>PremiumSS5</v>
      </c>
      <c r="D34" s="7" t="str">
        <f t="shared" si="13"/>
        <v>PremiumSS</v>
      </c>
      <c r="E34" s="7" t="str">
        <f>IF(COUNTIF('R6追加前'!A:A,B34)=0,IF(I34="PremiumSS","R5only","R3less"),"")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原初の煉鋼巨刃 ユミル</v>
      </c>
      <c r="I34" s="7" t="str">
        <f>VLOOKUP(B34,[1]characters!$A:$J,10,FALSE)</f>
        <v>PremiumSS</v>
      </c>
      <c r="J34" s="7">
        <f>VLOOKUP(B34,[1]characters!$A:$I,9,FALSE)</f>
        <v>5</v>
      </c>
      <c r="K34" s="7" t="str">
        <f>VLOOKUP(B34,[1]characters!$A:$H,8,FALSE)</f>
        <v>red</v>
      </c>
      <c r="L34" s="7" t="str">
        <f>VLOOKUP(B34,[1]characters!$A:$K,11,FALSE)</f>
        <v>hp</v>
      </c>
      <c r="M34" s="7" t="str">
        <f>VLOOKUP(B34,[1]characters!$A:$M,13,FALSE)</f>
        <v>machine</v>
      </c>
      <c r="N34" s="7" t="str">
        <f>VLOOKUP(B34,[1]characters!$A:$G,7,FALSE)</f>
        <v>不明</v>
      </c>
      <c r="O34" s="47">
        <f t="shared" si="14"/>
        <v>1579</v>
      </c>
      <c r="P34" s="48">
        <f t="shared" ref="P34:P65" si="15">O34/SUM(O:O)</f>
        <v>1.5790189482273787E-3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85" t="s">
        <v>224</v>
      </c>
      <c r="B35" s="6">
        <v>590</v>
      </c>
      <c r="C35" s="7" t="str">
        <f t="shared" si="12"/>
        <v>Premium5</v>
      </c>
      <c r="D35" s="7" t="str">
        <f t="shared" si="13"/>
        <v>Premium</v>
      </c>
      <c r="E35" s="7" t="str">
        <f>IF(COUNTIF('R6追加前'!A:A,B35)=0,IF(I35="PremiumSS","R5only","R3less"),"")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永遠を廻る呪い ニーベルゲン</v>
      </c>
      <c r="I35" s="7" t="str">
        <f>VLOOKUP(B35,[1]characters!$A:$J,10,FALSE)</f>
        <v>PremiumS</v>
      </c>
      <c r="J35" s="7">
        <f>VLOOKUP(B35,[1]characters!$A:$I,9,FALSE)</f>
        <v>5</v>
      </c>
      <c r="K35" s="7" t="str">
        <f>VLOOKUP(B35,[1]characters!$A:$H,8,FALSE)</f>
        <v>green</v>
      </c>
      <c r="L35" s="7" t="str">
        <f>VLOOKUP(B35,[1]characters!$A:$K,11,FALSE)</f>
        <v>balance</v>
      </c>
      <c r="M35" s="7" t="str">
        <f>VLOOKUP(B35,[1]characters!$A:$M,13,FALSE)</f>
        <v>unknown</v>
      </c>
      <c r="N35" s="7" t="str">
        <f>VLOOKUP(B35,[1]characters!$A:$G,7,FALSE)</f>
        <v>女性</v>
      </c>
      <c r="O35" s="47">
        <f>ROUND(1000000*0.96/(COUNTA(A$2:A$51)-COUNTIF(D:D,"PremiumSS")-COUNTIF(F:F,"R6release")-COUNTIF(D:D,"PremiumSSS")),0)</f>
        <v>33103</v>
      </c>
      <c r="P35" s="48">
        <f t="shared" si="15"/>
        <v>3.3103397240766892E-2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85" t="s">
        <v>224</v>
      </c>
      <c r="B36" s="6">
        <v>598</v>
      </c>
      <c r="C36" s="7" t="str">
        <f t="shared" si="12"/>
        <v>Premium5</v>
      </c>
      <c r="D36" s="7" t="str">
        <f t="shared" si="13"/>
        <v>Premium</v>
      </c>
      <c r="E36" s="7" t="str">
        <f>IF(COUNTIF('R6追加前'!A:A,B36)=0,IF(I36="PremiumSS","R5only","R3less"),"")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焼燃の情熱 ムスペルヘイム</v>
      </c>
      <c r="I36" s="7" t="str">
        <f>VLOOKUP(B36,[1]characters!$A:$J,10,FALSE)</f>
        <v>PremiumS</v>
      </c>
      <c r="J36" s="7">
        <f>VLOOKUP(B36,[1]characters!$A:$I,9,FALSE)</f>
        <v>5</v>
      </c>
      <c r="K36" s="7" t="str">
        <f>VLOOKUP(B36,[1]characters!$A:$H,8,FALSE)</f>
        <v>red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男性</v>
      </c>
      <c r="O36" s="47">
        <f>ROUND(1000000*0.96/(COUNTA(A$2:A$51)-COUNTIF(D:D,"PremiumSS")-COUNTIF(F:F,"R6release")-COUNTIF(D:D,"PremiumSSS")),0)</f>
        <v>33103</v>
      </c>
      <c r="P36" s="48">
        <f t="shared" si="15"/>
        <v>3.3103397240766892E-2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85" t="s">
        <v>224</v>
      </c>
      <c r="B37" s="6">
        <v>601</v>
      </c>
      <c r="C37" s="7" t="str">
        <f t="shared" si="12"/>
        <v>Premium5</v>
      </c>
      <c r="D37" s="7" t="str">
        <f t="shared" si="13"/>
        <v>Premium</v>
      </c>
      <c r="E37" s="7" t="str">
        <f>IF(COUNTIF('R6追加前'!A:A,B37)=0,IF(I37="PremiumSS","R5only","R3less"),"")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界根蝕む悪食 ニーズヘッグ</v>
      </c>
      <c r="I37" s="7" t="str">
        <f>VLOOKUP(B37,[1]characters!$A:$J,10,FALSE)</f>
        <v>PremiumS</v>
      </c>
      <c r="J37" s="7">
        <f>VLOOKUP(B37,[1]characters!$A:$I,9,FALSE)</f>
        <v>5</v>
      </c>
      <c r="K37" s="7" t="str">
        <f>VLOOKUP(B37,[1]characters!$A:$H,8,FALSE)</f>
        <v>green</v>
      </c>
      <c r="L37" s="7" t="str">
        <f>VLOOKUP(B37,[1]characters!$A:$K,11,FALSE)</f>
        <v>attack</v>
      </c>
      <c r="M37" s="7" t="str">
        <f>VLOOKUP(B37,[1]characters!$A:$M,13,FALSE)</f>
        <v>dragon</v>
      </c>
      <c r="N37" s="7" t="str">
        <f>VLOOKUP(B37,[1]characters!$A:$G,7,FALSE)</f>
        <v>不明</v>
      </c>
      <c r="O37" s="47">
        <f>ROUND(1000000*0.96/(COUNTA(A$2:A$51)-COUNTIF(D:D,"PremiumSS")-COUNTIF(F:F,"R6release")-COUNTIF(D:D,"PremiumSSS")),0)</f>
        <v>33103</v>
      </c>
      <c r="P37" s="48">
        <f t="shared" si="15"/>
        <v>3.3103397240766892E-2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85" t="s">
        <v>224</v>
      </c>
      <c r="B38" s="6">
        <v>659</v>
      </c>
      <c r="C38" s="7" t="str">
        <f t="shared" si="12"/>
        <v>PremiumSS5</v>
      </c>
      <c r="D38" s="7" t="str">
        <f t="shared" si="13"/>
        <v>PremiumSS</v>
      </c>
      <c r="E38" s="7" t="str">
        <f>IF(COUNTIF('R6追加前'!A:A,B38)=0,IF(I38="PremiumSS","R5only","R3less"),"")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跳梁する化猫 クルミ</v>
      </c>
      <c r="I38" s="7" t="str">
        <f>VLOOKUP(B38,[1]characters!$A:$J,10,FALSE)</f>
        <v>PremiumSS</v>
      </c>
      <c r="J38" s="7">
        <f>VLOOKUP(B38,[1]characters!$A:$I,9,FALSE)</f>
        <v>5</v>
      </c>
      <c r="K38" s="7" t="str">
        <f>VLOOKUP(B38,[1]characters!$A:$H,8,FALSE)</f>
        <v>red</v>
      </c>
      <c r="L38" s="7" t="str">
        <f>VLOOKUP(B38,[1]characters!$A:$K,11,FALSE)</f>
        <v>attack</v>
      </c>
      <c r="M38" s="7" t="str">
        <f>VLOOKUP(B38,[1]characters!$A:$M,13,FALSE)</f>
        <v>animal</v>
      </c>
      <c r="N38" s="7" t="str">
        <f>VLOOKUP(B38,[1]characters!$A:$G,7,FALSE)</f>
        <v>女性</v>
      </c>
      <c r="O38" s="47">
        <f t="shared" ref="O38:O39" si="16">ROUND(1000000*0.03/(COUNTIF(D:D,"PremiumSS")+COUNTIF(F:F,"R6release")),0)</f>
        <v>1579</v>
      </c>
      <c r="P38" s="48">
        <f t="shared" si="15"/>
        <v>1.5790189482273787E-3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85" t="s">
        <v>224</v>
      </c>
      <c r="B39" s="6">
        <v>661</v>
      </c>
      <c r="C39" s="7" t="str">
        <f t="shared" si="12"/>
        <v>PremiumSS5</v>
      </c>
      <c r="D39" s="7" t="str">
        <f t="shared" si="13"/>
        <v>PremiumSS</v>
      </c>
      <c r="E39" s="7" t="str">
        <f>IF(COUNTIF('R6追加前'!A:A,B39)=0,IF(I39="PremiumSS","R5only","R3less"),"")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疾風の天狗礫 フウガ</v>
      </c>
      <c r="I39" s="7" t="str">
        <f>VLOOKUP(B39,[1]characters!$A:$J,10,FALSE)</f>
        <v>PremiumSS</v>
      </c>
      <c r="J39" s="7">
        <f>VLOOKUP(B39,[1]characters!$A:$I,9,FALSE)</f>
        <v>5</v>
      </c>
      <c r="K39" s="7" t="str">
        <f>VLOOKUP(B39,[1]characters!$A:$H,8,FALSE)</f>
        <v>green</v>
      </c>
      <c r="L39" s="7" t="str">
        <f>VLOOKUP(B39,[1]characters!$A:$K,11,FALSE)</f>
        <v>balance</v>
      </c>
      <c r="M39" s="7" t="str">
        <f>VLOOKUP(B39,[1]characters!$A:$M,13,FALSE)</f>
        <v>animal</v>
      </c>
      <c r="N39" s="7" t="str">
        <f>VLOOKUP(B39,[1]characters!$A:$G,7,FALSE)</f>
        <v>男性</v>
      </c>
      <c r="O39" s="47">
        <f t="shared" si="16"/>
        <v>1579</v>
      </c>
      <c r="P39" s="48">
        <f t="shared" si="15"/>
        <v>1.5790189482273787E-3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85" t="s">
        <v>224</v>
      </c>
      <c r="B40" s="62">
        <v>670</v>
      </c>
      <c r="C40" s="7" t="str">
        <f t="shared" si="12"/>
        <v>Premium5</v>
      </c>
      <c r="D40" s="7" t="str">
        <f t="shared" si="13"/>
        <v>Premium</v>
      </c>
      <c r="E40" s="7" t="str">
        <f>IF(COUNTIF('R6追加前'!A:A,B40)=0,IF(I40="PremiumSS","R5only","R3less"),"")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陽天の噴煙 アグニ</v>
      </c>
      <c r="I40" s="7" t="str">
        <f>VLOOKUP(B40,[1]characters!$A:$J,10,FALSE)</f>
        <v>PremiumS</v>
      </c>
      <c r="J40" s="7">
        <f>VLOOKUP(B40,[1]characters!$A:$I,9,FALSE)</f>
        <v>5</v>
      </c>
      <c r="K40" s="7" t="str">
        <f>VLOOKUP(B40,[1]characters!$A:$H,8,FALSE)</f>
        <v>red</v>
      </c>
      <c r="L40" s="7" t="str">
        <f>VLOOKUP(B40,[1]characters!$A:$K,11,FALSE)</f>
        <v>hp</v>
      </c>
      <c r="M40" s="7" t="str">
        <f>VLOOKUP(B40,[1]characters!$A:$M,13,FALSE)</f>
        <v>god</v>
      </c>
      <c r="N40" s="7" t="str">
        <f>VLOOKUP(B40,[1]characters!$A:$G,7,FALSE)</f>
        <v>男性</v>
      </c>
      <c r="O40" s="47">
        <f>ROUND(1000000*0.96/(COUNTA(A$2:A$51)-COUNTIF(D:D,"PremiumSS")-COUNTIF(F:F,"R6release")-COUNTIF(D:D,"PremiumSSS")),0)</f>
        <v>33103</v>
      </c>
      <c r="P40" s="48">
        <f t="shared" si="15"/>
        <v>3.3103397240766892E-2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85" t="s">
        <v>224</v>
      </c>
      <c r="B41" s="62">
        <v>673</v>
      </c>
      <c r="C41" s="7" t="str">
        <f t="shared" si="12"/>
        <v>Premium5</v>
      </c>
      <c r="D41" s="7" t="str">
        <f t="shared" si="13"/>
        <v>Premium</v>
      </c>
      <c r="E41" s="7" t="str">
        <f>IF(COUNTIF('R6追加前'!A:A,B41)=0,IF(I41="PremiumSS","R5only","R3less"),"")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変幻自在の猿王 ハヌマーン</v>
      </c>
      <c r="I41" s="7" t="str">
        <f>VLOOKUP(B41,[1]characters!$A:$J,10,FALSE)</f>
        <v>PremiumS</v>
      </c>
      <c r="J41" s="7">
        <f>VLOOKUP(B41,[1]characters!$A:$I,9,FALSE)</f>
        <v>5</v>
      </c>
      <c r="K41" s="7" t="str">
        <f>VLOOKUP(B41,[1]characters!$A:$H,8,FALSE)</f>
        <v>green</v>
      </c>
      <c r="L41" s="7" t="str">
        <f>VLOOKUP(B41,[1]characters!$A:$K,11,FALSE)</f>
        <v>attack</v>
      </c>
      <c r="M41" s="7" t="str">
        <f>VLOOKUP(B41,[1]characters!$A:$M,13,FALSE)</f>
        <v>animal</v>
      </c>
      <c r="N41" s="7" t="str">
        <f>VLOOKUP(B41,[1]characters!$A:$G,7,FALSE)</f>
        <v>男性</v>
      </c>
      <c r="O41" s="47">
        <f>ROUND(1000000*0.96/(COUNTA(A$2:A$51)-COUNTIF(D:D,"PremiumSS")-COUNTIF(F:F,"R6release")-COUNTIF(D:D,"PremiumSSS")),0)</f>
        <v>33103</v>
      </c>
      <c r="P41" s="48">
        <f t="shared" si="15"/>
        <v>3.3103397240766892E-2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85" t="s">
        <v>224</v>
      </c>
      <c r="B42" s="62">
        <v>771</v>
      </c>
      <c r="C42" s="7" t="str">
        <f t="shared" si="12"/>
        <v>PremiumSS5</v>
      </c>
      <c r="D42" s="7" t="str">
        <f t="shared" si="13"/>
        <v>PremiumSS</v>
      </c>
      <c r="E42" s="7" t="str">
        <f>IF(COUNTIF('R6追加前'!A:A,B42)=0,IF(I42="PremiumSS","R5only","R3less"),"")</f>
        <v/>
      </c>
      <c r="F42" s="7" t="str">
        <f>IF(COUNTIF('R6開放'!A:A,B42)&gt;0,"R6release","")</f>
        <v/>
      </c>
      <c r="G42" s="7"/>
      <c r="H42" s="7" t="str">
        <f>VLOOKUP(B42,[1]characters!$A:$C,3,FALSE)</f>
        <v>天織羽鶴 ハヅル</v>
      </c>
      <c r="I42" s="7" t="str">
        <f>VLOOKUP(B42,[1]characters!$A:$J,10,FALSE)</f>
        <v>PremiumSS</v>
      </c>
      <c r="J42" s="7">
        <f>VLOOKUP(B42,[1]characters!$A:$I,9,FALSE)</f>
        <v>5</v>
      </c>
      <c r="K42" s="7" t="str">
        <f>VLOOKUP(B42,[1]characters!$A:$H,8,FALSE)</f>
        <v>red</v>
      </c>
      <c r="L42" s="7" t="str">
        <f>VLOOKUP(B42,[1]characters!$A:$K,11,FALSE)</f>
        <v>balance</v>
      </c>
      <c r="M42" s="7" t="str">
        <f>VLOOKUP(B42,[1]characters!$A:$M,13,FALSE)</f>
        <v>animal</v>
      </c>
      <c r="N42" s="7" t="str">
        <f>VLOOKUP(B42,[1]characters!$A:$G,7,FALSE)</f>
        <v>女性</v>
      </c>
      <c r="O42" s="47">
        <f t="shared" ref="O42:O43" si="17">ROUND(1000000*0.03/(COUNTIF(D:D,"PremiumSS")+COUNTIF(F:F,"R6release")),0)</f>
        <v>1579</v>
      </c>
      <c r="P42" s="48">
        <f t="shared" si="15"/>
        <v>1.5790189482273787E-3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85" t="s">
        <v>224</v>
      </c>
      <c r="B43" s="62">
        <v>773</v>
      </c>
      <c r="C43" s="7" t="str">
        <f t="shared" ref="C43:C51" si="18">D43&amp;J43&amp;E43&amp;F43&amp;G43</f>
        <v>PremiumSS5</v>
      </c>
      <c r="D43" s="7" t="str">
        <f t="shared" ref="D43:D51" si="19">IF(I43="PremiumSS",I43,IF(I43="PremiumSSS",I43,IF(I43="PremiumW",I43,"Premium")))</f>
        <v>PremiumSS</v>
      </c>
      <c r="E43" s="7" t="str">
        <f>IF(COUNTIF('R6追加前'!A:A,B43)=0,IF(I43="PremiumSS","R5only","R3less"),"")</f>
        <v/>
      </c>
      <c r="F43" s="7" t="str">
        <f>IF(COUNTIF('R6開放'!A:A,B43)&gt;0,"R6release","")</f>
        <v/>
      </c>
      <c r="G43" s="7"/>
      <c r="H43" s="7" t="str">
        <f>VLOOKUP(B43,[1]characters!$A:$C,3,FALSE)</f>
        <v>浮跳天兎 イナバ</v>
      </c>
      <c r="I43" s="7" t="str">
        <f>VLOOKUP(B43,[1]characters!$A:$J,10,FALSE)</f>
        <v>PremiumSS</v>
      </c>
      <c r="J43" s="7">
        <f>VLOOKUP(B43,[1]characters!$A:$I,9,FALSE)</f>
        <v>5</v>
      </c>
      <c r="K43" s="7" t="str">
        <f>VLOOKUP(B43,[1]characters!$A:$H,8,FALSE)</f>
        <v>green</v>
      </c>
      <c r="L43" s="7" t="str">
        <f>VLOOKUP(B43,[1]characters!$A:$K,11,FALSE)</f>
        <v>balance</v>
      </c>
      <c r="M43" s="7" t="str">
        <f>VLOOKUP(B43,[1]characters!$A:$M,13,FALSE)</f>
        <v>animal</v>
      </c>
      <c r="N43" s="7" t="str">
        <f>VLOOKUP(B43,[1]characters!$A:$G,7,FALSE)</f>
        <v>女性</v>
      </c>
      <c r="O43" s="47">
        <f t="shared" si="17"/>
        <v>1579</v>
      </c>
      <c r="P43" s="48">
        <f t="shared" si="15"/>
        <v>1.5790189482273787E-3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85" t="s">
        <v>224</v>
      </c>
      <c r="B44" s="62">
        <v>729</v>
      </c>
      <c r="C44" s="7" t="str">
        <f t="shared" si="18"/>
        <v>Premium5R3less</v>
      </c>
      <c r="D44" s="7" t="str">
        <f t="shared" si="19"/>
        <v>Premium</v>
      </c>
      <c r="E44" s="7" t="str">
        <f>IF(COUNTIF('R6追加前'!A:A,B44)=0,IF(I44="PremiumSS","R5only","R3less"),"")</f>
        <v>R3less</v>
      </c>
      <c r="F44" s="7" t="str">
        <f>IF(COUNTIF('R6開放'!A:A,B44)&gt;0,"R6release","")</f>
        <v/>
      </c>
      <c r="G44" s="7"/>
      <c r="H44" s="7" t="str">
        <f>VLOOKUP(B44,[1]characters!$A:$C,3,FALSE)</f>
        <v>暗厄の双刀 井伊直虎</v>
      </c>
      <c r="I44" s="7" t="str">
        <f>VLOOKUP(B44,[1]characters!$A:$J,10,FALSE)</f>
        <v>PremiumS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balance</v>
      </c>
      <c r="M44" s="7" t="str">
        <f>VLOOKUP(B44,[1]characters!$A:$M,13,FALSE)</f>
        <v>human</v>
      </c>
      <c r="N44" s="7" t="str">
        <f>VLOOKUP(B44,[1]characters!$A:$G,7,FALSE)</f>
        <v>女性</v>
      </c>
      <c r="O44" s="47">
        <f>ROUND(1000000*0.96/(COUNTA(A$2:A$51)-COUNTIF(D:D,"PremiumSS")-COUNTIF(F:F,"R6release")-COUNTIF(D:D,"PremiumSSS")),0)</f>
        <v>33103</v>
      </c>
      <c r="P44" s="48">
        <f t="shared" si="15"/>
        <v>3.3103397240766892E-2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85" t="s">
        <v>224</v>
      </c>
      <c r="B45" s="62">
        <v>731</v>
      </c>
      <c r="C45" s="7" t="str">
        <f t="shared" si="18"/>
        <v>Premium5R3less</v>
      </c>
      <c r="D45" s="7" t="str">
        <f t="shared" si="19"/>
        <v>Premium</v>
      </c>
      <c r="E45" s="7" t="str">
        <f>IF(COUNTIF('R6追加前'!A:A,B45)=0,IF(I45="PremiumSS","R5only","R3less"),"")</f>
        <v>R3less</v>
      </c>
      <c r="F45" s="7" t="str">
        <f>IF(COUNTIF('R6開放'!A:A,B45)&gt;0,"R6release","")</f>
        <v/>
      </c>
      <c r="G45" s="7"/>
      <c r="H45" s="7" t="str">
        <f>VLOOKUP(B45,[1]characters!$A:$C,3,FALSE)</f>
        <v>敬虔なる追銃 ガラシャ</v>
      </c>
      <c r="I45" s="7" t="str">
        <f>VLOOKUP(B45,[1]characters!$A:$J,10,FALSE)</f>
        <v>PremiumS</v>
      </c>
      <c r="J45" s="7">
        <f>VLOOKUP(B45,[1]characters!$A:$I,9,FALSE)</f>
        <v>5</v>
      </c>
      <c r="K45" s="7" t="str">
        <f>VLOOKUP(B45,[1]characters!$A:$H,8,FALSE)</f>
        <v>green</v>
      </c>
      <c r="L45" s="7" t="str">
        <f>VLOOKUP(B45,[1]characters!$A:$K,11,FALSE)</f>
        <v>heal</v>
      </c>
      <c r="M45" s="7" t="str">
        <f>VLOOKUP(B45,[1]characters!$A:$M,13,FALSE)</f>
        <v>human</v>
      </c>
      <c r="N45" s="7" t="str">
        <f>VLOOKUP(B45,[1]characters!$A:$G,7,FALSE)</f>
        <v>女性</v>
      </c>
      <c r="O45" s="47">
        <f>ROUND(1000000*0.96/(COUNTA(A$2:A$51)-COUNTIF(D:D,"PremiumSS")-COUNTIF(F:F,"R6release")-COUNTIF(D:D,"PremiumSSS")),0)</f>
        <v>33103</v>
      </c>
      <c r="P45" s="48">
        <f t="shared" si="15"/>
        <v>3.3103397240766892E-2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85" t="s">
        <v>224</v>
      </c>
      <c r="B46" s="82">
        <v>848</v>
      </c>
      <c r="C46" s="7" t="str">
        <f t="shared" si="18"/>
        <v>PremiumSS5R5only</v>
      </c>
      <c r="D46" s="7" t="str">
        <f t="shared" si="19"/>
        <v>PremiumSS</v>
      </c>
      <c r="E46" s="7" t="str">
        <f>IF(COUNTIF('R6追加前'!A:A,B46)=0,IF(I46="PremiumSS","R5only","R3less"),"")</f>
        <v>R5only</v>
      </c>
      <c r="F46" s="7" t="str">
        <f>IF(COUNTIF('R6開放'!A:A,B46)&gt;0,"R6release","")</f>
        <v/>
      </c>
      <c r="G46" s="7"/>
      <c r="H46" s="7" t="str">
        <f>VLOOKUP(B46,[1]characters!$A:$C,3,FALSE)</f>
        <v>メタトロン</v>
      </c>
      <c r="I46" s="7" t="str">
        <f>VLOOKUP(B46,[1]characters!$A:$J,10,FALSE)</f>
        <v>PremiumSS</v>
      </c>
      <c r="J46" s="7">
        <f>VLOOKUP(B46,[1]characters!$A:$I,9,FALSE)</f>
        <v>5</v>
      </c>
      <c r="K46" s="7" t="str">
        <f>VLOOKUP(B46,[1]characters!$A:$H,8,FALSE)</f>
        <v>red</v>
      </c>
      <c r="L46" s="7" t="str">
        <f>VLOOKUP(B46,[1]characters!$A:$K,11,FALSE)</f>
        <v>balance</v>
      </c>
      <c r="M46" s="7" t="str">
        <f>VLOOKUP(B46,[1]characters!$A:$M,13,FALSE)</f>
        <v>god</v>
      </c>
      <c r="N46" s="7" t="str">
        <f>VLOOKUP(B46,[1]characters!$A:$G,7,FALSE)</f>
        <v>男性</v>
      </c>
      <c r="O46" s="47">
        <f t="shared" ref="O46:O47" si="20">ROUND(1000000*0.03/(COUNTIF(D:D,"PremiumSS")+COUNTIF(F:F,"R6release")),0)</f>
        <v>1579</v>
      </c>
      <c r="P46" s="48">
        <f t="shared" si="15"/>
        <v>1.5790189482273787E-3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85" t="s">
        <v>224</v>
      </c>
      <c r="B47" s="82">
        <v>850</v>
      </c>
      <c r="C47" s="7" t="str">
        <f t="shared" si="18"/>
        <v>PremiumSS5R5only</v>
      </c>
      <c r="D47" s="7" t="str">
        <f t="shared" si="19"/>
        <v>PremiumSS</v>
      </c>
      <c r="E47" s="7" t="str">
        <f>IF(COUNTIF('R6追加前'!A:A,B47)=0,IF(I47="PremiumSS","R5only","R3less"),"")</f>
        <v>R5only</v>
      </c>
      <c r="F47" s="7" t="str">
        <f>IF(COUNTIF('R6開放'!A:A,B47)&gt;0,"R6release","")</f>
        <v/>
      </c>
      <c r="G47" s="7"/>
      <c r="H47" s="7" t="str">
        <f>VLOOKUP(B47,[1]characters!$A:$C,3,FALSE)</f>
        <v>バアル</v>
      </c>
      <c r="I47" s="7" t="str">
        <f>VLOOKUP(B47,[1]characters!$A:$J,10,FALSE)</f>
        <v>PremiumSS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technical</v>
      </c>
      <c r="M47" s="7" t="str">
        <f>VLOOKUP(B47,[1]characters!$A:$M,13,FALSE)</f>
        <v>god</v>
      </c>
      <c r="N47" s="7" t="str">
        <f>VLOOKUP(B47,[1]characters!$A:$G,7,FALSE)</f>
        <v>男性</v>
      </c>
      <c r="O47" s="47">
        <f t="shared" si="20"/>
        <v>1579</v>
      </c>
      <c r="P47" s="48">
        <f t="shared" si="15"/>
        <v>1.5790189482273787E-3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85" t="s">
        <v>224</v>
      </c>
      <c r="B48" s="82">
        <v>863</v>
      </c>
      <c r="C48" s="7" t="str">
        <f t="shared" si="18"/>
        <v>Premium5R3less</v>
      </c>
      <c r="D48" s="7" t="str">
        <f t="shared" si="19"/>
        <v>Premium</v>
      </c>
      <c r="E48" s="7" t="str">
        <f>IF(COUNTIF('R6追加前'!A:A,B48)=0,IF(I48="PremiumSS","R5only","R3less"),"")</f>
        <v>R3less</v>
      </c>
      <c r="F48" s="7" t="str">
        <f>IF(COUNTIF('R6開放'!A:A,B48)&gt;0,"R6release","")</f>
        <v/>
      </c>
      <c r="G48" s="7"/>
      <c r="H48" s="7" t="str">
        <f>VLOOKUP(B48,[1]characters!$A:$C,3,FALSE)</f>
        <v>歓揮の楽団長 ブレーメン</v>
      </c>
      <c r="I48" s="7" t="str">
        <f>VLOOKUP(B48,[1]characters!$A:$J,10,FALSE)</f>
        <v>PremiumS</v>
      </c>
      <c r="J48" s="7">
        <f>VLOOKUP(B48,[1]characters!$A:$I,9,FALSE)</f>
        <v>5</v>
      </c>
      <c r="K48" s="7" t="str">
        <f>VLOOKUP(B48,[1]characters!$A:$H,8,FALSE)</f>
        <v>red</v>
      </c>
      <c r="L48" s="7" t="str">
        <f>VLOOKUP(B48,[1]characters!$A:$K,11,FALSE)</f>
        <v>balance</v>
      </c>
      <c r="M48" s="7" t="str">
        <f>VLOOKUP(B48,[1]characters!$A:$M,13,FALSE)</f>
        <v>animal</v>
      </c>
      <c r="N48" s="7" t="str">
        <f>VLOOKUP(B48,[1]characters!$A:$G,7,FALSE)</f>
        <v>男性</v>
      </c>
      <c r="O48" s="47">
        <f>ROUND(1000000*0.96/(COUNTA(A$2:A$51)-COUNTIF(D:D,"PremiumSS")-COUNTIF(F:F,"R6release")-COUNTIF(D:D,"PremiumSSS")),0)</f>
        <v>33103</v>
      </c>
      <c r="P48" s="48">
        <f t="shared" si="15"/>
        <v>3.3103397240766892E-2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85" t="s">
        <v>224</v>
      </c>
      <c r="B49" s="82">
        <v>865</v>
      </c>
      <c r="C49" s="7" t="str">
        <f t="shared" si="18"/>
        <v>Premium5R3less</v>
      </c>
      <c r="D49" s="7" t="str">
        <f t="shared" si="19"/>
        <v>Premium</v>
      </c>
      <c r="E49" s="7" t="str">
        <f>IF(COUNTIF('R6追加前'!A:A,B49)=0,IF(I49="PremiumSS","R5only","R3less"),"")</f>
        <v>R3less</v>
      </c>
      <c r="F49" s="7" t="str">
        <f>IF(COUNTIF('R6開放'!A:A,B49)&gt;0,"R6release","")</f>
        <v/>
      </c>
      <c r="G49" s="7"/>
      <c r="H49" s="7" t="str">
        <f>VLOOKUP(B49,[1]characters!$A:$C,3,FALSE)</f>
        <v>無情の感線 ピノキオ</v>
      </c>
      <c r="I49" s="7" t="str">
        <f>VLOOKUP(B49,[1]characters!$A:$J,10,FALSE)</f>
        <v>PremiumS</v>
      </c>
      <c r="J49" s="7">
        <f>VLOOKUP(B49,[1]characters!$A:$I,9,FALSE)</f>
        <v>5</v>
      </c>
      <c r="K49" s="7" t="str">
        <f>VLOOKUP(B49,[1]characters!$A:$H,8,FALSE)</f>
        <v>green</v>
      </c>
      <c r="L49" s="7" t="str">
        <f>VLOOKUP(B49,[1]characters!$A:$K,11,FALSE)</f>
        <v>attack</v>
      </c>
      <c r="M49" s="7" t="str">
        <f>VLOOKUP(B49,[1]characters!$A:$M,13,FALSE)</f>
        <v>machine</v>
      </c>
      <c r="N49" s="7" t="str">
        <f>VLOOKUP(B49,[1]characters!$A:$G,7,FALSE)</f>
        <v>男性</v>
      </c>
      <c r="O49" s="47">
        <f>ROUND(1000000*0.96/(COUNTA(A$2:A$51)-COUNTIF(D:D,"PremiumSS")-COUNTIF(F:F,"R6release")-COUNTIF(D:D,"PremiumSSS")),0)</f>
        <v>33103</v>
      </c>
      <c r="P49" s="48">
        <f t="shared" si="15"/>
        <v>3.3103397240766892E-2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85" t="s">
        <v>224</v>
      </c>
      <c r="B50" s="82">
        <v>486</v>
      </c>
      <c r="C50" s="7" t="str">
        <f t="shared" si="18"/>
        <v>PremiumSSS5R3less</v>
      </c>
      <c r="D50" s="7" t="str">
        <f t="shared" si="19"/>
        <v>PremiumSSS</v>
      </c>
      <c r="E50" s="7" t="str">
        <f>IF(COUNTIF('R6追加前'!A:A,B50)=0,IF(I50="PremiumSS","R5only","R3less"),"")</f>
        <v>R3less</v>
      </c>
      <c r="F50" s="7" t="str">
        <f>IF(COUNTIF('R6開放'!A:A,B50)&gt;0,"R6release","")</f>
        <v/>
      </c>
      <c r="G50" s="7"/>
      <c r="H50" s="7" t="str">
        <f>VLOOKUP(B50,[1]characters!$A:$C,3,FALSE)</f>
        <v>重なる世解 シュレディンガー</v>
      </c>
      <c r="I50" s="7" t="str">
        <f>VLOOKUP(B50,[1]characters!$A:$J,10,FALSE)</f>
        <v>PremiumSSS</v>
      </c>
      <c r="J50" s="7">
        <f>VLOOKUP(B50,[1]characters!$A:$I,9,FALSE)</f>
        <v>5</v>
      </c>
      <c r="K50" s="7" t="str">
        <f>VLOOKUP(B50,[1]characters!$A:$H,8,FALSE)</f>
        <v>red</v>
      </c>
      <c r="L50" s="7" t="str">
        <f>VLOOKUP(B50,[1]characters!$A:$K,11,FALSE)</f>
        <v>balance</v>
      </c>
      <c r="M50" s="7" t="str">
        <f>VLOOKUP(B50,[1]characters!$A:$M,13,FALSE)</f>
        <v>animal</v>
      </c>
      <c r="N50" s="7" t="str">
        <f>VLOOKUP(B50,[1]characters!$A:$G,7,FALSE)</f>
        <v>男性</v>
      </c>
      <c r="O50" s="47">
        <f>1000000*0.005</f>
        <v>5000</v>
      </c>
      <c r="P50" s="48">
        <f t="shared" si="15"/>
        <v>5.0000600007200089E-3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85" t="s">
        <v>224</v>
      </c>
      <c r="B51" s="82">
        <v>487</v>
      </c>
      <c r="C51" s="7" t="str">
        <f t="shared" si="18"/>
        <v>PremiumSSS5R3less</v>
      </c>
      <c r="D51" s="7" t="str">
        <f t="shared" si="19"/>
        <v>PremiumSSS</v>
      </c>
      <c r="E51" s="7" t="str">
        <f>IF(COUNTIF('R6追加前'!A:A,B51)=0,IF(I51="PremiumSS","R5only","R3less"),"")</f>
        <v>R3less</v>
      </c>
      <c r="F51" s="7" t="str">
        <f>IF(COUNTIF('R6開放'!A:A,B51)&gt;0,"R6release","")</f>
        <v/>
      </c>
      <c r="G51" s="7"/>
      <c r="H51" s="7" t="str">
        <f>VLOOKUP(B51,[1]characters!$A:$C,3,FALSE)</f>
        <v>暴創の造物 チューリング</v>
      </c>
      <c r="I51" s="7" t="str">
        <f>VLOOKUP(B51,[1]characters!$A:$J,10,FALSE)</f>
        <v>PremiumSSS</v>
      </c>
      <c r="J51" s="7">
        <f>VLOOKUP(B51,[1]characters!$A:$I,9,FALSE)</f>
        <v>5</v>
      </c>
      <c r="K51" s="7" t="str">
        <f>VLOOKUP(B51,[1]characters!$A:$H,8,FALSE)</f>
        <v>green</v>
      </c>
      <c r="L51" s="7" t="str">
        <f>VLOOKUP(B51,[1]characters!$A:$K,11,FALSE)</f>
        <v>hp</v>
      </c>
      <c r="M51" s="7" t="str">
        <f>VLOOKUP(B51,[1]characters!$A:$M,13,FALSE)</f>
        <v>human</v>
      </c>
      <c r="N51" s="7" t="str">
        <f>VLOOKUP(B51,[1]characters!$A:$G,7,FALSE)</f>
        <v>女性</v>
      </c>
      <c r="O51" s="47">
        <f>1000000*0.005</f>
        <v>5000</v>
      </c>
      <c r="P51" s="48">
        <f t="shared" si="15"/>
        <v>5.0000600007200089E-3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</sheetData>
  <autoFilter ref="A1:V51"/>
  <phoneticPr fontId="17"/>
  <pageMargins left="0.75" right="0.75" top="1" bottom="1" header="0.3" footer="0.3"/>
  <pageSetup paperSize="9" orientation="portrait" horizontalDpi="4294967292" verticalDpi="4294967292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Q2"/>
  <sheetViews>
    <sheetView showGridLines="0" workbookViewId="0">
      <pane ySplit="1" topLeftCell="A2" activePane="bottomLeft" state="frozen"/>
      <selection activeCell="J293" sqref="J293"/>
      <selection pane="bottomLeft" activeCell="J293" sqref="J293"/>
    </sheetView>
  </sheetViews>
  <sheetFormatPr baseColWidth="12" defaultRowHeight="21" customHeight="1" x14ac:dyDescent="0.15"/>
  <cols>
    <col min="1" max="1" width="14.59765625" style="1" bestFit="1" customWidth="1"/>
    <col min="2" max="2" width="14.19921875" style="1" bestFit="1" customWidth="1"/>
    <col min="3" max="4" width="14.19921875" style="1" customWidth="1"/>
    <col min="5" max="5" width="16.3984375" style="1" customWidth="1"/>
    <col min="6" max="6" width="8.59765625" style="1" bestFit="1" customWidth="1"/>
    <col min="14" max="14" width="8.59765625" style="1" bestFit="1" customWidth="1"/>
    <col min="15" max="16" width="13" style="1"/>
    <col min="17" max="17" width="18.796875" style="1" bestFit="1" customWidth="1"/>
    <col min="18" max="16384" width="13" style="1"/>
  </cols>
  <sheetData>
    <row r="1" spans="1:17" ht="21" customHeight="1" x14ac:dyDescent="0.15">
      <c r="A1" s="13" t="s">
        <v>10</v>
      </c>
      <c r="B1" s="23" t="s">
        <v>13</v>
      </c>
      <c r="C1" s="14" t="s">
        <v>15</v>
      </c>
      <c r="D1" s="14" t="s">
        <v>16</v>
      </c>
      <c r="E1" s="14" t="s">
        <v>17</v>
      </c>
      <c r="F1" s="13" t="s">
        <v>2</v>
      </c>
      <c r="G1" s="54" t="s">
        <v>92</v>
      </c>
      <c r="H1" s="54" t="s">
        <v>93</v>
      </c>
      <c r="I1" s="55" t="s">
        <v>94</v>
      </c>
      <c r="J1" s="55" t="s">
        <v>95</v>
      </c>
      <c r="K1" s="55" t="s">
        <v>96</v>
      </c>
      <c r="L1" s="55" t="s">
        <v>97</v>
      </c>
      <c r="M1" s="55" t="s">
        <v>98</v>
      </c>
      <c r="N1" s="13" t="s">
        <v>18</v>
      </c>
      <c r="O1" s="13" t="s">
        <v>19</v>
      </c>
      <c r="P1" s="13" t="s">
        <v>20</v>
      </c>
      <c r="Q1" s="13" t="s">
        <v>21</v>
      </c>
    </row>
    <row r="2" spans="1:17" ht="21" customHeight="1" x14ac:dyDescent="0.15">
      <c r="G2" s="1">
        <v>0</v>
      </c>
      <c r="H2" s="1">
        <v>0</v>
      </c>
      <c r="I2" s="1">
        <v>0</v>
      </c>
      <c r="J2" s="1">
        <v>0</v>
      </c>
      <c r="K2" s="1">
        <v>1</v>
      </c>
      <c r="L2" s="1">
        <v>1</v>
      </c>
      <c r="M2" s="1">
        <v>1</v>
      </c>
      <c r="N2" s="1" t="s">
        <v>99</v>
      </c>
    </row>
  </sheetData>
  <autoFilter ref="A1:F1"/>
  <phoneticPr fontId="17"/>
  <pageMargins left="0.75" right="0.75" top="1" bottom="1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266"/>
  <sheetViews>
    <sheetView topLeftCell="A255" workbookViewId="0">
      <selection activeCell="E28" sqref="E28"/>
    </sheetView>
  </sheetViews>
  <sheetFormatPr baseColWidth="12" defaultRowHeight="14" outlineLevelCol="1" x14ac:dyDescent="0.15"/>
  <cols>
    <col min="1" max="1" width="10.3984375" style="1" customWidth="1"/>
    <col min="2" max="2" width="23.3984375" style="1" customWidth="1" outlineLevel="1"/>
  </cols>
  <sheetData>
    <row r="1" spans="1:2" x14ac:dyDescent="0.15">
      <c r="A1" s="15" t="s">
        <v>32</v>
      </c>
      <c r="B1" s="3" t="s">
        <v>33</v>
      </c>
    </row>
    <row r="2" spans="1:2" x14ac:dyDescent="0.15">
      <c r="A2" s="6">
        <v>126</v>
      </c>
      <c r="B2" s="7" t="str">
        <f>VLOOKUP(A2,[1]characters!$A:$C,3,FALSE)</f>
        <v>骨器使い ユノ</v>
      </c>
    </row>
    <row r="3" spans="1:2" x14ac:dyDescent="0.15">
      <c r="A3" s="6">
        <v>127</v>
      </c>
      <c r="B3" s="7" t="str">
        <f>VLOOKUP(A3,[1]characters!$A:$C,3,FALSE)</f>
        <v>狂喜の賢者 ユノ</v>
      </c>
    </row>
    <row r="4" spans="1:2" x14ac:dyDescent="0.15">
      <c r="A4" s="6">
        <v>128</v>
      </c>
      <c r="B4" s="7" t="str">
        <f>VLOOKUP(A4,[1]characters!$A:$C,3,FALSE)</f>
        <v>野生児 アマラ</v>
      </c>
    </row>
    <row r="5" spans="1:2" x14ac:dyDescent="0.15">
      <c r="A5" s="6">
        <v>129</v>
      </c>
      <c r="B5" s="7" t="str">
        <f>VLOOKUP(A5,[1]characters!$A:$C,3,FALSE)</f>
        <v>孤高の狼憑き アマラ</v>
      </c>
    </row>
    <row r="6" spans="1:2" x14ac:dyDescent="0.15">
      <c r="A6" s="6">
        <v>130</v>
      </c>
      <c r="B6" s="7" t="str">
        <f>VLOOKUP(A6,[1]characters!$A:$C,3,FALSE)</f>
        <v>狼男 ローレンス</v>
      </c>
    </row>
    <row r="7" spans="1:2" x14ac:dyDescent="0.15">
      <c r="A7" s="6">
        <v>131</v>
      </c>
      <c r="B7" s="7" t="str">
        <f>VLOOKUP(A7,[1]characters!$A:$C,3,FALSE)</f>
        <v>月下の人狼 ローレンス</v>
      </c>
    </row>
    <row r="8" spans="1:2" x14ac:dyDescent="0.15">
      <c r="A8" s="6">
        <v>132</v>
      </c>
      <c r="B8" s="7" t="str">
        <f>VLOOKUP(A8,[1]characters!$A:$C,3,FALSE)</f>
        <v>鳥人ハヤト</v>
      </c>
    </row>
    <row r="9" spans="1:2" x14ac:dyDescent="0.15">
      <c r="A9" s="6">
        <v>133</v>
      </c>
      <c r="B9" s="7" t="str">
        <f>VLOOKUP(A9,[1]characters!$A:$C,3,FALSE)</f>
        <v>迅雷の刀剣 ハヤト</v>
      </c>
    </row>
    <row r="10" spans="1:2" x14ac:dyDescent="0.15">
      <c r="A10" s="6">
        <v>134</v>
      </c>
      <c r="B10" s="7" t="str">
        <f>VLOOKUP(A10,[1]characters!$A:$C,3,FALSE)</f>
        <v>妖炎の夕霧</v>
      </c>
    </row>
    <row r="11" spans="1:2" x14ac:dyDescent="0.15">
      <c r="A11" s="6">
        <v>135</v>
      </c>
      <c r="B11" s="7" t="str">
        <f>VLOOKUP(A11,[1]characters!$A:$C,3,FALSE)</f>
        <v>京の炎華夕霧</v>
      </c>
    </row>
    <row r="12" spans="1:2" x14ac:dyDescent="0.15">
      <c r="A12" s="8">
        <v>136</v>
      </c>
      <c r="B12" s="7" t="str">
        <f>VLOOKUP(A12,[1]characters!$A:$C,3,FALSE)</f>
        <v>お針子チハヤ</v>
      </c>
    </row>
    <row r="13" spans="1:2" x14ac:dyDescent="0.15">
      <c r="A13" s="8">
        <v>137</v>
      </c>
      <c r="B13" s="7" t="str">
        <f>VLOOKUP(A13,[1]characters!$A:$C,3,FALSE)</f>
        <v>清福の仕立屋 チハヤ</v>
      </c>
    </row>
    <row r="14" spans="1:2" x14ac:dyDescent="0.15">
      <c r="A14" s="6">
        <v>138</v>
      </c>
      <c r="B14" s="7" t="str">
        <f>VLOOKUP(A14,[1]characters!$A:$C,3,FALSE)</f>
        <v>蒼薙のトモエ</v>
      </c>
    </row>
    <row r="15" spans="1:2" x14ac:dyDescent="0.15">
      <c r="A15" s="6">
        <v>139</v>
      </c>
      <c r="B15" s="7" t="str">
        <f>VLOOKUP(A15,[1]characters!$A:$C,3,FALSE)</f>
        <v>蒼昇刃姫 トモエ</v>
      </c>
    </row>
    <row r="16" spans="1:2" x14ac:dyDescent="0.15">
      <c r="A16" s="10">
        <v>140</v>
      </c>
      <c r="B16" s="7" t="str">
        <f>VLOOKUP(A16,[1]characters!$A:$C,3,FALSE)</f>
        <v>秋祭のタマモ</v>
      </c>
    </row>
    <row r="17" spans="1:2" x14ac:dyDescent="0.15">
      <c r="A17" s="11">
        <v>141</v>
      </c>
      <c r="B17" s="7" t="str">
        <f>VLOOKUP(A17,[1]characters!$A:$C,3,FALSE)</f>
        <v>妖狐演舞 タマモ</v>
      </c>
    </row>
    <row r="18" spans="1:2" x14ac:dyDescent="0.15">
      <c r="A18" s="6">
        <v>142</v>
      </c>
      <c r="B18" s="7" t="str">
        <f>VLOOKUP(A18,[1]characters!$A:$C,3,FALSE)</f>
        <v>赤ずきん</v>
      </c>
    </row>
    <row r="19" spans="1:2" x14ac:dyDescent="0.15">
      <c r="A19" s="6">
        <v>143</v>
      </c>
      <c r="B19" s="7" t="str">
        <f>VLOOKUP(A19,[1]characters!$A:$C,3,FALSE)</f>
        <v>深紅の死神 赤ずきん</v>
      </c>
    </row>
    <row r="20" spans="1:2" x14ac:dyDescent="0.15">
      <c r="A20" s="10">
        <v>144</v>
      </c>
      <c r="B20" s="7" t="str">
        <f>VLOOKUP(A20,[1]characters!$A:$C,3,FALSE)</f>
        <v>かぐや</v>
      </c>
    </row>
    <row r="21" spans="1:2" x14ac:dyDescent="0.15">
      <c r="A21" s="6">
        <v>145</v>
      </c>
      <c r="B21" s="7" t="str">
        <f>VLOOKUP(A21,[1]characters!$A:$C,3,FALSE)</f>
        <v>魔性妖艶 かぐや</v>
      </c>
    </row>
    <row r="22" spans="1:2" x14ac:dyDescent="0.15">
      <c r="A22" s="6">
        <v>146</v>
      </c>
      <c r="B22" s="7" t="str">
        <f>VLOOKUP(A22,[1]characters!$A:$C,3,FALSE)</f>
        <v>マーメイド</v>
      </c>
    </row>
    <row r="23" spans="1:2" x14ac:dyDescent="0.15">
      <c r="A23" s="6">
        <v>147</v>
      </c>
      <c r="B23" s="7" t="str">
        <f>VLOOKUP(A23,[1]characters!$A:$C,3,FALSE)</f>
        <v>蒼き閃光 元マーメイド</v>
      </c>
    </row>
    <row r="24" spans="1:2" x14ac:dyDescent="0.15">
      <c r="A24" s="6">
        <v>148</v>
      </c>
      <c r="B24" s="7" t="str">
        <f>VLOOKUP(A24,[1]characters!$A:$C,3,FALSE)</f>
        <v>シンデレラ</v>
      </c>
    </row>
    <row r="25" spans="1:2" x14ac:dyDescent="0.15">
      <c r="A25" s="6">
        <v>149</v>
      </c>
      <c r="B25" s="7" t="str">
        <f>VLOOKUP(A25,[1]characters!$A:$C,3,FALSE)</f>
        <v>雷撃蹴技を極めし者 シンデレラ</v>
      </c>
    </row>
    <row r="26" spans="1:2" x14ac:dyDescent="0.15">
      <c r="A26" s="6">
        <v>150</v>
      </c>
      <c r="B26" s="7" t="str">
        <f>VLOOKUP(A26,[1]characters!$A:$C,3,FALSE)</f>
        <v>ポイズンマスターサキ</v>
      </c>
    </row>
    <row r="27" spans="1:2" x14ac:dyDescent="0.15">
      <c r="A27" s="6">
        <v>151</v>
      </c>
      <c r="B27" s="7" t="str">
        <f>VLOOKUP(A27,[1]characters!$A:$C,3,FALSE)</f>
        <v>毒煙の処刑人サキ</v>
      </c>
    </row>
    <row r="28" spans="1:2" x14ac:dyDescent="0.15">
      <c r="A28" s="6">
        <v>152</v>
      </c>
      <c r="B28" s="7" t="str">
        <f>VLOOKUP(A28,[1]characters!$A:$C,3,FALSE)</f>
        <v>功夫少女ランラン</v>
      </c>
    </row>
    <row r="29" spans="1:2" x14ac:dyDescent="0.15">
      <c r="A29" s="6">
        <v>153</v>
      </c>
      <c r="B29" s="7" t="str">
        <f>VLOOKUP(A29,[1]characters!$A:$C,3,FALSE)</f>
        <v>拳聖ランラン</v>
      </c>
    </row>
    <row r="30" spans="1:2" x14ac:dyDescent="0.15">
      <c r="A30" s="6">
        <v>154</v>
      </c>
      <c r="B30" s="7" t="str">
        <f>VLOOKUP(A30,[1]characters!$A:$C,3,FALSE)</f>
        <v>始末屋 ハンナ</v>
      </c>
    </row>
    <row r="31" spans="1:2" x14ac:dyDescent="0.15">
      <c r="A31" s="6">
        <v>155</v>
      </c>
      <c r="B31" s="7" t="str">
        <f>VLOOKUP(A31,[1]characters!$A:$C,3,FALSE)</f>
        <v>隻眼の掃除屋 ハンナ</v>
      </c>
    </row>
    <row r="32" spans="1:2" x14ac:dyDescent="0.15">
      <c r="A32" s="6">
        <v>156</v>
      </c>
      <c r="B32" s="7" t="str">
        <f>VLOOKUP(A32,[1]characters!$A:$C,3,FALSE)</f>
        <v>踊り子 エレナ</v>
      </c>
    </row>
    <row r="33" spans="1:2" x14ac:dyDescent="0.15">
      <c r="A33" s="6">
        <v>157</v>
      </c>
      <c r="B33" s="7" t="str">
        <f>VLOOKUP(A33,[1]characters!$A:$C,3,FALSE)</f>
        <v>雷光舞姫 エレナ</v>
      </c>
    </row>
    <row r="34" spans="1:2" x14ac:dyDescent="0.15">
      <c r="A34" s="6">
        <v>158</v>
      </c>
      <c r="B34" s="7" t="str">
        <f>VLOOKUP(A34,[1]characters!$A:$C,3,FALSE)</f>
        <v>シスター シャルロッテ</v>
      </c>
    </row>
    <row r="35" spans="1:2" x14ac:dyDescent="0.15">
      <c r="A35" s="6">
        <v>159</v>
      </c>
      <c r="B35" s="7" t="str">
        <f>VLOOKUP(A35,[1]characters!$A:$C,3,FALSE)</f>
        <v>邪を狩りし者 シャルロッテ</v>
      </c>
    </row>
    <row r="36" spans="1:2" x14ac:dyDescent="0.15">
      <c r="A36" s="6">
        <v>160</v>
      </c>
      <c r="B36" s="7" t="str">
        <f>VLOOKUP(A36,[1]characters!$A:$C,3,FALSE)</f>
        <v>反逆者 クリエ</v>
      </c>
    </row>
    <row r="37" spans="1:2" x14ac:dyDescent="0.15">
      <c r="A37" s="6">
        <v>161</v>
      </c>
      <c r="B37" s="7" t="str">
        <f>VLOOKUP(A37,[1]characters!$A:$C,3,FALSE)</f>
        <v>咆哮の先導者 クリエ</v>
      </c>
    </row>
    <row r="38" spans="1:2" x14ac:dyDescent="0.15">
      <c r="A38" s="6">
        <v>162</v>
      </c>
      <c r="B38" s="7" t="str">
        <f>VLOOKUP(A38,[1]characters!$A:$C,3,FALSE)</f>
        <v>狂女 クララ</v>
      </c>
    </row>
    <row r="39" spans="1:2" x14ac:dyDescent="0.15">
      <c r="A39" s="6">
        <v>163</v>
      </c>
      <c r="B39" s="7" t="str">
        <f>VLOOKUP(A39,[1]characters!$A:$C,3,FALSE)</f>
        <v>冷酷な狂嬢 クララ</v>
      </c>
    </row>
    <row r="40" spans="1:2" x14ac:dyDescent="0.15">
      <c r="A40" s="6">
        <v>164</v>
      </c>
      <c r="B40" s="7" t="str">
        <f>VLOOKUP(A40,[1]characters!$A:$C,3,FALSE)</f>
        <v>イブとトモダチ</v>
      </c>
    </row>
    <row r="41" spans="1:2" x14ac:dyDescent="0.15">
      <c r="A41" s="6">
        <v>165</v>
      </c>
      <c r="B41" s="7" t="str">
        <f>VLOOKUP(A41,[1]characters!$A:$C,3,FALSE)</f>
        <v>イブとたったひとりのトモダチ</v>
      </c>
    </row>
    <row r="42" spans="1:2" x14ac:dyDescent="0.15">
      <c r="A42" s="6">
        <v>166</v>
      </c>
      <c r="B42" s="7" t="str">
        <f>VLOOKUP(A42,[1]characters!$A:$C,3,FALSE)</f>
        <v>ベリアル</v>
      </c>
    </row>
    <row r="43" spans="1:2" x14ac:dyDescent="0.15">
      <c r="A43" s="6">
        <v>167</v>
      </c>
      <c r="B43" s="7" t="str">
        <f>VLOOKUP(A43,[1]characters!$A:$C,3,FALSE)</f>
        <v>逆徒 ベリアル</v>
      </c>
    </row>
    <row r="44" spans="1:2" x14ac:dyDescent="0.15">
      <c r="A44" s="6">
        <v>168</v>
      </c>
      <c r="B44" s="7" t="str">
        <f>VLOOKUP(A44,[1]characters!$A:$C,3,FALSE)</f>
        <v>猛進の大逆者 ベリアル</v>
      </c>
    </row>
    <row r="45" spans="1:2" x14ac:dyDescent="0.15">
      <c r="A45" s="6">
        <v>169</v>
      </c>
      <c r="B45" s="7" t="str">
        <f>VLOOKUP(A45,[1]characters!$A:$C,3,FALSE)</f>
        <v>オセ</v>
      </c>
    </row>
    <row r="46" spans="1:2" x14ac:dyDescent="0.15">
      <c r="A46" s="6">
        <v>170</v>
      </c>
      <c r="B46" s="7" t="str">
        <f>VLOOKUP(A46,[1]characters!$A:$C,3,FALSE)</f>
        <v>識徒 オセ</v>
      </c>
    </row>
    <row r="47" spans="1:2" x14ac:dyDescent="0.15">
      <c r="A47" s="6">
        <v>171</v>
      </c>
      <c r="B47" s="7" t="str">
        <f>VLOOKUP(A47,[1]characters!$A:$C,3,FALSE)</f>
        <v>精解の預知者 オセ</v>
      </c>
    </row>
    <row r="48" spans="1:2" x14ac:dyDescent="0.15">
      <c r="A48" s="6">
        <v>172</v>
      </c>
      <c r="B48" s="7" t="str">
        <f>VLOOKUP(A48,[1]characters!$A:$C,3,FALSE)</f>
        <v>フォルネウス</v>
      </c>
    </row>
    <row r="49" spans="1:2" x14ac:dyDescent="0.15">
      <c r="A49" s="6">
        <v>173</v>
      </c>
      <c r="B49" s="7" t="str">
        <f>VLOOKUP(A49,[1]characters!$A:$C,3,FALSE)</f>
        <v>公爵 フォルネウス</v>
      </c>
    </row>
    <row r="50" spans="1:2" x14ac:dyDescent="0.15">
      <c r="A50" s="6">
        <v>174</v>
      </c>
      <c r="B50" s="7" t="str">
        <f>VLOOKUP(A50,[1]characters!$A:$C,3,FALSE)</f>
        <v>偽愛の大公爵 フォルネウス</v>
      </c>
    </row>
    <row r="51" spans="1:2" x14ac:dyDescent="0.15">
      <c r="A51" s="6">
        <v>175</v>
      </c>
      <c r="B51" s="7" t="str">
        <f>VLOOKUP(A51,[1]characters!$A:$C,3,FALSE)</f>
        <v>バフォメット</v>
      </c>
    </row>
    <row r="52" spans="1:2" x14ac:dyDescent="0.15">
      <c r="A52" s="6">
        <v>176</v>
      </c>
      <c r="B52" s="7" t="str">
        <f>VLOOKUP(A52,[1]characters!$A:$C,3,FALSE)</f>
        <v>異教徒 バフォメット</v>
      </c>
    </row>
    <row r="53" spans="1:2" x14ac:dyDescent="0.15">
      <c r="A53" s="6">
        <v>177</v>
      </c>
      <c r="B53" s="7" t="str">
        <f>VLOOKUP(A53,[1]characters!$A:$C,3,FALSE)</f>
        <v>黒魔の異端師 バフォメット</v>
      </c>
    </row>
    <row r="54" spans="1:2" x14ac:dyDescent="0.15">
      <c r="A54" s="6">
        <v>178</v>
      </c>
      <c r="B54" s="7" t="str">
        <f>VLOOKUP(A54,[1]characters!$A:$C,3,FALSE)</f>
        <v>ケルベロス</v>
      </c>
    </row>
    <row r="55" spans="1:2" x14ac:dyDescent="0.15">
      <c r="A55" s="6">
        <v>179</v>
      </c>
      <c r="B55" s="7" t="str">
        <f>VLOOKUP(A55,[1]characters!$A:$C,3,FALSE)</f>
        <v>番犬 ケルベロス</v>
      </c>
    </row>
    <row r="56" spans="1:2" x14ac:dyDescent="0.15">
      <c r="A56" s="6">
        <v>180</v>
      </c>
      <c r="B56" s="7" t="str">
        <f>VLOOKUP(A56,[1]characters!$A:$C,3,FALSE)</f>
        <v>地獄の大門番 ケルベロス</v>
      </c>
    </row>
    <row r="57" spans="1:2" x14ac:dyDescent="0.15">
      <c r="A57" s="6">
        <v>181</v>
      </c>
      <c r="B57" s="7" t="str">
        <f>VLOOKUP(A57,[1]characters!$A:$C,3,FALSE)</f>
        <v>ベヒモス</v>
      </c>
    </row>
    <row r="58" spans="1:2" x14ac:dyDescent="0.15">
      <c r="A58" s="6">
        <v>182</v>
      </c>
      <c r="B58" s="7" t="str">
        <f>VLOOKUP(A58,[1]characters!$A:$C,3,FALSE)</f>
        <v>放蕩者 ベヒモス</v>
      </c>
    </row>
    <row r="59" spans="1:2" x14ac:dyDescent="0.15">
      <c r="A59" s="6">
        <v>183</v>
      </c>
      <c r="B59" s="7" t="str">
        <f>VLOOKUP(A59,[1]characters!$A:$C,3,FALSE)</f>
        <v>鈍重な彷徨者 ベヒモス</v>
      </c>
    </row>
    <row r="60" spans="1:2" x14ac:dyDescent="0.15">
      <c r="A60" s="6">
        <v>184</v>
      </c>
      <c r="B60" s="7" t="str">
        <f>VLOOKUP(A60,[1]characters!$A:$C,3,FALSE)</f>
        <v>クラーケン</v>
      </c>
    </row>
    <row r="61" spans="1:2" x14ac:dyDescent="0.15">
      <c r="A61" s="6">
        <v>185</v>
      </c>
      <c r="B61" s="7" t="str">
        <f>VLOOKUP(A61,[1]characters!$A:$C,3,FALSE)</f>
        <v>海姫 クラーケン</v>
      </c>
    </row>
    <row r="62" spans="1:2" x14ac:dyDescent="0.15">
      <c r="A62" s="8">
        <v>186</v>
      </c>
      <c r="B62" s="7" t="str">
        <f>VLOOKUP(A62,[1]characters!$A:$C,3,FALSE)</f>
        <v>誇り高き多触姫・クラーケン</v>
      </c>
    </row>
    <row r="63" spans="1:2" x14ac:dyDescent="0.15">
      <c r="A63" s="8">
        <v>187</v>
      </c>
      <c r="B63" s="7" t="str">
        <f>VLOOKUP(A63,[1]characters!$A:$C,3,FALSE)</f>
        <v>ホルス</v>
      </c>
    </row>
    <row r="64" spans="1:2" x14ac:dyDescent="0.15">
      <c r="A64" s="8">
        <v>188</v>
      </c>
      <c r="B64" s="7" t="str">
        <f>VLOOKUP(A64,[1]characters!$A:$C,3,FALSE)</f>
        <v>猛禽 ホルス</v>
      </c>
    </row>
    <row r="65" spans="1:2" x14ac:dyDescent="0.15">
      <c r="A65" s="8">
        <v>189</v>
      </c>
      <c r="B65" s="7" t="str">
        <f>VLOOKUP(A65,[1]characters!$A:$C,3,FALSE)</f>
        <v>迅雷の王禽 ホルス</v>
      </c>
    </row>
    <row r="66" spans="1:2" x14ac:dyDescent="0.15">
      <c r="A66" s="6">
        <v>190</v>
      </c>
      <c r="B66" s="7" t="str">
        <f>VLOOKUP(A66,[1]characters!$A:$C,3,FALSE)</f>
        <v>卑弥呼</v>
      </c>
    </row>
    <row r="67" spans="1:2" x14ac:dyDescent="0.15">
      <c r="A67" s="6">
        <v>191</v>
      </c>
      <c r="B67" s="7" t="str">
        <f>VLOOKUP(A67,[1]characters!$A:$C,3,FALSE)</f>
        <v>始祖 卑弥呼</v>
      </c>
    </row>
    <row r="68" spans="1:2" x14ac:dyDescent="0.15">
      <c r="A68" s="6">
        <v>192</v>
      </c>
      <c r="B68" s="7" t="str">
        <f>VLOOKUP(A68,[1]characters!$A:$C,3,FALSE)</f>
        <v>荘厳なる始祖帝 卑弥呼</v>
      </c>
    </row>
    <row r="69" spans="1:2" x14ac:dyDescent="0.15">
      <c r="A69" s="6">
        <v>193</v>
      </c>
      <c r="B69" s="7" t="str">
        <f>VLOOKUP(A69,[1]characters!$A:$C,3,FALSE)</f>
        <v>ロビンフッド</v>
      </c>
    </row>
    <row r="70" spans="1:2" x14ac:dyDescent="0.15">
      <c r="A70" s="10">
        <v>194</v>
      </c>
      <c r="B70" s="7" t="str">
        <f>VLOOKUP(A70,[1]characters!$A:$C,3,FALSE)</f>
        <v>スナイパー ロビンフッド</v>
      </c>
    </row>
    <row r="71" spans="1:2" x14ac:dyDescent="0.15">
      <c r="A71" s="6">
        <v>195</v>
      </c>
      <c r="B71" s="7" t="str">
        <f>VLOOKUP(A71,[1]characters!$A:$C,3,FALSE)</f>
        <v>グランドハンター ロビンフッド</v>
      </c>
    </row>
    <row r="72" spans="1:2" x14ac:dyDescent="0.15">
      <c r="A72" s="10">
        <v>196</v>
      </c>
      <c r="B72" s="7" t="str">
        <f>VLOOKUP(A72,[1]characters!$A:$C,3,FALSE)</f>
        <v>アキレス</v>
      </c>
    </row>
    <row r="73" spans="1:2" x14ac:dyDescent="0.15">
      <c r="A73" s="11">
        <v>197</v>
      </c>
      <c r="B73" s="7" t="str">
        <f>VLOOKUP(A73,[1]characters!$A:$C,3,FALSE)</f>
        <v>鉄腕 アキレス</v>
      </c>
    </row>
    <row r="74" spans="1:2" x14ac:dyDescent="0.15">
      <c r="A74" s="6">
        <v>198</v>
      </c>
      <c r="B74" s="7" t="str">
        <f>VLOOKUP(A74,[1]characters!$A:$C,3,FALSE)</f>
        <v>砕骨の剛腕 アキレス</v>
      </c>
    </row>
    <row r="75" spans="1:2" x14ac:dyDescent="0.15">
      <c r="A75" s="6">
        <v>199</v>
      </c>
      <c r="B75" s="7" t="str">
        <f>VLOOKUP(A75,[1]characters!$A:$C,3,FALSE)</f>
        <v>ジークフリート</v>
      </c>
    </row>
    <row r="76" spans="1:2" x14ac:dyDescent="0.15">
      <c r="A76" s="6">
        <v>200</v>
      </c>
      <c r="B76" s="7" t="str">
        <f>VLOOKUP(A76,[1]characters!$A:$C,3,FALSE)</f>
        <v>大剣士 ジークフリート</v>
      </c>
    </row>
    <row r="77" spans="1:2" x14ac:dyDescent="0.15">
      <c r="A77" s="5">
        <v>201</v>
      </c>
      <c r="B77" s="7" t="str">
        <f>VLOOKUP(A77,[1]characters!$A:$C,3,FALSE)</f>
        <v>斬空の大破剣 ジークフリート</v>
      </c>
    </row>
    <row r="78" spans="1:2" x14ac:dyDescent="0.15">
      <c r="A78" s="5">
        <v>202</v>
      </c>
      <c r="B78" s="7" t="str">
        <f>VLOOKUP(A78,[1]characters!$A:$C,3,FALSE)</f>
        <v>プロメテウス</v>
      </c>
    </row>
    <row r="79" spans="1:2" x14ac:dyDescent="0.15">
      <c r="A79" s="5">
        <v>203</v>
      </c>
      <c r="B79" s="7" t="str">
        <f>VLOOKUP(A79,[1]characters!$A:$C,3,FALSE)</f>
        <v>焔神 プロメテウス</v>
      </c>
    </row>
    <row r="80" spans="1:2" x14ac:dyDescent="0.15">
      <c r="A80" s="5">
        <v>204</v>
      </c>
      <c r="B80" s="7" t="str">
        <f>VLOOKUP(A80,[1]characters!$A:$C,3,FALSE)</f>
        <v>慟哭の巨焔 プロメテウス</v>
      </c>
    </row>
    <row r="81" spans="1:2" x14ac:dyDescent="0.15">
      <c r="A81" s="5">
        <v>205</v>
      </c>
      <c r="B81" s="7" t="str">
        <f>VLOOKUP(A81,[1]characters!$A:$C,3,FALSE)</f>
        <v>アフロディーテ</v>
      </c>
    </row>
    <row r="82" spans="1:2" x14ac:dyDescent="0.15">
      <c r="A82" s="5">
        <v>206</v>
      </c>
      <c r="B82" s="7" t="str">
        <f>VLOOKUP(A82,[1]characters!$A:$C,3,FALSE)</f>
        <v>美神 アフロディーテ</v>
      </c>
    </row>
    <row r="83" spans="1:2" x14ac:dyDescent="0.15">
      <c r="A83" s="5">
        <v>207</v>
      </c>
      <c r="B83" s="7" t="str">
        <f>VLOOKUP(A83,[1]characters!$A:$C,3,FALSE)</f>
        <v>豊穣の麗神・アフロディーテ</v>
      </c>
    </row>
    <row r="84" spans="1:2" x14ac:dyDescent="0.15">
      <c r="A84" s="5">
        <v>208</v>
      </c>
      <c r="B84" s="7" t="str">
        <f>VLOOKUP(A84,[1]characters!$A:$C,3,FALSE)</f>
        <v>テティス</v>
      </c>
    </row>
    <row r="85" spans="1:2" x14ac:dyDescent="0.15">
      <c r="A85" s="5">
        <v>209</v>
      </c>
      <c r="B85" s="7" t="str">
        <f>VLOOKUP(A85,[1]characters!$A:$C,3,FALSE)</f>
        <v>孤神 テティス</v>
      </c>
    </row>
    <row r="86" spans="1:2" x14ac:dyDescent="0.15">
      <c r="A86" s="5">
        <v>210</v>
      </c>
      <c r="B86" s="7" t="str">
        <f>VLOOKUP(A86,[1]characters!$A:$C,3,FALSE)</f>
        <v>海底の孤高神 テティス</v>
      </c>
    </row>
    <row r="87" spans="1:2" x14ac:dyDescent="0.15">
      <c r="A87" s="5">
        <v>211</v>
      </c>
      <c r="B87" s="7" t="str">
        <f>VLOOKUP(A87,[1]characters!$A:$C,3,FALSE)</f>
        <v>アストライアー</v>
      </c>
    </row>
    <row r="88" spans="1:2" x14ac:dyDescent="0.15">
      <c r="A88" s="5">
        <v>212</v>
      </c>
      <c r="B88" s="7" t="str">
        <f>VLOOKUP(A88,[1]characters!$A:$C,3,FALSE)</f>
        <v>星神 アストライアー</v>
      </c>
    </row>
    <row r="89" spans="1:2" x14ac:dyDescent="0.15">
      <c r="A89" s="5">
        <v>213</v>
      </c>
      <c r="B89" s="7" t="str">
        <f>VLOOKUP(A89,[1]characters!$A:$C,3,FALSE)</f>
        <v>満天の星降神 アストライアー</v>
      </c>
    </row>
    <row r="90" spans="1:2" x14ac:dyDescent="0.15">
      <c r="A90" s="5">
        <v>214</v>
      </c>
      <c r="B90" s="7" t="str">
        <f>VLOOKUP(A90,[1]characters!$A:$C,3,FALSE)</f>
        <v>アズラエル</v>
      </c>
    </row>
    <row r="91" spans="1:2" x14ac:dyDescent="0.15">
      <c r="A91" s="5">
        <v>215</v>
      </c>
      <c r="B91" s="7" t="str">
        <f>VLOOKUP(A91,[1]characters!$A:$C,3,FALSE)</f>
        <v>死導者 アズラエル</v>
      </c>
    </row>
    <row r="92" spans="1:2" x14ac:dyDescent="0.15">
      <c r="A92" s="5">
        <v>216</v>
      </c>
      <c r="B92" s="7" t="str">
        <f>VLOOKUP(A92,[1]characters!$A:$C,3,FALSE)</f>
        <v>百読の死導司書 アズラエル</v>
      </c>
    </row>
    <row r="93" spans="1:2" x14ac:dyDescent="0.15">
      <c r="A93" s="5">
        <v>217</v>
      </c>
      <c r="B93" s="7" t="str">
        <f>VLOOKUP(A93,[1]characters!$A:$C,3,FALSE)</f>
        <v>ケツァクアトル</v>
      </c>
    </row>
    <row r="94" spans="1:2" x14ac:dyDescent="0.15">
      <c r="A94" s="5">
        <v>218</v>
      </c>
      <c r="B94" s="7" t="str">
        <f>VLOOKUP(A94,[1]characters!$A:$C,3,FALSE)</f>
        <v>聖蛇 ケツァクアトル</v>
      </c>
    </row>
    <row r="95" spans="1:2" x14ac:dyDescent="0.15">
      <c r="A95" s="5">
        <v>219</v>
      </c>
      <c r="B95" s="7" t="str">
        <f>VLOOKUP(A95,[1]characters!$A:$C,3,FALSE)</f>
        <v>覇翼の聖蛇竜 ケツァクアトル</v>
      </c>
    </row>
    <row r="96" spans="1:2" x14ac:dyDescent="0.15">
      <c r="A96" s="5">
        <v>220</v>
      </c>
      <c r="B96" s="7" t="str">
        <f>VLOOKUP(A96,[1]characters!$A:$C,3,FALSE)</f>
        <v>ルキフグス</v>
      </c>
    </row>
    <row r="97" spans="1:2" x14ac:dyDescent="0.15">
      <c r="A97" s="5">
        <v>221</v>
      </c>
      <c r="B97" s="7" t="str">
        <f>VLOOKUP(A97,[1]characters!$A:$C,3,FALSE)</f>
        <v>宰相 ルキフグス</v>
      </c>
    </row>
    <row r="98" spans="1:2" x14ac:dyDescent="0.15">
      <c r="A98" s="5">
        <v>222</v>
      </c>
      <c r="B98" s="7" t="str">
        <f>VLOOKUP(A98,[1]characters!$A:$C,3,FALSE)</f>
        <v>避光の鉄鎖宰相 ルキフグス</v>
      </c>
    </row>
    <row r="99" spans="1:2" x14ac:dyDescent="0.15">
      <c r="A99" s="5">
        <v>223</v>
      </c>
      <c r="B99" s="7" t="str">
        <f>VLOOKUP(A99,[1]characters!$A:$C,3,FALSE)</f>
        <v>ヘラクレス</v>
      </c>
    </row>
    <row r="100" spans="1:2" x14ac:dyDescent="0.15">
      <c r="A100" s="5">
        <v>224</v>
      </c>
      <c r="B100" s="7" t="str">
        <f>VLOOKUP(A100,[1]characters!$A:$C,3,FALSE)</f>
        <v>巨腕 ヘラクレス</v>
      </c>
    </row>
    <row r="101" spans="1:2" x14ac:dyDescent="0.15">
      <c r="A101" s="5">
        <v>225</v>
      </c>
      <c r="B101" s="7" t="str">
        <f>VLOOKUP(A101,[1]characters!$A:$C,3,FALSE)</f>
        <v>咆哮の巨獅腕 ヘラクレス</v>
      </c>
    </row>
    <row r="102" spans="1:2" x14ac:dyDescent="0.15">
      <c r="A102" s="5">
        <v>226</v>
      </c>
      <c r="B102" s="7" t="str">
        <f>VLOOKUP(A102,[1]characters!$A:$C,3,FALSE)</f>
        <v>アレス</v>
      </c>
    </row>
    <row r="103" spans="1:2" x14ac:dyDescent="0.15">
      <c r="A103" s="5">
        <v>227</v>
      </c>
      <c r="B103" s="7" t="str">
        <f>VLOOKUP(A103,[1]characters!$A:$C,3,FALSE)</f>
        <v>滅弾 アレス</v>
      </c>
    </row>
    <row r="104" spans="1:2" x14ac:dyDescent="0.15">
      <c r="A104" s="5">
        <v>228</v>
      </c>
      <c r="B104" s="7" t="str">
        <f>VLOOKUP(A104,[1]characters!$A:$C,3,FALSE)</f>
        <v>殲滅の掃射砲 アレス</v>
      </c>
    </row>
    <row r="105" spans="1:2" x14ac:dyDescent="0.15">
      <c r="A105" s="5">
        <v>229</v>
      </c>
      <c r="B105" s="7" t="str">
        <f>VLOOKUP(A105,[1]characters!$A:$C,3,FALSE)</f>
        <v>ヨルムンガンド</v>
      </c>
    </row>
    <row r="106" spans="1:2" x14ac:dyDescent="0.15">
      <c r="A106" s="5">
        <v>230</v>
      </c>
      <c r="B106" s="7" t="str">
        <f>VLOOKUP(A106,[1]characters!$A:$C,3,FALSE)</f>
        <v>毒銃 ヨルムンガンド</v>
      </c>
    </row>
    <row r="107" spans="1:2" x14ac:dyDescent="0.15">
      <c r="A107" s="5">
        <v>231</v>
      </c>
      <c r="B107" s="7" t="str">
        <f>VLOOKUP(A107,[1]characters!$A:$C,3,FALSE)</f>
        <v>必中の咬銃 ヨルムンガンド</v>
      </c>
    </row>
    <row r="108" spans="1:2" x14ac:dyDescent="0.15">
      <c r="A108" s="5">
        <v>232</v>
      </c>
      <c r="B108" s="7" t="str">
        <f>VLOOKUP(A108,[1]characters!$A:$C,3,FALSE)</f>
        <v>パーシヴァル</v>
      </c>
    </row>
    <row r="109" spans="1:2" x14ac:dyDescent="0.15">
      <c r="A109" s="5">
        <v>233</v>
      </c>
      <c r="B109" s="7" t="str">
        <f>VLOOKUP(A109,[1]characters!$A:$C,3,FALSE)</f>
        <v>遂行 パーシヴァル</v>
      </c>
    </row>
    <row r="110" spans="1:2" x14ac:dyDescent="0.15">
      <c r="A110" s="5">
        <v>234</v>
      </c>
      <c r="B110" s="7" t="str">
        <f>VLOOKUP(A110,[1]characters!$A:$C,3,FALSE)</f>
        <v>精密なる照準 パーシヴァル</v>
      </c>
    </row>
    <row r="111" spans="1:2" x14ac:dyDescent="0.15">
      <c r="A111" s="5">
        <v>235</v>
      </c>
      <c r="B111" s="7" t="str">
        <f>VLOOKUP(A111,[1]characters!$A:$C,3,FALSE)</f>
        <v>イザナミ</v>
      </c>
    </row>
    <row r="112" spans="1:2" x14ac:dyDescent="0.15">
      <c r="A112" s="5">
        <v>236</v>
      </c>
      <c r="B112" s="7" t="str">
        <f>VLOOKUP(A112,[1]characters!$A:$C,3,FALSE)</f>
        <v>神産 イザナミ</v>
      </c>
    </row>
    <row r="113" spans="1:2" x14ac:dyDescent="0.15">
      <c r="A113" s="5">
        <v>237</v>
      </c>
      <c r="B113" s="7" t="str">
        <f>VLOOKUP(A113,[1]characters!$A:$C,3,FALSE)</f>
        <v>森羅万象の神母 イザナミ</v>
      </c>
    </row>
    <row r="114" spans="1:2" x14ac:dyDescent="0.15">
      <c r="A114" s="5">
        <v>238</v>
      </c>
      <c r="B114" s="7" t="str">
        <f>VLOOKUP(A114,[1]characters!$A:$C,3,FALSE)</f>
        <v>ウリエル</v>
      </c>
    </row>
    <row r="115" spans="1:2" x14ac:dyDescent="0.15">
      <c r="A115" s="5">
        <v>239</v>
      </c>
      <c r="B115" s="7" t="str">
        <f>VLOOKUP(A115,[1]characters!$A:$C,3,FALSE)</f>
        <v>豪炎の天使 ウリエル</v>
      </c>
    </row>
    <row r="116" spans="1:2" x14ac:dyDescent="0.15">
      <c r="A116" s="5">
        <v>240</v>
      </c>
      <c r="B116" s="7" t="str">
        <f>VLOOKUP(A116,[1]characters!$A:$C,3,FALSE)</f>
        <v>轟炎の天使 ウリエル・スレイヤー</v>
      </c>
    </row>
    <row r="117" spans="1:2" x14ac:dyDescent="0.15">
      <c r="A117" s="5">
        <v>241</v>
      </c>
      <c r="B117" s="7" t="str">
        <f>VLOOKUP(A117,[1]characters!$A:$C,3,FALSE)</f>
        <v>ガブリエル</v>
      </c>
    </row>
    <row r="118" spans="1:2" x14ac:dyDescent="0.15">
      <c r="A118" s="5">
        <v>242</v>
      </c>
      <c r="B118" s="7" t="str">
        <f>VLOOKUP(A118,[1]characters!$A:$C,3,FALSE)</f>
        <v>百花の天使 ガブリエル</v>
      </c>
    </row>
    <row r="119" spans="1:2" x14ac:dyDescent="0.15">
      <c r="A119" s="5">
        <v>243</v>
      </c>
      <c r="B119" s="7" t="str">
        <f>VLOOKUP(A119,[1]characters!$A:$C,3,FALSE)</f>
        <v>万花の天使 ガブリエル・ブルーム</v>
      </c>
    </row>
    <row r="120" spans="1:2" x14ac:dyDescent="0.15">
      <c r="A120" s="5">
        <v>244</v>
      </c>
      <c r="B120" s="7" t="str">
        <f>VLOOKUP(A120,[1]characters!$A:$C,3,FALSE)</f>
        <v>ラファエル</v>
      </c>
    </row>
    <row r="121" spans="1:2" x14ac:dyDescent="0.15">
      <c r="A121" s="5">
        <v>245</v>
      </c>
      <c r="B121" s="7" t="str">
        <f>VLOOKUP(A121,[1]characters!$A:$C,3,FALSE)</f>
        <v>鎮癒の天使 ラファエル</v>
      </c>
    </row>
    <row r="122" spans="1:2" x14ac:dyDescent="0.15">
      <c r="A122" s="5">
        <v>246</v>
      </c>
      <c r="B122" s="7" t="str">
        <f>VLOOKUP(A122,[1]characters!$A:$C,3,FALSE)</f>
        <v>真癒の天使 ラファエル・メディカ</v>
      </c>
    </row>
    <row r="123" spans="1:2" x14ac:dyDescent="0.15">
      <c r="A123" s="5">
        <v>247</v>
      </c>
      <c r="B123" s="7" t="str">
        <f>VLOOKUP(A123,[1]characters!$A:$C,3,FALSE)</f>
        <v>ミカエル</v>
      </c>
    </row>
    <row r="124" spans="1:2" x14ac:dyDescent="0.15">
      <c r="A124" s="5">
        <v>248</v>
      </c>
      <c r="B124" s="7" t="str">
        <f>VLOOKUP(A124,[1]characters!$A:$C,3,FALSE)</f>
        <v>彩電の天使 ミカエル</v>
      </c>
    </row>
    <row r="125" spans="1:2" x14ac:dyDescent="0.15">
      <c r="A125" s="6">
        <v>249</v>
      </c>
      <c r="B125" s="7" t="str">
        <f>VLOOKUP(A125,[1]characters!$A:$C,3,FALSE)</f>
        <v>雷電の天使 ミカエル・ゲイナー</v>
      </c>
    </row>
    <row r="126" spans="1:2" x14ac:dyDescent="0.15">
      <c r="A126" s="6">
        <v>250</v>
      </c>
      <c r="B126" s="7" t="str">
        <f>VLOOKUP(A126,[1]characters!$A:$C,3,FALSE)</f>
        <v>マンモン</v>
      </c>
    </row>
    <row r="127" spans="1:2" x14ac:dyDescent="0.15">
      <c r="A127" s="6">
        <v>251</v>
      </c>
      <c r="B127" s="7" t="str">
        <f>VLOOKUP(A127,[1]characters!$A:$C,3,FALSE)</f>
        <v>強欲 マンモン</v>
      </c>
    </row>
    <row r="128" spans="1:2" x14ac:dyDescent="0.15">
      <c r="A128" s="6">
        <v>252</v>
      </c>
      <c r="B128" s="7" t="str">
        <f>VLOOKUP(A128,[1]characters!$A:$C,3,FALSE)</f>
        <v>強欲の沸騰 マンモン</v>
      </c>
    </row>
    <row r="129" spans="1:2" x14ac:dyDescent="0.15">
      <c r="A129" s="6">
        <v>253</v>
      </c>
      <c r="B129" s="7" t="str">
        <f>VLOOKUP(A129,[1]characters!$A:$C,3,FALSE)</f>
        <v>ベルフェゴール</v>
      </c>
    </row>
    <row r="130" spans="1:2" x14ac:dyDescent="0.15">
      <c r="A130" s="6">
        <v>254</v>
      </c>
      <c r="B130" s="7" t="str">
        <f>VLOOKUP(A130,[1]characters!$A:$C,3,FALSE)</f>
        <v>怠惰 ベルフェゴール</v>
      </c>
    </row>
    <row r="131" spans="1:2" x14ac:dyDescent="0.15">
      <c r="A131" s="6">
        <v>255</v>
      </c>
      <c r="B131" s="7" t="str">
        <f>VLOOKUP(A131,[1]characters!$A:$C,3,FALSE)</f>
        <v>怠惰の頂点 ベルフェゴール</v>
      </c>
    </row>
    <row r="132" spans="1:2" x14ac:dyDescent="0.15">
      <c r="A132" s="6">
        <v>256</v>
      </c>
      <c r="B132" s="7" t="str">
        <f>VLOOKUP(A132,[1]characters!$A:$C,3,FALSE)</f>
        <v>アスモデウス</v>
      </c>
    </row>
    <row r="133" spans="1:2" x14ac:dyDescent="0.15">
      <c r="A133" s="6">
        <v>257</v>
      </c>
      <c r="B133" s="7" t="str">
        <f>VLOOKUP(A133,[1]characters!$A:$C,3,FALSE)</f>
        <v>色欲 アスモデウス</v>
      </c>
    </row>
    <row r="134" spans="1:2" x14ac:dyDescent="0.15">
      <c r="A134" s="6">
        <v>258</v>
      </c>
      <c r="B134" s="7" t="str">
        <f>VLOOKUP(A134,[1]characters!$A:$C,3,FALSE)</f>
        <v>色欲の源流 アスモデウス</v>
      </c>
    </row>
    <row r="135" spans="1:2" x14ac:dyDescent="0.15">
      <c r="A135" s="6">
        <v>259</v>
      </c>
      <c r="B135" s="7" t="str">
        <f>VLOOKUP(A135,[1]characters!$A:$C,3,FALSE)</f>
        <v>ウロボロス</v>
      </c>
    </row>
    <row r="136" spans="1:2" x14ac:dyDescent="0.15">
      <c r="A136" s="8">
        <v>260</v>
      </c>
      <c r="B136" s="7" t="str">
        <f>VLOOKUP(A136,[1]characters!$A:$C,3,FALSE)</f>
        <v>輪廻 ウロボロス</v>
      </c>
    </row>
    <row r="137" spans="1:2" x14ac:dyDescent="0.15">
      <c r="A137" s="8">
        <v>261</v>
      </c>
      <c r="B137" s="7" t="str">
        <f>VLOOKUP(A137,[1]characters!$A:$C,3,FALSE)</f>
        <v>輪廻の蛇龍 ウロボロス</v>
      </c>
    </row>
    <row r="138" spans="1:2" x14ac:dyDescent="0.15">
      <c r="A138" s="6">
        <v>320</v>
      </c>
      <c r="B138" s="7" t="str">
        <f>VLOOKUP(A138,[1]characters!$A:$C,3,FALSE)</f>
        <v>烈志士 近藤勇</v>
      </c>
    </row>
    <row r="139" spans="1:2" x14ac:dyDescent="0.15">
      <c r="A139" s="6">
        <v>321</v>
      </c>
      <c r="B139" s="7" t="str">
        <f>VLOOKUP(A139,[1]characters!$A:$C,3,FALSE)</f>
        <v>巌鉄の烈志士 近藤勇</v>
      </c>
    </row>
    <row r="140" spans="1:2" x14ac:dyDescent="0.15">
      <c r="A140" s="6">
        <v>322</v>
      </c>
      <c r="B140" s="7" t="str">
        <f>VLOOKUP(A140,[1]characters!$A:$C,3,FALSE)</f>
        <v>愛志士 土方歳三</v>
      </c>
    </row>
    <row r="141" spans="1:2" x14ac:dyDescent="0.15">
      <c r="A141" s="6">
        <v>323</v>
      </c>
      <c r="B141" s="7" t="str">
        <f>VLOOKUP(A141,[1]characters!$A:$C,3,FALSE)</f>
        <v>流麗の愛志士 土方歳三</v>
      </c>
    </row>
    <row r="142" spans="1:2" x14ac:dyDescent="0.15">
      <c r="A142" s="6">
        <v>324</v>
      </c>
      <c r="B142" s="7" t="str">
        <f>VLOOKUP(A142,[1]characters!$A:$C,3,FALSE)</f>
        <v>凛志士 沖田総司</v>
      </c>
    </row>
    <row r="143" spans="1:2" x14ac:dyDescent="0.15">
      <c r="A143" s="6">
        <v>325</v>
      </c>
      <c r="B143" s="7" t="str">
        <f>VLOOKUP(A143,[1]characters!$A:$C,3,FALSE)</f>
        <v>天賦の凛志士 沖田総司</v>
      </c>
    </row>
    <row r="144" spans="1:2" x14ac:dyDescent="0.15">
      <c r="A144" s="6">
        <v>326</v>
      </c>
      <c r="B144" s="7" t="str">
        <f>VLOOKUP(A144,[1]characters!$A:$C,3,FALSE)</f>
        <v>妖志士 斎藤一</v>
      </c>
    </row>
    <row r="145" spans="1:2" x14ac:dyDescent="0.15">
      <c r="A145" s="6">
        <v>327</v>
      </c>
      <c r="B145" s="7" t="str">
        <f>VLOOKUP(A145,[1]characters!$A:$C,3,FALSE)</f>
        <v>千殺の妖志士 斎藤一</v>
      </c>
    </row>
    <row r="146" spans="1:2" x14ac:dyDescent="0.15">
      <c r="A146" s="6">
        <v>380</v>
      </c>
      <c r="B146" s="7" t="str">
        <f>VLOOKUP(A146,[1]characters!$A:$C,3,FALSE)</f>
        <v>バハムート</v>
      </c>
    </row>
    <row r="147" spans="1:2" x14ac:dyDescent="0.15">
      <c r="A147" s="6">
        <v>381</v>
      </c>
      <c r="B147" s="7" t="str">
        <f>VLOOKUP(A147,[1]characters!$A:$C,3,FALSE)</f>
        <v>肉食の恋火 バハムート</v>
      </c>
    </row>
    <row r="148" spans="1:2" x14ac:dyDescent="0.15">
      <c r="A148" s="6">
        <v>382</v>
      </c>
      <c r="B148" s="7" t="str">
        <f>VLOOKUP(A148,[1]characters!$A:$C,3,FALSE)</f>
        <v>激情の愛炎 バハムート</v>
      </c>
    </row>
    <row r="149" spans="1:2" x14ac:dyDescent="0.15">
      <c r="A149" s="6">
        <v>383</v>
      </c>
      <c r="B149" s="7" t="str">
        <f>VLOOKUP(A149,[1]characters!$A:$C,3,FALSE)</f>
        <v>酒宴の蟒蛇 ヤマタノオロチ</v>
      </c>
    </row>
    <row r="150" spans="1:2" x14ac:dyDescent="0.15">
      <c r="A150" s="6">
        <v>384</v>
      </c>
      <c r="B150" s="7" t="str">
        <f>VLOOKUP(A150,[1]characters!$A:$C,3,FALSE)</f>
        <v>破国の呑龍 ヤマタノオロチ</v>
      </c>
    </row>
    <row r="151" spans="1:2" x14ac:dyDescent="0.15">
      <c r="A151" s="6">
        <v>385</v>
      </c>
      <c r="B151" s="7" t="str">
        <f>VLOOKUP(A151,[1]characters!$A:$C,3,FALSE)</f>
        <v>波烈の出奔 リヴァイアサン</v>
      </c>
    </row>
    <row r="152" spans="1:2" x14ac:dyDescent="0.15">
      <c r="A152" s="6">
        <v>386</v>
      </c>
      <c r="B152" s="7" t="str">
        <f>VLOOKUP(A152,[1]characters!$A:$C,3,FALSE)</f>
        <v>氾乱の海龍 リヴァイアサン</v>
      </c>
    </row>
    <row r="153" spans="1:2" x14ac:dyDescent="0.15">
      <c r="A153" s="6">
        <v>387</v>
      </c>
      <c r="B153" s="7" t="str">
        <f>VLOOKUP(A153,[1]characters!$A:$C,3,FALSE)</f>
        <v>スフィンクス</v>
      </c>
    </row>
    <row r="154" spans="1:2" x14ac:dyDescent="0.15">
      <c r="A154" s="6">
        <v>388</v>
      </c>
      <c r="B154" s="7" t="str">
        <f>VLOOKUP(A154,[1]characters!$A:$C,3,FALSE)</f>
        <v>神円の恋姫 スフィンクス</v>
      </c>
    </row>
    <row r="155" spans="1:2" x14ac:dyDescent="0.15">
      <c r="A155" s="6">
        <v>389</v>
      </c>
      <c r="B155" s="7" t="str">
        <f>VLOOKUP(A155,[1]characters!$A:$C,3,FALSE)</f>
        <v>操神の愛姫 スフィンクス</v>
      </c>
    </row>
    <row r="156" spans="1:2" x14ac:dyDescent="0.15">
      <c r="A156" s="6">
        <v>390</v>
      </c>
      <c r="B156" s="7" t="str">
        <f>VLOOKUP(A156,[1]characters!$A:$C,3,FALSE)</f>
        <v>華環の旅客 親指姫</v>
      </c>
    </row>
    <row r="157" spans="1:2" x14ac:dyDescent="0.15">
      <c r="A157" s="6">
        <v>391</v>
      </c>
      <c r="B157" s="7" t="str">
        <f>VLOOKUP(A157,[1]characters!$A:$C,3,FALSE)</f>
        <v>燕翼の旅人 親指姫</v>
      </c>
    </row>
    <row r="158" spans="1:2" x14ac:dyDescent="0.15">
      <c r="A158" s="6">
        <v>392</v>
      </c>
      <c r="B158" s="7" t="str">
        <f>VLOOKUP(A158,[1]characters!$A:$C,3,FALSE)</f>
        <v>ピーターパン</v>
      </c>
    </row>
    <row r="159" spans="1:2" x14ac:dyDescent="0.15">
      <c r="A159" s="6">
        <v>393</v>
      </c>
      <c r="B159" s="7" t="str">
        <f>VLOOKUP(A159,[1]characters!$A:$C,3,FALSE)</f>
        <v>影縫い ピーターパン</v>
      </c>
    </row>
    <row r="160" spans="1:2" x14ac:dyDescent="0.15">
      <c r="A160" s="6">
        <v>394</v>
      </c>
      <c r="B160" s="7" t="str">
        <f>VLOOKUP(A160,[1]characters!$A:$C,3,FALSE)</f>
        <v>影求の悪童 ピーターパン</v>
      </c>
    </row>
    <row r="161" spans="1:2" x14ac:dyDescent="0.15">
      <c r="A161" s="6">
        <v>395</v>
      </c>
      <c r="B161" s="7" t="str">
        <f>VLOOKUP(A161,[1]characters!$A:$C,3,FALSE)</f>
        <v>乙姫</v>
      </c>
    </row>
    <row r="162" spans="1:2" x14ac:dyDescent="0.15">
      <c r="A162" s="6">
        <v>396</v>
      </c>
      <c r="B162" s="7" t="str">
        <f>VLOOKUP(A162,[1]characters!$A:$C,3,FALSE)</f>
        <v>竜宮の水雷 乙姫</v>
      </c>
    </row>
    <row r="163" spans="1:2" x14ac:dyDescent="0.15">
      <c r="A163" s="6">
        <v>397</v>
      </c>
      <c r="B163" s="7" t="str">
        <f>VLOOKUP(A163,[1]characters!$A:$C,3,FALSE)</f>
        <v>禁断の追箱 乙姫</v>
      </c>
    </row>
    <row r="164" spans="1:2" x14ac:dyDescent="0.15">
      <c r="A164" s="6">
        <v>398</v>
      </c>
      <c r="B164" s="7" t="str">
        <f>VLOOKUP(A164,[1]characters!$A:$C,3,FALSE)</f>
        <v>ヘンゼル＆グレーテル</v>
      </c>
    </row>
    <row r="165" spans="1:2" x14ac:dyDescent="0.15">
      <c r="A165" s="6">
        <v>399</v>
      </c>
      <c r="B165" s="7" t="str">
        <f>VLOOKUP(A165,[1]characters!$A:$C,3,FALSE)</f>
        <v>信愛の兄妹 ヘンゼル＆グレーテル</v>
      </c>
    </row>
    <row r="166" spans="1:2" x14ac:dyDescent="0.15">
      <c r="A166" s="6">
        <v>400</v>
      </c>
      <c r="B166" s="7" t="str">
        <f>VLOOKUP(A166,[1]characters!$A:$C,3,FALSE)</f>
        <v>フェンリル</v>
      </c>
    </row>
    <row r="167" spans="1:2" x14ac:dyDescent="0.15">
      <c r="A167" s="6">
        <v>401</v>
      </c>
      <c r="B167" s="7" t="str">
        <f>VLOOKUP(A167,[1]characters!$A:$C,3,FALSE)</f>
        <v>紅銀の孤狼 フェンリル</v>
      </c>
    </row>
    <row r="168" spans="1:2" x14ac:dyDescent="0.15">
      <c r="A168" s="6">
        <v>402</v>
      </c>
      <c r="B168" s="7" t="str">
        <f>VLOOKUP(A168,[1]characters!$A:$C,3,FALSE)</f>
        <v>天災の神狼 フェンリル</v>
      </c>
    </row>
    <row r="169" spans="1:2" x14ac:dyDescent="0.15">
      <c r="A169" s="6">
        <v>403</v>
      </c>
      <c r="B169" s="7" t="str">
        <f>VLOOKUP(A169,[1]characters!$A:$C,3,FALSE)</f>
        <v>静撃の翠眼 八咫烏</v>
      </c>
    </row>
    <row r="170" spans="1:2" x14ac:dyDescent="0.15">
      <c r="A170" s="6">
        <v>404</v>
      </c>
      <c r="B170" s="7" t="str">
        <f>VLOOKUP(A170,[1]characters!$A:$C,3,FALSE)</f>
        <v>空襲の神眼 八咫烏</v>
      </c>
    </row>
    <row r="171" spans="1:2" x14ac:dyDescent="0.15">
      <c r="A171" s="6">
        <v>405</v>
      </c>
      <c r="B171" s="7" t="str">
        <f>VLOOKUP(A171,[1]characters!$A:$C,3,FALSE)</f>
        <v>エキドナ</v>
      </c>
    </row>
    <row r="172" spans="1:2" x14ac:dyDescent="0.15">
      <c r="A172" s="6">
        <v>406</v>
      </c>
      <c r="B172" s="7" t="str">
        <f>VLOOKUP(A172,[1]characters!$A:$C,3,FALSE)</f>
        <v>美笑の蒼蛇 エキドナ</v>
      </c>
    </row>
    <row r="173" spans="1:2" x14ac:dyDescent="0.15">
      <c r="A173" s="6">
        <v>407</v>
      </c>
      <c r="B173" s="7" t="str">
        <f>VLOOKUP(A173,[1]characters!$A:$C,3,FALSE)</f>
        <v>蠱惑の飛刀 エキドナ</v>
      </c>
    </row>
    <row r="174" spans="1:2" x14ac:dyDescent="0.15">
      <c r="A174" s="6">
        <v>408</v>
      </c>
      <c r="B174" s="7" t="str">
        <f>VLOOKUP(A174,[1]characters!$A:$C,3,FALSE)</f>
        <v>皇魔 アスタロト</v>
      </c>
    </row>
    <row r="175" spans="1:2" x14ac:dyDescent="0.15">
      <c r="A175" s="6">
        <v>409</v>
      </c>
      <c r="B175" s="7" t="str">
        <f>VLOOKUP(A175,[1]characters!$A:$C,3,FALSE)</f>
        <v>天眼の皇貴魔 アスタロト</v>
      </c>
    </row>
    <row r="176" spans="1:2" x14ac:dyDescent="0.15">
      <c r="A176" s="6">
        <v>434</v>
      </c>
      <c r="B176" s="7" t="str">
        <f>VLOOKUP(A176,[1]characters!$A:$C,3,FALSE)</f>
        <v>D.R.T.H.</v>
      </c>
    </row>
    <row r="177" spans="1:2" x14ac:dyDescent="0.15">
      <c r="A177" s="6">
        <v>435</v>
      </c>
      <c r="B177" s="7" t="str">
        <f>VLOOKUP(A177,[1]characters!$A:$C,3,FALSE)</f>
        <v>曝弾の密偵 D.R.T.H.</v>
      </c>
    </row>
    <row r="178" spans="1:2" x14ac:dyDescent="0.15">
      <c r="A178" s="6">
        <v>436</v>
      </c>
      <c r="B178" s="7" t="str">
        <f>VLOOKUP(A178,[1]characters!$A:$C,3,FALSE)</f>
        <v>カカシ</v>
      </c>
    </row>
    <row r="179" spans="1:2" x14ac:dyDescent="0.15">
      <c r="A179" s="6">
        <v>437</v>
      </c>
      <c r="B179" s="7" t="str">
        <f>VLOOKUP(A179,[1]characters!$A:$C,3,FALSE)</f>
        <v>忘却者 カカシ</v>
      </c>
    </row>
    <row r="180" spans="1:2" x14ac:dyDescent="0.15">
      <c r="A180" s="6">
        <v>438</v>
      </c>
      <c r="B180" s="7" t="str">
        <f>VLOOKUP(A180,[1]characters!$A:$C,3,FALSE)</f>
        <v>記憶の奪還 カカシ</v>
      </c>
    </row>
    <row r="181" spans="1:2" x14ac:dyDescent="0.15">
      <c r="A181" s="6">
        <v>439</v>
      </c>
      <c r="B181" s="7" t="str">
        <f>VLOOKUP(A181,[1]characters!$A:$C,3,FALSE)</f>
        <v>ブリキロガー</v>
      </c>
    </row>
    <row r="182" spans="1:2" x14ac:dyDescent="0.15">
      <c r="A182" s="6">
        <v>440</v>
      </c>
      <c r="B182" s="7" t="str">
        <f>VLOOKUP(A182,[1]characters!$A:$C,3,FALSE)</f>
        <v>改良型 ブリキロガー</v>
      </c>
    </row>
    <row r="183" spans="1:2" x14ac:dyDescent="0.15">
      <c r="A183" s="6">
        <v>441</v>
      </c>
      <c r="B183" s="7" t="str">
        <f>VLOOKUP(A183,[1]characters!$A:$C,3,FALSE)</f>
        <v>求心の錻装 ブリキロガー</v>
      </c>
    </row>
    <row r="184" spans="1:2" x14ac:dyDescent="0.15">
      <c r="A184" s="6">
        <v>442</v>
      </c>
      <c r="B184" s="7" t="str">
        <f>VLOOKUP(A184,[1]characters!$A:$C,3,FALSE)</f>
        <v>ブレイブリー・ライオン</v>
      </c>
    </row>
    <row r="185" spans="1:2" x14ac:dyDescent="0.15">
      <c r="A185" s="6">
        <v>443</v>
      </c>
      <c r="B185" s="7" t="str">
        <f>VLOOKUP(A185,[1]characters!$A:$C,3,FALSE)</f>
        <v>勇機結集 ブレイブリー・ライオン</v>
      </c>
    </row>
    <row r="186" spans="1:2" x14ac:dyDescent="0.15">
      <c r="A186" s="8">
        <v>462</v>
      </c>
      <c r="B186" s="7" t="str">
        <f>VLOOKUP(A186,[1]characters!$A:$C,3,FALSE)</f>
        <v>ガウェイン</v>
      </c>
    </row>
    <row r="187" spans="1:2" x14ac:dyDescent="0.15">
      <c r="A187" s="8">
        <v>463</v>
      </c>
      <c r="B187" s="7" t="str">
        <f>VLOOKUP(A187,[1]characters!$A:$C,3,FALSE)</f>
        <v>燻銀 ガウェイン</v>
      </c>
    </row>
    <row r="188" spans="1:2" x14ac:dyDescent="0.15">
      <c r="A188" s="8">
        <v>464</v>
      </c>
      <c r="B188" s="7" t="str">
        <f>VLOOKUP(A188,[1]characters!$A:$C,3,FALSE)</f>
        <v>円熟の弾導 ガウェイン</v>
      </c>
    </row>
    <row r="189" spans="1:2" x14ac:dyDescent="0.15">
      <c r="A189" s="8">
        <v>465</v>
      </c>
      <c r="B189" s="7" t="str">
        <f>VLOOKUP(A189,[1]characters!$A:$C,3,FALSE)</f>
        <v>真撃 ランスロット</v>
      </c>
    </row>
    <row r="190" spans="1:2" x14ac:dyDescent="0.15">
      <c r="A190" s="6">
        <v>466</v>
      </c>
      <c r="B190" s="7" t="str">
        <f>VLOOKUP(A190,[1]characters!$A:$C,3,FALSE)</f>
        <v>真断の勇覇 ランスロット</v>
      </c>
    </row>
    <row r="191" spans="1:2" x14ac:dyDescent="0.15">
      <c r="A191" s="6">
        <v>467</v>
      </c>
      <c r="B191" s="7" t="str">
        <f>VLOOKUP(A191,[1]characters!$A:$C,3,FALSE)</f>
        <v>報復 モルドレッド</v>
      </c>
    </row>
    <row r="192" spans="1:2" x14ac:dyDescent="0.15">
      <c r="A192" s="6">
        <v>468</v>
      </c>
      <c r="B192" s="7" t="str">
        <f>VLOOKUP(A192,[1]characters!$A:$C,3,FALSE)</f>
        <v>憎愛の尖鋒 モルドレッド</v>
      </c>
    </row>
    <row r="193" spans="1:2" x14ac:dyDescent="0.15">
      <c r="A193" s="6">
        <v>469</v>
      </c>
      <c r="B193" s="7" t="str">
        <f>VLOOKUP(A193,[1]characters!$A:$C,3,FALSE)</f>
        <v>トリスタン</v>
      </c>
    </row>
    <row r="194" spans="1:2" x14ac:dyDescent="0.15">
      <c r="A194" s="6">
        <v>470</v>
      </c>
      <c r="B194" s="7" t="str">
        <f>VLOOKUP(A194,[1]characters!$A:$C,3,FALSE)</f>
        <v>純心 トリスタン</v>
      </c>
    </row>
    <row r="195" spans="1:2" x14ac:dyDescent="0.15">
      <c r="A195" s="6">
        <v>471</v>
      </c>
      <c r="B195" s="7" t="str">
        <f>VLOOKUP(A195,[1]characters!$A:$C,3,FALSE)</f>
        <v>不可避の爆激 トリスタン</v>
      </c>
    </row>
    <row r="196" spans="1:2" x14ac:dyDescent="0.15">
      <c r="A196" s="6">
        <v>474</v>
      </c>
      <c r="B196" s="7" t="str">
        <f>VLOOKUP(A196,[1]characters!$A:$C,3,FALSE)</f>
        <v>キング・ドライグ</v>
      </c>
    </row>
    <row r="197" spans="1:2" x14ac:dyDescent="0.15">
      <c r="A197" s="6">
        <v>475</v>
      </c>
      <c r="B197" s="7" t="str">
        <f>VLOOKUP(A197,[1]characters!$A:$C,3,FALSE)</f>
        <v>緋王 キング・ドライグ</v>
      </c>
    </row>
    <row r="198" spans="1:2" x14ac:dyDescent="0.15">
      <c r="A198" s="6">
        <v>476</v>
      </c>
      <c r="B198" s="7" t="str">
        <f>VLOOKUP(A198,[1]characters!$A:$C,3,FALSE)</f>
        <v>ファータ</v>
      </c>
    </row>
    <row r="199" spans="1:2" x14ac:dyDescent="0.15">
      <c r="A199" s="6">
        <v>477</v>
      </c>
      <c r="B199" s="7" t="str">
        <f>VLOOKUP(A199,[1]characters!$A:$C,3,FALSE)</f>
        <v>愛羽妖精 ファータ</v>
      </c>
    </row>
    <row r="200" spans="1:2" x14ac:dyDescent="0.15">
      <c r="A200" s="6">
        <v>478</v>
      </c>
      <c r="B200" s="7" t="str">
        <f>VLOOKUP(A200,[1]characters!$A:$C,3,FALSE)</f>
        <v>時計仕掛けの愛羽妖精 ファータ</v>
      </c>
    </row>
    <row r="201" spans="1:2" x14ac:dyDescent="0.15">
      <c r="A201" s="6">
        <v>479</v>
      </c>
      <c r="B201" s="7" t="str">
        <f>VLOOKUP(A201,[1]characters!$A:$C,3,FALSE)</f>
        <v>フール</v>
      </c>
    </row>
    <row r="202" spans="1:2" x14ac:dyDescent="0.15">
      <c r="A202" s="6">
        <v>480</v>
      </c>
      <c r="B202" s="7" t="str">
        <f>VLOOKUP(A202,[1]characters!$A:$C,3,FALSE)</f>
        <v>夢幻の愚者フール</v>
      </c>
    </row>
    <row r="203" spans="1:2" x14ac:dyDescent="0.15">
      <c r="A203" s="6">
        <v>481</v>
      </c>
      <c r="B203" s="7" t="str">
        <f>VLOOKUP(A203,[1]characters!$A:$C,3,FALSE)</f>
        <v>沢庵宗彭</v>
      </c>
    </row>
    <row r="204" spans="1:2" x14ac:dyDescent="0.15">
      <c r="A204" s="6">
        <v>482</v>
      </c>
      <c r="B204" s="7" t="str">
        <f>VLOOKUP(A204,[1]characters!$A:$C,3,FALSE)</f>
        <v>魁僧 沢庵宗彭</v>
      </c>
    </row>
    <row r="205" spans="1:2" x14ac:dyDescent="0.15">
      <c r="A205" s="6">
        <v>483</v>
      </c>
      <c r="B205" s="7" t="str">
        <f>VLOOKUP(A205,[1]characters!$A:$C,3,FALSE)</f>
        <v xml:space="preserve">命経死遂 沢庵宗彭 </v>
      </c>
    </row>
    <row r="206" spans="1:2" x14ac:dyDescent="0.15">
      <c r="A206" s="6">
        <v>492</v>
      </c>
      <c r="B206" s="7" t="str">
        <f>VLOOKUP(A206,[1]characters!$A:$C,3,FALSE)</f>
        <v>ブートレグ・ペロー</v>
      </c>
    </row>
    <row r="207" spans="1:2" x14ac:dyDescent="0.15">
      <c r="A207" s="6">
        <v>493</v>
      </c>
      <c r="B207" s="7" t="str">
        <f>VLOOKUP(A207,[1]characters!$A:$C,3,FALSE)</f>
        <v>跋扈の機脚 ブートレグ・ペロー</v>
      </c>
    </row>
    <row r="208" spans="1:2" x14ac:dyDescent="0.15">
      <c r="A208" s="6">
        <v>494</v>
      </c>
      <c r="B208" s="7" t="str">
        <f>VLOOKUP(A208,[1]characters!$A:$C,3,FALSE)</f>
        <v>ハーメルン</v>
      </c>
    </row>
    <row r="209" spans="1:2" x14ac:dyDescent="0.15">
      <c r="A209" s="6">
        <v>495</v>
      </c>
      <c r="B209" s="7" t="str">
        <f>VLOOKUP(A209,[1]characters!$A:$C,3,FALSE)</f>
        <v>鼠災呼ぶ笛音 ハーメルン</v>
      </c>
    </row>
    <row r="210" spans="1:2" x14ac:dyDescent="0.15">
      <c r="A210" s="6">
        <v>496</v>
      </c>
      <c r="B210" s="7" t="str">
        <f>VLOOKUP(A210,[1]characters!$A:$C,3,FALSE)</f>
        <v>エスタブ</v>
      </c>
    </row>
    <row r="211" spans="1:2" x14ac:dyDescent="0.15">
      <c r="A211" s="6">
        <v>497</v>
      </c>
      <c r="B211" s="7" t="str">
        <f>VLOOKUP(A211,[1]characters!$A:$C,3,FALSE)</f>
        <v>偏愛の野獣 エスタブ</v>
      </c>
    </row>
    <row r="212" spans="1:2" x14ac:dyDescent="0.15">
      <c r="A212" s="6">
        <v>498</v>
      </c>
      <c r="B212" s="7" t="str">
        <f>VLOOKUP(A212,[1]characters!$A:$C,3,FALSE)</f>
        <v>自愛の高魔 エスタブ</v>
      </c>
    </row>
    <row r="213" spans="1:2" x14ac:dyDescent="0.15">
      <c r="A213" s="6">
        <v>499</v>
      </c>
      <c r="B213" s="7" t="str">
        <f>VLOOKUP(A213,[1]characters!$A:$C,3,FALSE)</f>
        <v>ラプンツェル</v>
      </c>
    </row>
    <row r="214" spans="1:2" x14ac:dyDescent="0.15">
      <c r="A214" s="6">
        <v>500</v>
      </c>
      <c r="B214" s="7" t="str">
        <f>VLOOKUP(A214,[1]characters!$A:$C,3,FALSE)</f>
        <v>脈動の禁髪 ラプンツェル</v>
      </c>
    </row>
    <row r="215" spans="1:2" x14ac:dyDescent="0.15">
      <c r="A215" s="6">
        <v>586</v>
      </c>
      <c r="B215" s="7" t="str">
        <f>VLOOKUP(A215,[1]characters!$A:$C,3,FALSE)</f>
        <v>ユミル</v>
      </c>
    </row>
    <row r="216" spans="1:2" x14ac:dyDescent="0.15">
      <c r="A216" s="6">
        <v>587</v>
      </c>
      <c r="B216" s="7" t="str">
        <f>VLOOKUP(A216,[1]characters!$A:$C,3,FALSE)</f>
        <v>原初の煉鋼巨刃 ユミル</v>
      </c>
    </row>
    <row r="217" spans="1:2" x14ac:dyDescent="0.15">
      <c r="A217" s="6">
        <v>588</v>
      </c>
      <c r="B217" s="7" t="str">
        <f>VLOOKUP(A217,[1]characters!$A:$C,3,FALSE)</f>
        <v>ニーベルゲン</v>
      </c>
    </row>
    <row r="218" spans="1:2" x14ac:dyDescent="0.15">
      <c r="A218" s="6">
        <v>589</v>
      </c>
      <c r="B218" s="7" t="str">
        <f>VLOOKUP(A218,[1]characters!$A:$C,3,FALSE)</f>
        <v>不幸の円環 ニーベルゲン</v>
      </c>
    </row>
    <row r="219" spans="1:2" x14ac:dyDescent="0.15">
      <c r="A219" s="6">
        <v>590</v>
      </c>
      <c r="B219" s="7" t="str">
        <f>VLOOKUP(A219,[1]characters!$A:$C,3,FALSE)</f>
        <v>永遠を廻る呪い ニーベルゲン</v>
      </c>
    </row>
    <row r="220" spans="1:2" x14ac:dyDescent="0.15">
      <c r="A220" s="6">
        <v>591</v>
      </c>
      <c r="B220" s="7" t="str">
        <f>VLOOKUP(A220,[1]characters!$A:$C,3,FALSE)</f>
        <v>ファフニール</v>
      </c>
    </row>
    <row r="221" spans="1:2" x14ac:dyDescent="0.15">
      <c r="A221" s="6">
        <v>592</v>
      </c>
      <c r="B221" s="7" t="str">
        <f>VLOOKUP(A221,[1]characters!$A:$C,3,FALSE)</f>
        <v>財宝への執着 ファフニール</v>
      </c>
    </row>
    <row r="222" spans="1:2" x14ac:dyDescent="0.15">
      <c r="A222" s="6">
        <v>593</v>
      </c>
      <c r="B222" s="7" t="str">
        <f>VLOOKUP(A222,[1]characters!$A:$C,3,FALSE)</f>
        <v>妄執する邪毒龍 ファフニール</v>
      </c>
    </row>
    <row r="223" spans="1:2" x14ac:dyDescent="0.15">
      <c r="A223" s="6">
        <v>594</v>
      </c>
      <c r="B223" s="7" t="str">
        <f>VLOOKUP(A223,[1]characters!$A:$C,3,FALSE)</f>
        <v>アルフヘイム</v>
      </c>
    </row>
    <row r="224" spans="1:2" x14ac:dyDescent="0.15">
      <c r="A224" s="6">
        <v>595</v>
      </c>
      <c r="B224" s="7" t="str">
        <f>VLOOKUP(A224,[1]characters!$A:$C,3,FALSE)</f>
        <v>光華なる神域 アルフヘイム</v>
      </c>
    </row>
    <row r="225" spans="1:2" x14ac:dyDescent="0.15">
      <c r="A225" s="6">
        <v>596</v>
      </c>
      <c r="B225" s="7" t="str">
        <f>VLOOKUP(A225,[1]characters!$A:$C,3,FALSE)</f>
        <v>ムスペルヘイム</v>
      </c>
    </row>
    <row r="226" spans="1:2" x14ac:dyDescent="0.15">
      <c r="A226" s="6">
        <v>597</v>
      </c>
      <c r="B226" s="7" t="str">
        <f>VLOOKUP(A226,[1]characters!$A:$C,3,FALSE)</f>
        <v>灼熱の魂 ムスペルヘイム</v>
      </c>
    </row>
    <row r="227" spans="1:2" x14ac:dyDescent="0.15">
      <c r="A227" s="6">
        <v>598</v>
      </c>
      <c r="B227" s="7" t="str">
        <f>VLOOKUP(A227,[1]characters!$A:$C,3,FALSE)</f>
        <v>焼燃の情熱 ムスペルヘイム</v>
      </c>
    </row>
    <row r="228" spans="1:2" x14ac:dyDescent="0.15">
      <c r="A228" s="6">
        <v>599</v>
      </c>
      <c r="B228" s="7" t="str">
        <f>VLOOKUP(A228,[1]characters!$A:$C,3,FALSE)</f>
        <v>ニーズヘッグ</v>
      </c>
    </row>
    <row r="229" spans="1:2" x14ac:dyDescent="0.15">
      <c r="A229" s="6">
        <v>600</v>
      </c>
      <c r="B229" s="7" t="str">
        <f>VLOOKUP(A229,[1]characters!$A:$C,3,FALSE)</f>
        <v>界下に潜む蛇 ニーズヘッグ</v>
      </c>
    </row>
    <row r="230" spans="1:2" x14ac:dyDescent="0.15">
      <c r="A230" s="6">
        <v>601</v>
      </c>
      <c r="B230" s="7" t="str">
        <f>VLOOKUP(A230,[1]characters!$A:$C,3,FALSE)</f>
        <v>界根蝕む悪食 ニーズヘッグ</v>
      </c>
    </row>
    <row r="231" spans="1:2" x14ac:dyDescent="0.15">
      <c r="A231" s="6">
        <v>602</v>
      </c>
      <c r="B231" s="7" t="str">
        <f>VLOOKUP(A231,[1]characters!$A:$C,3,FALSE)</f>
        <v>フレイヤ</v>
      </c>
    </row>
    <row r="232" spans="1:2" x14ac:dyDescent="0.15">
      <c r="A232" s="6">
        <v>603</v>
      </c>
      <c r="B232" s="7" t="str">
        <f>VLOOKUP(A232,[1]characters!$A:$C,3,FALSE)</f>
        <v>掌愛の豊穣女神 フレイヤ</v>
      </c>
    </row>
    <row r="233" spans="1:2" x14ac:dyDescent="0.15">
      <c r="A233" s="6">
        <v>604</v>
      </c>
      <c r="B233" s="7" t="str">
        <f>VLOOKUP(A233,[1]characters!$A:$C,3,FALSE)</f>
        <v>バルドル</v>
      </c>
    </row>
    <row r="234" spans="1:2" x14ac:dyDescent="0.15">
      <c r="A234" s="6">
        <v>605</v>
      </c>
      <c r="B234" s="7" t="str">
        <f>VLOOKUP(A234,[1]characters!$A:$C,3,FALSE)</f>
        <v>祝福される光耀 バルドル</v>
      </c>
    </row>
    <row r="235" spans="1:2" x14ac:dyDescent="0.15">
      <c r="A235" s="6">
        <v>606</v>
      </c>
      <c r="B235" s="7" t="str">
        <f>VLOOKUP(A235,[1]characters!$A:$C,3,FALSE)</f>
        <v>冀望の光芒 バルドル</v>
      </c>
    </row>
    <row r="236" spans="1:2" x14ac:dyDescent="0.15">
      <c r="A236" s="6">
        <v>658</v>
      </c>
      <c r="B236" s="7" t="str">
        <f>VLOOKUP(A236,[1]characters!$A:$C,3,FALSE)</f>
        <v>猫又 クルミ</v>
      </c>
    </row>
    <row r="237" spans="1:2" x14ac:dyDescent="0.15">
      <c r="A237" s="6">
        <v>659</v>
      </c>
      <c r="B237" s="7" t="str">
        <f>VLOOKUP(A237,[1]characters!$A:$C,3,FALSE)</f>
        <v>跳梁する化猫 クルミ</v>
      </c>
    </row>
    <row r="238" spans="1:2" x14ac:dyDescent="0.15">
      <c r="A238" s="6">
        <v>660</v>
      </c>
      <c r="B238" s="7" t="str">
        <f>VLOOKUP(A238,[1]characters!$A:$C,3,FALSE)</f>
        <v>烏天狗 フウガ</v>
      </c>
    </row>
    <row r="239" spans="1:2" x14ac:dyDescent="0.15">
      <c r="A239" s="6">
        <v>661</v>
      </c>
      <c r="B239" s="7" t="str">
        <f>VLOOKUP(A239,[1]characters!$A:$C,3,FALSE)</f>
        <v>疾風の天狗礫 フウガ</v>
      </c>
    </row>
    <row r="240" spans="1:2" x14ac:dyDescent="0.15">
      <c r="A240" s="6">
        <v>662</v>
      </c>
      <c r="B240" s="7" t="str">
        <f>VLOOKUP(A240,[1]characters!$A:$C,3,FALSE)</f>
        <v>ダイダラ</v>
      </c>
    </row>
    <row r="241" spans="1:2" x14ac:dyDescent="0.15">
      <c r="A241" s="6">
        <v>663</v>
      </c>
      <c r="B241" s="7" t="str">
        <f>VLOOKUP(A241,[1]characters!$A:$C,3,FALSE)</f>
        <v>都揺らす地響き ダイダラ</v>
      </c>
    </row>
    <row r="242" spans="1:2" x14ac:dyDescent="0.15">
      <c r="A242" s="6">
        <v>664</v>
      </c>
      <c r="B242" s="7" t="str">
        <f>VLOOKUP(A242,[1]characters!$A:$C,3,FALSE)</f>
        <v>山掴み国造り ダイダラ</v>
      </c>
    </row>
    <row r="243" spans="1:2" x14ac:dyDescent="0.15">
      <c r="A243" s="6">
        <v>665</v>
      </c>
      <c r="B243" s="7" t="str">
        <f>VLOOKUP(A243,[1]characters!$A:$C,3,FALSE)</f>
        <v>座敷童子 テマリ</v>
      </c>
    </row>
    <row r="244" spans="1:2" x14ac:dyDescent="0.15">
      <c r="A244" s="6">
        <v>666</v>
      </c>
      <c r="B244" s="7" t="str">
        <f>VLOOKUP(A244,[1]characters!$A:$C,3,FALSE)</f>
        <v>拡散する幸福 テマリ</v>
      </c>
    </row>
    <row r="245" spans="1:2" x14ac:dyDescent="0.15">
      <c r="A245" s="6">
        <v>667</v>
      </c>
      <c r="B245" s="7" t="str">
        <f>VLOOKUP(A245,[1]characters!$A:$C,3,FALSE)</f>
        <v>最幸運の妖童 テマリ</v>
      </c>
    </row>
    <row r="246" spans="1:2" x14ac:dyDescent="0.15">
      <c r="A246" s="62">
        <v>668</v>
      </c>
      <c r="B246" s="7" t="str">
        <f>VLOOKUP(A246,[1]characters!$A:$C,3,FALSE)</f>
        <v>アグニ</v>
      </c>
    </row>
    <row r="247" spans="1:2" x14ac:dyDescent="0.15">
      <c r="A247" s="62">
        <v>669</v>
      </c>
      <c r="B247" s="7" t="str">
        <f>VLOOKUP(A247,[1]characters!$A:$C,3,FALSE)</f>
        <v>天地の仲界 アグニ</v>
      </c>
    </row>
    <row r="248" spans="1:2" x14ac:dyDescent="0.15">
      <c r="A248" s="62">
        <v>670</v>
      </c>
      <c r="B248" s="7" t="str">
        <f>VLOOKUP(A248,[1]characters!$A:$C,3,FALSE)</f>
        <v>陽天の噴煙 アグニ</v>
      </c>
    </row>
    <row r="249" spans="1:2" x14ac:dyDescent="0.15">
      <c r="A249" s="62">
        <v>671</v>
      </c>
      <c r="B249" s="7" t="str">
        <f>VLOOKUP(A249,[1]characters!$A:$C,3,FALSE)</f>
        <v>ハヌマーン</v>
      </c>
    </row>
    <row r="250" spans="1:2" x14ac:dyDescent="0.15">
      <c r="A250" s="62">
        <v>672</v>
      </c>
      <c r="B250" s="7" t="str">
        <f>VLOOKUP(A250,[1]characters!$A:$C,3,FALSE)</f>
        <v>西遊韋駄天 ハヌマーン</v>
      </c>
    </row>
    <row r="251" spans="1:2" x14ac:dyDescent="0.15">
      <c r="A251" s="62">
        <v>673</v>
      </c>
      <c r="B251" s="7" t="str">
        <f>VLOOKUP(A251,[1]characters!$A:$C,3,FALSE)</f>
        <v>変幻自在の猿王 ハヌマーン</v>
      </c>
    </row>
    <row r="252" spans="1:2" x14ac:dyDescent="0.15">
      <c r="A252" s="62">
        <v>674</v>
      </c>
      <c r="B252" s="7" t="str">
        <f>VLOOKUP(A252,[1]characters!$A:$C,3,FALSE)</f>
        <v>サラスヴァティ</v>
      </c>
    </row>
    <row r="253" spans="1:2" x14ac:dyDescent="0.15">
      <c r="A253" s="62">
        <v>675</v>
      </c>
      <c r="B253" s="7" t="str">
        <f>VLOOKUP(A253,[1]characters!$A:$C,3,FALSE)</f>
        <v>芸楽の奔流 サラスヴァティ</v>
      </c>
    </row>
    <row r="254" spans="1:2" x14ac:dyDescent="0.15">
      <c r="A254" s="62">
        <v>676</v>
      </c>
      <c r="B254" s="7" t="str">
        <f>VLOOKUP(A254,[1]characters!$A:$C,3,FALSE)</f>
        <v>ヴィシュヌ</v>
      </c>
    </row>
    <row r="255" spans="1:2" x14ac:dyDescent="0.15">
      <c r="A255" s="62">
        <v>677</v>
      </c>
      <c r="B255" s="7" t="str">
        <f>VLOOKUP(A255,[1]characters!$A:$C,3,FALSE)</f>
        <v>武遊闊歩 ヴィシュヌ</v>
      </c>
    </row>
    <row r="256" spans="1:2" x14ac:dyDescent="0.15">
      <c r="A256" s="62">
        <v>770</v>
      </c>
      <c r="B256" s="7" t="str">
        <f>VLOOKUP(A256,[1]characters!$A:$C,3,FALSE)</f>
        <v>ハヅル</v>
      </c>
    </row>
    <row r="257" spans="1:2" x14ac:dyDescent="0.15">
      <c r="A257" s="62">
        <v>771</v>
      </c>
      <c r="B257" s="7" t="str">
        <f>VLOOKUP(A257,[1]characters!$A:$C,3,FALSE)</f>
        <v>天織羽鶴 ハヅル</v>
      </c>
    </row>
    <row r="258" spans="1:2" x14ac:dyDescent="0.15">
      <c r="A258" s="62">
        <v>772</v>
      </c>
      <c r="B258" s="7" t="str">
        <f>VLOOKUP(A258,[1]characters!$A:$C,3,FALSE)</f>
        <v>イナバ</v>
      </c>
    </row>
    <row r="259" spans="1:2" x14ac:dyDescent="0.15">
      <c r="A259" s="62">
        <v>773</v>
      </c>
      <c r="B259" s="7" t="str">
        <f>VLOOKUP(A259,[1]characters!$A:$C,3,FALSE)</f>
        <v>浮跳天兎 イナバ</v>
      </c>
    </row>
    <row r="260" spans="1:2" x14ac:dyDescent="0.15">
      <c r="A260" s="62">
        <v>774</v>
      </c>
      <c r="B260" s="7" t="str">
        <f>VLOOKUP(A260,[1]characters!$A:$C,3,FALSE)</f>
        <v>ミズチ</v>
      </c>
    </row>
    <row r="261" spans="1:2" x14ac:dyDescent="0.15">
      <c r="A261" s="62">
        <v>775</v>
      </c>
      <c r="B261" s="7" t="str">
        <f>VLOOKUP(A261,[1]characters!$A:$C,3,FALSE)</f>
        <v>水底霊竜 ミズチ</v>
      </c>
    </row>
    <row r="262" spans="1:2" x14ac:dyDescent="0.15">
      <c r="A262" s="62">
        <v>776</v>
      </c>
      <c r="B262" s="7" t="str">
        <f>VLOOKUP(A262,[1]characters!$A:$C,3,FALSE)</f>
        <v>水竜底主 ミズチ</v>
      </c>
    </row>
    <row r="263" spans="1:2" x14ac:dyDescent="0.15">
      <c r="A263" s="62">
        <v>777</v>
      </c>
      <c r="B263" s="7" t="str">
        <f>VLOOKUP(A263,[1]characters!$A:$C,3,FALSE)</f>
        <v>ガメック</v>
      </c>
    </row>
    <row r="264" spans="1:2" x14ac:dyDescent="0.15">
      <c r="A264" s="62">
        <v>778</v>
      </c>
      <c r="B264" s="7" t="str">
        <f>VLOOKUP(A264,[1]characters!$A:$C,3,FALSE)</f>
        <v>一亀懸明 ガメック</v>
      </c>
    </row>
    <row r="265" spans="1:2" x14ac:dyDescent="0.15">
      <c r="A265" s="62">
        <v>779</v>
      </c>
      <c r="B265" s="7" t="str">
        <f>VLOOKUP(A265,[1]characters!$A:$C,3,FALSE)</f>
        <v>頑堅咬亀 ガメック</v>
      </c>
    </row>
    <row r="266" spans="1:2" x14ac:dyDescent="0.15">
      <c r="A266" s="62">
        <v>779</v>
      </c>
      <c r="B266" s="7" t="str">
        <f>VLOOKUP(A266,[1]characters!$A:$C,3,FALSE)</f>
        <v>頑堅咬亀 ガメック</v>
      </c>
    </row>
  </sheetData>
  <phoneticPr fontId="17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B14"/>
  <sheetViews>
    <sheetView workbookViewId="0">
      <selection activeCell="E28" sqref="E28"/>
    </sheetView>
  </sheetViews>
  <sheetFormatPr baseColWidth="12" defaultRowHeight="14" x14ac:dyDescent="0.15"/>
  <sheetData>
    <row r="1" spans="1:2" x14ac:dyDescent="0.15">
      <c r="A1" s="40" t="s">
        <v>64</v>
      </c>
      <c r="B1" s="40"/>
    </row>
    <row r="2" spans="1:2" x14ac:dyDescent="0.15">
      <c r="A2" s="34" t="s">
        <v>1</v>
      </c>
      <c r="B2" s="39" t="s">
        <v>68</v>
      </c>
    </row>
    <row r="3" spans="1:2" x14ac:dyDescent="0.15">
      <c r="A3" s="6">
        <v>166</v>
      </c>
      <c r="B3" s="39" t="str">
        <f>VLOOKUP(A3,[1]characters!$A:$C,3,FALSE)</f>
        <v>ベリアル</v>
      </c>
    </row>
    <row r="4" spans="1:2" x14ac:dyDescent="0.15">
      <c r="A4" s="6">
        <v>167</v>
      </c>
      <c r="B4" s="39" t="str">
        <f>VLOOKUP(A4,[1]characters!$A:$C,3,FALSE)</f>
        <v>逆徒 ベリアル</v>
      </c>
    </row>
    <row r="5" spans="1:2" x14ac:dyDescent="0.15">
      <c r="A5" s="6">
        <v>168</v>
      </c>
      <c r="B5" s="39" t="str">
        <f>VLOOKUP(A5,[1]characters!$A:$C,3,FALSE)</f>
        <v>猛進の大逆者 ベリアル</v>
      </c>
    </row>
    <row r="6" spans="1:2" x14ac:dyDescent="0.15">
      <c r="A6" s="34">
        <v>169</v>
      </c>
      <c r="B6" s="39" t="str">
        <f>VLOOKUP(A6,[1]characters!$A:$C,3,FALSE)</f>
        <v>オセ</v>
      </c>
    </row>
    <row r="7" spans="1:2" x14ac:dyDescent="0.15">
      <c r="A7" s="34">
        <v>170</v>
      </c>
      <c r="B7" s="39" t="str">
        <f>VLOOKUP(A7,[1]characters!$A:$C,3,FALSE)</f>
        <v>識徒 オセ</v>
      </c>
    </row>
    <row r="8" spans="1:2" x14ac:dyDescent="0.15">
      <c r="A8" s="34">
        <v>171</v>
      </c>
      <c r="B8" s="39" t="str">
        <f>VLOOKUP(A8,[1]characters!$A:$C,3,FALSE)</f>
        <v>精解の預知者 オセ</v>
      </c>
    </row>
    <row r="9" spans="1:2" x14ac:dyDescent="0.15">
      <c r="A9" s="34">
        <v>172</v>
      </c>
      <c r="B9" s="39" t="str">
        <f>VLOOKUP(A9,[1]characters!$A:$C,3,FALSE)</f>
        <v>フォルネウス</v>
      </c>
    </row>
    <row r="10" spans="1:2" x14ac:dyDescent="0.15">
      <c r="A10" s="34">
        <v>173</v>
      </c>
      <c r="B10" s="39" t="str">
        <f>VLOOKUP(A10,[1]characters!$A:$C,3,FALSE)</f>
        <v>公爵 フォルネウス</v>
      </c>
    </row>
    <row r="11" spans="1:2" x14ac:dyDescent="0.15">
      <c r="A11" s="34">
        <v>174</v>
      </c>
      <c r="B11" s="39" t="str">
        <f>VLOOKUP(A11,[1]characters!$A:$C,3,FALSE)</f>
        <v>偽愛の大公爵 フォルネウス</v>
      </c>
    </row>
    <row r="12" spans="1:2" x14ac:dyDescent="0.15">
      <c r="A12" s="34">
        <v>235</v>
      </c>
      <c r="B12" s="39" t="str">
        <f>VLOOKUP(A12,[1]characters!$A:$C,3,FALSE)</f>
        <v>イザナミ</v>
      </c>
    </row>
    <row r="13" spans="1:2" x14ac:dyDescent="0.15">
      <c r="A13" s="34">
        <v>236</v>
      </c>
      <c r="B13" s="39" t="str">
        <f>VLOOKUP(A13,[1]characters!$A:$C,3,FALSE)</f>
        <v>神産 イザナミ</v>
      </c>
    </row>
    <row r="14" spans="1:2" x14ac:dyDescent="0.15">
      <c r="A14" s="34">
        <v>237</v>
      </c>
      <c r="B14" s="39" t="str">
        <f>VLOOKUP(A14,[1]characters!$A:$C,3,FALSE)</f>
        <v>森羅万象の神母 イザナミ</v>
      </c>
    </row>
  </sheetData>
  <phoneticPr fontId="17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確率の考え方</vt:lpstr>
      <vt:lpstr>Sheet1</vt:lpstr>
      <vt:lpstr>output</vt:lpstr>
      <vt:lpstr>input_356010</vt:lpstr>
      <vt:lpstr>tables_356010</vt:lpstr>
      <vt:lpstr>input_356100</vt:lpstr>
      <vt:lpstr>tables_356100</vt:lpstr>
      <vt:lpstr>tables_settle_356100</vt:lpstr>
      <vt:lpstr>gacha_bonus_tables</vt:lpstr>
      <vt:lpstr>R6追加前</vt:lpstr>
      <vt:lpstr>R6開放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ユーザー</cp:lastModifiedBy>
  <dcterms:created xsi:type="dcterms:W3CDTF">2015-04-01T12:34:09Z</dcterms:created>
  <dcterms:modified xsi:type="dcterms:W3CDTF">2016-06-09T03:52:07Z</dcterms:modified>
</cp:coreProperties>
</file>