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1520" yWindow="-15940" windowWidth="30360" windowHeight="15940" tabRatio="943" activeTab="3"/>
  </bookViews>
  <sheets>
    <sheet name="Sheet1" sheetId="107" r:id="rId1"/>
    <sheet name="output" sheetId="103" r:id="rId2"/>
    <sheet name="tables_7321" sheetId="114" r:id="rId3"/>
    <sheet name="tables_settle_7322" sheetId="116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2" hidden="1">tables_7321!$A$1:$V$4</definedName>
    <definedName name="_xlnm._FilterDatabase" localSheetId="3" hidden="1">tables_settle_7322!$A$1:$V$2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8" i="114" l="1"/>
  <c r="N8" i="114"/>
  <c r="M8" i="114"/>
  <c r="L8" i="114"/>
  <c r="K8" i="114"/>
  <c r="J8" i="114"/>
  <c r="I8" i="114"/>
  <c r="H8" i="114"/>
  <c r="F8" i="114"/>
  <c r="E8" i="114"/>
  <c r="D8" i="114"/>
  <c r="C8" i="114"/>
  <c r="P29" i="114"/>
  <c r="N29" i="114"/>
  <c r="M29" i="114"/>
  <c r="L29" i="114"/>
  <c r="K29" i="114"/>
  <c r="J29" i="114"/>
  <c r="I29" i="114"/>
  <c r="H29" i="114"/>
  <c r="F29" i="114"/>
  <c r="E29" i="114"/>
  <c r="D29" i="114"/>
  <c r="C29" i="114"/>
  <c r="P28" i="114"/>
  <c r="N28" i="114"/>
  <c r="M28" i="114"/>
  <c r="L28" i="114"/>
  <c r="K28" i="114"/>
  <c r="J28" i="114"/>
  <c r="I28" i="114"/>
  <c r="H28" i="114"/>
  <c r="F28" i="114"/>
  <c r="E28" i="114"/>
  <c r="D28" i="114"/>
  <c r="C28" i="114"/>
  <c r="P27" i="114"/>
  <c r="N27" i="114"/>
  <c r="M27" i="114"/>
  <c r="L27" i="114"/>
  <c r="K27" i="114"/>
  <c r="J27" i="114"/>
  <c r="I27" i="114"/>
  <c r="H27" i="114"/>
  <c r="F27" i="114"/>
  <c r="E27" i="114"/>
  <c r="D27" i="114"/>
  <c r="C27" i="114"/>
  <c r="P26" i="114"/>
  <c r="N26" i="114"/>
  <c r="M26" i="114"/>
  <c r="L26" i="114"/>
  <c r="K26" i="114"/>
  <c r="J26" i="114"/>
  <c r="I26" i="114"/>
  <c r="H26" i="114"/>
  <c r="F26" i="114"/>
  <c r="E26" i="114"/>
  <c r="D26" i="114"/>
  <c r="C26" i="114"/>
  <c r="P25" i="114"/>
  <c r="N25" i="114"/>
  <c r="M25" i="114"/>
  <c r="L25" i="114"/>
  <c r="K25" i="114"/>
  <c r="J25" i="114"/>
  <c r="I25" i="114"/>
  <c r="H25" i="114"/>
  <c r="F25" i="114"/>
  <c r="E25" i="114"/>
  <c r="D25" i="114"/>
  <c r="C25" i="114"/>
  <c r="P24" i="114"/>
  <c r="N24" i="114"/>
  <c r="M24" i="114"/>
  <c r="L24" i="114"/>
  <c r="K24" i="114"/>
  <c r="J24" i="114"/>
  <c r="I24" i="114"/>
  <c r="H24" i="114"/>
  <c r="F24" i="114"/>
  <c r="E24" i="114"/>
  <c r="D24" i="114"/>
  <c r="C24" i="114"/>
  <c r="P23" i="114"/>
  <c r="N23" i="114"/>
  <c r="M23" i="114"/>
  <c r="L23" i="114"/>
  <c r="K23" i="114"/>
  <c r="J23" i="114"/>
  <c r="I23" i="114"/>
  <c r="H23" i="114"/>
  <c r="F23" i="114"/>
  <c r="E23" i="114"/>
  <c r="D23" i="114"/>
  <c r="C23" i="114"/>
  <c r="P22" i="114"/>
  <c r="N22" i="114"/>
  <c r="M22" i="114"/>
  <c r="L22" i="114"/>
  <c r="K22" i="114"/>
  <c r="J22" i="114"/>
  <c r="I22" i="114"/>
  <c r="H22" i="114"/>
  <c r="F22" i="114"/>
  <c r="E22" i="114"/>
  <c r="D22" i="114"/>
  <c r="C22" i="114"/>
  <c r="P2" i="116"/>
  <c r="N2" i="116"/>
  <c r="M2" i="116"/>
  <c r="L2" i="116"/>
  <c r="K2" i="116"/>
  <c r="J2" i="116"/>
  <c r="I2" i="116"/>
  <c r="H2" i="116"/>
  <c r="F2" i="116"/>
  <c r="E2" i="116"/>
  <c r="D2" i="116"/>
  <c r="C2" i="116"/>
  <c r="P21" i="114"/>
  <c r="N21" i="114"/>
  <c r="M21" i="114"/>
  <c r="L21" i="114"/>
  <c r="K21" i="114"/>
  <c r="J21" i="114"/>
  <c r="I21" i="114"/>
  <c r="H21" i="114"/>
  <c r="F21" i="114"/>
  <c r="E21" i="114"/>
  <c r="D21" i="114"/>
  <c r="C21" i="114"/>
  <c r="P20" i="114"/>
  <c r="N20" i="114"/>
  <c r="M20" i="114"/>
  <c r="L20" i="114"/>
  <c r="K20" i="114"/>
  <c r="J20" i="114"/>
  <c r="I20" i="114"/>
  <c r="H20" i="114"/>
  <c r="F20" i="114"/>
  <c r="E20" i="114"/>
  <c r="D20" i="114"/>
  <c r="C20" i="114"/>
  <c r="P19" i="114"/>
  <c r="N19" i="114"/>
  <c r="M19" i="114"/>
  <c r="L19" i="114"/>
  <c r="K19" i="114"/>
  <c r="J19" i="114"/>
  <c r="I19" i="114"/>
  <c r="H19" i="114"/>
  <c r="F19" i="114"/>
  <c r="E19" i="114"/>
  <c r="D19" i="114"/>
  <c r="C19" i="114"/>
  <c r="P18" i="114"/>
  <c r="N18" i="114"/>
  <c r="M18" i="114"/>
  <c r="L18" i="114"/>
  <c r="K18" i="114"/>
  <c r="J18" i="114"/>
  <c r="I18" i="114"/>
  <c r="H18" i="114"/>
  <c r="F18" i="114"/>
  <c r="E18" i="114"/>
  <c r="D18" i="114"/>
  <c r="C18" i="114"/>
  <c r="I15" i="114"/>
  <c r="D15" i="114"/>
  <c r="J15" i="114"/>
  <c r="E15" i="114"/>
  <c r="F15" i="114"/>
  <c r="C15" i="114"/>
  <c r="H15" i="114"/>
  <c r="K15" i="114"/>
  <c r="L15" i="114"/>
  <c r="M15" i="114"/>
  <c r="N15" i="114"/>
  <c r="P15" i="114"/>
  <c r="I16" i="114"/>
  <c r="D16" i="114"/>
  <c r="J16" i="114"/>
  <c r="E16" i="114"/>
  <c r="F16" i="114"/>
  <c r="C16" i="114"/>
  <c r="H16" i="114"/>
  <c r="K16" i="114"/>
  <c r="L16" i="114"/>
  <c r="M16" i="114"/>
  <c r="N16" i="114"/>
  <c r="P16" i="114"/>
  <c r="I17" i="114"/>
  <c r="D17" i="114"/>
  <c r="J17" i="114"/>
  <c r="E17" i="114"/>
  <c r="F17" i="114"/>
  <c r="C17" i="114"/>
  <c r="H17" i="114"/>
  <c r="K17" i="114"/>
  <c r="L17" i="114"/>
  <c r="M17" i="114"/>
  <c r="N17" i="114"/>
  <c r="P17" i="114"/>
  <c r="P14" i="114"/>
  <c r="N14" i="114"/>
  <c r="M14" i="114"/>
  <c r="L14" i="114"/>
  <c r="K14" i="114"/>
  <c r="J14" i="114"/>
  <c r="I14" i="114"/>
  <c r="H14" i="114"/>
  <c r="F14" i="114"/>
  <c r="E14" i="114"/>
  <c r="D14" i="114"/>
  <c r="C14" i="114"/>
  <c r="P13" i="114"/>
  <c r="N13" i="114"/>
  <c r="M13" i="114"/>
  <c r="L13" i="114"/>
  <c r="K13" i="114"/>
  <c r="J13" i="114"/>
  <c r="I13" i="114"/>
  <c r="H13" i="114"/>
  <c r="F13" i="114"/>
  <c r="E13" i="114"/>
  <c r="D13" i="114"/>
  <c r="C13" i="114"/>
  <c r="P12" i="114"/>
  <c r="N12" i="114"/>
  <c r="M12" i="114"/>
  <c r="L12" i="114"/>
  <c r="K12" i="114"/>
  <c r="J12" i="114"/>
  <c r="I12" i="114"/>
  <c r="H12" i="114"/>
  <c r="F12" i="114"/>
  <c r="E12" i="114"/>
  <c r="D12" i="114"/>
  <c r="C12" i="114"/>
  <c r="P11" i="114"/>
  <c r="N11" i="114"/>
  <c r="M11" i="114"/>
  <c r="L11" i="114"/>
  <c r="K11" i="114"/>
  <c r="J11" i="114"/>
  <c r="I11" i="114"/>
  <c r="H11" i="114"/>
  <c r="F11" i="114"/>
  <c r="E11" i="114"/>
  <c r="D11" i="114"/>
  <c r="C11" i="114"/>
  <c r="P10" i="114"/>
  <c r="N10" i="114"/>
  <c r="M10" i="114"/>
  <c r="L10" i="114"/>
  <c r="K10" i="114"/>
  <c r="J10" i="114"/>
  <c r="I10" i="114"/>
  <c r="H10" i="114"/>
  <c r="F10" i="114"/>
  <c r="E10" i="114"/>
  <c r="D10" i="114"/>
  <c r="C10" i="114"/>
  <c r="P9" i="114"/>
  <c r="N9" i="114"/>
  <c r="M9" i="114"/>
  <c r="L9" i="114"/>
  <c r="K9" i="114"/>
  <c r="J9" i="114"/>
  <c r="I9" i="114"/>
  <c r="H9" i="114"/>
  <c r="F9" i="114"/>
  <c r="E9" i="114"/>
  <c r="D9" i="114"/>
  <c r="C9" i="114"/>
  <c r="I5" i="114"/>
  <c r="D5" i="114"/>
  <c r="J5" i="114"/>
  <c r="E5" i="114"/>
  <c r="F5" i="114"/>
  <c r="C5" i="114"/>
  <c r="H5" i="114"/>
  <c r="K5" i="114"/>
  <c r="L5" i="114"/>
  <c r="M5" i="114"/>
  <c r="N5" i="114"/>
  <c r="P5" i="114"/>
  <c r="I6" i="114"/>
  <c r="D6" i="114"/>
  <c r="J6" i="114"/>
  <c r="E6" i="114"/>
  <c r="F6" i="114"/>
  <c r="C6" i="114"/>
  <c r="H6" i="114"/>
  <c r="K6" i="114"/>
  <c r="L6" i="114"/>
  <c r="M6" i="114"/>
  <c r="N6" i="114"/>
  <c r="P6" i="114"/>
  <c r="I7" i="114"/>
  <c r="D7" i="114"/>
  <c r="J7" i="114"/>
  <c r="E7" i="114"/>
  <c r="F7" i="114"/>
  <c r="C7" i="114"/>
  <c r="H7" i="114"/>
  <c r="K7" i="114"/>
  <c r="L7" i="114"/>
  <c r="M7" i="114"/>
  <c r="N7" i="114"/>
  <c r="P7" i="114"/>
  <c r="E4" i="103"/>
  <c r="E3" i="103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<sst xmlns="http://schemas.openxmlformats.org/spreadsheetml/2006/main" count="155" uniqueCount="86">
  <si>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</si>
  <si>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</si>
  <si>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</si>
  <si>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</si>
  <si>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</si>
  <si>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</si>
  <si>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</si>
  <si>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</si>
  <si>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</si>
  <si>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</si>
  <si>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</si>
  <si>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</si>
  <si>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</si>
  <si>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</si>
  <si>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</si>
  <si>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</si>
  <si>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</si>
  <si>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</si>
  <si>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</si>
  <si>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</si>
  <si>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</si>
  <si>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</si>
  <si>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</si>
  <si>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</si>
  <si>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</si>
  <si>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</si>
  <si>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</si>
  <si>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</si>
  <si>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</si>
  <si>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</si>
  <si>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</si>
  <si>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</si>
  <si>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</si>
  <si>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</si>
  <si>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</si>
  <si>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</si>
  <si>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</si>
  <si>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</si>
  <si>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</si>
  <si>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</si>
  <si>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</si>
  <si>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</si>
  <si>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</si>
  <si>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</si>
  <si>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</si>
  <si>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</si>
  <si>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</si>
  <si>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</si>
  <si>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</si>
  <si>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</si>
  <si>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</si>
  <si>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</si>
  <si>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</si>
  <si>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</si>
  <si>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</si>
  <si>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hogehoge</t>
    <phoneticPr fontId="18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</si>
  <si>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</si>
  <si>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</si>
  <si>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</si>
  <si>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</si>
  <si>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</si>
  <si>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</si>
  <si>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</si>
  <si>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</si>
  <si>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</si>
  <si>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</si>
  <si>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</si>
  <si>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</si>
  <si>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</si>
  <si>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</si>
  <si>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</si>
  <si>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</si>
  <si>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</si>
  <si>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</si>
  <si>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</si>
  <si>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</si>
  <si>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</si>
  <si>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color2</t>
    <phoneticPr fontId="18"/>
  </si>
  <si>
    <t>gacha_select_tables_</t>
    <phoneticPr fontId="18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</si>
  <si>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</si>
  <si>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</si>
  <si>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old</t>
    <phoneticPr fontId="18"/>
  </si>
  <si>
    <t>gacha_settle_tables_</t>
    <phoneticPr fontId="18"/>
  </si>
  <si>
    <t>tables_7321</t>
    <phoneticPr fontId="18"/>
  </si>
  <si>
    <t>tables_7322</t>
    <phoneticPr fontId="18"/>
  </si>
  <si>
    <t>tables_settle_7322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</si>
</sst>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3"/>
      <color rgb="FF000000"/>
      <name val="MS PGothic"/>
      <family val="3"/>
      <charset val="128"/>
    </font>
    <font>
      <sz val="13"/>
      <name val="Arial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48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27" borderId="1" xfId="0" applyFont="1" applyFill="1" applyBorder="1" applyAlignment="1">
      <alignment horizontal="left" vertical="center"/>
    </xf>
    <xf numFmtId="0" fontId="23" fillId="24" borderId="1" xfId="2" applyFont="1" applyFill="1" applyBorder="1" applyAlignment="1">
      <alignment horizontal="left" vertical="center"/>
    </xf>
    <xf numFmtId="0" fontId="22" fillId="24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4" fillId="0" borderId="1" xfId="3036" applyFont="1" applyBorder="1"/>
    <xf numFmtId="0" fontId="3" fillId="0" borderId="1" xfId="2978" applyFont="1" applyBorder="1"/>
    <xf numFmtId="0" fontId="2" fillId="4" borderId="1" xfId="2978" applyFont="1" applyFill="1" applyBorder="1"/>
    <xf numFmtId="0" fontId="54" fillId="0" borderId="0" xfId="0" applyFont="1"/>
    <xf numFmtId="0" fontId="55" fillId="0" borderId="0" xfId="0" applyFont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DropWizN</v>
          </cell>
          <cell r="K1372" t="str">
            <v>balance</v>
          </cell>
          <cell r="L1372" t="str">
            <v>バランスタイプ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DropWizN</v>
          </cell>
          <cell r="K1373" t="str">
            <v>balance</v>
          </cell>
          <cell r="L1373" t="str">
            <v>バランスタイプ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ジキル＆ハイド</v>
          </cell>
          <cell r="H1375" t="str">
            <v>red</v>
          </cell>
          <cell r="I1375">
            <v>6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PremiumSSw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PremiumSSw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1431</v>
          </cell>
          <cell r="B1418" t="str">
            <v>ja</v>
          </cell>
          <cell r="C1418" t="str">
            <v>センコ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yellow</v>
          </cell>
          <cell r="I1418">
            <v>5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god</v>
          </cell>
        </row>
        <row r="1419">
          <cell r="A1419">
            <v>1432</v>
          </cell>
          <cell r="B1419" t="str">
            <v>ja</v>
          </cell>
          <cell r="C1419" t="str">
            <v>華宴の千年狐 センコ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yellow</v>
          </cell>
          <cell r="I1419">
            <v>6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god</v>
          </cell>
        </row>
        <row r="1420">
          <cell r="A1420">
            <v>1433</v>
          </cell>
          <cell r="B1420" t="str">
            <v>ja</v>
          </cell>
          <cell r="C1420" t="str">
            <v>超越の果実</v>
          </cell>
          <cell r="D1420" t="str">
            <v>スキル進化素材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3</v>
          </cell>
          <cell r="J1420" t="str">
            <v>Material</v>
          </cell>
          <cell r="K1420" t="str">
            <v>limitbreak</v>
          </cell>
          <cell r="L1420" t="str">
            <v>限界突破素材</v>
          </cell>
          <cell r="M1420" t="str">
            <v>unknown</v>
          </cell>
        </row>
        <row r="1421">
          <cell r="A1421">
            <v>1434</v>
          </cell>
          <cell r="B1421" t="str">
            <v>ja</v>
          </cell>
          <cell r="C1421" t="str">
            <v>メガ超越の果実</v>
          </cell>
          <cell r="D1421" t="str">
            <v>スキル進化素材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4</v>
          </cell>
          <cell r="J1421" t="str">
            <v>Material</v>
          </cell>
          <cell r="K1421" t="str">
            <v>limitbreak</v>
          </cell>
          <cell r="L1421" t="str">
            <v>限界突破素材</v>
          </cell>
          <cell r="M1421" t="str">
            <v>unknown</v>
          </cell>
        </row>
        <row r="1422">
          <cell r="A1422">
            <v>1435</v>
          </cell>
          <cell r="B1422" t="str">
            <v>ja</v>
          </cell>
          <cell r="C1422" t="str">
            <v>ギガ超越の果実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5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1452</v>
          </cell>
          <cell r="B1423" t="str">
            <v>ja</v>
          </cell>
          <cell r="C1423" t="str">
            <v>メルセンヌ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PremiumSSS</v>
          </cell>
          <cell r="K1423" t="str">
            <v>hp</v>
          </cell>
          <cell r="L1423" t="str">
            <v>体力タイプ</v>
          </cell>
          <cell r="M1423" t="str">
            <v>academia</v>
          </cell>
        </row>
        <row r="1424">
          <cell r="A1424">
            <v>1453</v>
          </cell>
          <cell r="B1424" t="str">
            <v>ja</v>
          </cell>
          <cell r="C1424" t="str">
            <v>数解の自鳴琴 メルセンヌ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PremiumSSS</v>
          </cell>
          <cell r="K1424" t="str">
            <v>hp</v>
          </cell>
          <cell r="L1424" t="str">
            <v>体力タイプ</v>
          </cell>
          <cell r="M1424" t="str">
            <v>academia</v>
          </cell>
        </row>
        <row r="1425">
          <cell r="A1425">
            <v>1454</v>
          </cell>
          <cell r="B1425" t="str">
            <v>ja</v>
          </cell>
          <cell r="C1425" t="str">
            <v>ストレングス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red</v>
          </cell>
          <cell r="I1425">
            <v>5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god</v>
          </cell>
        </row>
        <row r="1426">
          <cell r="A1426">
            <v>1455</v>
          </cell>
          <cell r="B1426" t="str">
            <v>ja</v>
          </cell>
          <cell r="C1426" t="str">
            <v>豪毅なる征獣師 ストレングス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red</v>
          </cell>
          <cell r="I1426">
            <v>6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1456</v>
          </cell>
          <cell r="B1427" t="str">
            <v>ja</v>
          </cell>
          <cell r="C1427" t="str">
            <v>ネセバル</v>
          </cell>
          <cell r="H1427" t="str">
            <v>blue</v>
          </cell>
          <cell r="I1427">
            <v>5</v>
          </cell>
          <cell r="J1427" t="str">
            <v>PremiumSSw</v>
          </cell>
          <cell r="K1427" t="str">
            <v>attack</v>
          </cell>
          <cell r="L1427" t="str">
            <v>攻撃タイプ</v>
          </cell>
          <cell r="M1427" t="str">
            <v>hero</v>
          </cell>
        </row>
        <row r="1428">
          <cell r="A1428">
            <v>1457</v>
          </cell>
          <cell r="B1428" t="str">
            <v>ja</v>
          </cell>
          <cell r="C1428" t="str">
            <v>碧影の聖跡 ネセバル</v>
          </cell>
          <cell r="H1428" t="str">
            <v>blue</v>
          </cell>
          <cell r="I1428">
            <v>6</v>
          </cell>
          <cell r="J1428" t="str">
            <v>PremiumSSw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1458</v>
          </cell>
          <cell r="B1429" t="str">
            <v>ja</v>
          </cell>
          <cell r="C1429" t="str">
            <v>diamond01</v>
          </cell>
          <cell r="H1429" t="str">
            <v>red</v>
          </cell>
          <cell r="I1429">
            <v>5</v>
          </cell>
          <cell r="J1429" t="str">
            <v>PremiumSS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1459</v>
          </cell>
          <cell r="B1430" t="str">
            <v>ja</v>
          </cell>
          <cell r="C1430" t="str">
            <v>diamond02</v>
          </cell>
          <cell r="H1430" t="str">
            <v>red</v>
          </cell>
          <cell r="I1430">
            <v>6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1460</v>
          </cell>
          <cell r="B1431" t="str">
            <v>ja</v>
          </cell>
          <cell r="C1431" t="str">
            <v>opal01</v>
          </cell>
          <cell r="H1431" t="str">
            <v>blue</v>
          </cell>
          <cell r="I1431">
            <v>4</v>
          </cell>
          <cell r="J1431" t="str">
            <v>PremiumS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1461</v>
          </cell>
          <cell r="B1432" t="str">
            <v>ja</v>
          </cell>
          <cell r="C1432" t="str">
            <v>opal02</v>
          </cell>
          <cell r="H1432" t="str">
            <v>blue</v>
          </cell>
          <cell r="I1432">
            <v>5</v>
          </cell>
          <cell r="J1432" t="str">
            <v>PremiumS</v>
          </cell>
          <cell r="K1432" t="str">
            <v>balance</v>
          </cell>
          <cell r="L1432" t="str">
            <v>バランスタイプ</v>
          </cell>
          <cell r="M1432" t="str">
            <v>human</v>
          </cell>
        </row>
        <row r="1433">
          <cell r="A1433">
            <v>1462</v>
          </cell>
          <cell r="B1433" t="str">
            <v>ja</v>
          </cell>
          <cell r="C1433" t="str">
            <v>ruby01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1463</v>
          </cell>
          <cell r="B1434" t="str">
            <v>ja</v>
          </cell>
          <cell r="C1434" t="str">
            <v>ruby02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human</v>
          </cell>
        </row>
        <row r="1435">
          <cell r="A1435">
            <v>1464</v>
          </cell>
          <cell r="B1435" t="str">
            <v>ja</v>
          </cell>
          <cell r="C1435" t="str">
            <v>garnet01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1465</v>
          </cell>
          <cell r="B1436" t="str">
            <v>ja</v>
          </cell>
          <cell r="C1436" t="str">
            <v>garnet02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human</v>
          </cell>
        </row>
        <row r="1437">
          <cell r="A1437">
            <v>1466</v>
          </cell>
          <cell r="B1437" t="str">
            <v>ja</v>
          </cell>
          <cell r="C1437" t="str">
            <v>sapphire01</v>
          </cell>
          <cell r="H1437" t="str">
            <v>blue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1467</v>
          </cell>
          <cell r="B1438" t="str">
            <v>ja</v>
          </cell>
          <cell r="C1438" t="str">
            <v>sapphire02</v>
          </cell>
          <cell r="H1438" t="str">
            <v>blue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1468</v>
          </cell>
          <cell r="B1439" t="str">
            <v>ja</v>
          </cell>
          <cell r="C1439" t="str">
            <v>emerald01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attack</v>
          </cell>
          <cell r="L1439" t="str">
            <v>攻撃タイプ</v>
          </cell>
          <cell r="M1439" t="str">
            <v>unknown</v>
          </cell>
        </row>
        <row r="1440">
          <cell r="A1440">
            <v>1469</v>
          </cell>
          <cell r="B1440" t="str">
            <v>ja</v>
          </cell>
          <cell r="C1440" t="str">
            <v>aquamarine01</v>
          </cell>
          <cell r="H1440" t="str">
            <v>yellow</v>
          </cell>
          <cell r="I1440">
            <v>5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unknown</v>
          </cell>
        </row>
        <row r="1441">
          <cell r="A1441">
            <v>1470</v>
          </cell>
          <cell r="B1441" t="str">
            <v>ja</v>
          </cell>
          <cell r="C1441" t="str">
            <v>amethyst01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1471</v>
          </cell>
          <cell r="B1442" t="str">
            <v>ja</v>
          </cell>
          <cell r="C1442" t="str">
            <v>エイプリルアーサー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1488</v>
          </cell>
          <cell r="B1443" t="str">
            <v>ja</v>
          </cell>
          <cell r="C1443" t="str">
            <v>バクR5</v>
          </cell>
          <cell r="D1443" t="str">
            <v>未定</v>
          </cell>
          <cell r="E1443" t="str">
            <v>アリス</v>
          </cell>
          <cell r="F1443" t="str">
            <v>世界観</v>
          </cell>
          <cell r="G1443" t="str">
            <v>不明</v>
          </cell>
          <cell r="H1443" t="str">
            <v>green</v>
          </cell>
          <cell r="I1443">
            <v>5</v>
          </cell>
          <cell r="J1443" t="str">
            <v>PremiumSSS</v>
          </cell>
          <cell r="K1443" t="str">
            <v>attack</v>
          </cell>
          <cell r="L1443" t="str">
            <v>攻撃タイプ</v>
          </cell>
          <cell r="M1443" t="str">
            <v>academia</v>
          </cell>
        </row>
        <row r="1444">
          <cell r="A1444">
            <v>1489</v>
          </cell>
          <cell r="B1444" t="str">
            <v>ja</v>
          </cell>
          <cell r="C1444" t="str">
            <v>バクR6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green</v>
          </cell>
          <cell r="I1444">
            <v>6</v>
          </cell>
          <cell r="J1444" t="str">
            <v>PremiumSSS</v>
          </cell>
          <cell r="K1444" t="str">
            <v>attack</v>
          </cell>
          <cell r="L1444" t="str">
            <v>攻撃タイプ</v>
          </cell>
          <cell r="M1444" t="str">
            <v>academia</v>
          </cell>
        </row>
        <row r="1445">
          <cell r="A1445">
            <v>1495</v>
          </cell>
          <cell r="B1445" t="str">
            <v>ja</v>
          </cell>
          <cell r="C1445" t="str">
            <v>桜乱の武奏術 牛若丸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samurai</v>
          </cell>
        </row>
        <row r="1446">
          <cell r="A1446">
            <v>1496</v>
          </cell>
          <cell r="B1446" t="str">
            <v>ja</v>
          </cell>
          <cell r="C1446" t="str">
            <v>晴眼桜花一文字 沖田総司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</v>
          </cell>
          <cell r="K1446" t="str">
            <v>hp</v>
          </cell>
          <cell r="L1446" t="str">
            <v>体力タイプ</v>
          </cell>
          <cell r="M1446" t="str">
            <v>samurai</v>
          </cell>
        </row>
        <row r="1447">
          <cell r="A1447">
            <v>1497</v>
          </cell>
          <cell r="B1447" t="str">
            <v>ja</v>
          </cell>
          <cell r="C1447" t="str">
            <v>ヨシノ</v>
          </cell>
          <cell r="H1447" t="str">
            <v>blue</v>
          </cell>
          <cell r="I1447">
            <v>5</v>
          </cell>
          <cell r="J1447" t="str">
            <v>DropWizS</v>
          </cell>
          <cell r="K1447" t="str">
            <v>heal</v>
          </cell>
          <cell r="L1447" t="str">
            <v>回復タイプ</v>
          </cell>
          <cell r="M1447" t="str">
            <v>fantasy</v>
          </cell>
        </row>
        <row r="1448">
          <cell r="A1448">
            <v>1498</v>
          </cell>
          <cell r="B1448" t="str">
            <v>ja</v>
          </cell>
          <cell r="C1448" t="str">
            <v>咲誇る夢見草 ヨシノ</v>
          </cell>
          <cell r="H1448" t="str">
            <v>blue</v>
          </cell>
          <cell r="I1448">
            <v>6</v>
          </cell>
          <cell r="J1448" t="str">
            <v>DropWizS</v>
          </cell>
          <cell r="K1448" t="str">
            <v>heal</v>
          </cell>
          <cell r="L1448" t="str">
            <v>回復タイプ</v>
          </cell>
          <cell r="M1448" t="str">
            <v>fantasy</v>
          </cell>
        </row>
        <row r="1449">
          <cell r="A1449">
            <v>1499</v>
          </cell>
          <cell r="B1449" t="str">
            <v>ja</v>
          </cell>
          <cell r="C1449" t="str">
            <v>コノハナサクヤ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5</v>
          </cell>
          <cell r="J1449" t="str">
            <v>PremiumSS</v>
          </cell>
          <cell r="K1449" t="str">
            <v>technical</v>
          </cell>
          <cell r="L1449" t="str">
            <v>テクニカルタイプ</v>
          </cell>
          <cell r="M1449" t="str">
            <v>god</v>
          </cell>
        </row>
        <row r="1450">
          <cell r="A1450">
            <v>1500</v>
          </cell>
          <cell r="B1450" t="str">
            <v>ja</v>
          </cell>
          <cell r="C1450" t="str">
            <v>櫻歌する開華 コノハナサクヤ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yellow</v>
          </cell>
          <cell r="I1450">
            <v>6</v>
          </cell>
          <cell r="J1450" t="str">
            <v>PremiumSS</v>
          </cell>
          <cell r="K1450" t="str">
            <v>technical</v>
          </cell>
          <cell r="L1450" t="str">
            <v>テクニカルタイプ</v>
          </cell>
          <cell r="M1450" t="str">
            <v>god</v>
          </cell>
        </row>
        <row r="1451">
          <cell r="A1451">
            <v>1501</v>
          </cell>
          <cell r="B1451" t="str">
            <v>ja</v>
          </cell>
          <cell r="C1451" t="str">
            <v>晴舞台の桜舞 ドガ</v>
          </cell>
          <cell r="H1451" t="str">
            <v>blue</v>
          </cell>
          <cell r="I1451">
            <v>6</v>
          </cell>
          <cell r="J1451" t="str">
            <v>PremiumSS</v>
          </cell>
          <cell r="K1451" t="str">
            <v>balance</v>
          </cell>
          <cell r="L1451" t="str">
            <v>バランスタイプ</v>
          </cell>
          <cell r="M1451" t="str">
            <v>animal</v>
          </cell>
        </row>
        <row r="1452">
          <cell r="A1452">
            <v>1502</v>
          </cell>
          <cell r="B1452" t="str">
            <v>ja</v>
          </cell>
          <cell r="C1452" t="str">
            <v>打咲かす桜花灯 トリスタン</v>
          </cell>
          <cell r="H1452" t="str">
            <v>red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human</v>
          </cell>
        </row>
        <row r="1453">
          <cell r="A1453">
            <v>1503</v>
          </cell>
          <cell r="B1453" t="str">
            <v>ja</v>
          </cell>
          <cell r="C1453" t="str">
            <v>春纏う蛇撫子 ヨルムンガンド</v>
          </cell>
          <cell r="H1453" t="str">
            <v>yellow</v>
          </cell>
          <cell r="I1453">
            <v>5</v>
          </cell>
          <cell r="J1453" t="str">
            <v>PremiumS</v>
          </cell>
          <cell r="K1453" t="str">
            <v>technical</v>
          </cell>
          <cell r="L1453" t="str">
            <v>テクニカルタイプ</v>
          </cell>
          <cell r="M1453" t="str">
            <v>dragon</v>
          </cell>
        </row>
        <row r="1454">
          <cell r="A1454">
            <v>1504</v>
          </cell>
          <cell r="B1454" t="str">
            <v>ja</v>
          </cell>
          <cell r="C1454" t="str">
            <v>ネコ</v>
          </cell>
          <cell r="H1454" t="str">
            <v>red</v>
          </cell>
          <cell r="I1454">
            <v>1</v>
          </cell>
          <cell r="J1454" t="str">
            <v>Drop1T</v>
          </cell>
          <cell r="K1454" t="str">
            <v>balance</v>
          </cell>
          <cell r="L1454" t="str">
            <v>バランスタイプ</v>
          </cell>
          <cell r="M1454" t="str">
            <v>unknown</v>
          </cell>
        </row>
        <row r="1455">
          <cell r="A1455">
            <v>1505</v>
          </cell>
          <cell r="B1455" t="str">
            <v>ja</v>
          </cell>
          <cell r="C1455" t="str">
            <v>タンクネコ</v>
          </cell>
          <cell r="H1455" t="str">
            <v>green</v>
          </cell>
          <cell r="I1455">
            <v>1</v>
          </cell>
          <cell r="J1455" t="str">
            <v>Drop1T</v>
          </cell>
          <cell r="K1455" t="str">
            <v>hp</v>
          </cell>
          <cell r="L1455" t="str">
            <v>体力タイプ</v>
          </cell>
          <cell r="M1455" t="str">
            <v>unknown</v>
          </cell>
        </row>
        <row r="1456">
          <cell r="A1456">
            <v>1506</v>
          </cell>
          <cell r="B1456" t="str">
            <v>ja</v>
          </cell>
          <cell r="C1456" t="str">
            <v>バトルネコ</v>
          </cell>
          <cell r="H1456" t="str">
            <v>yellow</v>
          </cell>
          <cell r="I1456">
            <v>2</v>
          </cell>
          <cell r="J1456" t="str">
            <v>Drop1S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1507</v>
          </cell>
          <cell r="B1457" t="str">
            <v>ja</v>
          </cell>
          <cell r="C1457" t="str">
            <v>キモネコ</v>
          </cell>
          <cell r="H1457" t="str">
            <v>blue</v>
          </cell>
          <cell r="I1457">
            <v>3</v>
          </cell>
          <cell r="J1457" t="str">
            <v>Drop2N</v>
          </cell>
          <cell r="K1457" t="str">
            <v>technical</v>
          </cell>
          <cell r="L1457" t="str">
            <v>テクニカルタイプ</v>
          </cell>
          <cell r="M1457" t="str">
            <v>unknown</v>
          </cell>
        </row>
        <row r="1458">
          <cell r="A1458">
            <v>1508</v>
          </cell>
          <cell r="B1458" t="str">
            <v>ja</v>
          </cell>
          <cell r="C1458" t="str">
            <v>ネコノトリ</v>
          </cell>
          <cell r="H1458" t="str">
            <v>red</v>
          </cell>
          <cell r="I1458">
            <v>4</v>
          </cell>
          <cell r="J1458" t="str">
            <v>Drop2N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1509</v>
          </cell>
          <cell r="B1459" t="str">
            <v>ja</v>
          </cell>
          <cell r="C1459" t="str">
            <v>巨神ネコ</v>
          </cell>
          <cell r="H1459" t="str">
            <v>green</v>
          </cell>
          <cell r="I1459">
            <v>5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god</v>
          </cell>
        </row>
        <row r="1460">
          <cell r="A1460">
            <v>1510</v>
          </cell>
          <cell r="B1460" t="str">
            <v>ja</v>
          </cell>
          <cell r="C1460" t="str">
            <v>ネコヴァルキリー</v>
          </cell>
          <cell r="H1460" t="str">
            <v>yellow</v>
          </cell>
          <cell r="I1460">
            <v>4</v>
          </cell>
          <cell r="J1460" t="str">
            <v>DropWizS</v>
          </cell>
          <cell r="K1460" t="str">
            <v>balance</v>
          </cell>
          <cell r="L1460" t="str">
            <v>バランスタイプ</v>
          </cell>
          <cell r="M1460" t="str">
            <v>god</v>
          </cell>
        </row>
        <row r="1461">
          <cell r="A1461">
            <v>1511</v>
          </cell>
          <cell r="B1461" t="str">
            <v>ja</v>
          </cell>
          <cell r="C1461" t="str">
            <v>ネコヴァルキリー･真</v>
          </cell>
          <cell r="H1461" t="str">
            <v>yellow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god</v>
          </cell>
        </row>
        <row r="1462">
          <cell r="A1462">
            <v>1512</v>
          </cell>
          <cell r="B1462" t="str">
            <v>ja</v>
          </cell>
          <cell r="C1462" t="str">
            <v>ネコヴァルキリー･聖</v>
          </cell>
          <cell r="H1462" t="str">
            <v>yellow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god</v>
          </cell>
        </row>
        <row r="1463">
          <cell r="A1463">
            <v>1513</v>
          </cell>
          <cell r="B1463" t="str">
            <v>ja</v>
          </cell>
          <cell r="C1463" t="str">
            <v>金ネコ</v>
          </cell>
          <cell r="H1463" t="str">
            <v>yellow</v>
          </cell>
          <cell r="I1463">
            <v>4</v>
          </cell>
          <cell r="J1463" t="str">
            <v>Material</v>
          </cell>
          <cell r="K1463" t="str">
            <v>coin</v>
          </cell>
          <cell r="L1463" t="str">
            <v>コインタイプ</v>
          </cell>
          <cell r="M1463" t="str">
            <v>unknown</v>
          </cell>
        </row>
        <row r="1464">
          <cell r="A1464">
            <v>1514</v>
          </cell>
          <cell r="B1464" t="str">
            <v>ja</v>
          </cell>
          <cell r="C1464" t="str">
            <v>金ネコビルダー</v>
          </cell>
          <cell r="H1464" t="str">
            <v>yellow</v>
          </cell>
          <cell r="I1464">
            <v>5</v>
          </cell>
          <cell r="J1464" t="str">
            <v>Material</v>
          </cell>
          <cell r="K1464" t="str">
            <v>coin</v>
          </cell>
          <cell r="L1464" t="str">
            <v>コインタイプ</v>
          </cell>
          <cell r="M1464" t="str">
            <v>unknown</v>
          </cell>
        </row>
        <row r="1465">
          <cell r="A1465">
            <v>1515</v>
          </cell>
          <cell r="B1465" t="str">
            <v>ja</v>
          </cell>
          <cell r="C1465" t="str">
            <v>赤メタルネコ</v>
          </cell>
          <cell r="H1465" t="str">
            <v>red</v>
          </cell>
          <cell r="I1465">
            <v>4</v>
          </cell>
          <cell r="J1465" t="str">
            <v>Material</v>
          </cell>
          <cell r="K1465" t="str">
            <v>exp</v>
          </cell>
          <cell r="L1465" t="str">
            <v>強化素材タイプ</v>
          </cell>
          <cell r="M1465" t="str">
            <v>unknown</v>
          </cell>
        </row>
        <row r="1466">
          <cell r="A1466">
            <v>1516</v>
          </cell>
          <cell r="B1466" t="str">
            <v>ja</v>
          </cell>
          <cell r="C1466" t="str">
            <v>赤メタルネコビルダー</v>
          </cell>
          <cell r="H1466" t="str">
            <v>red</v>
          </cell>
          <cell r="I1466">
            <v>5</v>
          </cell>
          <cell r="J1466" t="str">
            <v>Material</v>
          </cell>
          <cell r="K1466" t="str">
            <v>exp</v>
          </cell>
          <cell r="L1466" t="str">
            <v>強化素材タイプ</v>
          </cell>
          <cell r="M1466" t="str">
            <v>unknown</v>
          </cell>
        </row>
        <row r="1467">
          <cell r="A1467">
            <v>1517</v>
          </cell>
          <cell r="B1467" t="str">
            <v>ja</v>
          </cell>
          <cell r="C1467" t="str">
            <v>青メタルネコ</v>
          </cell>
          <cell r="H1467" t="str">
            <v>blue</v>
          </cell>
          <cell r="I1467">
            <v>4</v>
          </cell>
          <cell r="J1467" t="str">
            <v>Material</v>
          </cell>
          <cell r="K1467" t="str">
            <v>exp</v>
          </cell>
          <cell r="L1467" t="str">
            <v>強化素材タイプ</v>
          </cell>
          <cell r="M1467" t="str">
            <v>unknown</v>
          </cell>
        </row>
        <row r="1468">
          <cell r="A1468">
            <v>1518</v>
          </cell>
          <cell r="B1468" t="str">
            <v>ja</v>
          </cell>
          <cell r="C1468" t="str">
            <v>青メタルネコビルダー</v>
          </cell>
          <cell r="H1468" t="str">
            <v>blue</v>
          </cell>
          <cell r="I1468">
            <v>5</v>
          </cell>
          <cell r="J1468" t="str">
            <v>Material</v>
          </cell>
          <cell r="K1468" t="str">
            <v>exp</v>
          </cell>
          <cell r="L1468" t="str">
            <v>強化素材タイプ</v>
          </cell>
          <cell r="M1468" t="str">
            <v>unknown</v>
          </cell>
        </row>
        <row r="1469">
          <cell r="A1469">
            <v>1519</v>
          </cell>
          <cell r="B1469" t="str">
            <v>ja</v>
          </cell>
          <cell r="C1469" t="str">
            <v>緑メタルネコ</v>
          </cell>
          <cell r="H1469" t="str">
            <v>green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1520</v>
          </cell>
          <cell r="B1470" t="str">
            <v>ja</v>
          </cell>
          <cell r="C1470" t="str">
            <v>緑メタルネコビルダー</v>
          </cell>
          <cell r="H1470" t="str">
            <v>green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1521</v>
          </cell>
          <cell r="B1471" t="str">
            <v>ja</v>
          </cell>
          <cell r="C1471" t="str">
            <v>黄メタルネコ</v>
          </cell>
          <cell r="H1471" t="str">
            <v>yellow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1522</v>
          </cell>
          <cell r="B1472" t="str">
            <v>ja</v>
          </cell>
          <cell r="C1472" t="str">
            <v>黄メタルネコビルダー</v>
          </cell>
          <cell r="H1472" t="str">
            <v>yellow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1523</v>
          </cell>
          <cell r="B1473" t="str">
            <v>ja</v>
          </cell>
          <cell r="C1473" t="str">
            <v>ネコムート</v>
          </cell>
          <cell r="H1473" t="str">
            <v>blue</v>
          </cell>
          <cell r="I1473">
            <v>5</v>
          </cell>
          <cell r="J1473" t="str">
            <v>DropWizS</v>
          </cell>
          <cell r="K1473" t="str">
            <v>technical</v>
          </cell>
          <cell r="L1473" t="str">
            <v>テクニカルタイプ</v>
          </cell>
          <cell r="M1473" t="str">
            <v>animal</v>
          </cell>
        </row>
        <row r="1474">
          <cell r="A1474">
            <v>1524</v>
          </cell>
          <cell r="B1474" t="str">
            <v>ja</v>
          </cell>
          <cell r="C1474" t="str">
            <v>狂乱のネコムート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technical</v>
          </cell>
          <cell r="L1474" t="str">
            <v>テクニカルタイプ</v>
          </cell>
          <cell r="M1474" t="str">
            <v>animal</v>
          </cell>
        </row>
        <row r="1475">
          <cell r="A1475">
            <v>1525</v>
          </cell>
          <cell r="B1475" t="str">
            <v>ja</v>
          </cell>
          <cell r="C1475" t="str">
            <v>狂乱のネコ</v>
          </cell>
          <cell r="H1475" t="str">
            <v>red</v>
          </cell>
          <cell r="I1475">
            <v>5</v>
          </cell>
          <cell r="J1475" t="str">
            <v>DropWizSS</v>
          </cell>
          <cell r="K1475" t="str">
            <v>attack</v>
          </cell>
          <cell r="L1475" t="str">
            <v>攻撃タイプ</v>
          </cell>
          <cell r="M1475" t="str">
            <v>animal</v>
          </cell>
        </row>
        <row r="1476">
          <cell r="A1476">
            <v>1526</v>
          </cell>
          <cell r="B1476" t="str">
            <v>ja</v>
          </cell>
          <cell r="C1476" t="str">
            <v>狂乱のネコビルダー</v>
          </cell>
          <cell r="H1476" t="str">
            <v>red</v>
          </cell>
          <cell r="I1476">
            <v>6</v>
          </cell>
          <cell r="J1476" t="str">
            <v>DropWizSS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1527</v>
          </cell>
          <cell r="B1477" t="str">
            <v>ja</v>
          </cell>
          <cell r="C1477" t="str">
            <v>ネコ魔剣士</v>
          </cell>
          <cell r="H1477" t="str">
            <v>red</v>
          </cell>
          <cell r="I1477">
            <v>4</v>
          </cell>
          <cell r="J1477" t="str">
            <v>PremiumS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1528</v>
          </cell>
          <cell r="B1478" t="str">
            <v>ja</v>
          </cell>
          <cell r="C1478" t="str">
            <v>双剣ネコ魔剣士</v>
          </cell>
          <cell r="H1478" t="str">
            <v>red</v>
          </cell>
          <cell r="I1478">
            <v>5</v>
          </cell>
          <cell r="J1478" t="str">
            <v>PremiumS</v>
          </cell>
          <cell r="K1478" t="str">
            <v>attack</v>
          </cell>
          <cell r="L1478" t="str">
            <v>攻撃タイプ</v>
          </cell>
          <cell r="M1478" t="str">
            <v>animal</v>
          </cell>
        </row>
        <row r="1479">
          <cell r="A1479">
            <v>1529</v>
          </cell>
          <cell r="B1479" t="str">
            <v>ja</v>
          </cell>
          <cell r="C1479" t="str">
            <v>ねこ海賊</v>
          </cell>
          <cell r="H1479" t="str">
            <v>blue</v>
          </cell>
          <cell r="I1479">
            <v>4</v>
          </cell>
          <cell r="J1479" t="str">
            <v>PremiumS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1530</v>
          </cell>
          <cell r="B1480" t="str">
            <v>ja</v>
          </cell>
          <cell r="C1480" t="str">
            <v>ニャーコック船長</v>
          </cell>
          <cell r="H1480" t="str">
            <v>blue</v>
          </cell>
          <cell r="I1480">
            <v>5</v>
          </cell>
          <cell r="J1480" t="str">
            <v>PremiumS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1531</v>
          </cell>
          <cell r="B1481" t="str">
            <v>ja</v>
          </cell>
          <cell r="C1481" t="str">
            <v>ねこジュラ</v>
          </cell>
          <cell r="H1481" t="str">
            <v>green</v>
          </cell>
          <cell r="I1481">
            <v>4</v>
          </cell>
          <cell r="J1481" t="str">
            <v>PremiumS</v>
          </cell>
          <cell r="K1481" t="str">
            <v>technical</v>
          </cell>
          <cell r="L1481" t="str">
            <v>テクニカルタイプ</v>
          </cell>
          <cell r="M1481" t="str">
            <v>animal</v>
          </cell>
        </row>
        <row r="1482">
          <cell r="A1482">
            <v>1532</v>
          </cell>
          <cell r="B1482" t="str">
            <v>ja</v>
          </cell>
          <cell r="C1482" t="str">
            <v>ねこジュラシッター</v>
          </cell>
          <cell r="H1482" t="str">
            <v>green</v>
          </cell>
          <cell r="I1482">
            <v>5</v>
          </cell>
          <cell r="J1482" t="str">
            <v>PremiumS</v>
          </cell>
          <cell r="K1482" t="str">
            <v>technical</v>
          </cell>
          <cell r="L1482" t="str">
            <v>テクニカルタイプ</v>
          </cell>
          <cell r="M1482" t="str">
            <v>animal</v>
          </cell>
        </row>
        <row r="1483">
          <cell r="A1483">
            <v>1533</v>
          </cell>
          <cell r="B1483" t="str">
            <v>ja</v>
          </cell>
          <cell r="C1483" t="str">
            <v>ネコエステ</v>
          </cell>
          <cell r="H1483" t="str">
            <v>yellow</v>
          </cell>
          <cell r="I1483">
            <v>4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1534</v>
          </cell>
          <cell r="B1484" t="str">
            <v>ja</v>
          </cell>
          <cell r="C1484" t="str">
            <v>ネコジェンヌ</v>
          </cell>
          <cell r="H1484" t="str">
            <v>yellow</v>
          </cell>
          <cell r="I1484">
            <v>5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1535</v>
          </cell>
          <cell r="B1485" t="str">
            <v>ja</v>
          </cell>
          <cell r="C1485" t="str">
            <v>ねこナース</v>
          </cell>
          <cell r="H1485" t="str">
            <v>red</v>
          </cell>
          <cell r="I1485">
            <v>5</v>
          </cell>
          <cell r="J1485" t="str">
            <v>PremiumSS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1536</v>
          </cell>
          <cell r="B1486" t="str">
            <v>ja</v>
          </cell>
          <cell r="C1486" t="str">
            <v>ハートフルねこナース</v>
          </cell>
          <cell r="H1486" t="str">
            <v>red</v>
          </cell>
          <cell r="I1486">
            <v>6</v>
          </cell>
          <cell r="J1486" t="str">
            <v>PremiumSS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1537</v>
          </cell>
          <cell r="B1487" t="str">
            <v>ja</v>
          </cell>
          <cell r="C1487" t="str">
            <v>キャットマンダディ</v>
          </cell>
          <cell r="H1487" t="str">
            <v>blue</v>
          </cell>
          <cell r="I1487">
            <v>5</v>
          </cell>
          <cell r="J1487" t="str">
            <v>PremiumSSS</v>
          </cell>
          <cell r="K1487" t="str">
            <v>attack</v>
          </cell>
          <cell r="L1487" t="str">
            <v>攻撃タイプ</v>
          </cell>
          <cell r="M1487" t="str">
            <v>unknown</v>
          </cell>
        </row>
        <row r="1488">
          <cell r="A1488">
            <v>1538</v>
          </cell>
          <cell r="B1488" t="str">
            <v>ja</v>
          </cell>
          <cell r="C1488" t="str">
            <v>キャットマンダーク</v>
          </cell>
          <cell r="H1488" t="str">
            <v>blue</v>
          </cell>
          <cell r="I1488">
            <v>6</v>
          </cell>
          <cell r="J1488" t="str">
            <v>PremiumSSS</v>
          </cell>
          <cell r="K1488" t="str">
            <v>attack</v>
          </cell>
          <cell r="L1488" t="str">
            <v>攻撃タイプ</v>
          </cell>
          <cell r="M1488" t="str">
            <v>unknown</v>
          </cell>
        </row>
        <row r="1489">
          <cell r="A1489">
            <v>1539</v>
          </cell>
          <cell r="B1489" t="str">
            <v>ja</v>
          </cell>
          <cell r="C1489" t="str">
            <v>雷神のサンディア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attack</v>
          </cell>
          <cell r="L1489" t="str">
            <v>攻撃タイプ</v>
          </cell>
          <cell r="M1489" t="str">
            <v>god</v>
          </cell>
        </row>
        <row r="1490">
          <cell r="A1490">
            <v>1540</v>
          </cell>
          <cell r="B1490" t="str">
            <v>ja</v>
          </cell>
          <cell r="C1490" t="str">
            <v>雷神のサンディアβ</v>
          </cell>
          <cell r="H1490" t="str">
            <v>yellow</v>
          </cell>
          <cell r="I1490">
            <v>6</v>
          </cell>
          <cell r="J1490" t="str">
            <v>PremiumSS</v>
          </cell>
          <cell r="K1490" t="str">
            <v>attack</v>
          </cell>
          <cell r="L1490" t="str">
            <v>攻撃タイプ</v>
          </cell>
          <cell r="M1490" t="str">
            <v>god</v>
          </cell>
        </row>
        <row r="1491">
          <cell r="A1491">
            <v>1541</v>
          </cell>
          <cell r="B1491" t="str">
            <v>ja</v>
          </cell>
          <cell r="C1491" t="str">
            <v>美女神アフロディーテ</v>
          </cell>
          <cell r="H1491" t="str">
            <v>red</v>
          </cell>
          <cell r="I1491">
            <v>5</v>
          </cell>
          <cell r="J1491" t="str">
            <v>PremiumSSS</v>
          </cell>
          <cell r="K1491" t="str">
            <v>technical</v>
          </cell>
          <cell r="L1491" t="str">
            <v>テクニカルタイプ</v>
          </cell>
          <cell r="M1491" t="str">
            <v>god</v>
          </cell>
        </row>
        <row r="1492">
          <cell r="A1492">
            <v>1542</v>
          </cell>
          <cell r="B1492" t="str">
            <v>ja</v>
          </cell>
          <cell r="C1492" t="str">
            <v>メガロディーテ</v>
          </cell>
          <cell r="H1492" t="str">
            <v>red</v>
          </cell>
          <cell r="I1492">
            <v>6</v>
          </cell>
          <cell r="J1492" t="str">
            <v>PremiumSSS</v>
          </cell>
          <cell r="K1492" t="str">
            <v>technical</v>
          </cell>
          <cell r="L1492" t="str">
            <v>テクニカルタイプ</v>
          </cell>
          <cell r="M1492" t="str">
            <v>god</v>
          </cell>
        </row>
        <row r="1493">
          <cell r="A1493">
            <v>1543</v>
          </cell>
          <cell r="B1493" t="str">
            <v>ja</v>
          </cell>
          <cell r="C1493" t="str">
            <v>ツルの恩返し</v>
          </cell>
          <cell r="H1493" t="str">
            <v>red</v>
          </cell>
          <cell r="I1493">
            <v>5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hero</v>
          </cell>
        </row>
        <row r="1494">
          <cell r="A1494">
            <v>1544</v>
          </cell>
          <cell r="B1494" t="str">
            <v>ja</v>
          </cell>
          <cell r="C1494" t="str">
            <v>銀河戦士コスモ</v>
          </cell>
          <cell r="H1494" t="str">
            <v>red</v>
          </cell>
          <cell r="I1494">
            <v>6</v>
          </cell>
          <cell r="J1494" t="str">
            <v>PremiumSS</v>
          </cell>
          <cell r="K1494" t="str">
            <v>balance</v>
          </cell>
          <cell r="L1494" t="str">
            <v>バランスタイプ</v>
          </cell>
          <cell r="M1494" t="str">
            <v>hero</v>
          </cell>
        </row>
        <row r="1495">
          <cell r="A1495">
            <v>1545</v>
          </cell>
          <cell r="B1495" t="str">
            <v>ja</v>
          </cell>
          <cell r="C1495" t="str">
            <v>ネコルガ</v>
          </cell>
          <cell r="H1495" t="str">
            <v>green</v>
          </cell>
          <cell r="I1495">
            <v>5</v>
          </cell>
          <cell r="J1495" t="str">
            <v>PremiumSS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1546</v>
          </cell>
          <cell r="B1496" t="str">
            <v>ja</v>
          </cell>
          <cell r="C1496" t="str">
            <v>ケサランパサラン</v>
          </cell>
          <cell r="H1496" t="str">
            <v>green</v>
          </cell>
          <cell r="I1496">
            <v>6</v>
          </cell>
          <cell r="J1496" t="str">
            <v>PremiumSS</v>
          </cell>
          <cell r="K1496" t="str">
            <v>hp</v>
          </cell>
          <cell r="L1496" t="str">
            <v>体力タイプ</v>
          </cell>
          <cell r="M1496" t="str">
            <v>unknown</v>
          </cell>
        </row>
        <row r="1497">
          <cell r="A1497">
            <v>1547</v>
          </cell>
          <cell r="B1497" t="str">
            <v>ja</v>
          </cell>
          <cell r="C1497" t="str">
            <v>ネコフラワー</v>
          </cell>
          <cell r="H1497" t="str">
            <v>green</v>
          </cell>
          <cell r="I1497">
            <v>4</v>
          </cell>
          <cell r="J1497" t="str">
            <v>Drop2N</v>
          </cell>
          <cell r="K1497" t="str">
            <v>hp</v>
          </cell>
          <cell r="L1497" t="str">
            <v>体力タイプ</v>
          </cell>
          <cell r="M1497" t="str">
            <v>animal</v>
          </cell>
        </row>
        <row r="1498">
          <cell r="A1498">
            <v>1548</v>
          </cell>
          <cell r="B1498" t="str">
            <v>ja</v>
          </cell>
          <cell r="C1498" t="str">
            <v>にゃんこ扇風</v>
          </cell>
          <cell r="H1498" t="str">
            <v>green</v>
          </cell>
          <cell r="I1498">
            <v>5</v>
          </cell>
          <cell r="J1498" t="str">
            <v>Drop2N</v>
          </cell>
          <cell r="K1498" t="str">
            <v>hp</v>
          </cell>
          <cell r="L1498" t="str">
            <v>体力タイプ</v>
          </cell>
          <cell r="M1498" t="str">
            <v>animal</v>
          </cell>
        </row>
        <row r="1499">
          <cell r="A1499">
            <v>1549</v>
          </cell>
          <cell r="B1499" t="str">
            <v>ja</v>
          </cell>
          <cell r="C1499" t="str">
            <v>ネコリンゴ</v>
          </cell>
          <cell r="H1499" t="str">
            <v>green</v>
          </cell>
          <cell r="I1499">
            <v>5</v>
          </cell>
          <cell r="J1499" t="str">
            <v>DropWizS</v>
          </cell>
          <cell r="K1499" t="str">
            <v>balance</v>
          </cell>
          <cell r="L1499" t="str">
            <v>バランスタイプ</v>
          </cell>
          <cell r="M1499" t="str">
            <v>unknown</v>
          </cell>
        </row>
        <row r="1500">
          <cell r="A1500">
            <v>1550</v>
          </cell>
          <cell r="B1500" t="str">
            <v>ja</v>
          </cell>
          <cell r="C1500" t="str">
            <v>カオルくん</v>
          </cell>
          <cell r="H1500" t="str">
            <v>green</v>
          </cell>
          <cell r="I1500">
            <v>6</v>
          </cell>
          <cell r="J1500" t="str">
            <v>DropWizS</v>
          </cell>
          <cell r="K1500" t="str">
            <v>balance</v>
          </cell>
          <cell r="L1500" t="str">
            <v>バランスタイプ</v>
          </cell>
          <cell r="M1500" t="str">
            <v>unknown</v>
          </cell>
        </row>
        <row r="1501">
          <cell r="A1501">
            <v>5001</v>
          </cell>
          <cell r="B1501" t="str">
            <v>ja</v>
          </cell>
          <cell r="C1501" t="str">
            <v>ガルーダ</v>
          </cell>
          <cell r="D1501" t="str">
            <v>ノーマルクエスト</v>
          </cell>
          <cell r="E1501" t="str">
            <v>QoH</v>
          </cell>
          <cell r="F1501" t="str">
            <v>世界観</v>
          </cell>
          <cell r="G1501" t="str">
            <v>不明</v>
          </cell>
          <cell r="H1501" t="str">
            <v>red</v>
          </cell>
          <cell r="I1501">
            <v>5</v>
          </cell>
          <cell r="J1501" t="str">
            <v>PremiumSSw</v>
          </cell>
          <cell r="K1501" t="str">
            <v>attack</v>
          </cell>
          <cell r="L1501" t="str">
            <v>攻撃タイプ</v>
          </cell>
          <cell r="M1501" t="str">
            <v>god</v>
          </cell>
        </row>
        <row r="1502">
          <cell r="A1502">
            <v>5002</v>
          </cell>
          <cell r="B1502" t="str">
            <v>ja</v>
          </cell>
          <cell r="C1502" t="str">
            <v>ガルーダ★６</v>
          </cell>
          <cell r="D1502" t="str">
            <v>ノーマルクエスト</v>
          </cell>
          <cell r="E1502" t="str">
            <v>アバター</v>
          </cell>
          <cell r="F1502" t="str">
            <v>世界観</v>
          </cell>
          <cell r="G1502" t="str">
            <v>男性</v>
          </cell>
          <cell r="H1502" t="str">
            <v>red</v>
          </cell>
          <cell r="I1502">
            <v>6</v>
          </cell>
          <cell r="J1502" t="str">
            <v>PremiumSSw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5003</v>
          </cell>
          <cell r="B1503" t="str">
            <v>ja</v>
          </cell>
          <cell r="C1503" t="str">
            <v>ナーガ</v>
          </cell>
          <cell r="D1503" t="str">
            <v>リンクガチャ:4神</v>
          </cell>
          <cell r="E1503" t="str">
            <v>守護神</v>
          </cell>
          <cell r="F1503" t="str">
            <v>格好いい</v>
          </cell>
          <cell r="G1503" t="str">
            <v>不明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animal</v>
          </cell>
        </row>
        <row r="1504">
          <cell r="A1504">
            <v>5004</v>
          </cell>
          <cell r="B1504" t="str">
            <v>ja</v>
          </cell>
          <cell r="C1504" t="str">
            <v>ナーガ★６</v>
          </cell>
          <cell r="D1504" t="str">
            <v>ノーマルクエスト</v>
          </cell>
          <cell r="E1504" t="str">
            <v>アバター</v>
          </cell>
          <cell r="F1504" t="str">
            <v>世界観</v>
          </cell>
          <cell r="G1504" t="str">
            <v>不明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5005</v>
          </cell>
          <cell r="B1505" t="str">
            <v>ja</v>
          </cell>
          <cell r="C1505" t="str">
            <v>カーミラ</v>
          </cell>
          <cell r="D1505" t="str">
            <v>ノーマルクエスト</v>
          </cell>
          <cell r="E1505" t="str">
            <v>QoH</v>
          </cell>
          <cell r="F1505" t="str">
            <v>世界観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PremiumSSw</v>
          </cell>
          <cell r="K1505" t="str">
            <v>balance</v>
          </cell>
          <cell r="L1505" t="str">
            <v>バランスタイプ</v>
          </cell>
          <cell r="M1505" t="str">
            <v>demon</v>
          </cell>
        </row>
        <row r="1506">
          <cell r="A1506">
            <v>5006</v>
          </cell>
          <cell r="B1506" t="str">
            <v>ja</v>
          </cell>
          <cell r="C1506" t="str">
            <v>カーミラ★６</v>
          </cell>
          <cell r="D1506" t="str">
            <v>ノーマルクエスト</v>
          </cell>
          <cell r="E1506" t="str">
            <v>アバター</v>
          </cell>
          <cell r="F1506" t="str">
            <v>世界観</v>
          </cell>
          <cell r="G1506" t="str">
            <v>男性</v>
          </cell>
          <cell r="H1506" t="str">
            <v>green</v>
          </cell>
          <cell r="I1506">
            <v>6</v>
          </cell>
          <cell r="J1506" t="str">
            <v>PremiumSSw</v>
          </cell>
          <cell r="K1506" t="str">
            <v>balance</v>
          </cell>
          <cell r="L1506" t="str">
            <v>バランスタイプ</v>
          </cell>
          <cell r="M1506" t="str">
            <v>demon</v>
          </cell>
        </row>
        <row r="1507">
          <cell r="A1507">
            <v>5007</v>
          </cell>
          <cell r="B1507" t="str">
            <v>ja</v>
          </cell>
          <cell r="C1507" t="str">
            <v>ヘルシング</v>
          </cell>
          <cell r="D1507" t="str">
            <v>リンクガチャ:4神</v>
          </cell>
          <cell r="E1507" t="str">
            <v>守護神</v>
          </cell>
          <cell r="F1507" t="str">
            <v>格好いい</v>
          </cell>
          <cell r="G1507" t="str">
            <v>不明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technical</v>
          </cell>
          <cell r="L1507" t="str">
            <v>テクニカルタイプ</v>
          </cell>
          <cell r="M1507" t="str">
            <v>human</v>
          </cell>
        </row>
        <row r="1508">
          <cell r="A1508">
            <v>5008</v>
          </cell>
          <cell r="B1508" t="str">
            <v>ja</v>
          </cell>
          <cell r="C1508" t="str">
            <v>ヘルシング★６</v>
          </cell>
          <cell r="D1508" t="str">
            <v>ノーマルクエスト</v>
          </cell>
          <cell r="E1508" t="str">
            <v>アバター</v>
          </cell>
          <cell r="F1508" t="str">
            <v>世界観</v>
          </cell>
          <cell r="G1508" t="str">
            <v>不明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technical</v>
          </cell>
          <cell r="L1508" t="str">
            <v>テクニカルタイプ</v>
          </cell>
          <cell r="M1508" t="str">
            <v>human</v>
          </cell>
        </row>
        <row r="1509">
          <cell r="A1509">
            <v>6001</v>
          </cell>
          <cell r="B1509" t="str">
            <v>ja</v>
          </cell>
          <cell r="C1509" t="str">
            <v>ジェリー</v>
          </cell>
          <cell r="D1509" t="str">
            <v>ノーマルクエスト</v>
          </cell>
          <cell r="E1509" t="str">
            <v>QoH</v>
          </cell>
          <cell r="F1509" t="str">
            <v>世界観</v>
          </cell>
          <cell r="G1509" t="str">
            <v>不明</v>
          </cell>
          <cell r="H1509" t="str">
            <v>red</v>
          </cell>
          <cell r="I1509">
            <v>1</v>
          </cell>
          <cell r="J1509" t="str">
            <v>Drop1T</v>
          </cell>
          <cell r="K1509" t="str">
            <v>ra</v>
          </cell>
          <cell r="L1509" t="str">
            <v>ラグランジュチャレンジ</v>
          </cell>
          <cell r="M1509" t="str">
            <v>unknown</v>
          </cell>
        </row>
        <row r="1510">
          <cell r="A1510">
            <v>6002</v>
          </cell>
          <cell r="B1510" t="str">
            <v>ja</v>
          </cell>
          <cell r="C1510" t="str">
            <v>ヨシタカ</v>
          </cell>
          <cell r="D1510" t="str">
            <v>ノーマルクエスト</v>
          </cell>
          <cell r="E1510" t="str">
            <v>アバター</v>
          </cell>
          <cell r="F1510" t="str">
            <v>世界観</v>
          </cell>
          <cell r="G1510" t="str">
            <v>男性</v>
          </cell>
          <cell r="H1510" t="str">
            <v>red</v>
          </cell>
          <cell r="I1510">
            <v>2</v>
          </cell>
          <cell r="J1510" t="str">
            <v>Drop1N</v>
          </cell>
          <cell r="K1510" t="str">
            <v>ra</v>
          </cell>
          <cell r="L1510" t="str">
            <v>ラグランジュチャレンジ</v>
          </cell>
          <cell r="M1510" t="str">
            <v>human</v>
          </cell>
        </row>
        <row r="1511">
          <cell r="A1511">
            <v>6003</v>
          </cell>
          <cell r="B1511" t="str">
            <v>ja</v>
          </cell>
          <cell r="C1511" t="str">
            <v>朱雀</v>
          </cell>
          <cell r="D1511" t="str">
            <v>リンクガチャ:4神</v>
          </cell>
          <cell r="E1511" t="str">
            <v>守護神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3</v>
          </cell>
          <cell r="J1511" t="str">
            <v>Drop2N</v>
          </cell>
          <cell r="K1511" t="str">
            <v>ra</v>
          </cell>
          <cell r="L1511" t="str">
            <v>ラグランジュチャレンジ</v>
          </cell>
          <cell r="M1511" t="str">
            <v>animal</v>
          </cell>
        </row>
        <row r="1512">
          <cell r="A1512">
            <v>6004</v>
          </cell>
          <cell r="B1512" t="str">
            <v>ja</v>
          </cell>
          <cell r="C1512" t="str">
            <v>ブレット</v>
          </cell>
          <cell r="D1512" t="str">
            <v>ノーマルクエスト</v>
          </cell>
          <cell r="E1512" t="str">
            <v>アバター</v>
          </cell>
          <cell r="F1512" t="str">
            <v>世界観</v>
          </cell>
          <cell r="G1512" t="str">
            <v>不明</v>
          </cell>
          <cell r="H1512" t="str">
            <v>red</v>
          </cell>
          <cell r="I1512">
            <v>1</v>
          </cell>
          <cell r="J1512" t="str">
            <v>Drop1W</v>
          </cell>
          <cell r="K1512" t="str">
            <v>ra</v>
          </cell>
          <cell r="L1512" t="str">
            <v>ラグランジュチャレンジ</v>
          </cell>
          <cell r="M1512" t="str">
            <v>animal</v>
          </cell>
        </row>
        <row r="1513">
          <cell r="A1513">
            <v>6005</v>
          </cell>
          <cell r="B1513" t="str">
            <v>ja</v>
          </cell>
          <cell r="C1513" t="str">
            <v>孤神 テティス</v>
          </cell>
          <cell r="D1513" t="str">
            <v>初期ガチャ</v>
          </cell>
          <cell r="E1513" t="str">
            <v>管理者</v>
          </cell>
          <cell r="F1513" t="str">
            <v>美しい</v>
          </cell>
          <cell r="G1513" t="str">
            <v>女性</v>
          </cell>
          <cell r="H1513" t="str">
            <v>blue</v>
          </cell>
          <cell r="I1513">
            <v>4</v>
          </cell>
          <cell r="J1513" t="str">
            <v>PremiumN</v>
          </cell>
          <cell r="K1513" t="str">
            <v>ra</v>
          </cell>
          <cell r="L1513" t="str">
            <v>ラグランジュチャレンジ</v>
          </cell>
          <cell r="M1513" t="str">
            <v>god</v>
          </cell>
        </row>
        <row r="1514">
          <cell r="A1514">
            <v>6006</v>
          </cell>
          <cell r="B1514" t="str">
            <v>ja</v>
          </cell>
          <cell r="C1514" t="str">
            <v>海底の孤高神 テティス</v>
          </cell>
          <cell r="D1514" t="str">
            <v>初期ガチャ</v>
          </cell>
          <cell r="E1514" t="str">
            <v>管理者</v>
          </cell>
          <cell r="F1514" t="str">
            <v>美しい</v>
          </cell>
          <cell r="G1514" t="str">
            <v>女性</v>
          </cell>
          <cell r="H1514" t="str">
            <v>blue</v>
          </cell>
          <cell r="I1514">
            <v>5</v>
          </cell>
          <cell r="J1514" t="str">
            <v>PremiumN</v>
          </cell>
          <cell r="K1514" t="str">
            <v>ra</v>
          </cell>
          <cell r="L1514" t="str">
            <v>ラグランジュチャレンジ</v>
          </cell>
          <cell r="M1514" t="str">
            <v>god</v>
          </cell>
        </row>
        <row r="1515">
          <cell r="A1515">
            <v>6007</v>
          </cell>
          <cell r="B1515" t="str">
            <v>ja</v>
          </cell>
          <cell r="C1515" t="str">
            <v>番犬 ケルベロス</v>
          </cell>
          <cell r="D1515" t="str">
            <v>初期ガチャ</v>
          </cell>
          <cell r="E1515" t="str">
            <v>破界者</v>
          </cell>
          <cell r="F1515" t="str">
            <v>可愛い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PremiumN</v>
          </cell>
          <cell r="K1515" t="str">
            <v>ra</v>
          </cell>
          <cell r="L1515" t="str">
            <v>ラグランジュチャレンジ</v>
          </cell>
          <cell r="M1515" t="str">
            <v>animal</v>
          </cell>
        </row>
        <row r="1516">
          <cell r="A1516">
            <v>6008</v>
          </cell>
          <cell r="B1516" t="str">
            <v>ja</v>
          </cell>
          <cell r="C1516" t="str">
            <v>焔神 プロメテウス</v>
          </cell>
          <cell r="D1516" t="str">
            <v>初期ガチャ</v>
          </cell>
          <cell r="E1516" t="str">
            <v>管理者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PremiumN</v>
          </cell>
          <cell r="K1516" t="str">
            <v>ra</v>
          </cell>
          <cell r="L1516" t="str">
            <v>ラグランジュチャレンジ</v>
          </cell>
          <cell r="M1516" t="str">
            <v>god</v>
          </cell>
        </row>
        <row r="1517">
          <cell r="A1517">
            <v>6009</v>
          </cell>
          <cell r="B1517" t="str">
            <v>ja</v>
          </cell>
          <cell r="C1517" t="str">
            <v>超越自我 ラグランジュ</v>
          </cell>
          <cell r="D1517" t="str">
            <v>ガチャ:フィーバーフェス02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PremiumSSS</v>
          </cell>
          <cell r="K1517" t="str">
            <v>ra</v>
          </cell>
          <cell r="L1517" t="str">
            <v>ラグランジュチャレンジ</v>
          </cell>
          <cell r="M1517" t="str">
            <v>human</v>
          </cell>
        </row>
        <row r="1518">
          <cell r="A1518">
            <v>6010</v>
          </cell>
          <cell r="B1518" t="str">
            <v>ja</v>
          </cell>
          <cell r="C1518" t="str">
            <v>超越凌駕 ラグランジュ</v>
          </cell>
          <cell r="D1518" t="str">
            <v>ガチャ:フィーバーフェス02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6</v>
          </cell>
          <cell r="J1518" t="str">
            <v>PremiumSSS</v>
          </cell>
          <cell r="K1518" t="str">
            <v>ra</v>
          </cell>
          <cell r="L1518" t="str">
            <v>ラグランジュチャレンジ</v>
          </cell>
          <cell r="M1518" t="str">
            <v>human</v>
          </cell>
        </row>
        <row r="1519">
          <cell r="A1519">
            <v>6011</v>
          </cell>
          <cell r="B1519" t="str">
            <v>ja</v>
          </cell>
          <cell r="C1519" t="str">
            <v>パトドッグリーダー ポチ</v>
          </cell>
          <cell r="D1519" t="str">
            <v>ガチャ:フィーバーフェス02</v>
          </cell>
          <cell r="E1519" t="str">
            <v>執行者</v>
          </cell>
          <cell r="F1519" t="str">
            <v>格好いい</v>
          </cell>
          <cell r="G1519" t="str">
            <v>男性</v>
          </cell>
          <cell r="H1519" t="str">
            <v>blue</v>
          </cell>
          <cell r="I1519">
            <v>2</v>
          </cell>
          <cell r="J1519" t="str">
            <v>Drop1T</v>
          </cell>
          <cell r="K1519" t="str">
            <v>ra002</v>
          </cell>
          <cell r="L1519" t="str">
            <v>ユークリッドチャレンジ</v>
          </cell>
          <cell r="M1519" t="str">
            <v>unknown</v>
          </cell>
        </row>
        <row r="1520">
          <cell r="A1520">
            <v>6012</v>
          </cell>
          <cell r="B1520" t="str">
            <v>ja</v>
          </cell>
          <cell r="C1520" t="str">
            <v>ミミ</v>
          </cell>
          <cell r="D1520" t="str">
            <v>ガチャ:フィーバーフェス02</v>
          </cell>
          <cell r="E1520" t="str">
            <v>執行者</v>
          </cell>
          <cell r="F1520" t="str">
            <v>格好いい</v>
          </cell>
          <cell r="G1520" t="str">
            <v>男性</v>
          </cell>
          <cell r="H1520" t="str">
            <v>yellow</v>
          </cell>
          <cell r="I1520">
            <v>1</v>
          </cell>
          <cell r="J1520" t="str">
            <v>Drop1W</v>
          </cell>
          <cell r="K1520" t="str">
            <v>ra002</v>
          </cell>
          <cell r="L1520" t="str">
            <v>ユークリッドチャレンジ</v>
          </cell>
          <cell r="M1520" t="str">
            <v>animal</v>
          </cell>
        </row>
        <row r="1521">
          <cell r="A1521">
            <v>6013</v>
          </cell>
          <cell r="B1521" t="str">
            <v>ja</v>
          </cell>
          <cell r="C1521" t="str">
            <v>護衛機人 スケアクロウ</v>
          </cell>
          <cell r="D1521" t="str">
            <v>ガチャ:フィーバーフェス02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blue</v>
          </cell>
          <cell r="I1521">
            <v>2</v>
          </cell>
          <cell r="J1521" t="str">
            <v>Drop1N</v>
          </cell>
          <cell r="K1521" t="str">
            <v>ra002</v>
          </cell>
          <cell r="L1521" t="str">
            <v>ユークリッドチャレンジ</v>
          </cell>
          <cell r="M1521" t="str">
            <v>machine</v>
          </cell>
        </row>
        <row r="1522">
          <cell r="A1522">
            <v>6014</v>
          </cell>
          <cell r="B1522" t="str">
            <v>ja</v>
          </cell>
          <cell r="C1522" t="str">
            <v>月下の人狼 ローレンス</v>
          </cell>
          <cell r="D1522" t="str">
            <v>ガチャ:フィーバーフェス02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blue</v>
          </cell>
          <cell r="I1522">
            <v>4</v>
          </cell>
          <cell r="J1522" t="str">
            <v>PremiumW</v>
          </cell>
          <cell r="K1522" t="str">
            <v>ra002</v>
          </cell>
          <cell r="L1522" t="str">
            <v>ユークリッドチャレンジ</v>
          </cell>
          <cell r="M1522" t="str">
            <v>animal</v>
          </cell>
        </row>
        <row r="1523">
          <cell r="A1523">
            <v>6015</v>
          </cell>
          <cell r="B1523" t="str">
            <v>ja</v>
          </cell>
          <cell r="C1523" t="str">
            <v>フレイヤ</v>
          </cell>
          <cell r="D1523" t="str">
            <v>ガチャ:フィーバーフェス02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blue</v>
          </cell>
          <cell r="I1523">
            <v>4</v>
          </cell>
          <cell r="J1523" t="str">
            <v>PremiumSS</v>
          </cell>
          <cell r="K1523" t="str">
            <v>ra002</v>
          </cell>
          <cell r="L1523" t="str">
            <v>ユークリッドチャレンジ</v>
          </cell>
          <cell r="M1523" t="str">
            <v>animal</v>
          </cell>
        </row>
        <row r="1524">
          <cell r="A1524">
            <v>6016</v>
          </cell>
          <cell r="B1524" t="str">
            <v>ja</v>
          </cell>
          <cell r="C1524" t="str">
            <v>根原論理 ユークリッド</v>
          </cell>
          <cell r="D1524" t="str">
            <v>ガチャ:フィーバーフェス02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blue</v>
          </cell>
          <cell r="I1524">
            <v>5</v>
          </cell>
          <cell r="J1524" t="str">
            <v>PremiumSSS</v>
          </cell>
          <cell r="K1524" t="str">
            <v>ra002</v>
          </cell>
          <cell r="L1524" t="str">
            <v>ユークリッドチャレンジ</v>
          </cell>
          <cell r="M1524" t="str">
            <v>human</v>
          </cell>
        </row>
        <row r="1525">
          <cell r="A1525">
            <v>6017</v>
          </cell>
          <cell r="B1525" t="str">
            <v>ja</v>
          </cell>
          <cell r="C1525" t="str">
            <v>不朽の極論 ユークリッド</v>
          </cell>
          <cell r="D1525" t="str">
            <v>ガチャ:フィーバーフェス02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blue</v>
          </cell>
          <cell r="I1525">
            <v>6</v>
          </cell>
          <cell r="J1525" t="str">
            <v>PremiumSSS</v>
          </cell>
          <cell r="K1525" t="str">
            <v>ra002</v>
          </cell>
          <cell r="L1525" t="str">
            <v>ユークリッドチャレンジ</v>
          </cell>
          <cell r="M1525" t="str">
            <v>human</v>
          </cell>
        </row>
        <row r="1526">
          <cell r="A1526">
            <v>6018</v>
          </cell>
          <cell r="B1526" t="str">
            <v>ja</v>
          </cell>
          <cell r="C1526" t="str">
            <v>ハヅル</v>
          </cell>
          <cell r="D1526" t="str">
            <v>ガチャ:フィーバーフェス02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red</v>
          </cell>
          <cell r="I1526">
            <v>4</v>
          </cell>
          <cell r="J1526" t="str">
            <v>PremiumSS</v>
          </cell>
          <cell r="K1526" t="str">
            <v>ra002</v>
          </cell>
          <cell r="L1526" t="str">
            <v>ユークリッドチャレンジ</v>
          </cell>
          <cell r="M1526" t="str">
            <v>animal</v>
          </cell>
        </row>
        <row r="1527">
          <cell r="A1527">
            <v>6019</v>
          </cell>
          <cell r="B1527" t="str">
            <v>ja</v>
          </cell>
          <cell r="C1527" t="str">
            <v>天織羽鶴 ハヅル</v>
          </cell>
          <cell r="D1527" t="str">
            <v>ガチャ:フィーバーフェス02</v>
          </cell>
          <cell r="E1527" t="str">
            <v>執行者</v>
          </cell>
          <cell r="F1527" t="str">
            <v>格好いい</v>
          </cell>
          <cell r="G1527" t="str">
            <v>男性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ra002</v>
          </cell>
          <cell r="L1527" t="str">
            <v>ユークリッドチャレンジ</v>
          </cell>
          <cell r="M1527" t="str">
            <v>animal</v>
          </cell>
        </row>
        <row r="1528">
          <cell r="A1528">
            <v>6020</v>
          </cell>
          <cell r="B1528" t="str">
            <v>ja</v>
          </cell>
          <cell r="C1528" t="str">
            <v>ミズチ</v>
          </cell>
          <cell r="D1528" t="str">
            <v>ガチャ:フィーバーフェス02</v>
          </cell>
          <cell r="E1528" t="str">
            <v>執行者</v>
          </cell>
          <cell r="F1528" t="str">
            <v>格好いい</v>
          </cell>
          <cell r="G1528" t="str">
            <v>男性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ra002</v>
          </cell>
          <cell r="L1528" t="str">
            <v>ユークリッドチャレンジ</v>
          </cell>
          <cell r="M1528" t="str">
            <v>dragon</v>
          </cell>
        </row>
        <row r="1529">
          <cell r="A1529">
            <v>8001</v>
          </cell>
          <cell r="B1529" t="str">
            <v>ja</v>
          </cell>
          <cell r="C1529" t="str">
            <v>媽祖</v>
          </cell>
          <cell r="D1529" t="str">
            <v>イベント:ミクコラボ01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8002</v>
          </cell>
          <cell r="B1530" t="str">
            <v>ja</v>
          </cell>
          <cell r="C1530" t="str">
            <v>宣導する天海妃 媽祖</v>
          </cell>
          <cell r="D1530" t="str">
            <v>イベント:ミクコラボ01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8003</v>
          </cell>
          <cell r="B1531" t="str">
            <v>ja</v>
          </cell>
          <cell r="C1531" t="str">
            <v>蛟龍</v>
          </cell>
          <cell r="D1531" t="str">
            <v>イベント:ミクコラボ01</v>
          </cell>
          <cell r="E1531" t="str">
            <v>執行者</v>
          </cell>
          <cell r="F1531" t="str">
            <v>格好いい</v>
          </cell>
          <cell r="G1531" t="str">
            <v>不明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hp</v>
          </cell>
          <cell r="L1531" t="str">
            <v>体力タイプ</v>
          </cell>
          <cell r="M1531" t="str">
            <v>dragon</v>
          </cell>
        </row>
        <row r="1532">
          <cell r="A1532">
            <v>8004</v>
          </cell>
          <cell r="B1532" t="str">
            <v>ja</v>
          </cell>
          <cell r="C1532" t="str">
            <v>呼嵐の蒼棲龍 蛟龍</v>
          </cell>
          <cell r="D1532" t="str">
            <v>イベント:ミクコラボ01</v>
          </cell>
          <cell r="E1532" t="str">
            <v>執行者</v>
          </cell>
          <cell r="F1532" t="str">
            <v>格好いい</v>
          </cell>
          <cell r="G1532" t="str">
            <v>不明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hp</v>
          </cell>
          <cell r="L1532" t="str">
            <v>体力タイプ</v>
          </cell>
          <cell r="M1532" t="str">
            <v>dragon</v>
          </cell>
        </row>
        <row r="1533">
          <cell r="A1533">
            <v>8005</v>
          </cell>
          <cell r="B1533" t="str">
            <v>ja</v>
          </cell>
          <cell r="C1533" t="str">
            <v>三蔵法師</v>
          </cell>
          <cell r="D1533" t="str">
            <v>イベント:ミクコラボ01</v>
          </cell>
          <cell r="E1533" t="str">
            <v>執行者</v>
          </cell>
          <cell r="F1533" t="str">
            <v>格好いい</v>
          </cell>
          <cell r="G1533" t="str">
            <v>不明</v>
          </cell>
          <cell r="H1533" t="str">
            <v>blue</v>
          </cell>
          <cell r="I1533">
            <v>5</v>
          </cell>
          <cell r="J1533" t="str">
            <v>PremiumSS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8006</v>
          </cell>
          <cell r="B1534" t="str">
            <v>ja</v>
          </cell>
          <cell r="C1534" t="str">
            <v>慈戒の呪封使 三蔵法師</v>
          </cell>
          <cell r="D1534" t="str">
            <v>イベント:ミクコラボ01</v>
          </cell>
          <cell r="E1534" t="str">
            <v>執行者</v>
          </cell>
          <cell r="F1534" t="str">
            <v>格好いい</v>
          </cell>
          <cell r="G1534" t="str">
            <v>不明</v>
          </cell>
          <cell r="H1534" t="str">
            <v>blue</v>
          </cell>
          <cell r="I1534">
            <v>6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8007</v>
          </cell>
          <cell r="B1535" t="str">
            <v>ja</v>
          </cell>
          <cell r="C1535" t="str">
            <v>孫悟空</v>
          </cell>
          <cell r="D1535" t="str">
            <v>イベント:ミクコラボ01</v>
          </cell>
          <cell r="E1535" t="str">
            <v>執行者</v>
          </cell>
          <cell r="F1535" t="str">
            <v>格好いい</v>
          </cell>
          <cell r="G1535" t="str">
            <v>不明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attack</v>
          </cell>
          <cell r="L1535" t="str">
            <v>攻撃タイプ</v>
          </cell>
          <cell r="M1535" t="str">
            <v>animal</v>
          </cell>
        </row>
        <row r="1536">
          <cell r="A1536">
            <v>8008</v>
          </cell>
          <cell r="B1536" t="str">
            <v>ja</v>
          </cell>
          <cell r="C1536" t="str">
            <v>花果の天猿仙人 孫悟空</v>
          </cell>
          <cell r="D1536" t="str">
            <v>イベント:ミクコラボ01</v>
          </cell>
          <cell r="E1536" t="str">
            <v>執行者</v>
          </cell>
          <cell r="F1536" t="str">
            <v>格好いい</v>
          </cell>
          <cell r="G1536" t="str">
            <v>不明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animal</v>
          </cell>
        </row>
        <row r="1537">
          <cell r="A1537">
            <v>8009</v>
          </cell>
          <cell r="B1537" t="str">
            <v>ja</v>
          </cell>
          <cell r="C1537" t="str">
            <v>西王娘娘</v>
          </cell>
          <cell r="D1537" t="str">
            <v>イベント:ミクコラボ01</v>
          </cell>
          <cell r="E1537" t="str">
            <v>執行者</v>
          </cell>
          <cell r="F1537" t="str">
            <v>格好いい</v>
          </cell>
          <cell r="G1537" t="str">
            <v>不明</v>
          </cell>
          <cell r="H1537" t="str">
            <v>green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8010</v>
          </cell>
          <cell r="B1538" t="str">
            <v>ja</v>
          </cell>
          <cell r="C1538" t="str">
            <v>極楽瑶池の聖母 西王娘娘</v>
          </cell>
          <cell r="D1538" t="str">
            <v>イベント:ミクコラボ01</v>
          </cell>
          <cell r="E1538" t="str">
            <v>執行者</v>
          </cell>
          <cell r="F1538" t="str">
            <v>格好いい</v>
          </cell>
          <cell r="G1538" t="str">
            <v>不明</v>
          </cell>
          <cell r="H1538" t="str">
            <v>green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8011</v>
          </cell>
          <cell r="B1539" t="str">
            <v>ja</v>
          </cell>
          <cell r="C1539" t="str">
            <v>月下老人</v>
          </cell>
          <cell r="D1539" t="str">
            <v>イベント:ミクコラボ01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god</v>
          </cell>
        </row>
        <row r="1540">
          <cell r="A1540">
            <v>8012</v>
          </cell>
          <cell r="B1540" t="str">
            <v>ja</v>
          </cell>
          <cell r="C1540" t="str">
            <v>破戀斬る縁剣 月下老人</v>
          </cell>
          <cell r="D1540" t="str">
            <v>イベント:ミクコラボ01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god</v>
          </cell>
        </row>
        <row r="1541">
          <cell r="A1541">
            <v>8013</v>
          </cell>
          <cell r="B1541" t="str">
            <v>ja</v>
          </cell>
          <cell r="C1541" t="str">
            <v>初音ミクV3</v>
          </cell>
          <cell r="D1541" t="str">
            <v>初音ミクV3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unknown</v>
          </cell>
        </row>
        <row r="1542">
          <cell r="A1542">
            <v>8014</v>
          </cell>
          <cell r="B1542" t="str">
            <v>ja</v>
          </cell>
          <cell r="C1542" t="str">
            <v>初音ミクV3</v>
          </cell>
          <cell r="D1542" t="str">
            <v>初音ミクV3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unknown</v>
          </cell>
        </row>
        <row r="1543">
          <cell r="A1543">
            <v>8015</v>
          </cell>
          <cell r="B1543" t="str">
            <v>ja</v>
          </cell>
          <cell r="C1543" t="str">
            <v>初音ミク・アペンド</v>
          </cell>
          <cell r="D1543" t="str">
            <v>初音ミク・アペンド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green</v>
          </cell>
          <cell r="I1543">
            <v>4</v>
          </cell>
          <cell r="J1543" t="str">
            <v>PremiumSSS</v>
          </cell>
          <cell r="K1543" t="str">
            <v>technical</v>
          </cell>
          <cell r="L1543" t="str">
            <v>テクニカルタイプ</v>
          </cell>
          <cell r="M1543" t="str">
            <v>unknown</v>
          </cell>
        </row>
        <row r="1544">
          <cell r="A1544">
            <v>8016</v>
          </cell>
          <cell r="B1544" t="str">
            <v>ja</v>
          </cell>
          <cell r="C1544" t="str">
            <v>初音ミク・アペンド</v>
          </cell>
          <cell r="D1544" t="str">
            <v>初音ミク・アペンド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green</v>
          </cell>
          <cell r="I1544">
            <v>5</v>
          </cell>
          <cell r="J1544" t="str">
            <v>PremiumSSS</v>
          </cell>
          <cell r="K1544" t="str">
            <v>technical</v>
          </cell>
          <cell r="L1544" t="str">
            <v>テクニカルタイプ</v>
          </cell>
          <cell r="M1544" t="str">
            <v>unknown</v>
          </cell>
        </row>
        <row r="1545">
          <cell r="A1545">
            <v>8017</v>
          </cell>
          <cell r="B1545" t="str">
            <v>ja</v>
          </cell>
          <cell r="C1545" t="str">
            <v>初音ミク</v>
          </cell>
          <cell r="D1545" t="str">
            <v>初音ミク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4</v>
          </cell>
          <cell r="J1545" t="str">
            <v>PremiumSSS</v>
          </cell>
          <cell r="K1545" t="str">
            <v>balance</v>
          </cell>
          <cell r="L1545" t="str">
            <v>バランスタイプ</v>
          </cell>
          <cell r="M1545" t="str">
            <v>unknown</v>
          </cell>
        </row>
        <row r="1546">
          <cell r="A1546">
            <v>8018</v>
          </cell>
          <cell r="B1546" t="str">
            <v>ja</v>
          </cell>
          <cell r="C1546" t="str">
            <v>初音ミク</v>
          </cell>
          <cell r="D1546" t="str">
            <v>初音ミク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5</v>
          </cell>
          <cell r="J1546" t="str">
            <v>PremiumSSS</v>
          </cell>
          <cell r="K1546" t="str">
            <v>balance</v>
          </cell>
          <cell r="L1546" t="str">
            <v>バランスタイプ</v>
          </cell>
          <cell r="M1546" t="str">
            <v>unknown</v>
          </cell>
        </row>
        <row r="1547">
          <cell r="A1547">
            <v>8019</v>
          </cell>
          <cell r="B1547" t="str">
            <v>ja</v>
          </cell>
          <cell r="C1547" t="str">
            <v>鏡音リン</v>
          </cell>
          <cell r="D1547" t="str">
            <v>鏡音リン</v>
          </cell>
          <cell r="E1547" t="str">
            <v>執行者</v>
          </cell>
          <cell r="F1547" t="str">
            <v>格好いい</v>
          </cell>
          <cell r="G1547" t="str">
            <v>男性</v>
          </cell>
          <cell r="H1547" t="str">
            <v>yellow</v>
          </cell>
          <cell r="I1547">
            <v>4</v>
          </cell>
          <cell r="J1547" t="str">
            <v>PremiumSS</v>
          </cell>
          <cell r="K1547" t="str">
            <v>balance</v>
          </cell>
          <cell r="L1547" t="str">
            <v>バランスタイプ</v>
          </cell>
          <cell r="M1547" t="str">
            <v>unknown</v>
          </cell>
        </row>
        <row r="1548">
          <cell r="A1548">
            <v>8020</v>
          </cell>
          <cell r="B1548" t="str">
            <v>ja</v>
          </cell>
          <cell r="C1548" t="str">
            <v>鏡音リン</v>
          </cell>
          <cell r="D1548" t="str">
            <v>鏡音リン</v>
          </cell>
          <cell r="E1548" t="str">
            <v>執行者</v>
          </cell>
          <cell r="F1548" t="str">
            <v>格好いい</v>
          </cell>
          <cell r="G1548" t="str">
            <v>男性</v>
          </cell>
          <cell r="H1548" t="str">
            <v>yellow</v>
          </cell>
          <cell r="I1548">
            <v>5</v>
          </cell>
          <cell r="J1548" t="str">
            <v>PremiumSS</v>
          </cell>
          <cell r="K1548" t="str">
            <v>balance</v>
          </cell>
          <cell r="L1548" t="str">
            <v>バランスタイプ</v>
          </cell>
          <cell r="M1548" t="str">
            <v>unknown</v>
          </cell>
        </row>
        <row r="1549">
          <cell r="A1549">
            <v>8021</v>
          </cell>
          <cell r="B1549" t="str">
            <v>ja</v>
          </cell>
          <cell r="C1549" t="str">
            <v>鏡音レン</v>
          </cell>
          <cell r="D1549" t="str">
            <v>鏡音レン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PremiumSS</v>
          </cell>
          <cell r="K1549" t="str">
            <v>heal</v>
          </cell>
          <cell r="L1549" t="str">
            <v>回復タイプ</v>
          </cell>
          <cell r="M1549" t="str">
            <v>unknown</v>
          </cell>
        </row>
        <row r="1550">
          <cell r="A1550">
            <v>8022</v>
          </cell>
          <cell r="B1550" t="str">
            <v>ja</v>
          </cell>
          <cell r="C1550" t="str">
            <v>鏡音レン</v>
          </cell>
          <cell r="D1550" t="str">
            <v>鏡音レン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PremiumSS</v>
          </cell>
          <cell r="K1550" t="str">
            <v>heal</v>
          </cell>
          <cell r="L1550" t="str">
            <v>回復タイプ</v>
          </cell>
          <cell r="M1550" t="str">
            <v>unknown</v>
          </cell>
        </row>
        <row r="1551">
          <cell r="A1551">
            <v>8023</v>
          </cell>
          <cell r="B1551" t="str">
            <v>ja</v>
          </cell>
          <cell r="C1551" t="str">
            <v>巡音ルカ</v>
          </cell>
          <cell r="D1551" t="str">
            <v>巡音ルカ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3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unknown</v>
          </cell>
        </row>
        <row r="1552">
          <cell r="A1552">
            <v>8024</v>
          </cell>
          <cell r="B1552" t="str">
            <v>ja</v>
          </cell>
          <cell r="C1552" t="str">
            <v>巡音ルカ</v>
          </cell>
          <cell r="D1552" t="str">
            <v>巡音ルカ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4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unknown</v>
          </cell>
        </row>
        <row r="1553">
          <cell r="A1553">
            <v>8025</v>
          </cell>
          <cell r="B1553" t="str">
            <v>ja</v>
          </cell>
          <cell r="C1553" t="str">
            <v>MEIKO</v>
          </cell>
          <cell r="D1553" t="str">
            <v>MEIKO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red</v>
          </cell>
          <cell r="I1553">
            <v>3</v>
          </cell>
          <cell r="J1553" t="str">
            <v>PremiumS</v>
          </cell>
          <cell r="K1553" t="str">
            <v>hp</v>
          </cell>
          <cell r="L1553" t="str">
            <v>体力タイプ</v>
          </cell>
          <cell r="M1553" t="str">
            <v>unknown</v>
          </cell>
        </row>
        <row r="1554">
          <cell r="A1554">
            <v>8026</v>
          </cell>
          <cell r="B1554" t="str">
            <v>ja</v>
          </cell>
          <cell r="C1554" t="str">
            <v>MEIKO</v>
          </cell>
          <cell r="D1554" t="str">
            <v>MEIKO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red</v>
          </cell>
          <cell r="I1554">
            <v>4</v>
          </cell>
          <cell r="J1554" t="str">
            <v>PremiumS</v>
          </cell>
          <cell r="K1554" t="str">
            <v>hp</v>
          </cell>
          <cell r="L1554" t="str">
            <v>体力タイプ</v>
          </cell>
          <cell r="M1554" t="str">
            <v>unknown</v>
          </cell>
        </row>
        <row r="1555">
          <cell r="A1555">
            <v>8027</v>
          </cell>
          <cell r="B1555" t="str">
            <v>ja</v>
          </cell>
          <cell r="C1555" t="str">
            <v>KAITO</v>
          </cell>
          <cell r="D1555" t="str">
            <v>KAITO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unknown</v>
          </cell>
        </row>
        <row r="1556">
          <cell r="A1556">
            <v>8028</v>
          </cell>
          <cell r="B1556" t="str">
            <v>ja</v>
          </cell>
          <cell r="C1556" t="str">
            <v>KAITO</v>
          </cell>
          <cell r="D1556" t="str">
            <v>KAITO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unknown</v>
          </cell>
        </row>
        <row r="1557">
          <cell r="A1557">
            <v>8029</v>
          </cell>
          <cell r="B1557" t="str">
            <v>ja</v>
          </cell>
          <cell r="C1557" t="str">
            <v>Expoミク</v>
          </cell>
          <cell r="D1557" t="str">
            <v>Expoミク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Drop2N</v>
          </cell>
          <cell r="K1557" t="str">
            <v>heal</v>
          </cell>
          <cell r="L1557" t="str">
            <v>回復タイプ</v>
          </cell>
          <cell r="M1557" t="str">
            <v>unknown</v>
          </cell>
        </row>
        <row r="1558">
          <cell r="A1558">
            <v>8030</v>
          </cell>
          <cell r="B1558" t="str">
            <v>ja</v>
          </cell>
          <cell r="C1558" t="str">
            <v>Expoミク</v>
          </cell>
          <cell r="D1558" t="str">
            <v>Expoミク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Drop2N</v>
          </cell>
          <cell r="K1558" t="str">
            <v>heal</v>
          </cell>
          <cell r="L1558" t="str">
            <v>回復タイプ</v>
          </cell>
          <cell r="M1558" t="str">
            <v>unknown</v>
          </cell>
        </row>
        <row r="1559">
          <cell r="A1559">
            <v>8031</v>
          </cell>
          <cell r="B1559" t="str">
            <v>ja</v>
          </cell>
          <cell r="C1559" t="str">
            <v>閻羅王</v>
          </cell>
          <cell r="D1559" t="str">
            <v>Expoミク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5</v>
          </cell>
          <cell r="J1559" t="str">
            <v>PremiumSS</v>
          </cell>
          <cell r="K1559" t="str">
            <v>balance</v>
          </cell>
          <cell r="L1559" t="str">
            <v>バランスタイプ</v>
          </cell>
          <cell r="M1559" t="str">
            <v>god</v>
          </cell>
        </row>
        <row r="1560">
          <cell r="A1560">
            <v>8032</v>
          </cell>
          <cell r="B1560" t="str">
            <v>ja</v>
          </cell>
          <cell r="C1560" t="str">
            <v>六道輪廻の絶獄 閻羅王</v>
          </cell>
          <cell r="D1560" t="str">
            <v>Expoミク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6</v>
          </cell>
          <cell r="J1560" t="str">
            <v>PremiumSS</v>
          </cell>
          <cell r="K1560" t="str">
            <v>balance</v>
          </cell>
          <cell r="L1560" t="str">
            <v>バランスタイプ</v>
          </cell>
          <cell r="M1560" t="str">
            <v>god</v>
          </cell>
        </row>
        <row r="1561">
          <cell r="A1561">
            <v>8033</v>
          </cell>
          <cell r="B1561" t="str">
            <v>ja</v>
          </cell>
          <cell r="C1561" t="str">
            <v>牛頭馬面</v>
          </cell>
          <cell r="D1561" t="str">
            <v>Expoミク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5</v>
          </cell>
          <cell r="J1561" t="str">
            <v>DropWizS</v>
          </cell>
          <cell r="K1561" t="str">
            <v>attack</v>
          </cell>
          <cell r="L1561" t="str">
            <v>攻撃タイプ</v>
          </cell>
          <cell r="M1561" t="str">
            <v>god</v>
          </cell>
        </row>
        <row r="1562">
          <cell r="A1562">
            <v>8034</v>
          </cell>
          <cell r="B1562" t="str">
            <v>ja</v>
          </cell>
          <cell r="C1562" t="str">
            <v>冥府狩る魂使 牛頭馬面</v>
          </cell>
          <cell r="D1562" t="str">
            <v>Expoミク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6</v>
          </cell>
          <cell r="J1562" t="str">
            <v>DropWizS</v>
          </cell>
          <cell r="K1562" t="str">
            <v>attack</v>
          </cell>
          <cell r="L1562" t="str">
            <v>攻撃タイプ</v>
          </cell>
          <cell r="M1562" t="str">
            <v>god</v>
          </cell>
        </row>
        <row r="1563">
          <cell r="A1563">
            <v>8035</v>
          </cell>
          <cell r="B1563" t="str">
            <v>ja</v>
          </cell>
          <cell r="C1563" t="str">
            <v>飛衛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5</v>
          </cell>
          <cell r="J1563" t="str">
            <v>PremiumSS</v>
          </cell>
          <cell r="K1563" t="str">
            <v>heal</v>
          </cell>
          <cell r="L1563" t="str">
            <v>回復タイプ</v>
          </cell>
          <cell r="M1563" t="str">
            <v>human</v>
          </cell>
        </row>
        <row r="1564">
          <cell r="A1564">
            <v>8036</v>
          </cell>
          <cell r="B1564" t="str">
            <v>ja</v>
          </cell>
          <cell r="C1564" t="str">
            <v>レア６飛衛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PremiumSS</v>
          </cell>
          <cell r="K1564" t="str">
            <v>heal</v>
          </cell>
          <cell r="L1564" t="str">
            <v>回復タイプ</v>
          </cell>
          <cell r="M1564" t="str">
            <v>human</v>
          </cell>
        </row>
        <row r="1565">
          <cell r="A1565">
            <v>8037</v>
          </cell>
          <cell r="B1565" t="str">
            <v>ja</v>
          </cell>
          <cell r="C1565" t="str">
            <v>紀昌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DropWizS</v>
          </cell>
          <cell r="K1565" t="str">
            <v>attack</v>
          </cell>
          <cell r="L1565" t="str">
            <v>攻撃タイプ</v>
          </cell>
          <cell r="M1565" t="str">
            <v>human</v>
          </cell>
        </row>
        <row r="1566">
          <cell r="A1566">
            <v>8038</v>
          </cell>
          <cell r="B1566" t="str">
            <v>ja</v>
          </cell>
          <cell r="C1566" t="str">
            <v>レア６紀昌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8039</v>
          </cell>
          <cell r="B1567" t="str">
            <v>ja</v>
          </cell>
          <cell r="C1567" t="str">
            <v>何仙姑</v>
          </cell>
          <cell r="D1567" t="str">
            <v>Expoミク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5</v>
          </cell>
          <cell r="J1567" t="str">
            <v>PremiumSSw</v>
          </cell>
          <cell r="K1567" t="str">
            <v>hp</v>
          </cell>
          <cell r="L1567" t="str">
            <v>体力タイプ</v>
          </cell>
          <cell r="M1567" t="str">
            <v>god</v>
          </cell>
        </row>
        <row r="1568">
          <cell r="A1568">
            <v>8040</v>
          </cell>
          <cell r="B1568" t="str">
            <v>ja</v>
          </cell>
          <cell r="C1568" t="str">
            <v>レア６何仙姑</v>
          </cell>
          <cell r="D1568" t="str">
            <v>Expoミク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6</v>
          </cell>
          <cell r="J1568" t="str">
            <v>PremiumSSw</v>
          </cell>
          <cell r="K1568" t="str">
            <v>hp</v>
          </cell>
          <cell r="L1568" t="str">
            <v>体力タイプ</v>
          </cell>
          <cell r="M1568" t="str">
            <v>god</v>
          </cell>
        </row>
        <row r="1569">
          <cell r="A1569">
            <v>8041</v>
          </cell>
          <cell r="B1569" t="str">
            <v>ja</v>
          </cell>
          <cell r="C1569" t="str">
            <v>藍采和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5</v>
          </cell>
          <cell r="J1569" t="str">
            <v>DropWizS</v>
          </cell>
          <cell r="K1569" t="str">
            <v>balance</v>
          </cell>
          <cell r="L1569" t="str">
            <v>バランスタイプ</v>
          </cell>
          <cell r="M1569" t="str">
            <v>god</v>
          </cell>
        </row>
        <row r="1570">
          <cell r="A1570">
            <v>8042</v>
          </cell>
          <cell r="B1570" t="str">
            <v>ja</v>
          </cell>
          <cell r="C1570" t="str">
            <v>レア６藍采和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balance</v>
          </cell>
          <cell r="L1570" t="str">
            <v>バランスタイプ</v>
          </cell>
          <cell r="M1570" t="str">
            <v>god</v>
          </cell>
        </row>
        <row r="1571">
          <cell r="A1571">
            <v>8043</v>
          </cell>
          <cell r="B1571" t="str">
            <v>ja</v>
          </cell>
          <cell r="C1571" t="str">
            <v>サンリオキャラ大集合+アザゼル</v>
          </cell>
          <cell r="D1571" t="str">
            <v>サンリオキャラ大集合+アザゼル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8044</v>
          </cell>
          <cell r="B1572" t="str">
            <v>ja</v>
          </cell>
          <cell r="C1572" t="str">
            <v>サンリオキャラ大集合+アザゼル</v>
          </cell>
          <cell r="D1572" t="str">
            <v>サンリオキャラ大集合+アザゼル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8045</v>
          </cell>
          <cell r="B1573" t="str">
            <v>ja</v>
          </cell>
          <cell r="C1573" t="str">
            <v>ニムダ_サンリオキャラ混じり</v>
          </cell>
          <cell r="D1573" t="str">
            <v>ニムダ_サンリオキャラ混じり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Drop2N</v>
          </cell>
          <cell r="K1573" t="str">
            <v>technical</v>
          </cell>
          <cell r="L1573" t="str">
            <v>テクニカルタイプ</v>
          </cell>
          <cell r="M1573" t="str">
            <v>ss</v>
          </cell>
        </row>
        <row r="1574">
          <cell r="A1574">
            <v>8046</v>
          </cell>
          <cell r="B1574" t="str">
            <v>ja</v>
          </cell>
          <cell r="C1574" t="str">
            <v>ニムダ_サンリオキャラ混じり</v>
          </cell>
          <cell r="D1574" t="str">
            <v>ニムダ_サンリオキャラ混じり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Drop2N</v>
          </cell>
          <cell r="K1574" t="str">
            <v>technical</v>
          </cell>
          <cell r="L1574" t="str">
            <v>テクニカルタイプ</v>
          </cell>
          <cell r="M1574" t="str">
            <v>ss</v>
          </cell>
        </row>
        <row r="1575">
          <cell r="A1575">
            <v>8047</v>
          </cell>
          <cell r="B1575" t="str">
            <v>ja</v>
          </cell>
          <cell r="C1575" t="str">
            <v>ハローキティ</v>
          </cell>
          <cell r="D1575" t="str">
            <v>ハローキティ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4</v>
          </cell>
          <cell r="J1575" t="str">
            <v>Drop2N</v>
          </cell>
          <cell r="K1575" t="str">
            <v>balance</v>
          </cell>
          <cell r="L1575" t="str">
            <v>バランスタイプ</v>
          </cell>
          <cell r="M1575" t="str">
            <v>ss</v>
          </cell>
        </row>
        <row r="1576">
          <cell r="A1576">
            <v>8048</v>
          </cell>
          <cell r="B1576" t="str">
            <v>ja</v>
          </cell>
          <cell r="C1576" t="str">
            <v>ハローキティ</v>
          </cell>
          <cell r="D1576" t="str">
            <v>ハローキティ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5</v>
          </cell>
          <cell r="J1576" t="str">
            <v>Drop2N</v>
          </cell>
          <cell r="K1576" t="str">
            <v>balance</v>
          </cell>
          <cell r="L1576" t="str">
            <v>バランスタイプ</v>
          </cell>
          <cell r="M1576" t="str">
            <v>ss</v>
          </cell>
        </row>
        <row r="1577">
          <cell r="A1577">
            <v>8049</v>
          </cell>
          <cell r="B1577" t="str">
            <v>ja</v>
          </cell>
          <cell r="C1577" t="str">
            <v>KIRIMIちゃん</v>
          </cell>
          <cell r="D1577" t="str">
            <v>KIRIMIちゃん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red</v>
          </cell>
          <cell r="I1577">
            <v>4</v>
          </cell>
          <cell r="J1577" t="str">
            <v>Drop2N</v>
          </cell>
          <cell r="K1577" t="str">
            <v>hp</v>
          </cell>
          <cell r="L1577" t="str">
            <v>体力タイプ</v>
          </cell>
          <cell r="M1577" t="str">
            <v>ss</v>
          </cell>
        </row>
        <row r="1578">
          <cell r="A1578">
            <v>8050</v>
          </cell>
          <cell r="B1578" t="str">
            <v>ja</v>
          </cell>
          <cell r="C1578" t="str">
            <v>KIRIMIちゃん</v>
          </cell>
          <cell r="D1578" t="str">
            <v>KIRIMIちゃん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red</v>
          </cell>
          <cell r="I1578">
            <v>5</v>
          </cell>
          <cell r="J1578" t="str">
            <v>Drop2N</v>
          </cell>
          <cell r="K1578" t="str">
            <v>hp</v>
          </cell>
          <cell r="L1578" t="str">
            <v>体力タイプ</v>
          </cell>
          <cell r="M1578" t="str">
            <v>ss</v>
          </cell>
        </row>
        <row r="1579">
          <cell r="A1579">
            <v>8051</v>
          </cell>
          <cell r="B1579" t="str">
            <v>ja</v>
          </cell>
          <cell r="C1579" t="str">
            <v>ハローキティのリボン</v>
          </cell>
          <cell r="D1579" t="str">
            <v>ハローキティのリボン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5</v>
          </cell>
          <cell r="J1579" t="str">
            <v>Drop2N</v>
          </cell>
          <cell r="K1579" t="str">
            <v>evolution</v>
          </cell>
          <cell r="L1579" t="str">
            <v>覚醒素材タイプ</v>
          </cell>
          <cell r="M1579" t="str">
            <v>ss</v>
          </cell>
        </row>
        <row r="1580">
          <cell r="A1580">
            <v>8052</v>
          </cell>
          <cell r="B1580" t="str">
            <v>ja</v>
          </cell>
          <cell r="C1580" t="str">
            <v>ママの作ったアップルパイ</v>
          </cell>
          <cell r="D1580" t="str">
            <v>ママの作ったアップルパイ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4</v>
          </cell>
          <cell r="J1580" t="str">
            <v>Drop2N</v>
          </cell>
          <cell r="K1580" t="str">
            <v>evolution</v>
          </cell>
          <cell r="L1580" t="str">
            <v>覚醒素材タイプ</v>
          </cell>
          <cell r="M1580" t="str">
            <v>ss</v>
          </cell>
        </row>
        <row r="1581">
          <cell r="A1581">
            <v>8053</v>
          </cell>
          <cell r="B1581" t="str">
            <v>ja</v>
          </cell>
          <cell r="C1581" t="str">
            <v>D.R.T.H__キティコスプレ</v>
          </cell>
          <cell r="D1581" t="str">
            <v>D.R.T.H__キティコスプレ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5</v>
          </cell>
          <cell r="J1581" t="str">
            <v>PremiumSS</v>
          </cell>
          <cell r="K1581" t="str">
            <v>balance</v>
          </cell>
          <cell r="L1581" t="str">
            <v>バランスタイプ</v>
          </cell>
          <cell r="M1581" t="str">
            <v>ss</v>
          </cell>
        </row>
        <row r="1582">
          <cell r="A1582">
            <v>8054</v>
          </cell>
          <cell r="B1582" t="str">
            <v>ja</v>
          </cell>
          <cell r="C1582" t="str">
            <v>D.R.T.H__キティコスプレ</v>
          </cell>
          <cell r="D1582" t="str">
            <v>D.R.T.H__キティコスプレ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red</v>
          </cell>
          <cell r="I1582">
            <v>6</v>
          </cell>
          <cell r="J1582" t="str">
            <v>PremiumSS</v>
          </cell>
          <cell r="K1582" t="str">
            <v>balance</v>
          </cell>
          <cell r="L1582" t="str">
            <v>バランスタイプ</v>
          </cell>
          <cell r="M1582" t="str">
            <v>ss</v>
          </cell>
        </row>
        <row r="1583">
          <cell r="A1583">
            <v>8055</v>
          </cell>
          <cell r="B1583" t="str">
            <v>ja</v>
          </cell>
          <cell r="C1583" t="str">
            <v>マイメロディ</v>
          </cell>
          <cell r="D1583" t="str">
            <v>マイメロディ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PremiumS</v>
          </cell>
          <cell r="K1583" t="str">
            <v>attack</v>
          </cell>
          <cell r="L1583" t="str">
            <v>攻撃タイプ</v>
          </cell>
          <cell r="M1583" t="str">
            <v>ss</v>
          </cell>
        </row>
        <row r="1584">
          <cell r="A1584">
            <v>8056</v>
          </cell>
          <cell r="B1584" t="str">
            <v>ja</v>
          </cell>
          <cell r="C1584" t="str">
            <v>マイメロディ</v>
          </cell>
          <cell r="D1584" t="str">
            <v>マイメロディ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5</v>
          </cell>
          <cell r="J1584" t="str">
            <v>PremiumS</v>
          </cell>
          <cell r="K1584" t="str">
            <v>attack</v>
          </cell>
          <cell r="L1584" t="str">
            <v>攻撃タイプ</v>
          </cell>
          <cell r="M1584" t="str">
            <v>ss</v>
          </cell>
        </row>
        <row r="1585">
          <cell r="A1585">
            <v>8057</v>
          </cell>
          <cell r="B1585" t="str">
            <v>ja</v>
          </cell>
          <cell r="C1585" t="str">
            <v>ニーベルゲン_シナモロールコスプレ</v>
          </cell>
          <cell r="D1585" t="str">
            <v>ニーベルゲン_シナモロールコスプレ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green</v>
          </cell>
          <cell r="I1585">
            <v>4</v>
          </cell>
          <cell r="J1585" t="str">
            <v>PremiumS</v>
          </cell>
          <cell r="K1585" t="str">
            <v>balance</v>
          </cell>
          <cell r="L1585" t="str">
            <v>バランスタイプ</v>
          </cell>
          <cell r="M1585" t="str">
            <v>ss</v>
          </cell>
        </row>
        <row r="1586">
          <cell r="A1586">
            <v>8058</v>
          </cell>
          <cell r="B1586" t="str">
            <v>ja</v>
          </cell>
          <cell r="C1586" t="str">
            <v>ニーベルゲン_シナモロールコスプレ</v>
          </cell>
          <cell r="D1586" t="str">
            <v>ニーベルゲン_シナモロールコスプレ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5</v>
          </cell>
          <cell r="J1586" t="str">
            <v>PremiumS</v>
          </cell>
          <cell r="K1586" t="str">
            <v>balance</v>
          </cell>
          <cell r="L1586" t="str">
            <v>バランスタイプ</v>
          </cell>
          <cell r="M1586" t="str">
            <v>ss</v>
          </cell>
        </row>
        <row r="1587">
          <cell r="A1587">
            <v>8059</v>
          </cell>
          <cell r="B1587" t="str">
            <v>ja</v>
          </cell>
          <cell r="C1587" t="str">
            <v>カカシ_マイメロディコスプレ</v>
          </cell>
          <cell r="D1587" t="str">
            <v>カカシ_マイメロディコスプレ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</v>
          </cell>
          <cell r="K1587" t="str">
            <v>technical</v>
          </cell>
          <cell r="L1587" t="str">
            <v>テクニカルタイプ</v>
          </cell>
          <cell r="M1587" t="str">
            <v>ss</v>
          </cell>
        </row>
        <row r="1588">
          <cell r="A1588">
            <v>8060</v>
          </cell>
          <cell r="B1588" t="str">
            <v>ja</v>
          </cell>
          <cell r="C1588" t="str">
            <v>カカシ_マイメロディコスプレ</v>
          </cell>
          <cell r="D1588" t="str">
            <v>カカシ_マイメロディコスプレ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</v>
          </cell>
          <cell r="K1588" t="str">
            <v>technical</v>
          </cell>
          <cell r="L1588" t="str">
            <v>テクニカルタイプ</v>
          </cell>
          <cell r="M1588" t="str">
            <v>ss</v>
          </cell>
        </row>
        <row r="1589">
          <cell r="A1589">
            <v>8061</v>
          </cell>
          <cell r="B1589" t="str">
            <v>ja</v>
          </cell>
          <cell r="C1589" t="str">
            <v>ケロケロけろっぴ</v>
          </cell>
          <cell r="D1589" t="str">
            <v>ケロケロけろっぴ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3</v>
          </cell>
          <cell r="J1589" t="str">
            <v>PremiumS</v>
          </cell>
          <cell r="K1589" t="str">
            <v>balance</v>
          </cell>
          <cell r="L1589" t="str">
            <v>バランスタイプ</v>
          </cell>
          <cell r="M1589" t="str">
            <v>ss</v>
          </cell>
        </row>
        <row r="1590">
          <cell r="A1590">
            <v>8062</v>
          </cell>
          <cell r="B1590" t="str">
            <v>ja</v>
          </cell>
          <cell r="C1590" t="str">
            <v>ケロケロけろっぴ</v>
          </cell>
          <cell r="D1590" t="str">
            <v>ケロケロけろっぴ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4</v>
          </cell>
          <cell r="J1590" t="str">
            <v>PremiumS</v>
          </cell>
          <cell r="K1590" t="str">
            <v>balance</v>
          </cell>
          <cell r="L1590" t="str">
            <v>バランスタイプ</v>
          </cell>
          <cell r="M1590" t="str">
            <v>ss</v>
          </cell>
        </row>
        <row r="1591">
          <cell r="A1591">
            <v>8063</v>
          </cell>
          <cell r="B1591" t="str">
            <v>ja</v>
          </cell>
          <cell r="C1591" t="str">
            <v>モルドレッド_ポムポムプリンコスプレ</v>
          </cell>
          <cell r="D1591" t="str">
            <v>モルドレッド_ポムポムプリンコスプレ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blue</v>
          </cell>
          <cell r="I1591">
            <v>5</v>
          </cell>
          <cell r="J1591" t="str">
            <v>PremiumSS</v>
          </cell>
          <cell r="K1591" t="str">
            <v>heal</v>
          </cell>
          <cell r="L1591" t="str">
            <v>回復タイプ</v>
          </cell>
          <cell r="M1591" t="str">
            <v>ss</v>
          </cell>
        </row>
        <row r="1592">
          <cell r="A1592">
            <v>8064</v>
          </cell>
          <cell r="B1592" t="str">
            <v>ja</v>
          </cell>
          <cell r="C1592" t="str">
            <v>モルドレッド_ポムポムプリンコスプレ</v>
          </cell>
          <cell r="D1592" t="str">
            <v>モルドレッド_ポムポムプリンコスプレ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blue</v>
          </cell>
          <cell r="I1592">
            <v>6</v>
          </cell>
          <cell r="J1592" t="str">
            <v>PremiumSS</v>
          </cell>
          <cell r="K1592" t="str">
            <v>heal</v>
          </cell>
          <cell r="L1592" t="str">
            <v>回復タイプ</v>
          </cell>
          <cell r="M1592" t="str">
            <v>ss</v>
          </cell>
        </row>
        <row r="1593">
          <cell r="A1593">
            <v>8065</v>
          </cell>
          <cell r="B1593" t="str">
            <v>ja</v>
          </cell>
          <cell r="C1593" t="str">
            <v>クロミ</v>
          </cell>
          <cell r="D1593" t="str">
            <v>クロミ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blue</v>
          </cell>
          <cell r="I1593">
            <v>3</v>
          </cell>
          <cell r="J1593" t="str">
            <v>PremiumS</v>
          </cell>
          <cell r="K1593" t="str">
            <v>technical</v>
          </cell>
          <cell r="L1593" t="str">
            <v>テクニカルタイプ</v>
          </cell>
          <cell r="M1593" t="str">
            <v>ss</v>
          </cell>
        </row>
        <row r="1594">
          <cell r="A1594">
            <v>8066</v>
          </cell>
          <cell r="B1594" t="str">
            <v>ja</v>
          </cell>
          <cell r="C1594" t="str">
            <v>クロミ</v>
          </cell>
          <cell r="D1594" t="str">
            <v>クロミ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blue</v>
          </cell>
          <cell r="I1594">
            <v>4</v>
          </cell>
          <cell r="J1594" t="str">
            <v>PremiumS</v>
          </cell>
          <cell r="K1594" t="str">
            <v>technical</v>
          </cell>
          <cell r="L1594" t="str">
            <v>テクニカルタイプ</v>
          </cell>
          <cell r="M1594" t="str">
            <v>ss</v>
          </cell>
        </row>
        <row r="1595">
          <cell r="A1595">
            <v>8067</v>
          </cell>
          <cell r="B1595" t="str">
            <v>ja</v>
          </cell>
          <cell r="C1595" t="str">
            <v>バッドばつ丸</v>
          </cell>
          <cell r="D1595" t="str">
            <v>バッドばつ丸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ss</v>
          </cell>
        </row>
        <row r="1596">
          <cell r="A1596">
            <v>8068</v>
          </cell>
          <cell r="B1596" t="str">
            <v>ja</v>
          </cell>
          <cell r="C1596" t="str">
            <v>バッドばつ丸</v>
          </cell>
          <cell r="D1596" t="str">
            <v>バッドばつ丸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ss</v>
          </cell>
        </row>
        <row r="1597">
          <cell r="A1597">
            <v>8069</v>
          </cell>
          <cell r="B1597" t="str">
            <v>ja</v>
          </cell>
          <cell r="C1597" t="str">
            <v>シナモロール</v>
          </cell>
          <cell r="D1597" t="str">
            <v>シナモロール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4</v>
          </cell>
          <cell r="J1597" t="str">
            <v>PremiumS</v>
          </cell>
          <cell r="K1597" t="str">
            <v>heal</v>
          </cell>
          <cell r="L1597" t="str">
            <v>回復タイプ</v>
          </cell>
          <cell r="M1597" t="str">
            <v>ss</v>
          </cell>
        </row>
        <row r="1598">
          <cell r="A1598">
            <v>8070</v>
          </cell>
          <cell r="B1598" t="str">
            <v>ja</v>
          </cell>
          <cell r="C1598" t="str">
            <v>シナモロール</v>
          </cell>
          <cell r="D1598" t="str">
            <v>シナモロール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5</v>
          </cell>
          <cell r="J1598" t="str">
            <v>PremiumS</v>
          </cell>
          <cell r="K1598" t="str">
            <v>heal</v>
          </cell>
          <cell r="L1598" t="str">
            <v>回復タイプ</v>
          </cell>
          <cell r="M1598" t="str">
            <v>ss</v>
          </cell>
        </row>
        <row r="1599">
          <cell r="A1599">
            <v>8071</v>
          </cell>
          <cell r="B1599" t="str">
            <v>ja</v>
          </cell>
          <cell r="C1599" t="str">
            <v>ポムポムプリン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yellow</v>
          </cell>
          <cell r="I1599">
            <v>3</v>
          </cell>
          <cell r="J1599" t="str">
            <v>PremiumS</v>
          </cell>
          <cell r="K1599" t="str">
            <v>hp</v>
          </cell>
          <cell r="L1599" t="str">
            <v>体力タイプ</v>
          </cell>
          <cell r="M1599" t="str">
            <v>ss</v>
          </cell>
        </row>
        <row r="1600">
          <cell r="A1600">
            <v>8072</v>
          </cell>
          <cell r="B1600" t="str">
            <v>ja</v>
          </cell>
          <cell r="C1600" t="str">
            <v>ポムポムプリン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yellow</v>
          </cell>
          <cell r="I1600">
            <v>4</v>
          </cell>
          <cell r="J1600" t="str">
            <v>PremiumS</v>
          </cell>
          <cell r="K1600" t="str">
            <v>hp</v>
          </cell>
          <cell r="L1600" t="str">
            <v>体力タイプ</v>
          </cell>
          <cell r="M1600" t="str">
            <v>ss</v>
          </cell>
        </row>
        <row r="1601">
          <cell r="A1601">
            <v>8073</v>
          </cell>
          <cell r="B1601" t="str">
            <v>ja</v>
          </cell>
          <cell r="C1601" t="str">
            <v>星海祈る天光妃 媽祖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8074</v>
          </cell>
          <cell r="B1602" t="str">
            <v>ja</v>
          </cell>
          <cell r="C1602" t="str">
            <v>海戀の絶龍姫 蛟龍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6</v>
          </cell>
          <cell r="J1602" t="str">
            <v>DropWizS</v>
          </cell>
          <cell r="K1602" t="str">
            <v>hp</v>
          </cell>
          <cell r="L1602" t="str">
            <v>体力タイプ</v>
          </cell>
          <cell r="M1602" t="str">
            <v>dragon</v>
          </cell>
        </row>
        <row r="1603">
          <cell r="A1603">
            <v>8075</v>
          </cell>
          <cell r="B1603" t="str">
            <v>ja</v>
          </cell>
          <cell r="C1603" t="str">
            <v>三蔵法師_超覚醒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8076</v>
          </cell>
          <cell r="B1604" t="str">
            <v>ja</v>
          </cell>
          <cell r="C1604" t="str">
            <v>孫悟空_超覚醒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unknown</v>
          </cell>
        </row>
        <row r="1605">
          <cell r="A1605">
            <v>8077</v>
          </cell>
          <cell r="B1605" t="str">
            <v>ja</v>
          </cell>
          <cell r="C1605" t="str">
            <v>鄭成功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blue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human</v>
          </cell>
        </row>
        <row r="1606">
          <cell r="A1606">
            <v>8078</v>
          </cell>
          <cell r="B1606" t="str">
            <v>ja</v>
          </cell>
          <cell r="C1606" t="str">
            <v>レア６鄭成功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blue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human</v>
          </cell>
        </row>
        <row r="1607">
          <cell r="A1607">
            <v>8079</v>
          </cell>
          <cell r="B1607" t="str">
            <v>ja</v>
          </cell>
          <cell r="C1607" t="str">
            <v>赤鬼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red</v>
          </cell>
          <cell r="I1607">
            <v>5</v>
          </cell>
          <cell r="J1607" t="str">
            <v>DropWizS</v>
          </cell>
          <cell r="K1607" t="str">
            <v>hp</v>
          </cell>
          <cell r="L1607" t="str">
            <v>体力タイプ</v>
          </cell>
          <cell r="M1607" t="str">
            <v>dragon</v>
          </cell>
        </row>
        <row r="1608">
          <cell r="A1608">
            <v>8080</v>
          </cell>
          <cell r="B1608" t="str">
            <v>ja</v>
          </cell>
          <cell r="C1608" t="str">
            <v>レア６赤鬼</v>
          </cell>
          <cell r="D1608" t="str">
            <v>ポムポムプリン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red</v>
          </cell>
          <cell r="I1608">
            <v>6</v>
          </cell>
          <cell r="J1608" t="str">
            <v>DropWizS</v>
          </cell>
          <cell r="K1608" t="str">
            <v>hp</v>
          </cell>
          <cell r="L1608" t="str">
            <v>体力タイプ</v>
          </cell>
          <cell r="M1608" t="str">
            <v>dragon</v>
          </cell>
        </row>
        <row r="1609">
          <cell r="A1609">
            <v>8081</v>
          </cell>
          <cell r="B1609" t="str">
            <v>ja</v>
          </cell>
          <cell r="C1609" t="str">
            <v>関羽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samurai</v>
          </cell>
        </row>
        <row r="1610">
          <cell r="A1610">
            <v>8082</v>
          </cell>
          <cell r="B1610" t="str">
            <v>ja</v>
          </cell>
          <cell r="C1610" t="str">
            <v>★６関羽</v>
          </cell>
          <cell r="H1610" t="str">
            <v>green</v>
          </cell>
          <cell r="I1610">
            <v>6</v>
          </cell>
          <cell r="J1610" t="str">
            <v>PremiumSSS</v>
          </cell>
          <cell r="K1610" t="str">
            <v>balance</v>
          </cell>
          <cell r="L1610" t="str">
            <v>バランスタイプ</v>
          </cell>
          <cell r="M1610" t="str">
            <v>samurai</v>
          </cell>
        </row>
        <row r="1611">
          <cell r="A1611">
            <v>8083</v>
          </cell>
          <cell r="B1611" t="str">
            <v>ja</v>
          </cell>
          <cell r="C1611" t="str">
            <v>曹操</v>
          </cell>
          <cell r="H1611" t="str">
            <v>yellow</v>
          </cell>
          <cell r="I1611">
            <v>5</v>
          </cell>
          <cell r="J1611" t="str">
            <v>DropWizSS</v>
          </cell>
          <cell r="K1611" t="str">
            <v>technical</v>
          </cell>
          <cell r="L1611" t="str">
            <v>テクニカルタイプ</v>
          </cell>
          <cell r="M1611" t="str">
            <v>samurai</v>
          </cell>
        </row>
        <row r="1612">
          <cell r="A1612">
            <v>8084</v>
          </cell>
          <cell r="B1612" t="str">
            <v>ja</v>
          </cell>
          <cell r="C1612" t="str">
            <v>★６曹操</v>
          </cell>
          <cell r="H1612" t="str">
            <v>yellow</v>
          </cell>
          <cell r="I1612">
            <v>6</v>
          </cell>
          <cell r="J1612" t="str">
            <v>DropWizSS</v>
          </cell>
          <cell r="K1612" t="str">
            <v>technical</v>
          </cell>
          <cell r="L1612" t="str">
            <v>テクニカルタイプ</v>
          </cell>
          <cell r="M1612" t="str">
            <v>samurai</v>
          </cell>
        </row>
        <row r="1613">
          <cell r="A1613">
            <v>8085</v>
          </cell>
          <cell r="B1613" t="str">
            <v>ja</v>
          </cell>
          <cell r="C1613" t="str">
            <v>西王娘娘_超覚醒</v>
          </cell>
          <cell r="H1613" t="str">
            <v>yellow</v>
          </cell>
          <cell r="I1613">
            <v>6</v>
          </cell>
          <cell r="J1613" t="str">
            <v>PremiumSS</v>
          </cell>
          <cell r="K1613" t="str">
            <v>attack</v>
          </cell>
          <cell r="L1613" t="str">
            <v>攻撃タイプ</v>
          </cell>
          <cell r="M1613" t="str">
            <v>god</v>
          </cell>
        </row>
        <row r="1614">
          <cell r="A1614">
            <v>8086</v>
          </cell>
          <cell r="B1614" t="str">
            <v>ja</v>
          </cell>
          <cell r="C1614" t="str">
            <v>月下老人_超覚醒</v>
          </cell>
          <cell r="H1614" t="str">
            <v>yellow</v>
          </cell>
          <cell r="I1614">
            <v>6</v>
          </cell>
          <cell r="J1614" t="str">
            <v>DropWizS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8087</v>
          </cell>
          <cell r="B1615" t="str">
            <v>ja</v>
          </cell>
          <cell r="C1615" t="str">
            <v>財神</v>
          </cell>
          <cell r="H1615" t="str">
            <v>red</v>
          </cell>
          <cell r="I1615">
            <v>5</v>
          </cell>
          <cell r="J1615" t="str">
            <v>PremiumSSS</v>
          </cell>
          <cell r="K1615" t="str">
            <v>technical</v>
          </cell>
          <cell r="L1615" t="str">
            <v>テクニカルタイプ</v>
          </cell>
          <cell r="M1615" t="str">
            <v>god</v>
          </cell>
        </row>
        <row r="1616">
          <cell r="A1616">
            <v>8088</v>
          </cell>
          <cell r="B1616" t="str">
            <v>ja</v>
          </cell>
          <cell r="C1616" t="str">
            <v>★６財神</v>
          </cell>
          <cell r="H1616" t="str">
            <v>red</v>
          </cell>
          <cell r="I1616">
            <v>6</v>
          </cell>
          <cell r="J1616" t="str">
            <v>PremiumSSS</v>
          </cell>
          <cell r="K1616" t="str">
            <v>technical</v>
          </cell>
          <cell r="L1616" t="str">
            <v>テクニカルタイプ</v>
          </cell>
          <cell r="M1616" t="str">
            <v>god</v>
          </cell>
        </row>
        <row r="1617">
          <cell r="A1617">
            <v>8089</v>
          </cell>
          <cell r="B1617" t="str">
            <v>ja</v>
          </cell>
          <cell r="C1617" t="str">
            <v>年獣</v>
          </cell>
          <cell r="H1617" t="str">
            <v>green</v>
          </cell>
          <cell r="I1617">
            <v>5</v>
          </cell>
          <cell r="J1617" t="str">
            <v>DropWizS</v>
          </cell>
          <cell r="K1617" t="str">
            <v>attack</v>
          </cell>
          <cell r="L1617" t="str">
            <v>攻撃タイプ</v>
          </cell>
          <cell r="M1617" t="str">
            <v>animal</v>
          </cell>
        </row>
        <row r="1618">
          <cell r="A1618">
            <v>8090</v>
          </cell>
          <cell r="B1618" t="str">
            <v>ja</v>
          </cell>
          <cell r="C1618" t="str">
            <v>★６年獣</v>
          </cell>
          <cell r="H1618" t="str">
            <v>green</v>
          </cell>
          <cell r="I1618">
            <v>6</v>
          </cell>
          <cell r="J1618" t="str">
            <v>DropWizS</v>
          </cell>
          <cell r="K1618" t="str">
            <v>attack</v>
          </cell>
          <cell r="L1618" t="str">
            <v>攻撃タイプ</v>
          </cell>
          <cell r="M1618" t="str">
            <v>animal</v>
          </cell>
        </row>
        <row r="1619">
          <cell r="A1619">
            <v>8095</v>
          </cell>
          <cell r="B1619" t="str">
            <v>ja</v>
          </cell>
          <cell r="C1619" t="str">
            <v>バハムートダック赤</v>
          </cell>
          <cell r="D1619" t="str">
            <v>ポムポムプリン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6</v>
          </cell>
          <cell r="J1619" t="str">
            <v>Material</v>
          </cell>
          <cell r="K1619" t="str">
            <v>exp</v>
          </cell>
          <cell r="L1619" t="str">
            <v>強化素材タイプ</v>
          </cell>
          <cell r="M1619" t="str">
            <v>unknown</v>
          </cell>
        </row>
        <row r="1620">
          <cell r="A1620">
            <v>8096</v>
          </cell>
          <cell r="B1620" t="str">
            <v>ja</v>
          </cell>
          <cell r="C1620" t="str">
            <v>バハムートダック緑</v>
          </cell>
          <cell r="D1620" t="str">
            <v>ポムポムプリン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green</v>
          </cell>
          <cell r="I1620">
            <v>6</v>
          </cell>
          <cell r="J1620" t="str">
            <v>Material</v>
          </cell>
          <cell r="K1620" t="str">
            <v>exp</v>
          </cell>
          <cell r="L1620" t="str">
            <v>強化素材タイプ</v>
          </cell>
          <cell r="M1620" t="str">
            <v>unknown</v>
          </cell>
        </row>
        <row r="1621">
          <cell r="A1621">
            <v>8097</v>
          </cell>
          <cell r="B1621" t="str">
            <v>ja</v>
          </cell>
          <cell r="C1621" t="str">
            <v>バハムートダック青</v>
          </cell>
          <cell r="D1621" t="str">
            <v>ポムポムプリン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6</v>
          </cell>
          <cell r="J1621" t="str">
            <v>Material</v>
          </cell>
          <cell r="K1621" t="str">
            <v>exp</v>
          </cell>
          <cell r="L1621" t="str">
            <v>強化素材タイプ</v>
          </cell>
          <cell r="M1621" t="str">
            <v>unknown</v>
          </cell>
        </row>
        <row r="1622">
          <cell r="A1622">
            <v>8098</v>
          </cell>
          <cell r="B1622" t="str">
            <v>ja</v>
          </cell>
          <cell r="C1622" t="str">
            <v>バハムートダック黄</v>
          </cell>
          <cell r="D1622" t="str">
            <v>ポムポムプリン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yellow</v>
          </cell>
          <cell r="I1622">
            <v>6</v>
          </cell>
          <cell r="J1622" t="str">
            <v>Material</v>
          </cell>
          <cell r="K1622" t="str">
            <v>exp</v>
          </cell>
          <cell r="L1622" t="str">
            <v>強化素材タイプ</v>
          </cell>
          <cell r="M1622" t="str">
            <v>unknown</v>
          </cell>
        </row>
        <row r="1623">
          <cell r="A1623">
            <v>8099</v>
          </cell>
          <cell r="B1623" t="str">
            <v>ja</v>
          </cell>
          <cell r="C1623" t="str">
            <v>韓湘子</v>
          </cell>
          <cell r="D1623" t="str">
            <v>ポムポムプリン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green</v>
          </cell>
          <cell r="I1623">
            <v>5</v>
          </cell>
          <cell r="J1623" t="str">
            <v>PremiumSSw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8100</v>
          </cell>
          <cell r="B1624" t="str">
            <v>ja</v>
          </cell>
          <cell r="C1624" t="str">
            <v>韓湘子★６</v>
          </cell>
          <cell r="D1624" t="str">
            <v>ポムポムプリン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6</v>
          </cell>
          <cell r="J1624" t="str">
            <v>PremiumSSw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8101</v>
          </cell>
          <cell r="B1625" t="str">
            <v>ja</v>
          </cell>
          <cell r="C1625" t="str">
            <v>張果老</v>
          </cell>
          <cell r="D1625" t="str">
            <v>ポムポムプリン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5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8102</v>
          </cell>
          <cell r="B1626" t="str">
            <v>ja</v>
          </cell>
          <cell r="C1626" t="str">
            <v>張果老★６</v>
          </cell>
          <cell r="D1626" t="str">
            <v>各属性相性良3・黄・R455</v>
          </cell>
          <cell r="E1626" t="str">
            <v>執行者</v>
          </cell>
          <cell r="F1626" t="str">
            <v>格好いい</v>
          </cell>
          <cell r="G1626" t="str">
            <v>男性</v>
          </cell>
          <cell r="H1626" t="str">
            <v>yellow</v>
          </cell>
          <cell r="I1626">
            <v>6</v>
          </cell>
          <cell r="J1626" t="str">
            <v>DropWizS</v>
          </cell>
          <cell r="K1626" t="str">
            <v>attack</v>
          </cell>
          <cell r="L1626" t="str">
            <v>攻撃タイプ</v>
          </cell>
          <cell r="M1626" t="str">
            <v>god</v>
          </cell>
        </row>
        <row r="1627">
          <cell r="A1627">
            <v>8103</v>
          </cell>
          <cell r="B1627" t="str">
            <v>ja</v>
          </cell>
          <cell r="C1627" t="str">
            <v>李鐵拐</v>
          </cell>
          <cell r="D1627" t="str">
            <v>ポムポムプリン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5</v>
          </cell>
          <cell r="J1627" t="str">
            <v>PremiumSSw</v>
          </cell>
          <cell r="K1627" t="str">
            <v>technical</v>
          </cell>
          <cell r="L1627" t="str">
            <v>テクニカルタイプ</v>
          </cell>
          <cell r="M1627" t="str">
            <v>god</v>
          </cell>
        </row>
        <row r="1628">
          <cell r="A1628">
            <v>8104</v>
          </cell>
          <cell r="B1628" t="str">
            <v>ja</v>
          </cell>
          <cell r="C1628" t="str">
            <v>李鐵拐★６</v>
          </cell>
          <cell r="D1628" t="str">
            <v>各属性相性良3・黄・R455</v>
          </cell>
          <cell r="E1628" t="str">
            <v>執行者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6</v>
          </cell>
          <cell r="J1628" t="str">
            <v>PremiumSSw</v>
          </cell>
          <cell r="K1628" t="str">
            <v>technical</v>
          </cell>
          <cell r="L1628" t="str">
            <v>テクニカルタイプ</v>
          </cell>
          <cell r="M1628" t="str">
            <v>god</v>
          </cell>
        </row>
        <row r="1629">
          <cell r="A1629">
            <v>8105</v>
          </cell>
          <cell r="B1629" t="str">
            <v>ja</v>
          </cell>
          <cell r="C1629" t="str">
            <v>曹國舅</v>
          </cell>
          <cell r="D1629" t="str">
            <v>ポムポムプリン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DropWizS</v>
          </cell>
          <cell r="K1629" t="str">
            <v>hp</v>
          </cell>
          <cell r="L1629" t="str">
            <v>体力タイプ</v>
          </cell>
          <cell r="M1629" t="str">
            <v>god</v>
          </cell>
        </row>
        <row r="1630">
          <cell r="A1630">
            <v>8106</v>
          </cell>
          <cell r="B1630" t="str">
            <v>ja</v>
          </cell>
          <cell r="C1630" t="str">
            <v>曹國舅★６</v>
          </cell>
          <cell r="D1630" t="str">
            <v>各属性相性良3・黄・R455</v>
          </cell>
          <cell r="E1630" t="str">
            <v>執行者</v>
          </cell>
          <cell r="F1630" t="str">
            <v>格好いい</v>
          </cell>
          <cell r="G1630" t="str">
            <v>男性</v>
          </cell>
          <cell r="H1630" t="str">
            <v>green</v>
          </cell>
          <cell r="I1630">
            <v>6</v>
          </cell>
          <cell r="J1630" t="str">
            <v>DropWizS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9001</v>
          </cell>
          <cell r="B1631" t="str">
            <v>ja</v>
          </cell>
          <cell r="C1631" t="str">
            <v>春香</v>
          </cell>
          <cell r="D1631" t="str">
            <v>ポムポムプリン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red</v>
          </cell>
          <cell r="I1631">
            <v>5</v>
          </cell>
          <cell r="J1631" t="str">
            <v>PremiumSSw</v>
          </cell>
          <cell r="K1631" t="str">
            <v>attack</v>
          </cell>
          <cell r="L1631" t="str">
            <v>攻撃タイプ</v>
          </cell>
          <cell r="M1631" t="str">
            <v>human</v>
          </cell>
        </row>
        <row r="1632">
          <cell r="A1632">
            <v>9002</v>
          </cell>
          <cell r="B1632" t="str">
            <v>ja</v>
          </cell>
          <cell r="C1632" t="str">
            <v>春香★６</v>
          </cell>
          <cell r="D1632" t="str">
            <v>ポムポムプリン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red</v>
          </cell>
          <cell r="I1632">
            <v>6</v>
          </cell>
          <cell r="J1632" t="str">
            <v>PremiumSSw</v>
          </cell>
          <cell r="K1632" t="str">
            <v>attack</v>
          </cell>
          <cell r="L1632" t="str">
            <v>攻撃タイプ</v>
          </cell>
          <cell r="M1632" t="str">
            <v>human</v>
          </cell>
        </row>
        <row r="1633">
          <cell r="A1633">
            <v>9003</v>
          </cell>
          <cell r="B1633" t="str">
            <v>ja</v>
          </cell>
          <cell r="C1633" t="str">
            <v>夢龍</v>
          </cell>
          <cell r="D1633" t="str">
            <v>ポムポムプリン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5</v>
          </cell>
          <cell r="J1633" t="str">
            <v>DropWizS</v>
          </cell>
          <cell r="K1633" t="str">
            <v>heal</v>
          </cell>
          <cell r="L1633" t="str">
            <v>回復タイプ</v>
          </cell>
          <cell r="M1633" t="str">
            <v>dragon</v>
          </cell>
        </row>
        <row r="1634">
          <cell r="A1634">
            <v>9004</v>
          </cell>
          <cell r="B1634" t="str">
            <v>ja</v>
          </cell>
          <cell r="C1634" t="str">
            <v>夢龍★６</v>
          </cell>
          <cell r="D1634" t="str">
            <v>各属性相性良3・黄・R455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green</v>
          </cell>
          <cell r="I1634">
            <v>6</v>
          </cell>
          <cell r="J1634" t="str">
            <v>DropWizS</v>
          </cell>
          <cell r="K1634" t="str">
            <v>heal</v>
          </cell>
          <cell r="L1634" t="str">
            <v>回復タイプ</v>
          </cell>
          <cell r="M1634" t="str">
            <v>dragon</v>
          </cell>
        </row>
        <row r="1635">
          <cell r="A1635">
            <v>9005</v>
          </cell>
          <cell r="B1635" t="str">
            <v>ja</v>
          </cell>
          <cell r="C1635" t="str">
            <v>降臨</v>
          </cell>
          <cell r="D1635" t="str">
            <v>ポムポムプリン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PremiumSSw</v>
          </cell>
          <cell r="K1635" t="str">
            <v>hp</v>
          </cell>
          <cell r="L1635" t="str">
            <v>体力タイプ</v>
          </cell>
          <cell r="M1635" t="str">
            <v>demon</v>
          </cell>
        </row>
        <row r="1636">
          <cell r="A1636">
            <v>9006</v>
          </cell>
          <cell r="B1636" t="str">
            <v>ja</v>
          </cell>
          <cell r="C1636" t="str">
            <v>降臨★６</v>
          </cell>
          <cell r="D1636" t="str">
            <v>ポムポムプリン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PremiumSSw</v>
          </cell>
          <cell r="K1636" t="str">
            <v>hp</v>
          </cell>
          <cell r="L1636" t="str">
            <v>体力タイプ</v>
          </cell>
          <cell r="M1636" t="str">
            <v>demon</v>
          </cell>
        </row>
        <row r="1637">
          <cell r="A1637">
            <v>9007</v>
          </cell>
          <cell r="B1637" t="str">
            <v>ja</v>
          </cell>
          <cell r="C1637" t="str">
            <v>田禹治</v>
          </cell>
          <cell r="D1637" t="str">
            <v>ポムポムプリン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5</v>
          </cell>
          <cell r="J1637" t="str">
            <v>DropWizS</v>
          </cell>
          <cell r="K1637" t="str">
            <v>technical</v>
          </cell>
          <cell r="L1637" t="str">
            <v>テクニカルタイプ</v>
          </cell>
          <cell r="M1637" t="str">
            <v>hero</v>
          </cell>
        </row>
        <row r="1638">
          <cell r="A1638">
            <v>9008</v>
          </cell>
          <cell r="B1638" t="str">
            <v>ja</v>
          </cell>
          <cell r="C1638" t="str">
            <v>田禹治★６</v>
          </cell>
          <cell r="D1638" t="str">
            <v>各属性相性良3・黄・R455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6</v>
          </cell>
          <cell r="J1638" t="str">
            <v>DropWizS</v>
          </cell>
          <cell r="K1638" t="str">
            <v>technical</v>
          </cell>
          <cell r="L1638" t="str">
            <v>テクニカルタイプ</v>
          </cell>
          <cell r="M1638" t="str">
            <v>hero</v>
          </cell>
        </row>
        <row r="1639">
          <cell r="A1639">
            <v>10001</v>
          </cell>
          <cell r="B1639" t="str">
            <v>ja</v>
          </cell>
          <cell r="C1639" t="str">
            <v>テストユニット01</v>
          </cell>
          <cell r="H1639" t="str">
            <v>yellow</v>
          </cell>
          <cell r="I1639">
            <v>6</v>
          </cell>
          <cell r="J1639" t="str">
            <v>DropWizS</v>
          </cell>
          <cell r="K1639" t="str">
            <v>heal</v>
          </cell>
          <cell r="L1639" t="str">
            <v>回復タイプ</v>
          </cell>
          <cell r="M1639" t="str">
            <v>human</v>
          </cell>
        </row>
        <row r="1640">
          <cell r="A1640">
            <v>10002</v>
          </cell>
          <cell r="B1640" t="str">
            <v>ja</v>
          </cell>
          <cell r="C1640" t="str">
            <v>テストユニット02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technical</v>
          </cell>
          <cell r="L1640" t="str">
            <v>テクニカルタイプ</v>
          </cell>
          <cell r="M1640" t="str">
            <v>animal</v>
          </cell>
        </row>
        <row r="1641">
          <cell r="A1641">
            <v>10003</v>
          </cell>
          <cell r="B1641" t="str">
            <v>ja</v>
          </cell>
          <cell r="C1641" t="str">
            <v>テストユニット03</v>
          </cell>
          <cell r="H1641" t="str">
            <v>red</v>
          </cell>
          <cell r="I1641">
            <v>5</v>
          </cell>
          <cell r="J1641" t="str">
            <v>PremiumSSS</v>
          </cell>
          <cell r="K1641" t="str">
            <v>technical</v>
          </cell>
          <cell r="L1641" t="str">
            <v>テクニカルタイプ</v>
          </cell>
          <cell r="M1641" t="str">
            <v>academia</v>
          </cell>
        </row>
        <row r="1642">
          <cell r="A1642">
            <v>10004</v>
          </cell>
          <cell r="B1642" t="str">
            <v>ja</v>
          </cell>
          <cell r="C1642" t="str">
            <v>テストユニット04</v>
          </cell>
          <cell r="H1642" t="str">
            <v>red</v>
          </cell>
          <cell r="I1642">
            <v>6</v>
          </cell>
          <cell r="J1642" t="str">
            <v>PremiumSSS</v>
          </cell>
          <cell r="K1642" t="str">
            <v>technical</v>
          </cell>
          <cell r="L1642" t="str">
            <v>テクニカルタイプ</v>
          </cell>
          <cell r="M1642" t="str">
            <v>academia</v>
          </cell>
        </row>
        <row r="1643">
          <cell r="A1643">
            <v>10005</v>
          </cell>
          <cell r="B1643" t="str">
            <v>ja</v>
          </cell>
          <cell r="C1643" t="str">
            <v>テストユニット05</v>
          </cell>
          <cell r="H1643" t="str">
            <v>yellow</v>
          </cell>
          <cell r="I1643">
            <v>6</v>
          </cell>
          <cell r="J1643" t="str">
            <v>PremiumSS</v>
          </cell>
          <cell r="K1643" t="str">
            <v>technical</v>
          </cell>
          <cell r="L1643" t="str">
            <v>テクニカルタイプ</v>
          </cell>
          <cell r="M1643" t="str">
            <v>human</v>
          </cell>
        </row>
        <row r="1644">
          <cell r="A1644">
            <v>10006</v>
          </cell>
          <cell r="B1644" t="str">
            <v>ja</v>
          </cell>
          <cell r="C1644" t="str">
            <v>テストユニット06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attack</v>
          </cell>
          <cell r="L1644" t="str">
            <v>攻撃タイプ</v>
          </cell>
          <cell r="M1644" t="str">
            <v>animal</v>
          </cell>
        </row>
        <row r="1645">
          <cell r="A1645">
            <v>10007</v>
          </cell>
          <cell r="B1645" t="str">
            <v>ja</v>
          </cell>
          <cell r="C1645" t="str">
            <v>テストユニット07</v>
          </cell>
          <cell r="H1645" t="str">
            <v>yellow</v>
          </cell>
          <cell r="I1645">
            <v>5</v>
          </cell>
          <cell r="J1645" t="str">
            <v>PremiumSSS</v>
          </cell>
          <cell r="K1645" t="str">
            <v>technical</v>
          </cell>
          <cell r="L1645" t="str">
            <v>テクニカルタイプ</v>
          </cell>
          <cell r="M1645" t="str">
            <v>machine</v>
          </cell>
        </row>
        <row r="1646">
          <cell r="A1646">
            <v>10008</v>
          </cell>
          <cell r="B1646" t="str">
            <v>ja</v>
          </cell>
          <cell r="C1646" t="str">
            <v>テストユニット08</v>
          </cell>
          <cell r="H1646" t="str">
            <v>yellow</v>
          </cell>
          <cell r="I1646">
            <v>6</v>
          </cell>
          <cell r="J1646" t="str">
            <v>PremiumSSS</v>
          </cell>
          <cell r="K1646" t="str">
            <v>technical</v>
          </cell>
          <cell r="L1646" t="str">
            <v>テクニカルタイプ</v>
          </cell>
          <cell r="M1646" t="str">
            <v>machine</v>
          </cell>
        </row>
        <row r="1647">
          <cell r="A1647">
            <v>10009</v>
          </cell>
          <cell r="B1647" t="str">
            <v>ja</v>
          </cell>
          <cell r="C1647" t="str">
            <v>青テスト01</v>
          </cell>
          <cell r="H1647" t="str">
            <v>blue</v>
          </cell>
          <cell r="I1647">
            <v>6</v>
          </cell>
          <cell r="J1647" t="str">
            <v>DropWizS</v>
          </cell>
          <cell r="K1647" t="str">
            <v>heal</v>
          </cell>
          <cell r="L1647" t="str">
            <v>回復タイプ</v>
          </cell>
          <cell r="M1647" t="str">
            <v>human</v>
          </cell>
        </row>
        <row r="1648">
          <cell r="A1648">
            <v>10010</v>
          </cell>
          <cell r="B1648" t="str">
            <v>ja</v>
          </cell>
          <cell r="C1648" t="str">
            <v>赤テスト01</v>
          </cell>
          <cell r="H1648" t="str">
            <v>red</v>
          </cell>
          <cell r="I1648">
            <v>6</v>
          </cell>
          <cell r="J1648" t="str">
            <v>PremiumSSS</v>
          </cell>
          <cell r="K1648" t="str">
            <v>technical</v>
          </cell>
          <cell r="L1648" t="str">
            <v>テクニカルタイプ</v>
          </cell>
          <cell r="M1648" t="str">
            <v>human</v>
          </cell>
        </row>
        <row r="1649">
          <cell r="A1649">
            <v>10011</v>
          </cell>
          <cell r="B1649" t="str">
            <v>ja</v>
          </cell>
          <cell r="C1649" t="str">
            <v>テストユニット11</v>
          </cell>
          <cell r="H1649" t="str">
            <v>yellow</v>
          </cell>
          <cell r="I1649">
            <v>5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human</v>
          </cell>
        </row>
        <row r="1650">
          <cell r="A1650">
            <v>10012</v>
          </cell>
          <cell r="B1650" t="str">
            <v>ja</v>
          </cell>
          <cell r="C1650" t="str">
            <v>テストユニット12</v>
          </cell>
          <cell r="H1650" t="str">
            <v>yellow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human</v>
          </cell>
        </row>
        <row r="1651">
          <cell r="A1651">
            <v>10013</v>
          </cell>
          <cell r="B1651" t="str">
            <v>ja</v>
          </cell>
          <cell r="C1651" t="str">
            <v>テストユニット13</v>
          </cell>
          <cell r="H1651" t="str">
            <v>yellow</v>
          </cell>
          <cell r="I1651">
            <v>5</v>
          </cell>
          <cell r="J1651" t="str">
            <v>PremiumSSw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10014</v>
          </cell>
          <cell r="B1652" t="str">
            <v>ja</v>
          </cell>
          <cell r="C1652" t="str">
            <v>テストユニット14</v>
          </cell>
          <cell r="H1652" t="str">
            <v>yellow</v>
          </cell>
          <cell r="I1652">
            <v>6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10015</v>
          </cell>
          <cell r="B1653" t="str">
            <v>ja</v>
          </cell>
          <cell r="C1653" t="str">
            <v>テストユニット15</v>
          </cell>
          <cell r="H1653" t="str">
            <v>green</v>
          </cell>
          <cell r="I1653">
            <v>5</v>
          </cell>
          <cell r="J1653" t="str">
            <v>DropWizS</v>
          </cell>
          <cell r="K1653" t="str">
            <v>heal</v>
          </cell>
          <cell r="L1653" t="str">
            <v>回復タイプ</v>
          </cell>
          <cell r="M1653" t="str">
            <v>human</v>
          </cell>
        </row>
        <row r="1654">
          <cell r="A1654">
            <v>10016</v>
          </cell>
          <cell r="B1654" t="str">
            <v>ja</v>
          </cell>
          <cell r="C1654" t="str">
            <v>テストユニット16</v>
          </cell>
          <cell r="H1654" t="str">
            <v>green</v>
          </cell>
          <cell r="I1654">
            <v>6</v>
          </cell>
          <cell r="J1654" t="str">
            <v>DropWizS</v>
          </cell>
          <cell r="K1654" t="str">
            <v>heal</v>
          </cell>
          <cell r="L1654" t="str">
            <v>回復タイプ</v>
          </cell>
          <cell r="M1654" t="str">
            <v>human</v>
          </cell>
        </row>
        <row r="1655">
          <cell r="A1655">
            <v>10017</v>
          </cell>
          <cell r="B1655" t="str">
            <v>ja</v>
          </cell>
          <cell r="C1655" t="str">
            <v>テストユニット17</v>
          </cell>
          <cell r="H1655" t="str">
            <v>red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10018</v>
          </cell>
          <cell r="B1656" t="str">
            <v>ja</v>
          </cell>
          <cell r="C1656" t="str">
            <v>テストユニット18</v>
          </cell>
          <cell r="H1656" t="str">
            <v>blue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10019</v>
          </cell>
          <cell r="B1657" t="str">
            <v>ja</v>
          </cell>
          <cell r="C1657" t="str">
            <v>テストユニット19</v>
          </cell>
          <cell r="H1657" t="str">
            <v>green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10020</v>
          </cell>
          <cell r="B1658" t="str">
            <v>ja</v>
          </cell>
          <cell r="C1658" t="str">
            <v>テストユニット20</v>
          </cell>
          <cell r="H1658" t="str">
            <v>yellow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10021</v>
          </cell>
          <cell r="B1659" t="str">
            <v>ja</v>
          </cell>
          <cell r="C1659" t="str">
            <v>テストユニット21</v>
          </cell>
          <cell r="H1659" t="str">
            <v>blue</v>
          </cell>
          <cell r="I1659">
            <v>5</v>
          </cell>
          <cell r="J1659" t="str">
            <v>PremiumSSw</v>
          </cell>
          <cell r="K1659" t="str">
            <v>hp</v>
          </cell>
          <cell r="L1659" t="str">
            <v>体力タイプ</v>
          </cell>
          <cell r="M1659" t="str">
            <v>demon</v>
          </cell>
        </row>
        <row r="1660">
          <cell r="A1660">
            <v>10022</v>
          </cell>
          <cell r="B1660" t="str">
            <v>ja</v>
          </cell>
          <cell r="C1660" t="str">
            <v>テストユニット22</v>
          </cell>
          <cell r="H1660" t="str">
            <v>blue</v>
          </cell>
          <cell r="I1660">
            <v>6</v>
          </cell>
          <cell r="J1660" t="str">
            <v>PremiumSSw</v>
          </cell>
          <cell r="K1660" t="str">
            <v>hp</v>
          </cell>
          <cell r="L1660" t="str">
            <v>体力タイプ</v>
          </cell>
          <cell r="M1660" t="str">
            <v>demon</v>
          </cell>
        </row>
        <row r="1661">
          <cell r="A1661">
            <v>10023</v>
          </cell>
          <cell r="B1661" t="str">
            <v>ja</v>
          </cell>
          <cell r="C1661" t="str">
            <v>テストユニット23</v>
          </cell>
          <cell r="H1661" t="str">
            <v>green</v>
          </cell>
          <cell r="I1661">
            <v>5</v>
          </cell>
          <cell r="J1661" t="str">
            <v>PremiumSSw</v>
          </cell>
          <cell r="K1661" t="str">
            <v>heal</v>
          </cell>
          <cell r="L1661" t="str">
            <v>回復タイプ</v>
          </cell>
          <cell r="M1661" t="str">
            <v>dragon</v>
          </cell>
        </row>
        <row r="1662">
          <cell r="A1662">
            <v>10024</v>
          </cell>
          <cell r="B1662" t="str">
            <v>ja</v>
          </cell>
          <cell r="C1662" t="str">
            <v>テストユニット24</v>
          </cell>
          <cell r="H1662" t="str">
            <v>green</v>
          </cell>
          <cell r="I1662">
            <v>6</v>
          </cell>
          <cell r="J1662" t="str">
            <v>PremiumSSw</v>
          </cell>
          <cell r="K1662" t="str">
            <v>heal</v>
          </cell>
          <cell r="L1662" t="str">
            <v>回復タイプ</v>
          </cell>
          <cell r="M1662" t="str">
            <v>dragon</v>
          </cell>
        </row>
        <row r="1663">
          <cell r="A1663">
            <v>10025</v>
          </cell>
          <cell r="B1663" t="str">
            <v>ja</v>
          </cell>
          <cell r="C1663" t="str">
            <v>テストユニット25</v>
          </cell>
          <cell r="H1663" t="str">
            <v>red</v>
          </cell>
          <cell r="I1663">
            <v>5</v>
          </cell>
          <cell r="J1663" t="str">
            <v>PremiumSSw</v>
          </cell>
          <cell r="K1663" t="str">
            <v>hp</v>
          </cell>
          <cell r="L1663" t="str">
            <v>体力タイプ</v>
          </cell>
          <cell r="M1663" t="str">
            <v>dragon</v>
          </cell>
        </row>
        <row r="1664">
          <cell r="A1664">
            <v>10026</v>
          </cell>
          <cell r="B1664" t="str">
            <v>ja</v>
          </cell>
          <cell r="C1664" t="str">
            <v>テストユニット26</v>
          </cell>
          <cell r="H1664" t="str">
            <v>red</v>
          </cell>
          <cell r="I1664">
            <v>6</v>
          </cell>
          <cell r="J1664" t="str">
            <v>PremiumSSw</v>
          </cell>
          <cell r="K1664" t="str">
            <v>hp</v>
          </cell>
          <cell r="L1664" t="str">
            <v>体力タイプ</v>
          </cell>
          <cell r="M1664" t="str">
            <v>dragon</v>
          </cell>
        </row>
        <row r="1665">
          <cell r="A1665">
            <v>10027</v>
          </cell>
          <cell r="B1665" t="str">
            <v>ja</v>
          </cell>
          <cell r="C1665" t="str">
            <v>テストユニット27</v>
          </cell>
          <cell r="H1665" t="str">
            <v>green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10028</v>
          </cell>
          <cell r="B1666" t="str">
            <v>ja</v>
          </cell>
          <cell r="C1666" t="str">
            <v>テストユニット28</v>
          </cell>
          <cell r="H1666" t="str">
            <v>yellow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10029</v>
          </cell>
          <cell r="B1667" t="str">
            <v>ja</v>
          </cell>
          <cell r="C1667" t="str">
            <v>テストユニット29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10030</v>
          </cell>
          <cell r="B1668" t="str">
            <v>ja</v>
          </cell>
          <cell r="C1668" t="str">
            <v>テストユニット30</v>
          </cell>
          <cell r="H1668" t="str">
            <v>blue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10031</v>
          </cell>
          <cell r="B1669" t="str">
            <v>ja</v>
          </cell>
          <cell r="C1669" t="str">
            <v>テストユニット31</v>
          </cell>
          <cell r="H1669" t="str">
            <v>green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10032</v>
          </cell>
          <cell r="B1670" t="str">
            <v>ja</v>
          </cell>
          <cell r="C1670" t="str">
            <v>テストユニット32</v>
          </cell>
          <cell r="H1670" t="str">
            <v>yellow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10033</v>
          </cell>
          <cell r="B1671" t="str">
            <v>ja</v>
          </cell>
          <cell r="C1671" t="str">
            <v>テストユニット33</v>
          </cell>
          <cell r="H1671" t="str">
            <v>red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10034</v>
          </cell>
          <cell r="B1672" t="str">
            <v>ja</v>
          </cell>
          <cell r="C1672" t="str">
            <v>テストユニット34</v>
          </cell>
          <cell r="H1672" t="str">
            <v>blue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10035</v>
          </cell>
          <cell r="B1673" t="str">
            <v>ja</v>
          </cell>
          <cell r="C1673" t="str">
            <v>テストユニット35</v>
          </cell>
          <cell r="H1673" t="str">
            <v>green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10036</v>
          </cell>
          <cell r="B1674" t="str">
            <v>ja</v>
          </cell>
          <cell r="C1674" t="str">
            <v>テストユニット36</v>
          </cell>
          <cell r="H1674" t="str">
            <v>yellow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10037</v>
          </cell>
          <cell r="B1675" t="str">
            <v>ja</v>
          </cell>
          <cell r="C1675" t="str">
            <v>テストユニット37</v>
          </cell>
          <cell r="H1675" t="str">
            <v>red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10038</v>
          </cell>
          <cell r="B1676" t="str">
            <v>ja</v>
          </cell>
          <cell r="C1676" t="str">
            <v>テストユニット38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10039</v>
          </cell>
          <cell r="B1677" t="str">
            <v>ja</v>
          </cell>
          <cell r="C1677" t="str">
            <v>テストユニット39</v>
          </cell>
          <cell r="H1677" t="str">
            <v>green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10040</v>
          </cell>
          <cell r="B1678" t="str">
            <v>ja</v>
          </cell>
          <cell r="C1678" t="str">
            <v>テストユニット40</v>
          </cell>
          <cell r="H1678" t="str">
            <v>yellow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10041</v>
          </cell>
          <cell r="B1679" t="str">
            <v>ja</v>
          </cell>
          <cell r="C1679" t="str">
            <v>テストユニット41</v>
          </cell>
          <cell r="H1679" t="str">
            <v>red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10042</v>
          </cell>
          <cell r="B1680" t="str">
            <v>ja</v>
          </cell>
          <cell r="C1680" t="str">
            <v>テストユニット42</v>
          </cell>
          <cell r="H1680" t="str">
            <v>blue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10043</v>
          </cell>
          <cell r="B1681" t="str">
            <v>ja</v>
          </cell>
          <cell r="C1681" t="str">
            <v>テストユニット43</v>
          </cell>
          <cell r="H1681" t="str">
            <v>green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10044</v>
          </cell>
          <cell r="B1682" t="str">
            <v>ja</v>
          </cell>
          <cell r="C1682" t="str">
            <v>テストユニット44</v>
          </cell>
          <cell r="H1682" t="str">
            <v>yellow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10045</v>
          </cell>
          <cell r="B1683" t="str">
            <v>ja</v>
          </cell>
          <cell r="C1683" t="str">
            <v>テストユニット45</v>
          </cell>
          <cell r="H1683" t="str">
            <v>red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10046</v>
          </cell>
          <cell r="B1684" t="str">
            <v>ja</v>
          </cell>
          <cell r="C1684" t="str">
            <v>テストユニット46</v>
          </cell>
          <cell r="H1684" t="str">
            <v>blue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10047</v>
          </cell>
          <cell r="B1685" t="str">
            <v>ja</v>
          </cell>
          <cell r="C1685" t="str">
            <v>テストユニット47</v>
          </cell>
          <cell r="H1685" t="str">
            <v>green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10048</v>
          </cell>
          <cell r="B1686" t="str">
            <v>ja</v>
          </cell>
          <cell r="C1686" t="str">
            <v>テストユニット48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10049</v>
          </cell>
          <cell r="B1687" t="str">
            <v>ja</v>
          </cell>
          <cell r="C1687" t="str">
            <v>テストユニット49</v>
          </cell>
          <cell r="H1687" t="str">
            <v>red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10050</v>
          </cell>
          <cell r="B1688" t="str">
            <v>ja</v>
          </cell>
          <cell r="C1688" t="str">
            <v>テストユニット50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10051</v>
          </cell>
          <cell r="B1689" t="str">
            <v>ja</v>
          </cell>
          <cell r="C1689" t="str">
            <v>テストユニット51</v>
          </cell>
          <cell r="H1689" t="str">
            <v>green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10052</v>
          </cell>
          <cell r="B1690" t="str">
            <v>ja</v>
          </cell>
          <cell r="C1690" t="str">
            <v>テストユニット52</v>
          </cell>
          <cell r="H1690" t="str">
            <v>yellow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10053</v>
          </cell>
          <cell r="B1691" t="str">
            <v>ja</v>
          </cell>
          <cell r="C1691" t="str">
            <v>テストユニット53</v>
          </cell>
          <cell r="H1691" t="str">
            <v>red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10054</v>
          </cell>
          <cell r="B1692" t="str">
            <v>ja</v>
          </cell>
          <cell r="C1692" t="str">
            <v>テストユニット54</v>
          </cell>
          <cell r="H1692" t="str">
            <v>blue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10055</v>
          </cell>
          <cell r="B1693" t="str">
            <v>ja</v>
          </cell>
          <cell r="C1693" t="str">
            <v>テストユニット55</v>
          </cell>
          <cell r="H1693" t="str">
            <v>green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10056</v>
          </cell>
          <cell r="B1694" t="str">
            <v>ja</v>
          </cell>
          <cell r="C1694" t="str">
            <v>テストユニット56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10057</v>
          </cell>
          <cell r="B1695" t="str">
            <v>ja</v>
          </cell>
          <cell r="C1695" t="str">
            <v>テストユニット57</v>
          </cell>
          <cell r="H1695" t="str">
            <v>red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10058</v>
          </cell>
          <cell r="B1696" t="str">
            <v>ja</v>
          </cell>
          <cell r="C1696" t="str">
            <v>テストユニット58</v>
          </cell>
          <cell r="H1696" t="str">
            <v>blue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10059</v>
          </cell>
          <cell r="B1697" t="str">
            <v>ja</v>
          </cell>
          <cell r="C1697" t="str">
            <v>テストユニット59</v>
          </cell>
          <cell r="H1697" t="str">
            <v>green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10060</v>
          </cell>
          <cell r="B1698" t="str">
            <v>ja</v>
          </cell>
          <cell r="C1698" t="str">
            <v>テストユニット60</v>
          </cell>
          <cell r="H1698" t="str">
            <v>yellow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10061</v>
          </cell>
          <cell r="B1699" t="str">
            <v>ja</v>
          </cell>
          <cell r="C1699" t="str">
            <v>テストユニット61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10062</v>
          </cell>
          <cell r="B1700" t="str">
            <v>ja</v>
          </cell>
          <cell r="C1700" t="str">
            <v>テストユニット62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10063</v>
          </cell>
          <cell r="B1701" t="str">
            <v>ja</v>
          </cell>
          <cell r="C1701" t="str">
            <v>テストユニット63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10064</v>
          </cell>
          <cell r="B1702" t="str">
            <v>ja</v>
          </cell>
          <cell r="C1702" t="str">
            <v>テストユニット64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10065</v>
          </cell>
          <cell r="B1703" t="str">
            <v>ja</v>
          </cell>
          <cell r="C1703" t="str">
            <v>テストユニット65</v>
          </cell>
          <cell r="H1703" t="str">
            <v>red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10066</v>
          </cell>
          <cell r="B1704" t="str">
            <v>ja</v>
          </cell>
          <cell r="C1704" t="str">
            <v>テストユニット66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10067</v>
          </cell>
          <cell r="B1705" t="str">
            <v>ja</v>
          </cell>
          <cell r="C1705" t="str">
            <v>テストユニット67</v>
          </cell>
          <cell r="H1705" t="str">
            <v>green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10068</v>
          </cell>
          <cell r="B1706" t="str">
            <v>ja</v>
          </cell>
          <cell r="C1706" t="str">
            <v>テストユニット68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10069</v>
          </cell>
          <cell r="B1707" t="str">
            <v>ja</v>
          </cell>
          <cell r="C1707" t="str">
            <v>テストユニット69</v>
          </cell>
          <cell r="H1707" t="str">
            <v>red</v>
          </cell>
          <cell r="I1707">
            <v>6</v>
          </cell>
          <cell r="J1707" t="str">
            <v>PremiumSS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10070</v>
          </cell>
          <cell r="B1708" t="str">
            <v>ja</v>
          </cell>
          <cell r="C1708" t="str">
            <v>テストユニット70</v>
          </cell>
          <cell r="H1708" t="str">
            <v>red</v>
          </cell>
          <cell r="I1708">
            <v>6</v>
          </cell>
          <cell r="J1708" t="str">
            <v>PremiumSSS</v>
          </cell>
          <cell r="K1708" t="str">
            <v>balance</v>
          </cell>
          <cell r="L1708" t="str">
            <v>バランスタイプ</v>
          </cell>
          <cell r="M1708" t="str">
            <v>dragon</v>
          </cell>
        </row>
        <row r="1709">
          <cell r="A1709">
            <v>10071</v>
          </cell>
          <cell r="B1709" t="str">
            <v>ja</v>
          </cell>
          <cell r="C1709" t="str">
            <v>テストユニット71</v>
          </cell>
          <cell r="H1709" t="str">
            <v>red</v>
          </cell>
          <cell r="I1709">
            <v>6</v>
          </cell>
          <cell r="J1709" t="str">
            <v>PremiumSSS</v>
          </cell>
          <cell r="K1709" t="str">
            <v>hp</v>
          </cell>
          <cell r="L1709" t="str">
            <v>体力タイプ</v>
          </cell>
          <cell r="M1709" t="str">
            <v>demon</v>
          </cell>
        </row>
        <row r="1710">
          <cell r="A1710">
            <v>10072</v>
          </cell>
          <cell r="B1710" t="str">
            <v>ja</v>
          </cell>
          <cell r="C1710" t="str">
            <v>テストユニット72</v>
          </cell>
          <cell r="H1710" t="str">
            <v>green</v>
          </cell>
          <cell r="I1710">
            <v>6</v>
          </cell>
          <cell r="J1710" t="str">
            <v>PremiumSSS</v>
          </cell>
          <cell r="K1710" t="str">
            <v>heal</v>
          </cell>
          <cell r="L1710" t="str">
            <v>回復タイプ</v>
          </cell>
          <cell r="M1710" t="str">
            <v>unknown</v>
          </cell>
        </row>
        <row r="1711">
          <cell r="A1711">
            <v>10073</v>
          </cell>
          <cell r="B1711" t="str">
            <v>ja</v>
          </cell>
          <cell r="C1711" t="str">
            <v>テストユニット73</v>
          </cell>
          <cell r="H1711" t="str">
            <v>green</v>
          </cell>
          <cell r="I1711">
            <v>6</v>
          </cell>
          <cell r="J1711" t="str">
            <v>PremiumSSS</v>
          </cell>
          <cell r="K1711" t="str">
            <v>attack</v>
          </cell>
          <cell r="L1711" t="str">
            <v>攻撃タイプ</v>
          </cell>
          <cell r="M1711" t="str">
            <v>samurai</v>
          </cell>
        </row>
        <row r="1712">
          <cell r="A1712">
            <v>10074</v>
          </cell>
          <cell r="B1712" t="str">
            <v>ja</v>
          </cell>
          <cell r="C1712" t="str">
            <v>テストユニット74</v>
          </cell>
          <cell r="H1712" t="str">
            <v>blue</v>
          </cell>
          <cell r="I1712">
            <v>6</v>
          </cell>
          <cell r="J1712" t="str">
            <v>PremiumSSS</v>
          </cell>
          <cell r="K1712" t="str">
            <v>balance</v>
          </cell>
          <cell r="L1712" t="str">
            <v>バランスタイプ</v>
          </cell>
          <cell r="M1712" t="str">
            <v>fantasy</v>
          </cell>
        </row>
        <row r="1713">
          <cell r="A1713">
            <v>10075</v>
          </cell>
          <cell r="B1713" t="str">
            <v>ja</v>
          </cell>
          <cell r="C1713" t="str">
            <v>テストユニット75</v>
          </cell>
          <cell r="H1713" t="str">
            <v>blue</v>
          </cell>
          <cell r="I1713">
            <v>6</v>
          </cell>
          <cell r="J1713" t="str">
            <v>PremiumSSS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10076</v>
          </cell>
          <cell r="B1714" t="str">
            <v>ja</v>
          </cell>
          <cell r="C1714" t="str">
            <v>テストユニット76</v>
          </cell>
          <cell r="H1714" t="str">
            <v>blue</v>
          </cell>
          <cell r="I1714">
            <v>6</v>
          </cell>
          <cell r="J1714" t="str">
            <v>PremiumSSS</v>
          </cell>
          <cell r="K1714" t="str">
            <v>hp</v>
          </cell>
          <cell r="L1714" t="str">
            <v>体力タイプ</v>
          </cell>
          <cell r="M1714" t="str">
            <v>weapon</v>
          </cell>
        </row>
        <row r="1715">
          <cell r="A1715">
            <v>10077</v>
          </cell>
          <cell r="B1715" t="str">
            <v>ja</v>
          </cell>
          <cell r="C1715" t="str">
            <v>テストユニット77</v>
          </cell>
          <cell r="H1715" t="str">
            <v>yellow</v>
          </cell>
          <cell r="I1715">
            <v>6</v>
          </cell>
          <cell r="J1715" t="str">
            <v>PremiumSSS</v>
          </cell>
          <cell r="K1715" t="str">
            <v>heal</v>
          </cell>
          <cell r="L1715" t="str">
            <v>回復タイプ</v>
          </cell>
          <cell r="M1715" t="str">
            <v>queen</v>
          </cell>
        </row>
        <row r="1716">
          <cell r="A1716">
            <v>10078</v>
          </cell>
          <cell r="B1716" t="str">
            <v>ja</v>
          </cell>
          <cell r="C1716" t="str">
            <v>テストユニット78</v>
          </cell>
          <cell r="H1716" t="str">
            <v>yellow</v>
          </cell>
          <cell r="I1716">
            <v>6</v>
          </cell>
          <cell r="J1716" t="str">
            <v>PremiumSSS</v>
          </cell>
          <cell r="K1716" t="str">
            <v>attack</v>
          </cell>
          <cell r="L1716" t="str">
            <v>攻撃タイプ</v>
          </cell>
          <cell r="M1716" t="str">
            <v>academia</v>
          </cell>
        </row>
        <row r="1717">
          <cell r="A1717">
            <v>10079</v>
          </cell>
          <cell r="B1717" t="str">
            <v>ja</v>
          </cell>
          <cell r="C1717" t="str">
            <v>テストユニット79</v>
          </cell>
          <cell r="H1717" t="str">
            <v>yellow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animal</v>
          </cell>
        </row>
        <row r="1718">
          <cell r="A1718">
            <v>10080</v>
          </cell>
          <cell r="B1718" t="str">
            <v>ja</v>
          </cell>
          <cell r="C1718" t="str">
            <v>テストユニット80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10081</v>
          </cell>
          <cell r="B1719" t="str">
            <v>ja</v>
          </cell>
          <cell r="C1719" t="str">
            <v>テストユニット81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10082</v>
          </cell>
          <cell r="B1720" t="str">
            <v>ja</v>
          </cell>
          <cell r="C1720" t="str">
            <v>テストユニット82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10083</v>
          </cell>
          <cell r="B1721" t="str">
            <v>ja</v>
          </cell>
          <cell r="C1721" t="str">
            <v>テストユニット83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10084</v>
          </cell>
          <cell r="B1722" t="str">
            <v>ja</v>
          </cell>
          <cell r="C1722" t="str">
            <v>テストユニット84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10085</v>
          </cell>
          <cell r="B1723" t="str">
            <v>ja</v>
          </cell>
          <cell r="C1723" t="str">
            <v>テストユニット85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10086</v>
          </cell>
          <cell r="B1724" t="str">
            <v>ja</v>
          </cell>
          <cell r="C1724" t="str">
            <v>テストユニット86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10087</v>
          </cell>
          <cell r="B1725" t="str">
            <v>ja</v>
          </cell>
          <cell r="C1725" t="str">
            <v>テストユニット87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10088</v>
          </cell>
          <cell r="B1726" t="str">
            <v>ja</v>
          </cell>
          <cell r="C1726" t="str">
            <v>テストユニット88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10089</v>
          </cell>
          <cell r="B1727" t="str">
            <v>ja</v>
          </cell>
          <cell r="C1727" t="str">
            <v>テストユニット89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10090</v>
          </cell>
          <cell r="B1728" t="str">
            <v>ja</v>
          </cell>
          <cell r="C1728" t="str">
            <v>テストユニット90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10101</v>
          </cell>
          <cell r="B1729" t="str">
            <v>ja</v>
          </cell>
          <cell r="C1729" t="str">
            <v>Usagi-kun</v>
          </cell>
          <cell r="H1729" t="str">
            <v>blue</v>
          </cell>
          <cell r="I1729">
            <v>6</v>
          </cell>
          <cell r="J1729" t="str">
            <v>DropWizS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10102</v>
          </cell>
          <cell r="B1730" t="str">
            <v>ja</v>
          </cell>
          <cell r="C1730" t="str">
            <v>ローズ</v>
          </cell>
          <cell r="D1730" t="str">
            <v>未定</v>
          </cell>
          <cell r="E1730" t="str">
            <v>執行者</v>
          </cell>
          <cell r="F1730" t="str">
            <v>格好いい</v>
          </cell>
          <cell r="G1730" t="str">
            <v>不明</v>
          </cell>
          <cell r="H1730" t="str">
            <v>red</v>
          </cell>
          <cell r="I1730">
            <v>3</v>
          </cell>
          <cell r="J1730" t="str">
            <v>DropWizSSS</v>
          </cell>
          <cell r="K1730" t="str">
            <v>attack</v>
          </cell>
          <cell r="L1730" t="str">
            <v>攻撃タイプ</v>
          </cell>
          <cell r="M1730" t="str">
            <v>queen</v>
          </cell>
        </row>
        <row r="1731">
          <cell r="A1731">
            <v>10103</v>
          </cell>
          <cell r="B1731" t="str">
            <v>ja</v>
          </cell>
          <cell r="C1731" t="str">
            <v>ローズ</v>
          </cell>
          <cell r="D1731" t="str">
            <v>未定</v>
          </cell>
          <cell r="E1731" t="str">
            <v>執行者</v>
          </cell>
          <cell r="F1731" t="str">
            <v>格好いい</v>
          </cell>
          <cell r="G1731" t="str">
            <v>不明</v>
          </cell>
          <cell r="H1731" t="str">
            <v>red</v>
          </cell>
          <cell r="I1731">
            <v>4</v>
          </cell>
          <cell r="J1731" t="str">
            <v>DropWizSSS</v>
          </cell>
          <cell r="K1731" t="str">
            <v>attack</v>
          </cell>
          <cell r="L1731" t="str">
            <v>攻撃タイプ</v>
          </cell>
          <cell r="M1731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F3" sqref="F3:F4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3" t="s">
        <v>81</v>
      </c>
      <c r="B2" s="42" t="s">
        <v>78</v>
      </c>
      <c r="C2" s="37">
        <v>7321</v>
      </c>
      <c r="D2" s="17" t="s">
        <v>46</v>
      </c>
      <c r="E2" s="15" t="str">
        <f t="shared" ref="E2:E7" si="0">B2&amp;C2&amp;D2</f>
        <v>gacha_select_tables_7321.tmp</v>
      </c>
      <c r="F2" s="45" t="s">
        <v>83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29" t="s">
        <v>54</v>
      </c>
      <c r="B3" s="42" t="s">
        <v>78</v>
      </c>
      <c r="C3" s="37">
        <v>7322</v>
      </c>
      <c r="D3" s="17" t="s">
        <v>46</v>
      </c>
      <c r="E3" s="15" t="str">
        <f t="shared" ref="E3" si="1">B3&amp;C3&amp;D3</f>
        <v>gacha_select_tables_7322.tmp</v>
      </c>
      <c r="F3" s="45" t="s">
        <v>84</v>
      </c>
      <c r="G3" s="36" t="s">
        <v>65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43" t="s">
        <v>81</v>
      </c>
      <c r="B4" s="44" t="s">
        <v>82</v>
      </c>
      <c r="C4" s="37">
        <v>7322</v>
      </c>
      <c r="D4" s="17" t="s">
        <v>46</v>
      </c>
      <c r="E4" s="15" t="str">
        <f>B4&amp;C4&amp;D4</f>
        <v>gacha_settle_tables_7322.tmp</v>
      </c>
      <c r="F4" s="45" t="s">
        <v>85</v>
      </c>
      <c r="G4" s="36" t="s">
        <v>65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29" t="s">
        <v>54</v>
      </c>
      <c r="B5" s="25" t="s">
        <v>51</v>
      </c>
      <c r="C5" s="30" t="s">
        <v>55</v>
      </c>
      <c r="D5" s="17" t="s">
        <v>47</v>
      </c>
      <c r="E5" s="15" t="str">
        <f t="shared" si="0"/>
        <v>gacha_bonus_tables_hogehoge.tmp</v>
      </c>
      <c r="F5" s="17" t="s">
        <v>48</v>
      </c>
      <c r="G5" s="19" t="s">
        <v>11</v>
      </c>
      <c r="H5" s="21" t="s">
        <v>14</v>
      </c>
      <c r="I5" s="19" t="s">
        <v>12</v>
      </c>
      <c r="J5" s="18"/>
      <c r="K5" s="18"/>
      <c r="L5" s="18"/>
      <c r="M5" s="18"/>
      <c r="N5" s="18"/>
      <c r="O5" s="18"/>
    </row>
    <row r="6" spans="1:21" x14ac:dyDescent="0.15">
      <c r="A6" s="29" t="s">
        <v>54</v>
      </c>
      <c r="B6" s="17" t="s">
        <v>49</v>
      </c>
      <c r="C6" s="30" t="s">
        <v>55</v>
      </c>
      <c r="D6" s="17" t="s">
        <v>47</v>
      </c>
      <c r="E6" s="15" t="str">
        <f t="shared" si="0"/>
        <v>gifts_tmp_hogehoge.tmp</v>
      </c>
      <c r="F6" s="17" t="s">
        <v>48</v>
      </c>
      <c r="G6" s="21" t="s">
        <v>22</v>
      </c>
      <c r="H6" s="22" t="s">
        <v>30</v>
      </c>
      <c r="I6" s="21" t="s">
        <v>23</v>
      </c>
      <c r="J6" s="21" t="s">
        <v>24</v>
      </c>
      <c r="K6" s="21" t="s">
        <v>24</v>
      </c>
      <c r="L6" s="21" t="s">
        <v>25</v>
      </c>
      <c r="M6" s="21" t="s">
        <v>25</v>
      </c>
      <c r="N6" s="21" t="s">
        <v>25</v>
      </c>
      <c r="O6" s="38" t="s">
        <v>7</v>
      </c>
      <c r="P6" s="38" t="s">
        <v>9</v>
      </c>
      <c r="Q6" s="38" t="s">
        <v>6</v>
      </c>
      <c r="R6" s="38" t="s">
        <v>66</v>
      </c>
      <c r="S6" s="38" t="s">
        <v>8</v>
      </c>
      <c r="T6" s="38" t="s">
        <v>67</v>
      </c>
      <c r="U6" s="38" t="s">
        <v>5</v>
      </c>
    </row>
    <row r="7" spans="1:21" x14ac:dyDescent="0.15">
      <c r="A7" s="29" t="s">
        <v>54</v>
      </c>
      <c r="B7" s="17" t="s">
        <v>50</v>
      </c>
      <c r="C7" s="30" t="s">
        <v>55</v>
      </c>
      <c r="D7" s="17" t="s">
        <v>47</v>
      </c>
      <c r="E7" s="15" t="str">
        <f t="shared" si="0"/>
        <v>gifts_i18n_hogehoge.tmp</v>
      </c>
      <c r="F7" s="17" t="s">
        <v>48</v>
      </c>
      <c r="G7" s="21" t="s">
        <v>13</v>
      </c>
      <c r="H7" s="23" t="s">
        <v>26</v>
      </c>
      <c r="I7" s="23" t="s">
        <v>27</v>
      </c>
      <c r="J7" s="23" t="s">
        <v>28</v>
      </c>
      <c r="K7" s="23" t="s">
        <v>29</v>
      </c>
      <c r="L7" s="24"/>
      <c r="M7" s="21"/>
      <c r="N7" s="21"/>
      <c r="O7" s="17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Y29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G1" sqref="G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5" ht="21" customHeight="1" x14ac:dyDescent="0.2">
      <c r="A2" s="2">
        <v>7321010</v>
      </c>
      <c r="B2" s="6">
        <v>119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ゴールドダック</v>
      </c>
      <c r="I2" s="7" t="str">
        <f>VLOOKUP(B2,[1]characters!$A:$J,10,FALSE)</f>
        <v>Material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coin</v>
      </c>
      <c r="M2" s="7" t="str">
        <f>VLOOKUP(B2,[1]characters!$A:$M,13,FALSE)</f>
        <v>unknown</v>
      </c>
      <c r="N2" s="7" t="str">
        <f>VLOOKUP(B2,[1]characters!$A:$G,7,FALSE)</f>
        <v>不明</v>
      </c>
      <c r="O2" s="34">
        <v>150</v>
      </c>
      <c r="P2" s="35">
        <f t="shared" ref="P2:P29" si="2">O2/SUM(O:O)</f>
        <v>0.15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  <c r="X2" s="46"/>
      <c r="Y2" s="47"/>
    </row>
    <row r="3" spans="1:25" ht="21" customHeight="1" x14ac:dyDescent="0.2">
      <c r="A3" s="2">
        <v>7321010</v>
      </c>
      <c r="B3" s="6">
        <v>120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ゴールドキング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coin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v>50</v>
      </c>
      <c r="P3" s="35">
        <f t="shared" si="2"/>
        <v>0.05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  <c r="X3" s="46"/>
      <c r="Y3" s="47"/>
    </row>
    <row r="4" spans="1:25" ht="21" customHeight="1" x14ac:dyDescent="0.2">
      <c r="A4" s="2">
        <v>7321010</v>
      </c>
      <c r="B4" s="6">
        <v>121</v>
      </c>
      <c r="C4" s="7" t="str">
        <f t="shared" si="0"/>
        <v>Premium3R3less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攻めの果実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red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40</v>
      </c>
      <c r="P4" s="35">
        <f t="shared" si="2"/>
        <v>0.04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  <c r="X4" s="46"/>
      <c r="Y4" s="47"/>
    </row>
    <row r="5" spans="1:25" ht="21" customHeight="1" x14ac:dyDescent="0.2">
      <c r="A5" s="2">
        <v>7321010</v>
      </c>
      <c r="B5" s="6">
        <v>122</v>
      </c>
      <c r="C5" s="7" t="str">
        <f t="shared" ref="C5:C9" si="3">D5&amp;J5&amp;E5&amp;F5&amp;G5</f>
        <v>Premium3R3less</v>
      </c>
      <c r="D5" s="7" t="str">
        <f t="shared" ref="D5:D9" si="4">IF(I5="PremiumSS",I5,IF(I5="PremiumSSS",I5,IF(I5="PremiumW",I5,"Premium")))</f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生命の果実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green</v>
      </c>
      <c r="L5" s="7" t="str">
        <f>VLOOKUP(B5,[1]characters!$A:$K,11,FALSE)</f>
        <v>limitbreak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40</v>
      </c>
      <c r="P5" s="35">
        <f t="shared" si="2"/>
        <v>0.04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  <c r="X5" s="46"/>
      <c r="Y5" s="47"/>
    </row>
    <row r="6" spans="1:25" ht="21" customHeight="1" x14ac:dyDescent="0.2">
      <c r="A6" s="2">
        <v>7321010</v>
      </c>
      <c r="B6" s="6">
        <v>123</v>
      </c>
      <c r="C6" s="7" t="str">
        <f t="shared" si="3"/>
        <v>Premium3R3less</v>
      </c>
      <c r="D6" s="7" t="str">
        <f t="shared" si="4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癒しの果実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40</v>
      </c>
      <c r="P6" s="35">
        <f t="shared" si="2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  <c r="X6" s="46"/>
      <c r="Y6" s="47"/>
    </row>
    <row r="7" spans="1:25" ht="21" customHeight="1" x14ac:dyDescent="0.2">
      <c r="A7" s="2">
        <v>7321010</v>
      </c>
      <c r="B7" s="6">
        <v>125</v>
      </c>
      <c r="C7" s="7" t="str">
        <f t="shared" si="3"/>
        <v>Premium3R3less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秘術の果実</v>
      </c>
      <c r="I7" s="7" t="str">
        <f>VLOOKUP(B7,[1]characters!$A:$J,10,FALSE)</f>
        <v>Material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skilllevel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10</v>
      </c>
      <c r="P7" s="35">
        <f t="shared" si="2"/>
        <v>0.01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  <c r="X7" s="46"/>
      <c r="Y7" s="47"/>
    </row>
    <row r="8" spans="1:25" ht="21" customHeight="1" x14ac:dyDescent="0.2">
      <c r="A8" s="2">
        <v>7321010</v>
      </c>
      <c r="B8" s="6">
        <v>795</v>
      </c>
      <c r="C8" s="7" t="str">
        <f t="shared" ref="C8" si="5">D8&amp;J8&amp;E8&amp;F8&amp;G8</f>
        <v>Premium3R3less</v>
      </c>
      <c r="D8" s="7" t="str">
        <f t="shared" ref="D8" si="6">IF(I8="PremiumSS",I8,IF(I8="PremiumSSS",I8,IF(I8="PremiumW",I8,"Premium")))</f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桜花の果実</v>
      </c>
      <c r="I8" s="7" t="str">
        <f>VLOOKUP(B8,[1]characters!$A:$J,10,FALSE)</f>
        <v>Material</v>
      </c>
      <c r="J8" s="7">
        <f>VLOOKUP(B8,[1]characters!$A:$I,9,FALSE)</f>
        <v>3</v>
      </c>
      <c r="K8" s="7" t="str">
        <f>VLOOKUP(B8,[1]characters!$A:$H,8,FALSE)</f>
        <v>blue</v>
      </c>
      <c r="L8" s="7" t="str">
        <f>VLOOKUP(B8,[1]characters!$A:$K,11,FALSE)</f>
        <v>skilllevel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20</v>
      </c>
      <c r="P8" s="35">
        <f t="shared" si="2"/>
        <v>0.02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  <c r="X8" s="46"/>
      <c r="Y8" s="47"/>
    </row>
    <row r="9" spans="1:25" ht="21" customHeight="1" x14ac:dyDescent="0.2">
      <c r="A9" s="2">
        <v>7321010</v>
      </c>
      <c r="B9" s="6">
        <v>334</v>
      </c>
      <c r="C9" s="7" t="str">
        <f t="shared" si="3"/>
        <v>Premium5R3less</v>
      </c>
      <c r="D9" s="7" t="str">
        <f t="shared" si="4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炎のメタルダック</v>
      </c>
      <c r="I9" s="7" t="str">
        <f>VLOOKUP(B9,[1]characters!$A:$J,10,FALSE)</f>
        <v>Material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50</v>
      </c>
      <c r="P9" s="35">
        <f t="shared" si="2"/>
        <v>0.05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  <c r="X9" s="46"/>
      <c r="Y9" s="47"/>
    </row>
    <row r="10" spans="1:25" ht="21" customHeight="1" x14ac:dyDescent="0.2">
      <c r="A10" s="2">
        <v>7321010</v>
      </c>
      <c r="B10" s="6">
        <v>335</v>
      </c>
      <c r="C10" s="7" t="str">
        <f t="shared" ref="C10:C11" si="7">D10&amp;J10&amp;E10&amp;F10&amp;G10</f>
        <v>Premium6R3less</v>
      </c>
      <c r="D10" s="7" t="str">
        <f t="shared" ref="D10:D11" si="8">IF(I10="PremiumSS",I10,IF(I10="PremiumSSS",I10,IF(I10="PremiumW",I10,"Premium")))</f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炎のメタルジェントル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15</v>
      </c>
      <c r="P10" s="35">
        <f t="shared" si="2"/>
        <v>1.4999999999999999E-2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  <c r="X10" s="46"/>
      <c r="Y10" s="47"/>
    </row>
    <row r="11" spans="1:25" ht="21" customHeight="1" x14ac:dyDescent="0.2">
      <c r="A11" s="2">
        <v>7321010</v>
      </c>
      <c r="B11" s="6">
        <v>349</v>
      </c>
      <c r="C11" s="7" t="str">
        <f t="shared" si="7"/>
        <v>Premium6R3less</v>
      </c>
      <c r="D11" s="7" t="str">
        <f t="shared" si="8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炎のメタルフロッグ</v>
      </c>
      <c r="I11" s="7" t="str">
        <f>VLOOKUP(B11,[1]characters!$A:$J,10,FALSE)</f>
        <v>Material</v>
      </c>
      <c r="J11" s="7">
        <f>VLOOKUP(B11,[1]characters!$A:$I,9,FALSE)</f>
        <v>6</v>
      </c>
      <c r="K11" s="7" t="str">
        <f>VLOOKUP(B11,[1]characters!$A:$H,8,FALSE)</f>
        <v>red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20</v>
      </c>
      <c r="P11" s="35">
        <f t="shared" si="2"/>
        <v>0.02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  <c r="X11" s="46"/>
      <c r="Y11" s="47"/>
    </row>
    <row r="12" spans="1:25" ht="21" customHeight="1" x14ac:dyDescent="0.2">
      <c r="A12" s="2">
        <v>7321010</v>
      </c>
      <c r="B12" s="6">
        <v>338</v>
      </c>
      <c r="C12" s="7" t="str">
        <f t="shared" ref="C12:C13" si="9">D12&amp;J12&amp;E12&amp;F12&amp;G12</f>
        <v>Premium5R3less</v>
      </c>
      <c r="D12" s="7" t="str">
        <f t="shared" ref="D12:D13" si="10">IF(I12="PremiumSS",I12,IF(I12="PremiumSSS",I12,IF(I12="PremiumW",I12,"Premium")))</f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森のメタルダック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50</v>
      </c>
      <c r="P12" s="35">
        <f t="shared" si="2"/>
        <v>0.05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  <c r="X12" s="46"/>
      <c r="Y12" s="47"/>
    </row>
    <row r="13" spans="1:25" ht="21" customHeight="1" x14ac:dyDescent="0.2">
      <c r="A13" s="2">
        <v>7321010</v>
      </c>
      <c r="B13" s="6">
        <v>339</v>
      </c>
      <c r="C13" s="7" t="str">
        <f t="shared" si="9"/>
        <v>Premium6R3less</v>
      </c>
      <c r="D13" s="7" t="str">
        <f t="shared" si="10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森のメタルジェントル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15</v>
      </c>
      <c r="P13" s="35">
        <f t="shared" si="2"/>
        <v>1.4999999999999999E-2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  <c r="X13" s="46"/>
      <c r="Y13" s="47"/>
    </row>
    <row r="14" spans="1:25" ht="21" customHeight="1" x14ac:dyDescent="0.2">
      <c r="A14" s="2">
        <v>7321010</v>
      </c>
      <c r="B14" s="6">
        <v>351</v>
      </c>
      <c r="C14" s="7" t="str">
        <f t="shared" ref="C14" si="11">D14&amp;J14&amp;E14&amp;F14&amp;G14</f>
        <v>Premium6R3less</v>
      </c>
      <c r="D14" s="7" t="str">
        <f t="shared" ref="D14" si="12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森のメタルフロッグ</v>
      </c>
      <c r="I14" s="7" t="str">
        <f>VLOOKUP(B14,[1]characters!$A:$J,10,FALSE)</f>
        <v>Material</v>
      </c>
      <c r="J14" s="7">
        <f>VLOOKUP(B14,[1]characters!$A:$I,9,FALSE)</f>
        <v>6</v>
      </c>
      <c r="K14" s="7" t="str">
        <f>VLOOKUP(B14,[1]characters!$A:$H,8,FALSE)</f>
        <v>green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20</v>
      </c>
      <c r="P14" s="35">
        <f t="shared" si="2"/>
        <v>0.02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  <c r="X14" s="46"/>
      <c r="Y14" s="47"/>
    </row>
    <row r="15" spans="1:25" ht="21" customHeight="1" x14ac:dyDescent="0.2">
      <c r="A15" s="2">
        <v>7321010</v>
      </c>
      <c r="B15" s="6">
        <v>342</v>
      </c>
      <c r="C15" s="7" t="str">
        <f t="shared" ref="C15:C17" si="13">D15&amp;J15&amp;E15&amp;F15&amp;G15</f>
        <v>Premium5R3less</v>
      </c>
      <c r="D15" s="7" t="str">
        <f t="shared" ref="D15:D17" si="14">IF(I15="PremiumSS",I15,IF(I15="PremiumSSS",I15,IF(I15="PremiumW",I15,"Premium")))</f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水のメタルダック</v>
      </c>
      <c r="I15" s="7" t="str">
        <f>VLOOKUP(B15,[1]characters!$A:$J,10,FALSE)</f>
        <v>Material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50</v>
      </c>
      <c r="P15" s="35">
        <f t="shared" si="2"/>
        <v>0.05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  <c r="X15" s="46"/>
      <c r="Y15" s="47"/>
    </row>
    <row r="16" spans="1:25" ht="21" customHeight="1" x14ac:dyDescent="0.2">
      <c r="A16" s="2">
        <v>7321010</v>
      </c>
      <c r="B16" s="6">
        <v>343</v>
      </c>
      <c r="C16" s="7" t="str">
        <f t="shared" si="13"/>
        <v>Premium6R3less</v>
      </c>
      <c r="D16" s="7" t="str">
        <f t="shared" si="14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水のメタルジェントル</v>
      </c>
      <c r="I16" s="7" t="str">
        <f>VLOOKUP(B16,[1]characters!$A:$J,10,FALSE)</f>
        <v>Material</v>
      </c>
      <c r="J16" s="7">
        <f>VLOOKUP(B16,[1]characters!$A:$I,9,FALSE)</f>
        <v>6</v>
      </c>
      <c r="K16" s="7" t="str">
        <f>VLOOKUP(B16,[1]characters!$A:$H,8,FALSE)</f>
        <v>blue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15</v>
      </c>
      <c r="P16" s="35">
        <f t="shared" si="2"/>
        <v>1.4999999999999999E-2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  <c r="X16" s="46"/>
      <c r="Y16" s="47"/>
    </row>
    <row r="17" spans="1:25" ht="21" customHeight="1" x14ac:dyDescent="0.2">
      <c r="A17" s="2">
        <v>7321010</v>
      </c>
      <c r="B17" s="6">
        <v>353</v>
      </c>
      <c r="C17" s="7" t="str">
        <f t="shared" si="13"/>
        <v>Premium6R3less</v>
      </c>
      <c r="D17" s="7" t="str">
        <f t="shared" si="14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水のメタルフロッグ</v>
      </c>
      <c r="I17" s="7" t="str">
        <f>VLOOKUP(B17,[1]characters!$A:$J,10,FALSE)</f>
        <v>Material</v>
      </c>
      <c r="J17" s="7">
        <f>VLOOKUP(B17,[1]characters!$A:$I,9,FALSE)</f>
        <v>6</v>
      </c>
      <c r="K17" s="7" t="str">
        <f>VLOOKUP(B17,[1]characters!$A:$H,8,FALSE)</f>
        <v>blue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20</v>
      </c>
      <c r="P17" s="35">
        <f t="shared" si="2"/>
        <v>0.02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  <c r="X17" s="46"/>
      <c r="Y17" s="47"/>
    </row>
    <row r="18" spans="1:25" ht="21" customHeight="1" x14ac:dyDescent="0.2">
      <c r="A18" s="2">
        <v>7321010</v>
      </c>
      <c r="B18" s="6">
        <v>346</v>
      </c>
      <c r="C18" s="7" t="str">
        <f t="shared" ref="C18:C19" si="15">D18&amp;J18&amp;E18&amp;F18&amp;G18</f>
        <v>Premium5R3less</v>
      </c>
      <c r="D18" s="7" t="str">
        <f t="shared" ref="D18:D19" si="16">IF(I18="PremiumSS",I18,IF(I18="PremiumSSS",I18,IF(I18="PremiumW",I18,"Premium")))</f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雷のメタルダック</v>
      </c>
      <c r="I18" s="7" t="str">
        <f>VLOOKUP(B18,[1]characters!$A:$J,10,FALSE)</f>
        <v>Material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exp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50</v>
      </c>
      <c r="P18" s="35">
        <f t="shared" si="2"/>
        <v>0.05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  <c r="X18" s="46"/>
      <c r="Y18" s="47"/>
    </row>
    <row r="19" spans="1:25" ht="21" customHeight="1" x14ac:dyDescent="0.2">
      <c r="A19" s="2">
        <v>7321010</v>
      </c>
      <c r="B19" s="6">
        <v>347</v>
      </c>
      <c r="C19" s="7" t="str">
        <f t="shared" si="15"/>
        <v>Premium6R3less</v>
      </c>
      <c r="D19" s="7" t="str">
        <f t="shared" si="16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雷のメタルジェントル</v>
      </c>
      <c r="I19" s="7" t="str">
        <f>VLOOKUP(B19,[1]characters!$A:$J,10,FALSE)</f>
        <v>Material</v>
      </c>
      <c r="J19" s="7">
        <f>VLOOKUP(B19,[1]characters!$A:$I,9,FALSE)</f>
        <v>6</v>
      </c>
      <c r="K19" s="7" t="str">
        <f>VLOOKUP(B19,[1]characters!$A:$H,8,FALSE)</f>
        <v>yellow</v>
      </c>
      <c r="L19" s="7" t="str">
        <f>VLOOKUP(B19,[1]characters!$A:$K,11,FALSE)</f>
        <v>exp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15</v>
      </c>
      <c r="P19" s="35">
        <f t="shared" si="2"/>
        <v>1.4999999999999999E-2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  <c r="X19" s="46"/>
      <c r="Y19" s="47"/>
    </row>
    <row r="20" spans="1:25" ht="21" customHeight="1" x14ac:dyDescent="0.2">
      <c r="A20" s="2">
        <v>7321010</v>
      </c>
      <c r="B20" s="6">
        <v>355</v>
      </c>
      <c r="C20" s="7" t="str">
        <f t="shared" ref="C20:C21" si="17">D20&amp;J20&amp;E20&amp;F20&amp;G20</f>
        <v>Premium6R3less</v>
      </c>
      <c r="D20" s="7" t="str">
        <f t="shared" ref="D20:D21" si="18">IF(I20="PremiumSS",I20,IF(I20="PremiumSSS",I20,IF(I20="PremiumW",I20,"Premium")))</f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雷のメタルフロッグ</v>
      </c>
      <c r="I20" s="7" t="str">
        <f>VLOOKUP(B20,[1]characters!$A:$J,10,FALSE)</f>
        <v>Material</v>
      </c>
      <c r="J20" s="7">
        <f>VLOOKUP(B20,[1]characters!$A:$I,9,FALSE)</f>
        <v>6</v>
      </c>
      <c r="K20" s="7" t="str">
        <f>VLOOKUP(B20,[1]characters!$A:$H,8,FALSE)</f>
        <v>yellow</v>
      </c>
      <c r="L20" s="7" t="str">
        <f>VLOOKUP(B20,[1]characters!$A:$K,11,FALSE)</f>
        <v>exp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20</v>
      </c>
      <c r="P20" s="35">
        <f t="shared" si="2"/>
        <v>0.02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  <c r="X20" s="46"/>
      <c r="Y20" s="47"/>
    </row>
    <row r="21" spans="1:25" ht="21" customHeight="1" x14ac:dyDescent="0.2">
      <c r="A21" s="2">
        <v>7321010</v>
      </c>
      <c r="B21" s="6">
        <v>607</v>
      </c>
      <c r="C21" s="7" t="str">
        <f t="shared" si="17"/>
        <v>Premium4R3less</v>
      </c>
      <c r="D21" s="7" t="str">
        <f t="shared" si="18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メガ攻めの果実</v>
      </c>
      <c r="I21" s="7" t="str">
        <f>VLOOKUP(B21,[1]characters!$A:$J,10,FALSE)</f>
        <v>Material</v>
      </c>
      <c r="J21" s="7">
        <f>VLOOKUP(B21,[1]characters!$A:$I,9,FALSE)</f>
        <v>4</v>
      </c>
      <c r="K21" s="7" t="str">
        <f>VLOOKUP(B21,[1]characters!$A:$H,8,FALSE)</f>
        <v>red</v>
      </c>
      <c r="L21" s="7" t="str">
        <f>VLOOKUP(B21,[1]characters!$A:$K,11,FALSE)</f>
        <v>limitbreak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40</v>
      </c>
      <c r="P21" s="35">
        <f t="shared" si="2"/>
        <v>0.04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  <c r="X21" s="46"/>
      <c r="Y21" s="47"/>
    </row>
    <row r="22" spans="1:25" ht="21" customHeight="1" x14ac:dyDescent="0.2">
      <c r="A22" s="2">
        <v>7321010</v>
      </c>
      <c r="B22" s="6">
        <v>608</v>
      </c>
      <c r="C22" s="7" t="str">
        <f t="shared" ref="C22:C28" si="19">D22&amp;J22&amp;E22&amp;F22&amp;G22</f>
        <v>Premium4R3less</v>
      </c>
      <c r="D22" s="7" t="str">
        <f t="shared" ref="D22:D28" si="20">IF(I22="PremiumSS",I22,IF(I22="PremiumSSS",I22,IF(I22="PremiumW",I22,"Premium")))</f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メガ生命の果実</v>
      </c>
      <c r="I22" s="7" t="str">
        <f>VLOOKUP(B22,[1]characters!$A:$J,10,FALSE)</f>
        <v>Material</v>
      </c>
      <c r="J22" s="7">
        <f>VLOOKUP(B22,[1]characters!$A:$I,9,FALSE)</f>
        <v>4</v>
      </c>
      <c r="K22" s="7" t="str">
        <f>VLOOKUP(B22,[1]characters!$A:$H,8,FALSE)</f>
        <v>green</v>
      </c>
      <c r="L22" s="7" t="str">
        <f>VLOOKUP(B22,[1]characters!$A:$K,11,FALSE)</f>
        <v>limitbreak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40</v>
      </c>
      <c r="P22" s="35">
        <f t="shared" si="2"/>
        <v>0.04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  <c r="X22" s="46"/>
      <c r="Y22" s="47"/>
    </row>
    <row r="23" spans="1:25" ht="21" customHeight="1" x14ac:dyDescent="0.2">
      <c r="A23" s="2">
        <v>7321010</v>
      </c>
      <c r="B23" s="6">
        <v>609</v>
      </c>
      <c r="C23" s="7" t="str">
        <f t="shared" si="19"/>
        <v>Premium4R3less</v>
      </c>
      <c r="D23" s="7" t="str">
        <f t="shared" si="20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メガ癒しの果実</v>
      </c>
      <c r="I23" s="7" t="str">
        <f>VLOOKUP(B23,[1]characters!$A:$J,10,FALSE)</f>
        <v>Material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limitbreak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40</v>
      </c>
      <c r="P23" s="35">
        <f t="shared" si="2"/>
        <v>0.04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  <c r="X23" s="46"/>
      <c r="Y23" s="47"/>
    </row>
    <row r="24" spans="1:25" ht="21" customHeight="1" x14ac:dyDescent="0.2">
      <c r="A24" s="2">
        <v>7321010</v>
      </c>
      <c r="B24" s="6">
        <v>610</v>
      </c>
      <c r="C24" s="7" t="str">
        <f t="shared" si="19"/>
        <v>Premium4R3less</v>
      </c>
      <c r="D24" s="7" t="str">
        <f t="shared" si="20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メガ秘術の果実</v>
      </c>
      <c r="I24" s="7" t="str">
        <f>VLOOKUP(B24,[1]characters!$A:$J,10,FALSE)</f>
        <v>Material</v>
      </c>
      <c r="J24" s="7">
        <f>VLOOKUP(B24,[1]characters!$A:$I,9,FALSE)</f>
        <v>4</v>
      </c>
      <c r="K24" s="7" t="str">
        <f>VLOOKUP(B24,[1]characters!$A:$H,8,FALSE)</f>
        <v>blue</v>
      </c>
      <c r="L24" s="7" t="str">
        <f>VLOOKUP(B24,[1]characters!$A:$K,11,FALSE)</f>
        <v>skilllevel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20</v>
      </c>
      <c r="P24" s="35">
        <f t="shared" si="2"/>
        <v>0.02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  <c r="X24" s="46"/>
      <c r="Y24" s="47"/>
    </row>
    <row r="25" spans="1:25" ht="21" customHeight="1" x14ac:dyDescent="0.2">
      <c r="A25" s="2">
        <v>7321010</v>
      </c>
      <c r="B25" s="6">
        <v>611</v>
      </c>
      <c r="C25" s="7" t="str">
        <f t="shared" si="19"/>
        <v>Premium5R3less</v>
      </c>
      <c r="D25" s="7" t="str">
        <f t="shared" si="20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ギガ攻めの果実</v>
      </c>
      <c r="I25" s="7" t="str">
        <f>VLOOKUP(B25,[1]characters!$A:$J,10,FALSE)</f>
        <v>Material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limitbreak</v>
      </c>
      <c r="M25" s="7" t="str">
        <f>VLOOKUP(B25,[1]characters!$A:$M,13,FALSE)</f>
        <v>unknown</v>
      </c>
      <c r="N25" s="7" t="str">
        <f>VLOOKUP(B25,[1]characters!$A:$G,7,FALSE)</f>
        <v>不明</v>
      </c>
      <c r="O25" s="34">
        <v>20</v>
      </c>
      <c r="P25" s="35">
        <f t="shared" si="2"/>
        <v>0.02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  <c r="X25" s="46"/>
      <c r="Y25" s="47"/>
    </row>
    <row r="26" spans="1:25" ht="21" customHeight="1" x14ac:dyDescent="0.2">
      <c r="A26" s="2">
        <v>7321010</v>
      </c>
      <c r="B26" s="6">
        <v>612</v>
      </c>
      <c r="C26" s="7" t="str">
        <f t="shared" si="19"/>
        <v>Premium5R3less</v>
      </c>
      <c r="D26" s="7" t="str">
        <f t="shared" si="20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ギガ生命の果実</v>
      </c>
      <c r="I26" s="7" t="str">
        <f>VLOOKUP(B26,[1]characters!$A:$J,10,FALSE)</f>
        <v>Material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limitbreak</v>
      </c>
      <c r="M26" s="7" t="str">
        <f>VLOOKUP(B26,[1]characters!$A:$M,13,FALSE)</f>
        <v>unknown</v>
      </c>
      <c r="N26" s="7" t="str">
        <f>VLOOKUP(B26,[1]characters!$A:$G,7,FALSE)</f>
        <v>不明</v>
      </c>
      <c r="O26" s="34">
        <v>20</v>
      </c>
      <c r="P26" s="35">
        <f t="shared" si="2"/>
        <v>0.02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  <c r="X26" s="46"/>
      <c r="Y26" s="47"/>
    </row>
    <row r="27" spans="1:25" ht="21" customHeight="1" x14ac:dyDescent="0.2">
      <c r="A27" s="2">
        <v>7321010</v>
      </c>
      <c r="B27" s="6">
        <v>613</v>
      </c>
      <c r="C27" s="7" t="str">
        <f t="shared" si="19"/>
        <v>Premium5R3less</v>
      </c>
      <c r="D27" s="7" t="str">
        <f t="shared" si="20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ギガ癒しの果実</v>
      </c>
      <c r="I27" s="7" t="str">
        <f>VLOOKUP(B27,[1]characters!$A:$J,10,FALSE)</f>
        <v>Material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limitbreak</v>
      </c>
      <c r="M27" s="7" t="str">
        <f>VLOOKUP(B27,[1]characters!$A:$M,13,FALSE)</f>
        <v>unknown</v>
      </c>
      <c r="N27" s="7" t="str">
        <f>VLOOKUP(B27,[1]characters!$A:$G,7,FALSE)</f>
        <v>不明</v>
      </c>
      <c r="O27" s="34">
        <v>20</v>
      </c>
      <c r="P27" s="35">
        <f t="shared" si="2"/>
        <v>0.02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  <c r="X27" s="46"/>
      <c r="Y27" s="47"/>
    </row>
    <row r="28" spans="1:25" ht="21" customHeight="1" x14ac:dyDescent="0.2">
      <c r="A28" s="2">
        <v>7321010</v>
      </c>
      <c r="B28" s="6">
        <v>837</v>
      </c>
      <c r="C28" s="7" t="str">
        <f t="shared" si="19"/>
        <v>Premium6R3less</v>
      </c>
      <c r="D28" s="7" t="str">
        <f t="shared" si="20"/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リトルハンプティ</v>
      </c>
      <c r="I28" s="7" t="str">
        <f>VLOOKUP(B28,[1]characters!$A:$J,10,FALSE)</f>
        <v>Material</v>
      </c>
      <c r="J28" s="7">
        <f>VLOOKUP(B28,[1]characters!$A:$I,9,FALSE)</f>
        <v>6</v>
      </c>
      <c r="K28" s="7" t="str">
        <f>VLOOKUP(B28,[1]characters!$A:$H,8,FALSE)</f>
        <v>yellow</v>
      </c>
      <c r="L28" s="7" t="str">
        <f>VLOOKUP(B28,[1]characters!$A:$K,11,FALSE)</f>
        <v>evolution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34">
        <v>30</v>
      </c>
      <c r="P28" s="35">
        <f t="shared" si="2"/>
        <v>0.03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  <c r="X28" s="46"/>
      <c r="Y28" s="47"/>
    </row>
    <row r="29" spans="1:25" ht="21" customHeight="1" x14ac:dyDescent="0.2">
      <c r="A29" s="2">
        <v>7321010</v>
      </c>
      <c r="B29" s="6">
        <v>1497</v>
      </c>
      <c r="C29" s="7" t="str">
        <f t="shared" ref="C29" si="21">D29&amp;J29&amp;E29&amp;F29&amp;G29</f>
        <v>Premium5R3less</v>
      </c>
      <c r="D29" s="7" t="str">
        <f t="shared" ref="D29" si="22">IF(I29="PremiumSS",I29,IF(I29="PremiumSSS",I29,IF(I29="PremiumW",I29,"Premium")))</f>
        <v>Premium</v>
      </c>
      <c r="E29" s="7" t="str">
        <f>IF(COUNTIF('R6追加前'!A:A,B29)=0,IF(I29="PremiumSS","R5only","R3less"),"")</f>
        <v>R3less</v>
      </c>
      <c r="F29" s="7" t="str">
        <f>IF(COUNTIF('R6開放'!A:A,B29)&gt;0,"R6release","")</f>
        <v/>
      </c>
      <c r="G29" s="7"/>
      <c r="H29" s="7" t="str">
        <f>VLOOKUP(B29,[1]characters!$A:$C,3,FALSE)</f>
        <v>ヨシノ</v>
      </c>
      <c r="I29" s="7" t="str">
        <f>VLOOKUP(B29,[1]characters!$A:$J,10,FALSE)</f>
        <v>DropWizS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fantasy</v>
      </c>
      <c r="N29" s="7">
        <f>VLOOKUP(B29,[1]characters!$A:$G,7,FALSE)</f>
        <v>0</v>
      </c>
      <c r="O29" s="34">
        <v>80</v>
      </c>
      <c r="P29" s="35">
        <f t="shared" si="2"/>
        <v>0.08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  <c r="X29" s="46"/>
      <c r="Y29" s="47"/>
    </row>
  </sheetData>
  <autoFilter ref="A1:V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7322010</v>
      </c>
      <c r="B2" s="6">
        <v>1497</v>
      </c>
      <c r="C2" s="7" t="str">
        <f t="shared" ref="C2" si="0">D2&amp;J2&amp;E2&amp;F2&amp;G2</f>
        <v>Premium5R3less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ヨシノ</v>
      </c>
      <c r="I2" s="7" t="str">
        <f>VLOOKUP(B2,[1]characters!$A:$J,10,FALSE)</f>
        <v>DropWizS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heal</v>
      </c>
      <c r="M2" s="7" t="str">
        <f>VLOOKUP(B2,[1]characters!$A:$M,13,FALSE)</f>
        <v>fantasy</v>
      </c>
      <c r="N2" s="7">
        <f>VLOOKUP(B2,[1]characters!$A:$G,7,FALSE)</f>
        <v>0</v>
      </c>
      <c r="O2" s="34">
        <v>1</v>
      </c>
      <c r="P2" s="35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</sheetData>
  <autoFilter ref="A1:V2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output</vt:lpstr>
      <vt:lpstr>tables_7321</vt:lpstr>
      <vt:lpstr>tables_settle_7322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2017-03-31T09:31:48Z</dcterms:modified>
</cp:coreProperties>
</file>