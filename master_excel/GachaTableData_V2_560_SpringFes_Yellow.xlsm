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560100" sheetId="157" r:id="rId4"/>
    <sheet name="tables_560100" sheetId="158" r:id="rId5"/>
    <sheet name="tables_settle_560100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tables_560100!$A$1:$V$359</definedName>
    <definedName name="_xlnm._FilterDatabase" localSheetId="5" hidden="1">tables_settle_560100!$A$1:$V$158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2" i="159" l="1"/>
  <c r="Y4" i="159"/>
  <c r="Y3" i="159"/>
  <c r="I2" i="159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J66" i="159"/>
  <c r="D66" i="159"/>
  <c r="I67" i="159"/>
  <c r="J67" i="159"/>
  <c r="D67" i="159"/>
  <c r="I68" i="159"/>
  <c r="J68" i="159"/>
  <c r="D68" i="159"/>
  <c r="I69" i="159"/>
  <c r="J69" i="159"/>
  <c r="D69" i="159"/>
  <c r="I70" i="159"/>
  <c r="J70" i="159"/>
  <c r="D70" i="159"/>
  <c r="I71" i="159"/>
  <c r="J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I82" i="159"/>
  <c r="D82" i="159"/>
  <c r="I83" i="159"/>
  <c r="D83" i="159"/>
  <c r="I84" i="159"/>
  <c r="D84" i="159"/>
  <c r="I85" i="159"/>
  <c r="D85" i="159"/>
  <c r="I86" i="159"/>
  <c r="D86" i="159"/>
  <c r="I87" i="159"/>
  <c r="D87" i="159"/>
  <c r="I88" i="159"/>
  <c r="D88" i="159"/>
  <c r="I89" i="159"/>
  <c r="D89" i="159"/>
  <c r="I90" i="159"/>
  <c r="D90" i="159"/>
  <c r="I91" i="159"/>
  <c r="D91" i="159"/>
  <c r="I92" i="159"/>
  <c r="D92" i="159"/>
  <c r="I93" i="159"/>
  <c r="D93" i="159"/>
  <c r="I94" i="159"/>
  <c r="D94" i="159"/>
  <c r="I95" i="159"/>
  <c r="D95" i="159"/>
  <c r="I96" i="159"/>
  <c r="D96" i="159"/>
  <c r="I97" i="159"/>
  <c r="D97" i="159"/>
  <c r="I98" i="159"/>
  <c r="D98" i="159"/>
  <c r="I99" i="159"/>
  <c r="D99" i="159"/>
  <c r="I100" i="159"/>
  <c r="D100" i="159"/>
  <c r="I101" i="159"/>
  <c r="D101" i="159"/>
  <c r="I102" i="159"/>
  <c r="D102" i="159"/>
  <c r="I103" i="159"/>
  <c r="D103" i="159"/>
  <c r="I104" i="159"/>
  <c r="D104" i="159"/>
  <c r="I105" i="159"/>
  <c r="D105" i="159"/>
  <c r="I106" i="159"/>
  <c r="D106" i="159"/>
  <c r="I107" i="159"/>
  <c r="D107" i="159"/>
  <c r="I108" i="159"/>
  <c r="D108" i="159"/>
  <c r="I109" i="159"/>
  <c r="D109" i="159"/>
  <c r="I110" i="159"/>
  <c r="D110" i="159"/>
  <c r="I111" i="159"/>
  <c r="D111" i="159"/>
  <c r="I112" i="159"/>
  <c r="D112" i="159"/>
  <c r="I113" i="159"/>
  <c r="D113" i="159"/>
  <c r="I114" i="159"/>
  <c r="D114" i="159"/>
  <c r="I115" i="159"/>
  <c r="D115" i="159"/>
  <c r="I116" i="159"/>
  <c r="D116" i="159"/>
  <c r="I117" i="159"/>
  <c r="D117" i="159"/>
  <c r="I118" i="159"/>
  <c r="D118" i="159"/>
  <c r="I119" i="159"/>
  <c r="D119" i="159"/>
  <c r="I120" i="159"/>
  <c r="D120" i="159"/>
  <c r="I121" i="159"/>
  <c r="D121" i="159"/>
  <c r="I122" i="159"/>
  <c r="D122" i="159"/>
  <c r="I123" i="159"/>
  <c r="D123" i="159"/>
  <c r="I124" i="159"/>
  <c r="D124" i="159"/>
  <c r="I125" i="159"/>
  <c r="D125" i="159"/>
  <c r="I126" i="159"/>
  <c r="D126" i="159"/>
  <c r="I127" i="159"/>
  <c r="D127" i="159"/>
  <c r="I128" i="159"/>
  <c r="D128" i="159"/>
  <c r="I129" i="159"/>
  <c r="D129" i="159"/>
  <c r="I130" i="159"/>
  <c r="D130" i="159"/>
  <c r="I131" i="159"/>
  <c r="D131" i="159"/>
  <c r="I132" i="159"/>
  <c r="D132" i="159"/>
  <c r="I133" i="159"/>
  <c r="D133" i="159"/>
  <c r="I134" i="159"/>
  <c r="D134" i="159"/>
  <c r="I135" i="159"/>
  <c r="D135" i="159"/>
  <c r="I136" i="159"/>
  <c r="D136" i="159"/>
  <c r="I137" i="159"/>
  <c r="D137" i="159"/>
  <c r="I138" i="159"/>
  <c r="D138" i="159"/>
  <c r="I139" i="159"/>
  <c r="D139" i="159"/>
  <c r="I140" i="159"/>
  <c r="D140" i="159"/>
  <c r="I141" i="159"/>
  <c r="D141" i="159"/>
  <c r="I142" i="159"/>
  <c r="D142" i="159"/>
  <c r="I143" i="159"/>
  <c r="D143" i="159"/>
  <c r="I144" i="159"/>
  <c r="D144" i="159"/>
  <c r="I145" i="159"/>
  <c r="D145" i="159"/>
  <c r="I146" i="159"/>
  <c r="D146" i="159"/>
  <c r="I147" i="159"/>
  <c r="D147" i="159"/>
  <c r="I148" i="159"/>
  <c r="D148" i="159"/>
  <c r="I149" i="159"/>
  <c r="D149" i="159"/>
  <c r="I150" i="159"/>
  <c r="D150" i="159"/>
  <c r="I151" i="159"/>
  <c r="D151" i="159"/>
  <c r="I152" i="159"/>
  <c r="D152" i="159"/>
  <c r="I153" i="159"/>
  <c r="D153" i="159"/>
  <c r="I154" i="159"/>
  <c r="D154" i="159"/>
  <c r="I155" i="159"/>
  <c r="D155" i="159"/>
  <c r="I156" i="159"/>
  <c r="D156" i="159"/>
  <c r="I157" i="159"/>
  <c r="D157" i="159"/>
  <c r="I158" i="159"/>
  <c r="D158" i="159"/>
  <c r="X2" i="159"/>
  <c r="X3" i="159"/>
  <c r="X4" i="159"/>
  <c r="X5" i="159"/>
  <c r="O4" i="159"/>
  <c r="O3" i="159"/>
  <c r="O2" i="159"/>
  <c r="O158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O42" i="159"/>
  <c r="O43" i="159"/>
  <c r="O44" i="159"/>
  <c r="O45" i="159"/>
  <c r="O46" i="159"/>
  <c r="O47" i="159"/>
  <c r="O48" i="159"/>
  <c r="O49" i="159"/>
  <c r="O50" i="159"/>
  <c r="O51" i="159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O138" i="159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P158" i="159"/>
  <c r="P157" i="159"/>
  <c r="P156" i="159"/>
  <c r="N158" i="159"/>
  <c r="M158" i="159"/>
  <c r="L158" i="159"/>
  <c r="K158" i="159"/>
  <c r="J158" i="159"/>
  <c r="H158" i="159"/>
  <c r="F158" i="159"/>
  <c r="E158" i="159"/>
  <c r="C158" i="159"/>
  <c r="N157" i="159"/>
  <c r="M157" i="159"/>
  <c r="L157" i="159"/>
  <c r="K157" i="159"/>
  <c r="J157" i="159"/>
  <c r="H157" i="159"/>
  <c r="F157" i="159"/>
  <c r="E157" i="159"/>
  <c r="C157" i="159"/>
  <c r="N156" i="159"/>
  <c r="M156" i="159"/>
  <c r="L156" i="159"/>
  <c r="K156" i="159"/>
  <c r="J156" i="159"/>
  <c r="H156" i="159"/>
  <c r="F156" i="159"/>
  <c r="E156" i="159"/>
  <c r="C156" i="159"/>
  <c r="P155" i="159"/>
  <c r="N155" i="159"/>
  <c r="M155" i="159"/>
  <c r="L155" i="159"/>
  <c r="K155" i="159"/>
  <c r="J155" i="159"/>
  <c r="H155" i="159"/>
  <c r="F155" i="159"/>
  <c r="E155" i="159"/>
  <c r="C155" i="159"/>
  <c r="P154" i="159"/>
  <c r="N154" i="159"/>
  <c r="M154" i="159"/>
  <c r="L154" i="159"/>
  <c r="K154" i="159"/>
  <c r="J154" i="159"/>
  <c r="H154" i="159"/>
  <c r="F154" i="159"/>
  <c r="E154" i="159"/>
  <c r="C154" i="159"/>
  <c r="P153" i="159"/>
  <c r="N153" i="159"/>
  <c r="M153" i="159"/>
  <c r="L153" i="159"/>
  <c r="K153" i="159"/>
  <c r="J153" i="159"/>
  <c r="H153" i="159"/>
  <c r="F153" i="159"/>
  <c r="E153" i="159"/>
  <c r="C153" i="159"/>
  <c r="P152" i="159"/>
  <c r="N152" i="159"/>
  <c r="M152" i="159"/>
  <c r="L152" i="159"/>
  <c r="K152" i="159"/>
  <c r="J152" i="159"/>
  <c r="H152" i="159"/>
  <c r="F152" i="159"/>
  <c r="E152" i="159"/>
  <c r="C152" i="159"/>
  <c r="P151" i="159"/>
  <c r="N151" i="159"/>
  <c r="M151" i="159"/>
  <c r="L151" i="159"/>
  <c r="K151" i="159"/>
  <c r="J151" i="159"/>
  <c r="H151" i="159"/>
  <c r="F151" i="159"/>
  <c r="E151" i="159"/>
  <c r="C151" i="159"/>
  <c r="P150" i="159"/>
  <c r="N150" i="159"/>
  <c r="M150" i="159"/>
  <c r="L150" i="159"/>
  <c r="K150" i="159"/>
  <c r="J150" i="159"/>
  <c r="H150" i="159"/>
  <c r="F150" i="159"/>
  <c r="E150" i="159"/>
  <c r="C150" i="159"/>
  <c r="P149" i="159"/>
  <c r="N149" i="159"/>
  <c r="M149" i="159"/>
  <c r="L149" i="159"/>
  <c r="K149" i="159"/>
  <c r="J149" i="159"/>
  <c r="H149" i="159"/>
  <c r="F149" i="159"/>
  <c r="E149" i="159"/>
  <c r="C149" i="159"/>
  <c r="P148" i="159"/>
  <c r="N148" i="159"/>
  <c r="M148" i="159"/>
  <c r="L148" i="159"/>
  <c r="K148" i="159"/>
  <c r="J148" i="159"/>
  <c r="H148" i="159"/>
  <c r="F148" i="159"/>
  <c r="E148" i="159"/>
  <c r="C148" i="159"/>
  <c r="P147" i="159"/>
  <c r="N147" i="159"/>
  <c r="M147" i="159"/>
  <c r="L147" i="159"/>
  <c r="K147" i="159"/>
  <c r="J147" i="159"/>
  <c r="H147" i="159"/>
  <c r="F147" i="159"/>
  <c r="E147" i="159"/>
  <c r="C147" i="159"/>
  <c r="P146" i="159"/>
  <c r="N146" i="159"/>
  <c r="M146" i="159"/>
  <c r="L146" i="159"/>
  <c r="K146" i="159"/>
  <c r="J146" i="159"/>
  <c r="H146" i="159"/>
  <c r="F146" i="159"/>
  <c r="E146" i="159"/>
  <c r="C146" i="159"/>
  <c r="P145" i="159"/>
  <c r="N145" i="159"/>
  <c r="M145" i="159"/>
  <c r="L145" i="159"/>
  <c r="K145" i="159"/>
  <c r="J145" i="159"/>
  <c r="H145" i="159"/>
  <c r="F145" i="159"/>
  <c r="E145" i="159"/>
  <c r="C145" i="159"/>
  <c r="P144" i="159"/>
  <c r="N144" i="159"/>
  <c r="M144" i="159"/>
  <c r="L144" i="159"/>
  <c r="K144" i="159"/>
  <c r="J144" i="159"/>
  <c r="H144" i="159"/>
  <c r="F144" i="159"/>
  <c r="E144" i="159"/>
  <c r="C144" i="159"/>
  <c r="P143" i="159"/>
  <c r="N143" i="159"/>
  <c r="M143" i="159"/>
  <c r="L143" i="159"/>
  <c r="K143" i="159"/>
  <c r="J143" i="159"/>
  <c r="H143" i="159"/>
  <c r="F143" i="159"/>
  <c r="E143" i="159"/>
  <c r="C143" i="159"/>
  <c r="P142" i="159"/>
  <c r="N142" i="159"/>
  <c r="M142" i="159"/>
  <c r="L142" i="159"/>
  <c r="K142" i="159"/>
  <c r="J142" i="159"/>
  <c r="H142" i="159"/>
  <c r="F142" i="159"/>
  <c r="E142" i="159"/>
  <c r="C142" i="159"/>
  <c r="P141" i="159"/>
  <c r="N141" i="159"/>
  <c r="M141" i="159"/>
  <c r="L141" i="159"/>
  <c r="K141" i="159"/>
  <c r="J141" i="159"/>
  <c r="H141" i="159"/>
  <c r="F141" i="159"/>
  <c r="E141" i="159"/>
  <c r="C141" i="159"/>
  <c r="P140" i="159"/>
  <c r="N140" i="159"/>
  <c r="M140" i="159"/>
  <c r="L140" i="159"/>
  <c r="K140" i="159"/>
  <c r="J140" i="159"/>
  <c r="H140" i="159"/>
  <c r="F140" i="159"/>
  <c r="E140" i="159"/>
  <c r="C140" i="159"/>
  <c r="P139" i="159"/>
  <c r="N139" i="159"/>
  <c r="M139" i="159"/>
  <c r="L139" i="159"/>
  <c r="K139" i="159"/>
  <c r="J139" i="159"/>
  <c r="H139" i="159"/>
  <c r="F139" i="159"/>
  <c r="E139" i="159"/>
  <c r="C139" i="159"/>
  <c r="P138" i="159"/>
  <c r="N138" i="159"/>
  <c r="M138" i="159"/>
  <c r="L138" i="159"/>
  <c r="K138" i="159"/>
  <c r="J138" i="159"/>
  <c r="H138" i="159"/>
  <c r="F138" i="159"/>
  <c r="E138" i="159"/>
  <c r="C138" i="159"/>
  <c r="P137" i="159"/>
  <c r="N137" i="159"/>
  <c r="M137" i="159"/>
  <c r="L137" i="159"/>
  <c r="K137" i="159"/>
  <c r="J137" i="159"/>
  <c r="H137" i="159"/>
  <c r="F137" i="159"/>
  <c r="E137" i="159"/>
  <c r="C137" i="159"/>
  <c r="P136" i="159"/>
  <c r="N136" i="159"/>
  <c r="M136" i="159"/>
  <c r="L136" i="159"/>
  <c r="K136" i="159"/>
  <c r="J136" i="159"/>
  <c r="H136" i="159"/>
  <c r="F136" i="159"/>
  <c r="E136" i="159"/>
  <c r="C136" i="159"/>
  <c r="P135" i="159"/>
  <c r="N135" i="159"/>
  <c r="M135" i="159"/>
  <c r="L135" i="159"/>
  <c r="K135" i="159"/>
  <c r="J135" i="159"/>
  <c r="H135" i="159"/>
  <c r="F135" i="159"/>
  <c r="E135" i="159"/>
  <c r="C135" i="159"/>
  <c r="P134" i="159"/>
  <c r="N134" i="159"/>
  <c r="M134" i="159"/>
  <c r="L134" i="159"/>
  <c r="K134" i="159"/>
  <c r="J134" i="159"/>
  <c r="H134" i="159"/>
  <c r="F134" i="159"/>
  <c r="E134" i="159"/>
  <c r="C134" i="159"/>
  <c r="P133" i="159"/>
  <c r="N133" i="159"/>
  <c r="M133" i="159"/>
  <c r="L133" i="159"/>
  <c r="K133" i="159"/>
  <c r="J133" i="159"/>
  <c r="H133" i="159"/>
  <c r="F133" i="159"/>
  <c r="E133" i="159"/>
  <c r="C133" i="159"/>
  <c r="P132" i="159"/>
  <c r="N132" i="159"/>
  <c r="M132" i="159"/>
  <c r="L132" i="159"/>
  <c r="K132" i="159"/>
  <c r="J132" i="159"/>
  <c r="H132" i="159"/>
  <c r="F132" i="159"/>
  <c r="E132" i="159"/>
  <c r="C132" i="159"/>
  <c r="P131" i="159"/>
  <c r="N131" i="159"/>
  <c r="M131" i="159"/>
  <c r="L131" i="159"/>
  <c r="K131" i="159"/>
  <c r="J131" i="159"/>
  <c r="H131" i="159"/>
  <c r="F131" i="159"/>
  <c r="E131" i="159"/>
  <c r="C131" i="159"/>
  <c r="P130" i="159"/>
  <c r="N130" i="159"/>
  <c r="M130" i="159"/>
  <c r="L130" i="159"/>
  <c r="K130" i="159"/>
  <c r="J130" i="159"/>
  <c r="H130" i="159"/>
  <c r="F130" i="159"/>
  <c r="E130" i="159"/>
  <c r="C130" i="159"/>
  <c r="P129" i="159"/>
  <c r="N129" i="159"/>
  <c r="M129" i="159"/>
  <c r="L129" i="159"/>
  <c r="K129" i="159"/>
  <c r="J129" i="159"/>
  <c r="H129" i="159"/>
  <c r="F129" i="159"/>
  <c r="E129" i="159"/>
  <c r="C129" i="159"/>
  <c r="P128" i="159"/>
  <c r="N128" i="159"/>
  <c r="M128" i="159"/>
  <c r="L128" i="159"/>
  <c r="K128" i="159"/>
  <c r="J128" i="159"/>
  <c r="H128" i="159"/>
  <c r="F128" i="159"/>
  <c r="E128" i="159"/>
  <c r="C128" i="159"/>
  <c r="P127" i="159"/>
  <c r="N127" i="159"/>
  <c r="M127" i="159"/>
  <c r="L127" i="159"/>
  <c r="K127" i="159"/>
  <c r="J127" i="159"/>
  <c r="H127" i="159"/>
  <c r="F127" i="159"/>
  <c r="E127" i="159"/>
  <c r="C127" i="159"/>
  <c r="P126" i="159"/>
  <c r="N126" i="159"/>
  <c r="M126" i="159"/>
  <c r="L126" i="159"/>
  <c r="K126" i="159"/>
  <c r="J126" i="159"/>
  <c r="H126" i="159"/>
  <c r="F126" i="159"/>
  <c r="E126" i="159"/>
  <c r="C126" i="159"/>
  <c r="P125" i="159"/>
  <c r="N125" i="159"/>
  <c r="M125" i="159"/>
  <c r="L125" i="159"/>
  <c r="K125" i="159"/>
  <c r="J125" i="159"/>
  <c r="H125" i="159"/>
  <c r="F125" i="159"/>
  <c r="E125" i="159"/>
  <c r="C125" i="159"/>
  <c r="P124" i="159"/>
  <c r="N124" i="159"/>
  <c r="M124" i="159"/>
  <c r="L124" i="159"/>
  <c r="K124" i="159"/>
  <c r="J124" i="159"/>
  <c r="H124" i="159"/>
  <c r="F124" i="159"/>
  <c r="E124" i="159"/>
  <c r="C124" i="159"/>
  <c r="P123" i="159"/>
  <c r="N123" i="159"/>
  <c r="M123" i="159"/>
  <c r="L123" i="159"/>
  <c r="K123" i="159"/>
  <c r="J123" i="159"/>
  <c r="H123" i="159"/>
  <c r="F123" i="159"/>
  <c r="E123" i="159"/>
  <c r="C123" i="159"/>
  <c r="P122" i="159"/>
  <c r="N122" i="159"/>
  <c r="M122" i="159"/>
  <c r="L122" i="159"/>
  <c r="K122" i="159"/>
  <c r="J122" i="159"/>
  <c r="H122" i="159"/>
  <c r="F122" i="159"/>
  <c r="E122" i="159"/>
  <c r="C122" i="159"/>
  <c r="P121" i="159"/>
  <c r="N121" i="159"/>
  <c r="M121" i="159"/>
  <c r="L121" i="159"/>
  <c r="K121" i="159"/>
  <c r="J121" i="159"/>
  <c r="H121" i="159"/>
  <c r="F121" i="159"/>
  <c r="E121" i="159"/>
  <c r="C121" i="159"/>
  <c r="P120" i="159"/>
  <c r="N120" i="159"/>
  <c r="M120" i="159"/>
  <c r="L120" i="159"/>
  <c r="K120" i="159"/>
  <c r="J120" i="159"/>
  <c r="H120" i="159"/>
  <c r="F120" i="159"/>
  <c r="E120" i="159"/>
  <c r="C120" i="159"/>
  <c r="P119" i="159"/>
  <c r="N119" i="159"/>
  <c r="M119" i="159"/>
  <c r="L119" i="159"/>
  <c r="K119" i="159"/>
  <c r="J119" i="159"/>
  <c r="H119" i="159"/>
  <c r="F119" i="159"/>
  <c r="E119" i="159"/>
  <c r="C119" i="159"/>
  <c r="P118" i="159"/>
  <c r="N118" i="159"/>
  <c r="M118" i="159"/>
  <c r="L118" i="159"/>
  <c r="K118" i="159"/>
  <c r="J118" i="159"/>
  <c r="H118" i="159"/>
  <c r="F118" i="159"/>
  <c r="E118" i="159"/>
  <c r="C118" i="159"/>
  <c r="P117" i="159"/>
  <c r="N117" i="159"/>
  <c r="M117" i="159"/>
  <c r="L117" i="159"/>
  <c r="K117" i="159"/>
  <c r="J117" i="159"/>
  <c r="H117" i="159"/>
  <c r="F117" i="159"/>
  <c r="E117" i="159"/>
  <c r="C117" i="159"/>
  <c r="P116" i="159"/>
  <c r="N116" i="159"/>
  <c r="M116" i="159"/>
  <c r="L116" i="159"/>
  <c r="K116" i="159"/>
  <c r="J116" i="159"/>
  <c r="H116" i="159"/>
  <c r="F116" i="159"/>
  <c r="E116" i="159"/>
  <c r="C116" i="159"/>
  <c r="P115" i="159"/>
  <c r="N115" i="159"/>
  <c r="M115" i="159"/>
  <c r="L115" i="159"/>
  <c r="K115" i="159"/>
  <c r="J115" i="159"/>
  <c r="H115" i="159"/>
  <c r="F115" i="159"/>
  <c r="E115" i="159"/>
  <c r="C115" i="159"/>
  <c r="P114" i="159"/>
  <c r="N114" i="159"/>
  <c r="M114" i="159"/>
  <c r="L114" i="159"/>
  <c r="K114" i="159"/>
  <c r="J114" i="159"/>
  <c r="H114" i="159"/>
  <c r="F114" i="159"/>
  <c r="E114" i="159"/>
  <c r="C114" i="159"/>
  <c r="P113" i="159"/>
  <c r="N113" i="159"/>
  <c r="M113" i="159"/>
  <c r="L113" i="159"/>
  <c r="K113" i="159"/>
  <c r="J113" i="159"/>
  <c r="H113" i="159"/>
  <c r="F113" i="159"/>
  <c r="E113" i="159"/>
  <c r="C113" i="159"/>
  <c r="P112" i="159"/>
  <c r="N112" i="159"/>
  <c r="M112" i="159"/>
  <c r="L112" i="159"/>
  <c r="K112" i="159"/>
  <c r="J112" i="159"/>
  <c r="H112" i="159"/>
  <c r="F112" i="159"/>
  <c r="E112" i="159"/>
  <c r="C112" i="159"/>
  <c r="P111" i="159"/>
  <c r="N111" i="159"/>
  <c r="M111" i="159"/>
  <c r="L111" i="159"/>
  <c r="K111" i="159"/>
  <c r="J111" i="159"/>
  <c r="H111" i="159"/>
  <c r="F111" i="159"/>
  <c r="E111" i="159"/>
  <c r="C111" i="159"/>
  <c r="P110" i="159"/>
  <c r="N110" i="159"/>
  <c r="M110" i="159"/>
  <c r="L110" i="159"/>
  <c r="K110" i="159"/>
  <c r="J110" i="159"/>
  <c r="H110" i="159"/>
  <c r="F110" i="159"/>
  <c r="E110" i="159"/>
  <c r="C110" i="159"/>
  <c r="P109" i="159"/>
  <c r="N109" i="159"/>
  <c r="M109" i="159"/>
  <c r="L109" i="159"/>
  <c r="K109" i="159"/>
  <c r="J109" i="159"/>
  <c r="H109" i="159"/>
  <c r="F109" i="159"/>
  <c r="E109" i="159"/>
  <c r="C109" i="159"/>
  <c r="P108" i="159"/>
  <c r="N108" i="159"/>
  <c r="M108" i="159"/>
  <c r="L108" i="159"/>
  <c r="K108" i="159"/>
  <c r="J108" i="159"/>
  <c r="H108" i="159"/>
  <c r="F108" i="159"/>
  <c r="E108" i="159"/>
  <c r="C108" i="159"/>
  <c r="P107" i="159"/>
  <c r="N107" i="159"/>
  <c r="M107" i="159"/>
  <c r="L107" i="159"/>
  <c r="K107" i="159"/>
  <c r="J107" i="159"/>
  <c r="H107" i="159"/>
  <c r="F107" i="159"/>
  <c r="E107" i="159"/>
  <c r="C107" i="159"/>
  <c r="P106" i="159"/>
  <c r="N106" i="159"/>
  <c r="M106" i="159"/>
  <c r="L106" i="159"/>
  <c r="K106" i="159"/>
  <c r="J106" i="159"/>
  <c r="H106" i="159"/>
  <c r="F106" i="159"/>
  <c r="E106" i="159"/>
  <c r="C106" i="159"/>
  <c r="P105" i="159"/>
  <c r="N105" i="159"/>
  <c r="M105" i="159"/>
  <c r="L105" i="159"/>
  <c r="K105" i="159"/>
  <c r="J105" i="159"/>
  <c r="H105" i="159"/>
  <c r="F105" i="159"/>
  <c r="E105" i="159"/>
  <c r="C105" i="159"/>
  <c r="P104" i="159"/>
  <c r="N104" i="159"/>
  <c r="M104" i="159"/>
  <c r="L104" i="159"/>
  <c r="K104" i="159"/>
  <c r="J104" i="159"/>
  <c r="H104" i="159"/>
  <c r="F104" i="159"/>
  <c r="E104" i="159"/>
  <c r="C104" i="159"/>
  <c r="P103" i="159"/>
  <c r="N103" i="159"/>
  <c r="M103" i="159"/>
  <c r="L103" i="159"/>
  <c r="K103" i="159"/>
  <c r="J103" i="159"/>
  <c r="H103" i="159"/>
  <c r="F103" i="159"/>
  <c r="E103" i="159"/>
  <c r="C103" i="159"/>
  <c r="P102" i="159"/>
  <c r="N102" i="159"/>
  <c r="M102" i="159"/>
  <c r="L102" i="159"/>
  <c r="K102" i="159"/>
  <c r="J102" i="159"/>
  <c r="H102" i="159"/>
  <c r="F102" i="159"/>
  <c r="E102" i="159"/>
  <c r="C102" i="159"/>
  <c r="P101" i="159"/>
  <c r="N101" i="159"/>
  <c r="M101" i="159"/>
  <c r="L101" i="159"/>
  <c r="K101" i="159"/>
  <c r="J101" i="159"/>
  <c r="H101" i="159"/>
  <c r="F101" i="159"/>
  <c r="E101" i="159"/>
  <c r="C101" i="159"/>
  <c r="P100" i="159"/>
  <c r="N100" i="159"/>
  <c r="M100" i="159"/>
  <c r="L100" i="159"/>
  <c r="K100" i="159"/>
  <c r="J100" i="159"/>
  <c r="H100" i="159"/>
  <c r="F100" i="159"/>
  <c r="E100" i="159"/>
  <c r="C100" i="159"/>
  <c r="P99" i="159"/>
  <c r="N99" i="159"/>
  <c r="M99" i="159"/>
  <c r="L99" i="159"/>
  <c r="K99" i="159"/>
  <c r="J99" i="159"/>
  <c r="H99" i="159"/>
  <c r="F99" i="159"/>
  <c r="E99" i="159"/>
  <c r="C99" i="159"/>
  <c r="P98" i="159"/>
  <c r="N98" i="159"/>
  <c r="M98" i="159"/>
  <c r="L98" i="159"/>
  <c r="K98" i="159"/>
  <c r="J98" i="159"/>
  <c r="H98" i="159"/>
  <c r="F98" i="159"/>
  <c r="E98" i="159"/>
  <c r="C98" i="159"/>
  <c r="P97" i="159"/>
  <c r="N97" i="159"/>
  <c r="M97" i="159"/>
  <c r="L97" i="159"/>
  <c r="K97" i="159"/>
  <c r="J97" i="159"/>
  <c r="H97" i="159"/>
  <c r="F97" i="159"/>
  <c r="E97" i="159"/>
  <c r="C97" i="159"/>
  <c r="P96" i="159"/>
  <c r="N96" i="159"/>
  <c r="M96" i="159"/>
  <c r="L96" i="159"/>
  <c r="K96" i="159"/>
  <c r="J96" i="159"/>
  <c r="H96" i="159"/>
  <c r="F96" i="159"/>
  <c r="E96" i="159"/>
  <c r="C96" i="159"/>
  <c r="P95" i="159"/>
  <c r="N95" i="159"/>
  <c r="M95" i="159"/>
  <c r="L95" i="159"/>
  <c r="K95" i="159"/>
  <c r="J95" i="159"/>
  <c r="H95" i="159"/>
  <c r="F95" i="159"/>
  <c r="E95" i="159"/>
  <c r="C95" i="159"/>
  <c r="P94" i="159"/>
  <c r="N94" i="159"/>
  <c r="M94" i="159"/>
  <c r="L94" i="159"/>
  <c r="K94" i="159"/>
  <c r="J94" i="159"/>
  <c r="H94" i="159"/>
  <c r="F94" i="159"/>
  <c r="E94" i="159"/>
  <c r="C94" i="159"/>
  <c r="P93" i="159"/>
  <c r="N93" i="159"/>
  <c r="M93" i="159"/>
  <c r="L93" i="159"/>
  <c r="K93" i="159"/>
  <c r="J93" i="159"/>
  <c r="H93" i="159"/>
  <c r="F93" i="159"/>
  <c r="E93" i="159"/>
  <c r="C93" i="159"/>
  <c r="P92" i="159"/>
  <c r="N92" i="159"/>
  <c r="M92" i="159"/>
  <c r="L92" i="159"/>
  <c r="K92" i="159"/>
  <c r="J92" i="159"/>
  <c r="H92" i="159"/>
  <c r="F92" i="159"/>
  <c r="E92" i="159"/>
  <c r="C92" i="159"/>
  <c r="P91" i="159"/>
  <c r="N91" i="159"/>
  <c r="M91" i="159"/>
  <c r="L91" i="159"/>
  <c r="K91" i="159"/>
  <c r="J91" i="159"/>
  <c r="H91" i="159"/>
  <c r="F91" i="159"/>
  <c r="E91" i="159"/>
  <c r="C91" i="159"/>
  <c r="P90" i="159"/>
  <c r="N90" i="159"/>
  <c r="M90" i="159"/>
  <c r="L90" i="159"/>
  <c r="K90" i="159"/>
  <c r="J90" i="159"/>
  <c r="H90" i="159"/>
  <c r="F90" i="159"/>
  <c r="E90" i="159"/>
  <c r="C90" i="159"/>
  <c r="P89" i="159"/>
  <c r="N89" i="159"/>
  <c r="M89" i="159"/>
  <c r="L89" i="159"/>
  <c r="K89" i="159"/>
  <c r="J89" i="159"/>
  <c r="H89" i="159"/>
  <c r="F89" i="159"/>
  <c r="E89" i="159"/>
  <c r="C89" i="159"/>
  <c r="P88" i="159"/>
  <c r="N88" i="159"/>
  <c r="M88" i="159"/>
  <c r="L88" i="159"/>
  <c r="K88" i="159"/>
  <c r="J88" i="159"/>
  <c r="H88" i="159"/>
  <c r="F88" i="159"/>
  <c r="E88" i="159"/>
  <c r="C88" i="159"/>
  <c r="P87" i="159"/>
  <c r="N87" i="159"/>
  <c r="M87" i="159"/>
  <c r="L87" i="159"/>
  <c r="K87" i="159"/>
  <c r="J87" i="159"/>
  <c r="H87" i="159"/>
  <c r="F87" i="159"/>
  <c r="E87" i="159"/>
  <c r="C87" i="159"/>
  <c r="P86" i="159"/>
  <c r="N86" i="159"/>
  <c r="M86" i="159"/>
  <c r="L86" i="159"/>
  <c r="K86" i="159"/>
  <c r="J86" i="159"/>
  <c r="H86" i="159"/>
  <c r="F86" i="159"/>
  <c r="E86" i="159"/>
  <c r="C86" i="159"/>
  <c r="P85" i="159"/>
  <c r="N85" i="159"/>
  <c r="M85" i="159"/>
  <c r="L85" i="159"/>
  <c r="K85" i="159"/>
  <c r="J85" i="159"/>
  <c r="H85" i="159"/>
  <c r="F85" i="159"/>
  <c r="E85" i="159"/>
  <c r="C85" i="159"/>
  <c r="P84" i="159"/>
  <c r="N84" i="159"/>
  <c r="M84" i="159"/>
  <c r="L84" i="159"/>
  <c r="K84" i="159"/>
  <c r="J84" i="159"/>
  <c r="H84" i="159"/>
  <c r="F84" i="159"/>
  <c r="E84" i="159"/>
  <c r="C84" i="159"/>
  <c r="P83" i="159"/>
  <c r="N83" i="159"/>
  <c r="M83" i="159"/>
  <c r="L83" i="159"/>
  <c r="K83" i="159"/>
  <c r="J83" i="159"/>
  <c r="H83" i="159"/>
  <c r="F83" i="159"/>
  <c r="E83" i="159"/>
  <c r="C83" i="159"/>
  <c r="P82" i="159"/>
  <c r="N82" i="159"/>
  <c r="M82" i="159"/>
  <c r="L82" i="159"/>
  <c r="K82" i="159"/>
  <c r="J82" i="159"/>
  <c r="H82" i="159"/>
  <c r="F82" i="159"/>
  <c r="E82" i="159"/>
  <c r="C82" i="159"/>
  <c r="P81" i="159"/>
  <c r="N81" i="159"/>
  <c r="M81" i="159"/>
  <c r="L81" i="159"/>
  <c r="K81" i="159"/>
  <c r="J81" i="159"/>
  <c r="H81" i="159"/>
  <c r="F81" i="159"/>
  <c r="E81" i="159"/>
  <c r="C81" i="159"/>
  <c r="P80" i="159"/>
  <c r="N80" i="159"/>
  <c r="M80" i="159"/>
  <c r="L80" i="159"/>
  <c r="K80" i="159"/>
  <c r="J80" i="159"/>
  <c r="H80" i="159"/>
  <c r="F80" i="159"/>
  <c r="E80" i="159"/>
  <c r="C80" i="159"/>
  <c r="P79" i="159"/>
  <c r="N79" i="159"/>
  <c r="M79" i="159"/>
  <c r="L79" i="159"/>
  <c r="K79" i="159"/>
  <c r="J79" i="159"/>
  <c r="H79" i="159"/>
  <c r="F79" i="159"/>
  <c r="E79" i="159"/>
  <c r="C79" i="159"/>
  <c r="P78" i="159"/>
  <c r="N78" i="159"/>
  <c r="M78" i="159"/>
  <c r="L78" i="159"/>
  <c r="K78" i="159"/>
  <c r="J78" i="159"/>
  <c r="H78" i="159"/>
  <c r="F78" i="159"/>
  <c r="E78" i="159"/>
  <c r="C78" i="159"/>
  <c r="P77" i="159"/>
  <c r="N77" i="159"/>
  <c r="M77" i="159"/>
  <c r="L77" i="159"/>
  <c r="K77" i="159"/>
  <c r="J77" i="159"/>
  <c r="H77" i="159"/>
  <c r="F77" i="159"/>
  <c r="E77" i="159"/>
  <c r="C77" i="159"/>
  <c r="P76" i="159"/>
  <c r="N76" i="159"/>
  <c r="M76" i="159"/>
  <c r="L76" i="159"/>
  <c r="K76" i="159"/>
  <c r="J76" i="159"/>
  <c r="H76" i="159"/>
  <c r="F76" i="159"/>
  <c r="E76" i="159"/>
  <c r="C76" i="159"/>
  <c r="P75" i="159"/>
  <c r="N75" i="159"/>
  <c r="M75" i="159"/>
  <c r="L75" i="159"/>
  <c r="K75" i="159"/>
  <c r="J75" i="159"/>
  <c r="H75" i="159"/>
  <c r="F75" i="159"/>
  <c r="E75" i="159"/>
  <c r="C75" i="159"/>
  <c r="P74" i="159"/>
  <c r="N74" i="159"/>
  <c r="M74" i="159"/>
  <c r="L74" i="159"/>
  <c r="K74" i="159"/>
  <c r="J74" i="159"/>
  <c r="H74" i="159"/>
  <c r="F74" i="159"/>
  <c r="E74" i="159"/>
  <c r="C74" i="159"/>
  <c r="P73" i="159"/>
  <c r="N73" i="159"/>
  <c r="M73" i="159"/>
  <c r="L73" i="159"/>
  <c r="K73" i="159"/>
  <c r="J73" i="159"/>
  <c r="H73" i="159"/>
  <c r="F73" i="159"/>
  <c r="E73" i="159"/>
  <c r="C73" i="159"/>
  <c r="P72" i="159"/>
  <c r="N72" i="159"/>
  <c r="M72" i="159"/>
  <c r="L72" i="159"/>
  <c r="K72" i="159"/>
  <c r="J72" i="159"/>
  <c r="H72" i="159"/>
  <c r="F72" i="159"/>
  <c r="E72" i="159"/>
  <c r="C72" i="159"/>
  <c r="P71" i="159"/>
  <c r="N71" i="159"/>
  <c r="M71" i="159"/>
  <c r="L71" i="159"/>
  <c r="K71" i="159"/>
  <c r="H71" i="159"/>
  <c r="F71" i="159"/>
  <c r="E71" i="159"/>
  <c r="C71" i="159"/>
  <c r="P70" i="159"/>
  <c r="N70" i="159"/>
  <c r="M70" i="159"/>
  <c r="L70" i="159"/>
  <c r="K70" i="159"/>
  <c r="H70" i="159"/>
  <c r="F70" i="159"/>
  <c r="E70" i="159"/>
  <c r="C70" i="159"/>
  <c r="P69" i="159"/>
  <c r="N69" i="159"/>
  <c r="M69" i="159"/>
  <c r="L69" i="159"/>
  <c r="K69" i="159"/>
  <c r="H69" i="159"/>
  <c r="F69" i="159"/>
  <c r="E69" i="159"/>
  <c r="C69" i="159"/>
  <c r="P68" i="159"/>
  <c r="N68" i="159"/>
  <c r="M68" i="159"/>
  <c r="L68" i="159"/>
  <c r="K68" i="159"/>
  <c r="H68" i="159"/>
  <c r="F68" i="159"/>
  <c r="E68" i="159"/>
  <c r="C68" i="159"/>
  <c r="P67" i="159"/>
  <c r="N67" i="159"/>
  <c r="M67" i="159"/>
  <c r="L67" i="159"/>
  <c r="K67" i="159"/>
  <c r="H67" i="159"/>
  <c r="F67" i="159"/>
  <c r="E67" i="159"/>
  <c r="C67" i="159"/>
  <c r="P66" i="159"/>
  <c r="N66" i="159"/>
  <c r="M66" i="159"/>
  <c r="L66" i="159"/>
  <c r="K66" i="159"/>
  <c r="H66" i="159"/>
  <c r="F66" i="159"/>
  <c r="E66" i="159"/>
  <c r="C66" i="159"/>
  <c r="P65" i="159"/>
  <c r="N65" i="159"/>
  <c r="M65" i="159"/>
  <c r="L65" i="159"/>
  <c r="K65" i="159"/>
  <c r="J65" i="159"/>
  <c r="H65" i="159"/>
  <c r="F65" i="159"/>
  <c r="E65" i="159"/>
  <c r="C65" i="159"/>
  <c r="P64" i="159"/>
  <c r="N64" i="159"/>
  <c r="M64" i="159"/>
  <c r="L64" i="159"/>
  <c r="K64" i="159"/>
  <c r="J64" i="159"/>
  <c r="H64" i="159"/>
  <c r="F64" i="159"/>
  <c r="E64" i="159"/>
  <c r="C64" i="159"/>
  <c r="P63" i="159"/>
  <c r="N63" i="159"/>
  <c r="M63" i="159"/>
  <c r="L63" i="159"/>
  <c r="K63" i="159"/>
  <c r="J63" i="159"/>
  <c r="H63" i="159"/>
  <c r="F63" i="159"/>
  <c r="E63" i="159"/>
  <c r="C63" i="159"/>
  <c r="P62" i="159"/>
  <c r="N62" i="159"/>
  <c r="M62" i="159"/>
  <c r="L62" i="159"/>
  <c r="K62" i="159"/>
  <c r="J62" i="159"/>
  <c r="H62" i="159"/>
  <c r="F62" i="159"/>
  <c r="E62" i="159"/>
  <c r="C62" i="159"/>
  <c r="P61" i="159"/>
  <c r="N61" i="159"/>
  <c r="M61" i="159"/>
  <c r="L61" i="159"/>
  <c r="K61" i="159"/>
  <c r="J61" i="159"/>
  <c r="H61" i="159"/>
  <c r="F61" i="159"/>
  <c r="E61" i="159"/>
  <c r="C61" i="159"/>
  <c r="P60" i="159"/>
  <c r="N60" i="159"/>
  <c r="M60" i="159"/>
  <c r="L60" i="159"/>
  <c r="K60" i="159"/>
  <c r="J60" i="159"/>
  <c r="H60" i="159"/>
  <c r="F60" i="159"/>
  <c r="E60" i="159"/>
  <c r="C60" i="159"/>
  <c r="P59" i="159"/>
  <c r="N59" i="159"/>
  <c r="M59" i="159"/>
  <c r="L59" i="159"/>
  <c r="K59" i="159"/>
  <c r="J59" i="159"/>
  <c r="H59" i="159"/>
  <c r="F59" i="159"/>
  <c r="E59" i="159"/>
  <c r="C59" i="159"/>
  <c r="P58" i="159"/>
  <c r="N58" i="159"/>
  <c r="M58" i="159"/>
  <c r="L58" i="159"/>
  <c r="K58" i="159"/>
  <c r="J58" i="159"/>
  <c r="H58" i="159"/>
  <c r="F58" i="159"/>
  <c r="E58" i="159"/>
  <c r="C58" i="159"/>
  <c r="P57" i="159"/>
  <c r="N57" i="159"/>
  <c r="M57" i="159"/>
  <c r="L57" i="159"/>
  <c r="K57" i="159"/>
  <c r="J57" i="159"/>
  <c r="H57" i="159"/>
  <c r="F57" i="159"/>
  <c r="E57" i="159"/>
  <c r="C57" i="159"/>
  <c r="P56" i="159"/>
  <c r="N56" i="159"/>
  <c r="M56" i="159"/>
  <c r="L56" i="159"/>
  <c r="K56" i="159"/>
  <c r="J56" i="159"/>
  <c r="H56" i="159"/>
  <c r="F56" i="159"/>
  <c r="E56" i="159"/>
  <c r="C56" i="159"/>
  <c r="P55" i="159"/>
  <c r="N55" i="159"/>
  <c r="M55" i="159"/>
  <c r="L55" i="159"/>
  <c r="K55" i="159"/>
  <c r="J55" i="159"/>
  <c r="H55" i="159"/>
  <c r="F55" i="159"/>
  <c r="E55" i="159"/>
  <c r="C55" i="159"/>
  <c r="P54" i="159"/>
  <c r="N54" i="159"/>
  <c r="M54" i="159"/>
  <c r="L54" i="159"/>
  <c r="K54" i="159"/>
  <c r="J54" i="159"/>
  <c r="H54" i="159"/>
  <c r="F54" i="159"/>
  <c r="E54" i="159"/>
  <c r="C54" i="159"/>
  <c r="P53" i="159"/>
  <c r="N53" i="159"/>
  <c r="M53" i="159"/>
  <c r="L53" i="159"/>
  <c r="K53" i="159"/>
  <c r="J53" i="159"/>
  <c r="H53" i="159"/>
  <c r="F53" i="159"/>
  <c r="E53" i="159"/>
  <c r="C53" i="159"/>
  <c r="P52" i="159"/>
  <c r="N52" i="159"/>
  <c r="M52" i="159"/>
  <c r="L52" i="159"/>
  <c r="K52" i="159"/>
  <c r="J52" i="159"/>
  <c r="H52" i="159"/>
  <c r="F52" i="159"/>
  <c r="E52" i="159"/>
  <c r="C52" i="159"/>
  <c r="P51" i="159"/>
  <c r="N51" i="159"/>
  <c r="M51" i="159"/>
  <c r="L51" i="159"/>
  <c r="K51" i="159"/>
  <c r="J51" i="159"/>
  <c r="H51" i="159"/>
  <c r="F51" i="159"/>
  <c r="E51" i="159"/>
  <c r="C51" i="159"/>
  <c r="P50" i="159"/>
  <c r="N50" i="159"/>
  <c r="M50" i="159"/>
  <c r="L50" i="159"/>
  <c r="K50" i="159"/>
  <c r="J50" i="159"/>
  <c r="H50" i="159"/>
  <c r="F50" i="159"/>
  <c r="E50" i="159"/>
  <c r="C50" i="159"/>
  <c r="P49" i="159"/>
  <c r="N49" i="159"/>
  <c r="M49" i="159"/>
  <c r="L49" i="159"/>
  <c r="K49" i="159"/>
  <c r="J49" i="159"/>
  <c r="H49" i="159"/>
  <c r="F49" i="159"/>
  <c r="E49" i="159"/>
  <c r="C49" i="159"/>
  <c r="P48" i="159"/>
  <c r="N48" i="159"/>
  <c r="M48" i="159"/>
  <c r="L48" i="159"/>
  <c r="K48" i="159"/>
  <c r="J48" i="159"/>
  <c r="H48" i="159"/>
  <c r="F48" i="159"/>
  <c r="E48" i="159"/>
  <c r="C48" i="159"/>
  <c r="P47" i="159"/>
  <c r="N47" i="159"/>
  <c r="M47" i="159"/>
  <c r="L47" i="159"/>
  <c r="K47" i="159"/>
  <c r="J47" i="159"/>
  <c r="H47" i="159"/>
  <c r="F47" i="159"/>
  <c r="E47" i="159"/>
  <c r="C47" i="159"/>
  <c r="P46" i="159"/>
  <c r="N46" i="159"/>
  <c r="M46" i="159"/>
  <c r="L46" i="159"/>
  <c r="K46" i="159"/>
  <c r="J46" i="159"/>
  <c r="H46" i="159"/>
  <c r="F46" i="159"/>
  <c r="E46" i="159"/>
  <c r="C46" i="159"/>
  <c r="P45" i="159"/>
  <c r="N45" i="159"/>
  <c r="M45" i="159"/>
  <c r="L45" i="159"/>
  <c r="K45" i="159"/>
  <c r="J45" i="159"/>
  <c r="H45" i="159"/>
  <c r="F45" i="159"/>
  <c r="E45" i="159"/>
  <c r="C45" i="159"/>
  <c r="P44" i="159"/>
  <c r="N44" i="159"/>
  <c r="M44" i="159"/>
  <c r="L44" i="159"/>
  <c r="K44" i="159"/>
  <c r="J44" i="159"/>
  <c r="H44" i="159"/>
  <c r="F44" i="159"/>
  <c r="E44" i="159"/>
  <c r="C44" i="159"/>
  <c r="A2" i="157"/>
  <c r="A158" i="159"/>
  <c r="A157" i="159"/>
  <c r="A156" i="159"/>
  <c r="A155" i="159"/>
  <c r="A154" i="159"/>
  <c r="A153" i="159"/>
  <c r="A152" i="159"/>
  <c r="A151" i="159"/>
  <c r="A150" i="159"/>
  <c r="A149" i="159"/>
  <c r="A148" i="159"/>
  <c r="A147" i="159"/>
  <c r="A146" i="159"/>
  <c r="A145" i="159"/>
  <c r="A144" i="159"/>
  <c r="A143" i="159"/>
  <c r="A142" i="159"/>
  <c r="A141" i="159"/>
  <c r="A140" i="159"/>
  <c r="A139" i="159"/>
  <c r="A138" i="159"/>
  <c r="A137" i="159"/>
  <c r="A136" i="159"/>
  <c r="A135" i="159"/>
  <c r="A134" i="159"/>
  <c r="A133" i="159"/>
  <c r="A132" i="159"/>
  <c r="A131" i="159"/>
  <c r="A130" i="159"/>
  <c r="A129" i="159"/>
  <c r="A128" i="159"/>
  <c r="A127" i="159"/>
  <c r="A126" i="159"/>
  <c r="A125" i="159"/>
  <c r="A124" i="159"/>
  <c r="A123" i="159"/>
  <c r="A122" i="159"/>
  <c r="A121" i="159"/>
  <c r="A120" i="159"/>
  <c r="A119" i="159"/>
  <c r="A118" i="159"/>
  <c r="A117" i="159"/>
  <c r="A116" i="159"/>
  <c r="A115" i="159"/>
  <c r="A114" i="159"/>
  <c r="A113" i="159"/>
  <c r="A112" i="159"/>
  <c r="A111" i="159"/>
  <c r="A110" i="159"/>
  <c r="A109" i="159"/>
  <c r="A108" i="159"/>
  <c r="A107" i="159"/>
  <c r="A106" i="159"/>
  <c r="A105" i="159"/>
  <c r="A104" i="159"/>
  <c r="A103" i="159"/>
  <c r="A102" i="159"/>
  <c r="A101" i="159"/>
  <c r="A100" i="159"/>
  <c r="A99" i="159"/>
  <c r="A98" i="159"/>
  <c r="A97" i="159"/>
  <c r="A96" i="159"/>
  <c r="A95" i="159"/>
  <c r="A94" i="159"/>
  <c r="A93" i="159"/>
  <c r="A92" i="159"/>
  <c r="A91" i="159"/>
  <c r="A90" i="159"/>
  <c r="A89" i="159"/>
  <c r="A88" i="159"/>
  <c r="A87" i="159"/>
  <c r="A86" i="159"/>
  <c r="A85" i="159"/>
  <c r="A84" i="159"/>
  <c r="A83" i="159"/>
  <c r="A82" i="159"/>
  <c r="A81" i="159"/>
  <c r="A80" i="159"/>
  <c r="A79" i="159"/>
  <c r="A78" i="159"/>
  <c r="A77" i="159"/>
  <c r="A76" i="159"/>
  <c r="A75" i="159"/>
  <c r="A74" i="159"/>
  <c r="A73" i="159"/>
  <c r="A72" i="159"/>
  <c r="A71" i="159"/>
  <c r="A70" i="159"/>
  <c r="A69" i="159"/>
  <c r="A68" i="159"/>
  <c r="A67" i="159"/>
  <c r="A66" i="159"/>
  <c r="A65" i="159"/>
  <c r="A64" i="159"/>
  <c r="A63" i="159"/>
  <c r="A62" i="159"/>
  <c r="A61" i="159"/>
  <c r="A60" i="159"/>
  <c r="A59" i="159"/>
  <c r="A58" i="159"/>
  <c r="A57" i="159"/>
  <c r="A56" i="159"/>
  <c r="A55" i="159"/>
  <c r="A54" i="159"/>
  <c r="A53" i="159"/>
  <c r="A52" i="159"/>
  <c r="A51" i="159"/>
  <c r="A50" i="159"/>
  <c r="A49" i="159"/>
  <c r="A48" i="159"/>
  <c r="A47" i="159"/>
  <c r="A46" i="159"/>
  <c r="A45" i="159"/>
  <c r="A44" i="159"/>
  <c r="A43" i="159"/>
  <c r="A42" i="159"/>
  <c r="A41" i="159"/>
  <c r="A40" i="159"/>
  <c r="A39" i="159"/>
  <c r="A38" i="159"/>
  <c r="A37" i="159"/>
  <c r="A36" i="159"/>
  <c r="A35" i="159"/>
  <c r="A34" i="159"/>
  <c r="A33" i="159"/>
  <c r="A32" i="159"/>
  <c r="A31" i="159"/>
  <c r="A30" i="159"/>
  <c r="A29" i="159"/>
  <c r="A28" i="159"/>
  <c r="A27" i="159"/>
  <c r="A26" i="159"/>
  <c r="A25" i="159"/>
  <c r="A24" i="159"/>
  <c r="A23" i="159"/>
  <c r="A22" i="159"/>
  <c r="A21" i="159"/>
  <c r="A20" i="159"/>
  <c r="A19" i="159"/>
  <c r="A18" i="159"/>
  <c r="A17" i="159"/>
  <c r="A16" i="159"/>
  <c r="A15" i="159"/>
  <c r="A14" i="159"/>
  <c r="A13" i="159"/>
  <c r="A12" i="159"/>
  <c r="A11" i="159"/>
  <c r="A10" i="159"/>
  <c r="A9" i="159"/>
  <c r="A8" i="159"/>
  <c r="A7" i="159"/>
  <c r="A6" i="159"/>
  <c r="A5" i="159"/>
  <c r="A4" i="159"/>
  <c r="A3" i="159"/>
  <c r="A2" i="159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3" i="157"/>
  <c r="B23" i="157"/>
  <c r="B22" i="157"/>
  <c r="E25" i="157"/>
  <c r="B25" i="157"/>
  <c r="E5" i="157"/>
  <c r="E27" i="157"/>
  <c r="B27" i="157"/>
  <c r="C30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B29" i="157"/>
  <c r="C31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E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R3" i="157"/>
  <c r="O356" i="158"/>
  <c r="R4" i="157"/>
  <c r="O357" i="158"/>
  <c r="R5" i="157"/>
  <c r="O358" i="158"/>
  <c r="R6" i="157"/>
  <c r="O359" i="158"/>
  <c r="B46" i="157"/>
  <c r="B10" i="157"/>
  <c r="P359" i="158"/>
  <c r="N359" i="158"/>
  <c r="M359" i="158"/>
  <c r="L359" i="158"/>
  <c r="K359" i="158"/>
  <c r="H359" i="158"/>
  <c r="P358" i="158"/>
  <c r="N358" i="158"/>
  <c r="M358" i="158"/>
  <c r="L358" i="158"/>
  <c r="K358" i="158"/>
  <c r="H358" i="158"/>
  <c r="P357" i="158"/>
  <c r="N357" i="158"/>
  <c r="M357" i="158"/>
  <c r="L357" i="158"/>
  <c r="K357" i="158"/>
  <c r="H357" i="158"/>
  <c r="P356" i="158"/>
  <c r="N356" i="158"/>
  <c r="M356" i="158"/>
  <c r="L356" i="158"/>
  <c r="K356" i="158"/>
  <c r="H356" i="158"/>
  <c r="A359" i="158"/>
  <c r="A358" i="158"/>
  <c r="A357" i="158"/>
  <c r="A356" i="158"/>
  <c r="P355" i="158"/>
  <c r="N355" i="158"/>
  <c r="M355" i="158"/>
  <c r="L355" i="158"/>
  <c r="K355" i="158"/>
  <c r="H355" i="158"/>
  <c r="P354" i="158"/>
  <c r="N354" i="158"/>
  <c r="M354" i="158"/>
  <c r="L354" i="158"/>
  <c r="K354" i="158"/>
  <c r="H354" i="158"/>
  <c r="P353" i="158"/>
  <c r="N353" i="158"/>
  <c r="M353" i="158"/>
  <c r="L353" i="158"/>
  <c r="K353" i="158"/>
  <c r="H353" i="158"/>
  <c r="P352" i="158"/>
  <c r="N352" i="158"/>
  <c r="M352" i="158"/>
  <c r="L352" i="158"/>
  <c r="K352" i="158"/>
  <c r="H352" i="158"/>
  <c r="P351" i="158"/>
  <c r="N351" i="158"/>
  <c r="M351" i="158"/>
  <c r="L351" i="158"/>
  <c r="K351" i="158"/>
  <c r="H351" i="158"/>
  <c r="P350" i="158"/>
  <c r="N350" i="158"/>
  <c r="M350" i="158"/>
  <c r="L350" i="158"/>
  <c r="K350" i="158"/>
  <c r="H350" i="158"/>
  <c r="P349" i="158"/>
  <c r="N349" i="158"/>
  <c r="M349" i="158"/>
  <c r="L349" i="158"/>
  <c r="K349" i="158"/>
  <c r="H349" i="158"/>
  <c r="P348" i="158"/>
  <c r="N348" i="158"/>
  <c r="M348" i="158"/>
  <c r="L348" i="158"/>
  <c r="K348" i="158"/>
  <c r="H348" i="158"/>
  <c r="P347" i="158"/>
  <c r="N347" i="158"/>
  <c r="M347" i="158"/>
  <c r="L347" i="158"/>
  <c r="K347" i="158"/>
  <c r="H347" i="158"/>
  <c r="P346" i="158"/>
  <c r="N346" i="158"/>
  <c r="M346" i="158"/>
  <c r="L346" i="158"/>
  <c r="K346" i="158"/>
  <c r="H346" i="158"/>
  <c r="P345" i="158"/>
  <c r="N345" i="158"/>
  <c r="M345" i="158"/>
  <c r="L345" i="158"/>
  <c r="K345" i="158"/>
  <c r="H345" i="158"/>
  <c r="P344" i="158"/>
  <c r="N344" i="158"/>
  <c r="M344" i="158"/>
  <c r="L344" i="158"/>
  <c r="K344" i="158"/>
  <c r="H344" i="158"/>
  <c r="P343" i="158"/>
  <c r="N343" i="158"/>
  <c r="M343" i="158"/>
  <c r="L343" i="158"/>
  <c r="K343" i="158"/>
  <c r="H343" i="158"/>
  <c r="P342" i="158"/>
  <c r="N342" i="158"/>
  <c r="M342" i="158"/>
  <c r="L342" i="158"/>
  <c r="K342" i="158"/>
  <c r="H342" i="158"/>
  <c r="P341" i="158"/>
  <c r="N341" i="158"/>
  <c r="M341" i="158"/>
  <c r="L341" i="158"/>
  <c r="K341" i="158"/>
  <c r="H341" i="158"/>
  <c r="P340" i="158"/>
  <c r="N340" i="158"/>
  <c r="M340" i="158"/>
  <c r="L340" i="158"/>
  <c r="K340" i="158"/>
  <c r="H340" i="158"/>
  <c r="P339" i="158"/>
  <c r="N339" i="158"/>
  <c r="M339" i="158"/>
  <c r="L339" i="158"/>
  <c r="K339" i="158"/>
  <c r="H339" i="158"/>
  <c r="P338" i="158"/>
  <c r="N338" i="158"/>
  <c r="M338" i="158"/>
  <c r="L338" i="158"/>
  <c r="K338" i="158"/>
  <c r="H338" i="158"/>
  <c r="P337" i="158"/>
  <c r="N337" i="158"/>
  <c r="M337" i="158"/>
  <c r="L337" i="158"/>
  <c r="K337" i="158"/>
  <c r="H337" i="158"/>
  <c r="P336" i="158"/>
  <c r="N336" i="158"/>
  <c r="M336" i="158"/>
  <c r="L336" i="158"/>
  <c r="K336" i="158"/>
  <c r="H336" i="158"/>
  <c r="P335" i="158"/>
  <c r="N335" i="158"/>
  <c r="M335" i="158"/>
  <c r="L335" i="158"/>
  <c r="K335" i="158"/>
  <c r="H335" i="158"/>
  <c r="P334" i="158"/>
  <c r="N334" i="158"/>
  <c r="M334" i="158"/>
  <c r="L334" i="158"/>
  <c r="K334" i="158"/>
  <c r="H334" i="158"/>
  <c r="P333" i="158"/>
  <c r="N333" i="158"/>
  <c r="M333" i="158"/>
  <c r="L333" i="158"/>
  <c r="K333" i="158"/>
  <c r="H333" i="158"/>
  <c r="P332" i="158"/>
  <c r="N332" i="158"/>
  <c r="M332" i="158"/>
  <c r="L332" i="158"/>
  <c r="K332" i="158"/>
  <c r="H332" i="158"/>
  <c r="P331" i="158"/>
  <c r="N331" i="158"/>
  <c r="M331" i="158"/>
  <c r="L331" i="158"/>
  <c r="K331" i="158"/>
  <c r="H331" i="158"/>
  <c r="P330" i="158"/>
  <c r="N330" i="158"/>
  <c r="M330" i="158"/>
  <c r="L330" i="158"/>
  <c r="K330" i="158"/>
  <c r="H330" i="158"/>
  <c r="P329" i="158"/>
  <c r="N329" i="158"/>
  <c r="M329" i="158"/>
  <c r="L329" i="158"/>
  <c r="K329" i="158"/>
  <c r="H329" i="158"/>
  <c r="P328" i="158"/>
  <c r="N328" i="158"/>
  <c r="M328" i="158"/>
  <c r="L328" i="158"/>
  <c r="K328" i="158"/>
  <c r="H328" i="158"/>
  <c r="P327" i="158"/>
  <c r="N327" i="158"/>
  <c r="M327" i="158"/>
  <c r="L327" i="158"/>
  <c r="K327" i="158"/>
  <c r="H327" i="158"/>
  <c r="P326" i="158"/>
  <c r="N326" i="158"/>
  <c r="M326" i="158"/>
  <c r="L326" i="158"/>
  <c r="K326" i="158"/>
  <c r="H326" i="158"/>
  <c r="P325" i="158"/>
  <c r="N325" i="158"/>
  <c r="M325" i="158"/>
  <c r="L325" i="158"/>
  <c r="K325" i="158"/>
  <c r="H325" i="158"/>
  <c r="P324" i="158"/>
  <c r="N324" i="158"/>
  <c r="M324" i="158"/>
  <c r="L324" i="158"/>
  <c r="K324" i="158"/>
  <c r="H324" i="158"/>
  <c r="P323" i="158"/>
  <c r="N323" i="158"/>
  <c r="M323" i="158"/>
  <c r="L323" i="158"/>
  <c r="K323" i="158"/>
  <c r="H323" i="158"/>
  <c r="P322" i="158"/>
  <c r="N322" i="158"/>
  <c r="M322" i="158"/>
  <c r="L322" i="158"/>
  <c r="K322" i="158"/>
  <c r="H322" i="158"/>
  <c r="P321" i="158"/>
  <c r="N321" i="158"/>
  <c r="M321" i="158"/>
  <c r="L321" i="158"/>
  <c r="K321" i="158"/>
  <c r="H321" i="158"/>
  <c r="P320" i="158"/>
  <c r="N320" i="158"/>
  <c r="M320" i="158"/>
  <c r="L320" i="158"/>
  <c r="K320" i="158"/>
  <c r="H320" i="158"/>
  <c r="P319" i="158"/>
  <c r="N319" i="158"/>
  <c r="M319" i="158"/>
  <c r="L319" i="158"/>
  <c r="K319" i="158"/>
  <c r="H319" i="158"/>
  <c r="P318" i="158"/>
  <c r="N318" i="158"/>
  <c r="M318" i="158"/>
  <c r="L318" i="158"/>
  <c r="K318" i="158"/>
  <c r="H318" i="158"/>
  <c r="P317" i="158"/>
  <c r="N317" i="158"/>
  <c r="M317" i="158"/>
  <c r="L317" i="158"/>
  <c r="K317" i="158"/>
  <c r="H317" i="158"/>
  <c r="P316" i="158"/>
  <c r="N316" i="158"/>
  <c r="M316" i="158"/>
  <c r="L316" i="158"/>
  <c r="K316" i="158"/>
  <c r="H316" i="158"/>
  <c r="P315" i="158"/>
  <c r="N315" i="158"/>
  <c r="M315" i="158"/>
  <c r="L315" i="158"/>
  <c r="K315" i="158"/>
  <c r="H315" i="158"/>
  <c r="P314" i="158"/>
  <c r="N314" i="158"/>
  <c r="M314" i="158"/>
  <c r="L314" i="158"/>
  <c r="K314" i="158"/>
  <c r="H314" i="158"/>
  <c r="P313" i="158"/>
  <c r="N313" i="158"/>
  <c r="M313" i="158"/>
  <c r="L313" i="158"/>
  <c r="K313" i="158"/>
  <c r="H313" i="158"/>
  <c r="P312" i="158"/>
  <c r="N312" i="158"/>
  <c r="M312" i="158"/>
  <c r="L312" i="158"/>
  <c r="K312" i="158"/>
  <c r="H312" i="158"/>
  <c r="P311" i="158"/>
  <c r="N311" i="158"/>
  <c r="M311" i="158"/>
  <c r="L311" i="158"/>
  <c r="K311" i="158"/>
  <c r="H311" i="158"/>
  <c r="P310" i="158"/>
  <c r="N310" i="158"/>
  <c r="M310" i="158"/>
  <c r="L310" i="158"/>
  <c r="K310" i="158"/>
  <c r="H310" i="158"/>
  <c r="P309" i="158"/>
  <c r="N309" i="158"/>
  <c r="M309" i="158"/>
  <c r="L309" i="158"/>
  <c r="K309" i="158"/>
  <c r="H309" i="158"/>
  <c r="P308" i="158"/>
  <c r="N308" i="158"/>
  <c r="M308" i="158"/>
  <c r="L308" i="158"/>
  <c r="K308" i="158"/>
  <c r="H308" i="158"/>
  <c r="P307" i="158"/>
  <c r="N307" i="158"/>
  <c r="M307" i="158"/>
  <c r="L307" i="158"/>
  <c r="K307" i="158"/>
  <c r="H307" i="158"/>
  <c r="P306" i="158"/>
  <c r="N306" i="158"/>
  <c r="M306" i="158"/>
  <c r="L306" i="158"/>
  <c r="K306" i="158"/>
  <c r="H306" i="158"/>
  <c r="P305" i="158"/>
  <c r="N305" i="158"/>
  <c r="M305" i="158"/>
  <c r="L305" i="158"/>
  <c r="K305" i="158"/>
  <c r="H305" i="158"/>
  <c r="P304" i="158"/>
  <c r="N304" i="158"/>
  <c r="M304" i="158"/>
  <c r="L304" i="158"/>
  <c r="K304" i="158"/>
  <c r="H304" i="158"/>
  <c r="P303" i="158"/>
  <c r="N303" i="158"/>
  <c r="M303" i="158"/>
  <c r="L303" i="158"/>
  <c r="K303" i="158"/>
  <c r="H303" i="158"/>
  <c r="P302" i="158"/>
  <c r="N302" i="158"/>
  <c r="M302" i="158"/>
  <c r="L302" i="158"/>
  <c r="K302" i="158"/>
  <c r="H302" i="158"/>
  <c r="P301" i="158"/>
  <c r="N301" i="158"/>
  <c r="M301" i="158"/>
  <c r="L301" i="158"/>
  <c r="K301" i="158"/>
  <c r="H301" i="158"/>
  <c r="P300" i="158"/>
  <c r="N300" i="158"/>
  <c r="M300" i="158"/>
  <c r="L300" i="158"/>
  <c r="K300" i="158"/>
  <c r="H300" i="158"/>
  <c r="P299" i="158"/>
  <c r="N299" i="158"/>
  <c r="M299" i="158"/>
  <c r="L299" i="158"/>
  <c r="K299" i="158"/>
  <c r="H299" i="158"/>
  <c r="P298" i="158"/>
  <c r="N298" i="158"/>
  <c r="M298" i="158"/>
  <c r="L298" i="158"/>
  <c r="K298" i="158"/>
  <c r="H298" i="158"/>
  <c r="P297" i="158"/>
  <c r="N297" i="158"/>
  <c r="M297" i="158"/>
  <c r="L297" i="158"/>
  <c r="K297" i="158"/>
  <c r="H297" i="158"/>
  <c r="P296" i="158"/>
  <c r="N296" i="158"/>
  <c r="M296" i="158"/>
  <c r="L296" i="158"/>
  <c r="K296" i="158"/>
  <c r="H296" i="158"/>
  <c r="P295" i="158"/>
  <c r="N295" i="158"/>
  <c r="M295" i="158"/>
  <c r="L295" i="158"/>
  <c r="K295" i="158"/>
  <c r="H295" i="158"/>
  <c r="P294" i="158"/>
  <c r="N294" i="158"/>
  <c r="M294" i="158"/>
  <c r="L294" i="158"/>
  <c r="K294" i="158"/>
  <c r="H294" i="158"/>
  <c r="P293" i="158"/>
  <c r="N293" i="158"/>
  <c r="M293" i="158"/>
  <c r="L293" i="158"/>
  <c r="K293" i="158"/>
  <c r="H293" i="158"/>
  <c r="P292" i="158"/>
  <c r="N292" i="158"/>
  <c r="M292" i="158"/>
  <c r="L292" i="158"/>
  <c r="K292" i="158"/>
  <c r="H292" i="158"/>
  <c r="P291" i="158"/>
  <c r="N291" i="158"/>
  <c r="M291" i="158"/>
  <c r="L291" i="158"/>
  <c r="K291" i="158"/>
  <c r="H291" i="158"/>
  <c r="P290" i="158"/>
  <c r="N290" i="158"/>
  <c r="M290" i="158"/>
  <c r="L290" i="158"/>
  <c r="K290" i="158"/>
  <c r="H290" i="158"/>
  <c r="P289" i="158"/>
  <c r="N289" i="158"/>
  <c r="M289" i="158"/>
  <c r="L289" i="158"/>
  <c r="K289" i="158"/>
  <c r="H289" i="158"/>
  <c r="P288" i="158"/>
  <c r="N288" i="158"/>
  <c r="M288" i="158"/>
  <c r="L288" i="158"/>
  <c r="K288" i="158"/>
  <c r="H288" i="158"/>
  <c r="P287" i="158"/>
  <c r="N287" i="158"/>
  <c r="M287" i="158"/>
  <c r="L287" i="158"/>
  <c r="K287" i="158"/>
  <c r="H287" i="158"/>
  <c r="P286" i="158"/>
  <c r="N286" i="158"/>
  <c r="M286" i="158"/>
  <c r="L286" i="158"/>
  <c r="K286" i="158"/>
  <c r="H286" i="158"/>
  <c r="P285" i="158"/>
  <c r="N285" i="158"/>
  <c r="M285" i="158"/>
  <c r="L285" i="158"/>
  <c r="K285" i="158"/>
  <c r="H285" i="158"/>
  <c r="P284" i="158"/>
  <c r="N284" i="158"/>
  <c r="M284" i="158"/>
  <c r="L284" i="158"/>
  <c r="K284" i="158"/>
  <c r="H284" i="158"/>
  <c r="P283" i="158"/>
  <c r="N283" i="158"/>
  <c r="M283" i="158"/>
  <c r="L283" i="158"/>
  <c r="K283" i="158"/>
  <c r="H283" i="158"/>
  <c r="P282" i="158"/>
  <c r="N282" i="158"/>
  <c r="M282" i="158"/>
  <c r="L282" i="158"/>
  <c r="K282" i="158"/>
  <c r="H282" i="158"/>
  <c r="P281" i="158"/>
  <c r="N281" i="158"/>
  <c r="M281" i="158"/>
  <c r="L281" i="158"/>
  <c r="K281" i="158"/>
  <c r="H281" i="158"/>
  <c r="P280" i="158"/>
  <c r="N280" i="158"/>
  <c r="M280" i="158"/>
  <c r="L280" i="158"/>
  <c r="K280" i="158"/>
  <c r="H280" i="158"/>
  <c r="P279" i="158"/>
  <c r="N279" i="158"/>
  <c r="M279" i="158"/>
  <c r="L279" i="158"/>
  <c r="K279" i="158"/>
  <c r="H279" i="158"/>
  <c r="P278" i="158"/>
  <c r="N278" i="158"/>
  <c r="M278" i="158"/>
  <c r="L278" i="158"/>
  <c r="K278" i="158"/>
  <c r="H278" i="158"/>
  <c r="P277" i="158"/>
  <c r="N277" i="158"/>
  <c r="M277" i="158"/>
  <c r="L277" i="158"/>
  <c r="K277" i="158"/>
  <c r="H277" i="158"/>
  <c r="P276" i="158"/>
  <c r="N276" i="158"/>
  <c r="M276" i="158"/>
  <c r="L276" i="158"/>
  <c r="K276" i="158"/>
  <c r="H276" i="158"/>
  <c r="P275" i="158"/>
  <c r="N275" i="158"/>
  <c r="M275" i="158"/>
  <c r="L275" i="158"/>
  <c r="K275" i="158"/>
  <c r="H275" i="158"/>
  <c r="P274" i="158"/>
  <c r="N274" i="158"/>
  <c r="M274" i="158"/>
  <c r="L274" i="158"/>
  <c r="K274" i="158"/>
  <c r="H274" i="158"/>
  <c r="P273" i="158"/>
  <c r="N273" i="158"/>
  <c r="M273" i="158"/>
  <c r="L273" i="158"/>
  <c r="K273" i="158"/>
  <c r="H273" i="158"/>
  <c r="P272" i="158"/>
  <c r="N272" i="158"/>
  <c r="M272" i="158"/>
  <c r="L272" i="158"/>
  <c r="K272" i="158"/>
  <c r="H272" i="158"/>
  <c r="P271" i="158"/>
  <c r="N271" i="158"/>
  <c r="M271" i="158"/>
  <c r="L271" i="158"/>
  <c r="K271" i="158"/>
  <c r="H271" i="158"/>
  <c r="P270" i="158"/>
  <c r="N270" i="158"/>
  <c r="M270" i="158"/>
  <c r="L270" i="158"/>
  <c r="K270" i="158"/>
  <c r="H270" i="158"/>
  <c r="P269" i="158"/>
  <c r="N269" i="158"/>
  <c r="M269" i="158"/>
  <c r="L269" i="158"/>
  <c r="K269" i="158"/>
  <c r="H269" i="158"/>
  <c r="P268" i="158"/>
  <c r="N268" i="158"/>
  <c r="M268" i="158"/>
  <c r="L268" i="158"/>
  <c r="K268" i="158"/>
  <c r="H268" i="158"/>
  <c r="P267" i="158"/>
  <c r="N267" i="158"/>
  <c r="M267" i="158"/>
  <c r="L267" i="158"/>
  <c r="K267" i="158"/>
  <c r="H267" i="158"/>
  <c r="P266" i="158"/>
  <c r="N266" i="158"/>
  <c r="M266" i="158"/>
  <c r="L266" i="158"/>
  <c r="K266" i="158"/>
  <c r="H266" i="158"/>
  <c r="P265" i="158"/>
  <c r="N265" i="158"/>
  <c r="M265" i="158"/>
  <c r="L265" i="158"/>
  <c r="K265" i="158"/>
  <c r="H265" i="158"/>
  <c r="P264" i="158"/>
  <c r="N264" i="158"/>
  <c r="M264" i="158"/>
  <c r="L264" i="158"/>
  <c r="K264" i="158"/>
  <c r="H264" i="158"/>
  <c r="P263" i="158"/>
  <c r="N263" i="158"/>
  <c r="M263" i="158"/>
  <c r="L263" i="158"/>
  <c r="K263" i="158"/>
  <c r="H263" i="158"/>
  <c r="P262" i="158"/>
  <c r="N262" i="158"/>
  <c r="M262" i="158"/>
  <c r="L262" i="158"/>
  <c r="K262" i="158"/>
  <c r="H262" i="158"/>
  <c r="P261" i="158"/>
  <c r="N261" i="158"/>
  <c r="M261" i="158"/>
  <c r="L261" i="158"/>
  <c r="K261" i="158"/>
  <c r="H261" i="158"/>
  <c r="P260" i="158"/>
  <c r="N260" i="158"/>
  <c r="M260" i="158"/>
  <c r="L260" i="158"/>
  <c r="K260" i="158"/>
  <c r="H260" i="158"/>
  <c r="P259" i="158"/>
  <c r="N259" i="158"/>
  <c r="M259" i="158"/>
  <c r="L259" i="158"/>
  <c r="K259" i="158"/>
  <c r="H259" i="158"/>
  <c r="P258" i="158"/>
  <c r="N258" i="158"/>
  <c r="M258" i="158"/>
  <c r="L258" i="158"/>
  <c r="K258" i="158"/>
  <c r="H258" i="158"/>
  <c r="P257" i="158"/>
  <c r="N257" i="158"/>
  <c r="M257" i="158"/>
  <c r="L257" i="158"/>
  <c r="K257" i="158"/>
  <c r="H257" i="158"/>
  <c r="P256" i="158"/>
  <c r="N256" i="158"/>
  <c r="M256" i="158"/>
  <c r="L256" i="158"/>
  <c r="K256" i="158"/>
  <c r="H256" i="158"/>
  <c r="P255" i="158"/>
  <c r="N255" i="158"/>
  <c r="M255" i="158"/>
  <c r="L255" i="158"/>
  <c r="K255" i="158"/>
  <c r="H255" i="158"/>
  <c r="P254" i="158"/>
  <c r="N254" i="158"/>
  <c r="M254" i="158"/>
  <c r="L254" i="158"/>
  <c r="K254" i="158"/>
  <c r="H254" i="158"/>
  <c r="P253" i="158"/>
  <c r="N253" i="158"/>
  <c r="M253" i="158"/>
  <c r="L253" i="158"/>
  <c r="K253" i="158"/>
  <c r="H253" i="158"/>
  <c r="P252" i="158"/>
  <c r="N252" i="158"/>
  <c r="M252" i="158"/>
  <c r="L252" i="158"/>
  <c r="K252" i="158"/>
  <c r="H252" i="158"/>
  <c r="P251" i="158"/>
  <c r="N251" i="158"/>
  <c r="M251" i="158"/>
  <c r="L251" i="158"/>
  <c r="K251" i="158"/>
  <c r="H251" i="158"/>
  <c r="P250" i="158"/>
  <c r="N250" i="158"/>
  <c r="M250" i="158"/>
  <c r="L250" i="158"/>
  <c r="K250" i="158"/>
  <c r="H250" i="158"/>
  <c r="P249" i="158"/>
  <c r="N249" i="158"/>
  <c r="M249" i="158"/>
  <c r="L249" i="158"/>
  <c r="K249" i="158"/>
  <c r="H249" i="158"/>
  <c r="P248" i="158"/>
  <c r="N248" i="158"/>
  <c r="M248" i="158"/>
  <c r="L248" i="158"/>
  <c r="K248" i="158"/>
  <c r="H248" i="158"/>
  <c r="P247" i="158"/>
  <c r="N247" i="158"/>
  <c r="M247" i="158"/>
  <c r="L247" i="158"/>
  <c r="K247" i="158"/>
  <c r="H247" i="158"/>
  <c r="P246" i="158"/>
  <c r="N246" i="158"/>
  <c r="M246" i="158"/>
  <c r="L246" i="158"/>
  <c r="K246" i="158"/>
  <c r="H246" i="158"/>
  <c r="P245" i="158"/>
  <c r="N245" i="158"/>
  <c r="M245" i="158"/>
  <c r="L245" i="158"/>
  <c r="K245" i="158"/>
  <c r="H245" i="158"/>
  <c r="P244" i="158"/>
  <c r="N244" i="158"/>
  <c r="M244" i="158"/>
  <c r="L244" i="158"/>
  <c r="K244" i="158"/>
  <c r="H244" i="158"/>
  <c r="P243" i="158"/>
  <c r="N243" i="158"/>
  <c r="M243" i="158"/>
  <c r="L243" i="158"/>
  <c r="K243" i="158"/>
  <c r="H243" i="158"/>
  <c r="P242" i="158"/>
  <c r="N242" i="158"/>
  <c r="M242" i="158"/>
  <c r="L242" i="158"/>
  <c r="K242" i="158"/>
  <c r="H242" i="158"/>
  <c r="P241" i="158"/>
  <c r="N241" i="158"/>
  <c r="M241" i="158"/>
  <c r="L241" i="158"/>
  <c r="K241" i="158"/>
  <c r="H241" i="158"/>
  <c r="P240" i="158"/>
  <c r="N240" i="158"/>
  <c r="M240" i="158"/>
  <c r="L240" i="158"/>
  <c r="K240" i="158"/>
  <c r="H240" i="158"/>
  <c r="P239" i="158"/>
  <c r="N239" i="158"/>
  <c r="M239" i="158"/>
  <c r="L239" i="158"/>
  <c r="K239" i="158"/>
  <c r="H239" i="158"/>
  <c r="P238" i="158"/>
  <c r="N238" i="158"/>
  <c r="M238" i="158"/>
  <c r="L238" i="158"/>
  <c r="K238" i="158"/>
  <c r="H238" i="158"/>
  <c r="P237" i="158"/>
  <c r="N237" i="158"/>
  <c r="M237" i="158"/>
  <c r="L237" i="158"/>
  <c r="K237" i="158"/>
  <c r="H237" i="158"/>
  <c r="P236" i="158"/>
  <c r="N236" i="158"/>
  <c r="M236" i="158"/>
  <c r="L236" i="158"/>
  <c r="K236" i="158"/>
  <c r="H236" i="158"/>
  <c r="P235" i="158"/>
  <c r="N235" i="158"/>
  <c r="M235" i="158"/>
  <c r="L235" i="158"/>
  <c r="K235" i="158"/>
  <c r="H235" i="158"/>
  <c r="P234" i="158"/>
  <c r="N234" i="158"/>
  <c r="M234" i="158"/>
  <c r="L234" i="158"/>
  <c r="K234" i="158"/>
  <c r="H234" i="158"/>
  <c r="P233" i="158"/>
  <c r="N233" i="158"/>
  <c r="M233" i="158"/>
  <c r="L233" i="158"/>
  <c r="K233" i="158"/>
  <c r="H233" i="158"/>
  <c r="P232" i="158"/>
  <c r="N232" i="158"/>
  <c r="M232" i="158"/>
  <c r="L232" i="158"/>
  <c r="K232" i="158"/>
  <c r="H232" i="158"/>
  <c r="P231" i="158"/>
  <c r="N231" i="158"/>
  <c r="M231" i="158"/>
  <c r="L231" i="158"/>
  <c r="K231" i="158"/>
  <c r="H231" i="158"/>
  <c r="P230" i="158"/>
  <c r="N230" i="158"/>
  <c r="M230" i="158"/>
  <c r="L230" i="158"/>
  <c r="K230" i="158"/>
  <c r="H230" i="158"/>
  <c r="P229" i="158"/>
  <c r="N229" i="158"/>
  <c r="M229" i="158"/>
  <c r="L229" i="158"/>
  <c r="K229" i="158"/>
  <c r="H229" i="158"/>
  <c r="P228" i="158"/>
  <c r="N228" i="158"/>
  <c r="M228" i="158"/>
  <c r="L228" i="158"/>
  <c r="K228" i="158"/>
  <c r="H228" i="158"/>
  <c r="P227" i="158"/>
  <c r="N227" i="158"/>
  <c r="M227" i="158"/>
  <c r="L227" i="158"/>
  <c r="K227" i="158"/>
  <c r="H227" i="158"/>
  <c r="P226" i="158"/>
  <c r="N226" i="158"/>
  <c r="M226" i="158"/>
  <c r="L226" i="158"/>
  <c r="K226" i="158"/>
  <c r="H226" i="158"/>
  <c r="P225" i="158"/>
  <c r="N225" i="158"/>
  <c r="M225" i="158"/>
  <c r="L225" i="158"/>
  <c r="K225" i="158"/>
  <c r="H225" i="158"/>
  <c r="P224" i="158"/>
  <c r="N224" i="158"/>
  <c r="M224" i="158"/>
  <c r="L224" i="158"/>
  <c r="K224" i="158"/>
  <c r="H224" i="158"/>
  <c r="P223" i="158"/>
  <c r="N223" i="158"/>
  <c r="M223" i="158"/>
  <c r="L223" i="158"/>
  <c r="K223" i="158"/>
  <c r="H223" i="158"/>
  <c r="P222" i="158"/>
  <c r="N222" i="158"/>
  <c r="M222" i="158"/>
  <c r="L222" i="158"/>
  <c r="K222" i="158"/>
  <c r="H222" i="158"/>
  <c r="P221" i="158"/>
  <c r="N221" i="158"/>
  <c r="M221" i="158"/>
  <c r="L221" i="158"/>
  <c r="K221" i="158"/>
  <c r="H221" i="158"/>
  <c r="P220" i="158"/>
  <c r="N220" i="158"/>
  <c r="M220" i="158"/>
  <c r="L220" i="158"/>
  <c r="K220" i="158"/>
  <c r="H220" i="158"/>
  <c r="P219" i="158"/>
  <c r="N219" i="158"/>
  <c r="M219" i="158"/>
  <c r="L219" i="158"/>
  <c r="K219" i="158"/>
  <c r="H219" i="158"/>
  <c r="P218" i="158"/>
  <c r="N218" i="158"/>
  <c r="M218" i="158"/>
  <c r="L218" i="158"/>
  <c r="K218" i="158"/>
  <c r="H218" i="158"/>
  <c r="P217" i="158"/>
  <c r="N217" i="158"/>
  <c r="M217" i="158"/>
  <c r="L217" i="158"/>
  <c r="K217" i="158"/>
  <c r="H217" i="158"/>
  <c r="P216" i="158"/>
  <c r="N216" i="158"/>
  <c r="M216" i="158"/>
  <c r="L216" i="158"/>
  <c r="K216" i="158"/>
  <c r="H216" i="158"/>
  <c r="P215" i="158"/>
  <c r="N215" i="158"/>
  <c r="M215" i="158"/>
  <c r="L215" i="158"/>
  <c r="K215" i="158"/>
  <c r="H215" i="158"/>
  <c r="P214" i="158"/>
  <c r="N214" i="158"/>
  <c r="M214" i="158"/>
  <c r="L214" i="158"/>
  <c r="K214" i="158"/>
  <c r="H214" i="158"/>
  <c r="P213" i="158"/>
  <c r="N213" i="158"/>
  <c r="M213" i="158"/>
  <c r="L213" i="158"/>
  <c r="K213" i="158"/>
  <c r="H213" i="158"/>
  <c r="P212" i="158"/>
  <c r="N212" i="158"/>
  <c r="M212" i="158"/>
  <c r="L212" i="158"/>
  <c r="K212" i="158"/>
  <c r="H212" i="158"/>
  <c r="P211" i="158"/>
  <c r="N211" i="158"/>
  <c r="M211" i="158"/>
  <c r="L211" i="158"/>
  <c r="K211" i="158"/>
  <c r="H211" i="158"/>
  <c r="P210" i="158"/>
  <c r="N210" i="158"/>
  <c r="M210" i="158"/>
  <c r="L210" i="158"/>
  <c r="K210" i="158"/>
  <c r="H210" i="158"/>
  <c r="P209" i="158"/>
  <c r="N209" i="158"/>
  <c r="M209" i="158"/>
  <c r="L209" i="158"/>
  <c r="K209" i="158"/>
  <c r="H209" i="158"/>
  <c r="P208" i="158"/>
  <c r="N208" i="158"/>
  <c r="M208" i="158"/>
  <c r="L208" i="158"/>
  <c r="K208" i="158"/>
  <c r="H208" i="158"/>
  <c r="P207" i="158"/>
  <c r="N207" i="158"/>
  <c r="M207" i="158"/>
  <c r="L207" i="158"/>
  <c r="K207" i="158"/>
  <c r="H207" i="158"/>
  <c r="P206" i="158"/>
  <c r="N206" i="158"/>
  <c r="M206" i="158"/>
  <c r="L206" i="158"/>
  <c r="K206" i="158"/>
  <c r="H206" i="158"/>
  <c r="P205" i="158"/>
  <c r="N205" i="158"/>
  <c r="M205" i="158"/>
  <c r="L205" i="158"/>
  <c r="K205" i="158"/>
  <c r="H205" i="158"/>
  <c r="P204" i="158"/>
  <c r="N204" i="158"/>
  <c r="M204" i="158"/>
  <c r="L204" i="158"/>
  <c r="K204" i="158"/>
  <c r="H204" i="158"/>
  <c r="P203" i="158"/>
  <c r="N203" i="158"/>
  <c r="M203" i="158"/>
  <c r="L203" i="158"/>
  <c r="K203" i="158"/>
  <c r="H203" i="158"/>
  <c r="P202" i="158"/>
  <c r="N202" i="158"/>
  <c r="M202" i="158"/>
  <c r="L202" i="158"/>
  <c r="K202" i="158"/>
  <c r="H202" i="158"/>
  <c r="P201" i="158"/>
  <c r="N201" i="158"/>
  <c r="M201" i="158"/>
  <c r="L201" i="158"/>
  <c r="K201" i="158"/>
  <c r="H201" i="158"/>
  <c r="P200" i="158"/>
  <c r="N200" i="158"/>
  <c r="M200" i="158"/>
  <c r="L200" i="158"/>
  <c r="K200" i="158"/>
  <c r="H200" i="158"/>
  <c r="P199" i="158"/>
  <c r="N199" i="158"/>
  <c r="M199" i="158"/>
  <c r="L199" i="158"/>
  <c r="K199" i="158"/>
  <c r="H199" i="158"/>
  <c r="P198" i="158"/>
  <c r="N198" i="158"/>
  <c r="M198" i="158"/>
  <c r="L198" i="158"/>
  <c r="K198" i="158"/>
  <c r="H198" i="158"/>
  <c r="P197" i="158"/>
  <c r="N197" i="158"/>
  <c r="M197" i="158"/>
  <c r="L197" i="158"/>
  <c r="K197" i="158"/>
  <c r="H197" i="158"/>
  <c r="P196" i="158"/>
  <c r="N196" i="158"/>
  <c r="M196" i="158"/>
  <c r="L196" i="158"/>
  <c r="K196" i="158"/>
  <c r="H196" i="158"/>
  <c r="P195" i="158"/>
  <c r="N195" i="158"/>
  <c r="M195" i="158"/>
  <c r="L195" i="158"/>
  <c r="K195" i="158"/>
  <c r="H195" i="158"/>
  <c r="P194" i="158"/>
  <c r="N194" i="158"/>
  <c r="M194" i="158"/>
  <c r="L194" i="158"/>
  <c r="K194" i="158"/>
  <c r="H194" i="158"/>
  <c r="P193" i="158"/>
  <c r="N193" i="158"/>
  <c r="M193" i="158"/>
  <c r="L193" i="158"/>
  <c r="K193" i="158"/>
  <c r="H193" i="158"/>
  <c r="P192" i="158"/>
  <c r="N192" i="158"/>
  <c r="M192" i="158"/>
  <c r="L192" i="158"/>
  <c r="K192" i="158"/>
  <c r="H192" i="158"/>
  <c r="P191" i="158"/>
  <c r="N191" i="158"/>
  <c r="M191" i="158"/>
  <c r="L191" i="158"/>
  <c r="K191" i="158"/>
  <c r="H191" i="158"/>
  <c r="P190" i="158"/>
  <c r="N190" i="158"/>
  <c r="M190" i="158"/>
  <c r="L190" i="158"/>
  <c r="K190" i="158"/>
  <c r="H190" i="158"/>
  <c r="P189" i="158"/>
  <c r="N189" i="158"/>
  <c r="M189" i="158"/>
  <c r="L189" i="158"/>
  <c r="K189" i="158"/>
  <c r="H189" i="158"/>
  <c r="P188" i="158"/>
  <c r="N188" i="158"/>
  <c r="M188" i="158"/>
  <c r="L188" i="158"/>
  <c r="K188" i="158"/>
  <c r="H188" i="158"/>
  <c r="P187" i="158"/>
  <c r="N187" i="158"/>
  <c r="M187" i="158"/>
  <c r="L187" i="158"/>
  <c r="K187" i="158"/>
  <c r="H187" i="158"/>
  <c r="P186" i="158"/>
  <c r="N186" i="158"/>
  <c r="M186" i="158"/>
  <c r="L186" i="158"/>
  <c r="K186" i="158"/>
  <c r="H186" i="158"/>
  <c r="P185" i="158"/>
  <c r="N185" i="158"/>
  <c r="M185" i="158"/>
  <c r="L185" i="158"/>
  <c r="K185" i="158"/>
  <c r="H185" i="158"/>
  <c r="P184" i="158"/>
  <c r="N184" i="158"/>
  <c r="M184" i="158"/>
  <c r="L184" i="158"/>
  <c r="K184" i="158"/>
  <c r="H184" i="158"/>
  <c r="P183" i="158"/>
  <c r="N183" i="158"/>
  <c r="M183" i="158"/>
  <c r="L183" i="158"/>
  <c r="K183" i="158"/>
  <c r="H183" i="158"/>
  <c r="P182" i="158"/>
  <c r="N182" i="158"/>
  <c r="M182" i="158"/>
  <c r="L182" i="158"/>
  <c r="K182" i="158"/>
  <c r="H182" i="158"/>
  <c r="P181" i="158"/>
  <c r="N181" i="158"/>
  <c r="M181" i="158"/>
  <c r="L181" i="158"/>
  <c r="K181" i="158"/>
  <c r="H181" i="158"/>
  <c r="P180" i="158"/>
  <c r="N180" i="158"/>
  <c r="M180" i="158"/>
  <c r="L180" i="158"/>
  <c r="K180" i="158"/>
  <c r="H180" i="158"/>
  <c r="P179" i="158"/>
  <c r="N179" i="158"/>
  <c r="M179" i="158"/>
  <c r="L179" i="158"/>
  <c r="K179" i="158"/>
  <c r="H179" i="158"/>
  <c r="P178" i="158"/>
  <c r="N178" i="158"/>
  <c r="M178" i="158"/>
  <c r="L178" i="158"/>
  <c r="K178" i="158"/>
  <c r="H178" i="158"/>
  <c r="P177" i="158"/>
  <c r="N177" i="158"/>
  <c r="M177" i="158"/>
  <c r="L177" i="158"/>
  <c r="K177" i="158"/>
  <c r="H177" i="158"/>
  <c r="P176" i="158"/>
  <c r="N176" i="158"/>
  <c r="M176" i="158"/>
  <c r="L176" i="158"/>
  <c r="K176" i="158"/>
  <c r="H176" i="158"/>
  <c r="P175" i="158"/>
  <c r="N175" i="158"/>
  <c r="M175" i="158"/>
  <c r="L175" i="158"/>
  <c r="K175" i="158"/>
  <c r="H175" i="158"/>
  <c r="P174" i="158"/>
  <c r="N174" i="158"/>
  <c r="M174" i="158"/>
  <c r="L174" i="158"/>
  <c r="K174" i="158"/>
  <c r="H174" i="158"/>
  <c r="P173" i="158"/>
  <c r="N173" i="158"/>
  <c r="M173" i="158"/>
  <c r="L173" i="158"/>
  <c r="K173" i="158"/>
  <c r="H173" i="158"/>
  <c r="P172" i="158"/>
  <c r="N172" i="158"/>
  <c r="M172" i="158"/>
  <c r="L172" i="158"/>
  <c r="K172" i="158"/>
  <c r="H172" i="158"/>
  <c r="P171" i="158"/>
  <c r="N171" i="158"/>
  <c r="M171" i="158"/>
  <c r="L171" i="158"/>
  <c r="K171" i="158"/>
  <c r="H171" i="158"/>
  <c r="P170" i="158"/>
  <c r="N170" i="158"/>
  <c r="M170" i="158"/>
  <c r="L170" i="158"/>
  <c r="K170" i="158"/>
  <c r="H170" i="158"/>
  <c r="P169" i="158"/>
  <c r="N169" i="158"/>
  <c r="M169" i="158"/>
  <c r="L169" i="158"/>
  <c r="K169" i="158"/>
  <c r="H169" i="158"/>
  <c r="P168" i="158"/>
  <c r="N168" i="158"/>
  <c r="M168" i="158"/>
  <c r="L168" i="158"/>
  <c r="K168" i="158"/>
  <c r="H168" i="158"/>
  <c r="P167" i="158"/>
  <c r="N167" i="158"/>
  <c r="M167" i="158"/>
  <c r="L167" i="158"/>
  <c r="K167" i="158"/>
  <c r="H167" i="158"/>
  <c r="P166" i="158"/>
  <c r="N166" i="158"/>
  <c r="M166" i="158"/>
  <c r="L166" i="158"/>
  <c r="K166" i="158"/>
  <c r="H166" i="158"/>
  <c r="P165" i="158"/>
  <c r="N165" i="158"/>
  <c r="M165" i="158"/>
  <c r="L165" i="158"/>
  <c r="K165" i="158"/>
  <c r="H165" i="158"/>
  <c r="P164" i="158"/>
  <c r="N164" i="158"/>
  <c r="M164" i="158"/>
  <c r="L164" i="158"/>
  <c r="K164" i="158"/>
  <c r="H164" i="158"/>
  <c r="P163" i="158"/>
  <c r="N163" i="158"/>
  <c r="M163" i="158"/>
  <c r="L163" i="158"/>
  <c r="K163" i="158"/>
  <c r="H163" i="158"/>
  <c r="P162" i="158"/>
  <c r="N162" i="158"/>
  <c r="M162" i="158"/>
  <c r="L162" i="158"/>
  <c r="K162" i="158"/>
  <c r="H162" i="158"/>
  <c r="P161" i="158"/>
  <c r="N161" i="158"/>
  <c r="M161" i="158"/>
  <c r="L161" i="158"/>
  <c r="K161" i="158"/>
  <c r="H161" i="158"/>
  <c r="P160" i="158"/>
  <c r="N160" i="158"/>
  <c r="M160" i="158"/>
  <c r="L160" i="158"/>
  <c r="K160" i="158"/>
  <c r="H160" i="158"/>
  <c r="P159" i="158"/>
  <c r="N159" i="158"/>
  <c r="M159" i="158"/>
  <c r="L159" i="158"/>
  <c r="K159" i="158"/>
  <c r="H159" i="158"/>
  <c r="P158" i="158"/>
  <c r="N158" i="158"/>
  <c r="M158" i="158"/>
  <c r="L158" i="158"/>
  <c r="K158" i="158"/>
  <c r="H158" i="158"/>
  <c r="P157" i="158"/>
  <c r="N157" i="158"/>
  <c r="M157" i="158"/>
  <c r="L157" i="158"/>
  <c r="K157" i="158"/>
  <c r="H157" i="158"/>
  <c r="P156" i="158"/>
  <c r="N156" i="158"/>
  <c r="M156" i="158"/>
  <c r="L156" i="158"/>
  <c r="K156" i="158"/>
  <c r="H156" i="158"/>
  <c r="P155" i="158"/>
  <c r="N155" i="158"/>
  <c r="M155" i="158"/>
  <c r="L155" i="158"/>
  <c r="K155" i="158"/>
  <c r="H155" i="158"/>
  <c r="P154" i="158"/>
  <c r="N154" i="158"/>
  <c r="M154" i="158"/>
  <c r="L154" i="158"/>
  <c r="K154" i="158"/>
  <c r="H154" i="158"/>
  <c r="P153" i="158"/>
  <c r="N153" i="158"/>
  <c r="M153" i="158"/>
  <c r="L153" i="158"/>
  <c r="K153" i="158"/>
  <c r="H153" i="158"/>
  <c r="P152" i="158"/>
  <c r="N152" i="158"/>
  <c r="M152" i="158"/>
  <c r="L152" i="158"/>
  <c r="K152" i="158"/>
  <c r="H152" i="158"/>
  <c r="P151" i="158"/>
  <c r="N151" i="158"/>
  <c r="M151" i="158"/>
  <c r="L151" i="158"/>
  <c r="K151" i="158"/>
  <c r="H151" i="158"/>
  <c r="P150" i="158"/>
  <c r="N150" i="158"/>
  <c r="M150" i="158"/>
  <c r="L150" i="158"/>
  <c r="K150" i="158"/>
  <c r="H150" i="158"/>
  <c r="P149" i="158"/>
  <c r="N149" i="158"/>
  <c r="M149" i="158"/>
  <c r="L149" i="158"/>
  <c r="K149" i="158"/>
  <c r="H149" i="158"/>
  <c r="P148" i="158"/>
  <c r="N148" i="158"/>
  <c r="M148" i="158"/>
  <c r="L148" i="158"/>
  <c r="K148" i="158"/>
  <c r="H148" i="158"/>
  <c r="P147" i="158"/>
  <c r="N147" i="158"/>
  <c r="M147" i="158"/>
  <c r="L147" i="158"/>
  <c r="K147" i="158"/>
  <c r="H147" i="158"/>
  <c r="P146" i="158"/>
  <c r="N146" i="158"/>
  <c r="M146" i="158"/>
  <c r="L146" i="158"/>
  <c r="K146" i="158"/>
  <c r="H146" i="158"/>
  <c r="P145" i="158"/>
  <c r="N145" i="158"/>
  <c r="M145" i="158"/>
  <c r="L145" i="158"/>
  <c r="K145" i="158"/>
  <c r="H145" i="158"/>
  <c r="P144" i="158"/>
  <c r="N144" i="158"/>
  <c r="M144" i="158"/>
  <c r="L144" i="158"/>
  <c r="K144" i="158"/>
  <c r="H144" i="158"/>
  <c r="P143" i="158"/>
  <c r="N143" i="158"/>
  <c r="M143" i="158"/>
  <c r="L143" i="158"/>
  <c r="K143" i="158"/>
  <c r="H143" i="158"/>
  <c r="P142" i="158"/>
  <c r="N142" i="158"/>
  <c r="M142" i="158"/>
  <c r="L142" i="158"/>
  <c r="K142" i="158"/>
  <c r="H142" i="158"/>
  <c r="P141" i="158"/>
  <c r="N141" i="158"/>
  <c r="M141" i="158"/>
  <c r="L141" i="158"/>
  <c r="K141" i="158"/>
  <c r="H141" i="158"/>
  <c r="P140" i="158"/>
  <c r="N140" i="158"/>
  <c r="M140" i="158"/>
  <c r="L140" i="158"/>
  <c r="K140" i="158"/>
  <c r="H140" i="158"/>
  <c r="P139" i="158"/>
  <c r="N139" i="158"/>
  <c r="M139" i="158"/>
  <c r="L139" i="158"/>
  <c r="K139" i="158"/>
  <c r="H139" i="158"/>
  <c r="P138" i="158"/>
  <c r="N138" i="158"/>
  <c r="M138" i="158"/>
  <c r="L138" i="158"/>
  <c r="K138" i="158"/>
  <c r="H138" i="158"/>
  <c r="P137" i="158"/>
  <c r="N137" i="158"/>
  <c r="M137" i="158"/>
  <c r="L137" i="158"/>
  <c r="K137" i="158"/>
  <c r="H137" i="158"/>
  <c r="P136" i="158"/>
  <c r="N136" i="158"/>
  <c r="M136" i="158"/>
  <c r="L136" i="158"/>
  <c r="K136" i="158"/>
  <c r="H136" i="158"/>
  <c r="P135" i="158"/>
  <c r="N135" i="158"/>
  <c r="M135" i="158"/>
  <c r="L135" i="158"/>
  <c r="K135" i="158"/>
  <c r="H135" i="158"/>
  <c r="P134" i="158"/>
  <c r="N134" i="158"/>
  <c r="M134" i="158"/>
  <c r="L134" i="158"/>
  <c r="K134" i="158"/>
  <c r="H134" i="158"/>
  <c r="P133" i="158"/>
  <c r="N133" i="158"/>
  <c r="M133" i="158"/>
  <c r="L133" i="158"/>
  <c r="K133" i="158"/>
  <c r="H133" i="158"/>
  <c r="P132" i="158"/>
  <c r="N132" i="158"/>
  <c r="M132" i="158"/>
  <c r="L132" i="158"/>
  <c r="K132" i="158"/>
  <c r="H132" i="158"/>
  <c r="P131" i="158"/>
  <c r="N131" i="158"/>
  <c r="M131" i="158"/>
  <c r="L131" i="158"/>
  <c r="K131" i="158"/>
  <c r="H131" i="158"/>
  <c r="P130" i="158"/>
  <c r="N130" i="158"/>
  <c r="M130" i="158"/>
  <c r="L130" i="158"/>
  <c r="K130" i="158"/>
  <c r="H130" i="158"/>
  <c r="P129" i="158"/>
  <c r="N129" i="158"/>
  <c r="M129" i="158"/>
  <c r="L129" i="158"/>
  <c r="K129" i="158"/>
  <c r="H129" i="158"/>
  <c r="P128" i="158"/>
  <c r="N128" i="158"/>
  <c r="M128" i="158"/>
  <c r="L128" i="158"/>
  <c r="K128" i="158"/>
  <c r="H128" i="158"/>
  <c r="P127" i="158"/>
  <c r="N127" i="158"/>
  <c r="M127" i="158"/>
  <c r="L127" i="158"/>
  <c r="K127" i="158"/>
  <c r="H127" i="158"/>
  <c r="P126" i="158"/>
  <c r="N126" i="158"/>
  <c r="M126" i="158"/>
  <c r="L126" i="158"/>
  <c r="K126" i="158"/>
  <c r="H126" i="158"/>
  <c r="P125" i="158"/>
  <c r="N125" i="158"/>
  <c r="M125" i="158"/>
  <c r="L125" i="158"/>
  <c r="K125" i="158"/>
  <c r="H125" i="158"/>
  <c r="P124" i="158"/>
  <c r="N124" i="158"/>
  <c r="M124" i="158"/>
  <c r="L124" i="158"/>
  <c r="K124" i="158"/>
  <c r="H124" i="158"/>
  <c r="P123" i="158"/>
  <c r="N123" i="158"/>
  <c r="M123" i="158"/>
  <c r="L123" i="158"/>
  <c r="K123" i="158"/>
  <c r="H123" i="158"/>
  <c r="P122" i="158"/>
  <c r="N122" i="158"/>
  <c r="M122" i="158"/>
  <c r="L122" i="158"/>
  <c r="K122" i="158"/>
  <c r="H122" i="158"/>
  <c r="P121" i="158"/>
  <c r="N121" i="158"/>
  <c r="M121" i="158"/>
  <c r="L121" i="158"/>
  <c r="K121" i="158"/>
  <c r="H121" i="158"/>
  <c r="P120" i="158"/>
  <c r="N120" i="158"/>
  <c r="M120" i="158"/>
  <c r="L120" i="158"/>
  <c r="K120" i="158"/>
  <c r="H120" i="158"/>
  <c r="P119" i="158"/>
  <c r="N119" i="158"/>
  <c r="M119" i="158"/>
  <c r="L119" i="158"/>
  <c r="K119" i="158"/>
  <c r="H119" i="158"/>
  <c r="P118" i="158"/>
  <c r="N118" i="158"/>
  <c r="M118" i="158"/>
  <c r="L118" i="158"/>
  <c r="K118" i="158"/>
  <c r="H118" i="158"/>
  <c r="P117" i="158"/>
  <c r="N117" i="158"/>
  <c r="M117" i="158"/>
  <c r="L117" i="158"/>
  <c r="K117" i="158"/>
  <c r="H117" i="158"/>
  <c r="P116" i="158"/>
  <c r="N116" i="158"/>
  <c r="M116" i="158"/>
  <c r="L116" i="158"/>
  <c r="K116" i="158"/>
  <c r="H116" i="158"/>
  <c r="P115" i="158"/>
  <c r="N115" i="158"/>
  <c r="M115" i="158"/>
  <c r="L115" i="158"/>
  <c r="K115" i="158"/>
  <c r="H115" i="158"/>
  <c r="P114" i="158"/>
  <c r="N114" i="158"/>
  <c r="M114" i="158"/>
  <c r="L114" i="158"/>
  <c r="K114" i="158"/>
  <c r="H114" i="158"/>
  <c r="P113" i="158"/>
  <c r="N113" i="158"/>
  <c r="M113" i="158"/>
  <c r="L113" i="158"/>
  <c r="K113" i="158"/>
  <c r="H113" i="158"/>
  <c r="P112" i="158"/>
  <c r="N112" i="158"/>
  <c r="M112" i="158"/>
  <c r="L112" i="158"/>
  <c r="K112" i="158"/>
  <c r="H112" i="158"/>
  <c r="P111" i="158"/>
  <c r="N111" i="158"/>
  <c r="M111" i="158"/>
  <c r="L111" i="158"/>
  <c r="K111" i="158"/>
  <c r="H111" i="158"/>
  <c r="P110" i="158"/>
  <c r="N110" i="158"/>
  <c r="M110" i="158"/>
  <c r="L110" i="158"/>
  <c r="K110" i="158"/>
  <c r="H110" i="158"/>
  <c r="P109" i="158"/>
  <c r="N109" i="158"/>
  <c r="M109" i="158"/>
  <c r="L109" i="158"/>
  <c r="K109" i="158"/>
  <c r="H109" i="158"/>
  <c r="P108" i="158"/>
  <c r="N108" i="158"/>
  <c r="M108" i="158"/>
  <c r="L108" i="158"/>
  <c r="K108" i="158"/>
  <c r="H108" i="158"/>
  <c r="P107" i="158"/>
  <c r="N107" i="158"/>
  <c r="M107" i="158"/>
  <c r="L107" i="158"/>
  <c r="K107" i="158"/>
  <c r="H107" i="158"/>
  <c r="P106" i="158"/>
  <c r="N106" i="158"/>
  <c r="M106" i="158"/>
  <c r="L106" i="158"/>
  <c r="K106" i="158"/>
  <c r="H106" i="158"/>
  <c r="P105" i="158"/>
  <c r="N105" i="158"/>
  <c r="M105" i="158"/>
  <c r="L105" i="158"/>
  <c r="K105" i="158"/>
  <c r="H105" i="158"/>
  <c r="P104" i="158"/>
  <c r="N104" i="158"/>
  <c r="M104" i="158"/>
  <c r="L104" i="158"/>
  <c r="K104" i="158"/>
  <c r="H104" i="158"/>
  <c r="P103" i="158"/>
  <c r="N103" i="158"/>
  <c r="M103" i="158"/>
  <c r="L103" i="158"/>
  <c r="K103" i="158"/>
  <c r="H103" i="158"/>
  <c r="P102" i="158"/>
  <c r="N102" i="158"/>
  <c r="M102" i="158"/>
  <c r="L102" i="158"/>
  <c r="K102" i="158"/>
  <c r="H102" i="158"/>
  <c r="P101" i="158"/>
  <c r="N101" i="158"/>
  <c r="M101" i="158"/>
  <c r="L101" i="158"/>
  <c r="K101" i="158"/>
  <c r="H101" i="158"/>
  <c r="P100" i="158"/>
  <c r="N100" i="158"/>
  <c r="M100" i="158"/>
  <c r="L100" i="158"/>
  <c r="K100" i="158"/>
  <c r="H100" i="158"/>
  <c r="P99" i="158"/>
  <c r="N99" i="158"/>
  <c r="M99" i="158"/>
  <c r="L99" i="158"/>
  <c r="K99" i="158"/>
  <c r="H99" i="158"/>
  <c r="P98" i="158"/>
  <c r="N98" i="158"/>
  <c r="M98" i="158"/>
  <c r="L98" i="158"/>
  <c r="K98" i="158"/>
  <c r="H98" i="158"/>
  <c r="P97" i="158"/>
  <c r="N97" i="158"/>
  <c r="M97" i="158"/>
  <c r="L97" i="158"/>
  <c r="K97" i="158"/>
  <c r="H97" i="158"/>
  <c r="P96" i="158"/>
  <c r="N96" i="158"/>
  <c r="M96" i="158"/>
  <c r="L96" i="158"/>
  <c r="K96" i="158"/>
  <c r="H96" i="158"/>
  <c r="P95" i="158"/>
  <c r="N95" i="158"/>
  <c r="M95" i="158"/>
  <c r="L95" i="158"/>
  <c r="K95" i="158"/>
  <c r="H95" i="158"/>
  <c r="P94" i="158"/>
  <c r="N94" i="158"/>
  <c r="M94" i="158"/>
  <c r="L94" i="158"/>
  <c r="K94" i="158"/>
  <c r="H94" i="158"/>
  <c r="P93" i="158"/>
  <c r="N93" i="158"/>
  <c r="M93" i="158"/>
  <c r="L93" i="158"/>
  <c r="K93" i="158"/>
  <c r="H93" i="158"/>
  <c r="P92" i="158"/>
  <c r="N92" i="158"/>
  <c r="M92" i="158"/>
  <c r="L92" i="158"/>
  <c r="K92" i="158"/>
  <c r="H92" i="158"/>
  <c r="P91" i="158"/>
  <c r="N91" i="158"/>
  <c r="M91" i="158"/>
  <c r="L91" i="158"/>
  <c r="K91" i="158"/>
  <c r="H91" i="158"/>
  <c r="P90" i="158"/>
  <c r="N90" i="158"/>
  <c r="M90" i="158"/>
  <c r="L90" i="158"/>
  <c r="K90" i="158"/>
  <c r="H90" i="158"/>
  <c r="P89" i="158"/>
  <c r="N89" i="158"/>
  <c r="M89" i="158"/>
  <c r="L89" i="158"/>
  <c r="K89" i="158"/>
  <c r="H89" i="158"/>
  <c r="P88" i="158"/>
  <c r="N88" i="158"/>
  <c r="M88" i="158"/>
  <c r="L88" i="158"/>
  <c r="K88" i="158"/>
  <c r="H88" i="158"/>
  <c r="P87" i="158"/>
  <c r="N87" i="158"/>
  <c r="M87" i="158"/>
  <c r="L87" i="158"/>
  <c r="K87" i="158"/>
  <c r="H87" i="158"/>
  <c r="P86" i="158"/>
  <c r="N86" i="158"/>
  <c r="M86" i="158"/>
  <c r="L86" i="158"/>
  <c r="K86" i="158"/>
  <c r="H86" i="158"/>
  <c r="P85" i="158"/>
  <c r="N85" i="158"/>
  <c r="M85" i="158"/>
  <c r="L85" i="158"/>
  <c r="K85" i="158"/>
  <c r="H85" i="158"/>
  <c r="P84" i="158"/>
  <c r="N84" i="158"/>
  <c r="M84" i="158"/>
  <c r="L84" i="158"/>
  <c r="K84" i="158"/>
  <c r="H84" i="158"/>
  <c r="P83" i="158"/>
  <c r="N83" i="158"/>
  <c r="M83" i="158"/>
  <c r="L83" i="158"/>
  <c r="K83" i="158"/>
  <c r="H83" i="158"/>
  <c r="P82" i="158"/>
  <c r="N82" i="158"/>
  <c r="M82" i="158"/>
  <c r="L82" i="158"/>
  <c r="K82" i="158"/>
  <c r="H82" i="158"/>
  <c r="P81" i="158"/>
  <c r="N81" i="158"/>
  <c r="M81" i="158"/>
  <c r="L81" i="158"/>
  <c r="K81" i="158"/>
  <c r="H81" i="158"/>
  <c r="P80" i="158"/>
  <c r="N80" i="158"/>
  <c r="M80" i="158"/>
  <c r="L80" i="158"/>
  <c r="K80" i="158"/>
  <c r="H80" i="158"/>
  <c r="P79" i="158"/>
  <c r="N79" i="158"/>
  <c r="M79" i="158"/>
  <c r="L79" i="158"/>
  <c r="K79" i="158"/>
  <c r="H79" i="158"/>
  <c r="P78" i="158"/>
  <c r="N78" i="158"/>
  <c r="M78" i="158"/>
  <c r="L78" i="158"/>
  <c r="K78" i="158"/>
  <c r="H78" i="158"/>
  <c r="P77" i="158"/>
  <c r="N77" i="158"/>
  <c r="M77" i="158"/>
  <c r="L77" i="158"/>
  <c r="K77" i="158"/>
  <c r="H77" i="158"/>
  <c r="P76" i="158"/>
  <c r="N76" i="158"/>
  <c r="M76" i="158"/>
  <c r="L76" i="158"/>
  <c r="K76" i="158"/>
  <c r="H76" i="158"/>
  <c r="P75" i="158"/>
  <c r="N75" i="158"/>
  <c r="M75" i="158"/>
  <c r="L75" i="158"/>
  <c r="K75" i="158"/>
  <c r="H75" i="158"/>
  <c r="P74" i="158"/>
  <c r="N74" i="158"/>
  <c r="M74" i="158"/>
  <c r="L74" i="158"/>
  <c r="K74" i="158"/>
  <c r="H74" i="158"/>
  <c r="A355" i="158"/>
  <c r="A354" i="158"/>
  <c r="A353" i="158"/>
  <c r="A352" i="158"/>
  <c r="A351" i="158"/>
  <c r="A350" i="158"/>
  <c r="A349" i="158"/>
  <c r="A348" i="158"/>
  <c r="A347" i="158"/>
  <c r="A346" i="158"/>
  <c r="A345" i="158"/>
  <c r="A344" i="158"/>
  <c r="A343" i="158"/>
  <c r="A342" i="158"/>
  <c r="A341" i="158"/>
  <c r="A340" i="158"/>
  <c r="A339" i="158"/>
  <c r="A338" i="158"/>
  <c r="A337" i="158"/>
  <c r="A336" i="158"/>
  <c r="A335" i="158"/>
  <c r="A334" i="158"/>
  <c r="A333" i="158"/>
  <c r="A332" i="158"/>
  <c r="A331" i="158"/>
  <c r="A330" i="158"/>
  <c r="A329" i="158"/>
  <c r="A328" i="158"/>
  <c r="A327" i="158"/>
  <c r="A326" i="158"/>
  <c r="A325" i="158"/>
  <c r="A324" i="158"/>
  <c r="A323" i="158"/>
  <c r="A322" i="158"/>
  <c r="A321" i="158"/>
  <c r="A320" i="158"/>
  <c r="A319" i="158"/>
  <c r="A318" i="158"/>
  <c r="A317" i="158"/>
  <c r="A316" i="158"/>
  <c r="A315" i="158"/>
  <c r="A314" i="158"/>
  <c r="A313" i="158"/>
  <c r="A312" i="158"/>
  <c r="A311" i="158"/>
  <c r="A310" i="158"/>
  <c r="A309" i="158"/>
  <c r="A308" i="158"/>
  <c r="A307" i="158"/>
  <c r="A306" i="158"/>
  <c r="A305" i="158"/>
  <c r="A304" i="158"/>
  <c r="A303" i="158"/>
  <c r="A302" i="158"/>
  <c r="A301" i="158"/>
  <c r="A300" i="158"/>
  <c r="A299" i="158"/>
  <c r="A298" i="158"/>
  <c r="A297" i="158"/>
  <c r="A296" i="158"/>
  <c r="A295" i="158"/>
  <c r="A294" i="158"/>
  <c r="A293" i="158"/>
  <c r="A292" i="158"/>
  <c r="A291" i="158"/>
  <c r="A290" i="158"/>
  <c r="A289" i="158"/>
  <c r="A288" i="158"/>
  <c r="A287" i="158"/>
  <c r="A286" i="158"/>
  <c r="A285" i="158"/>
  <c r="A284" i="158"/>
  <c r="A283" i="158"/>
  <c r="A282" i="158"/>
  <c r="A281" i="158"/>
  <c r="A280" i="158"/>
  <c r="A279" i="158"/>
  <c r="A278" i="158"/>
  <c r="A277" i="158"/>
  <c r="A276" i="158"/>
  <c r="A275" i="158"/>
  <c r="A274" i="158"/>
  <c r="A273" i="158"/>
  <c r="A272" i="158"/>
  <c r="A271" i="158"/>
  <c r="A270" i="158"/>
  <c r="A269" i="158"/>
  <c r="A268" i="158"/>
  <c r="A267" i="158"/>
  <c r="A266" i="158"/>
  <c r="A265" i="158"/>
  <c r="A264" i="158"/>
  <c r="A263" i="158"/>
  <c r="A262" i="158"/>
  <c r="A261" i="158"/>
  <c r="A260" i="158"/>
  <c r="A259" i="158"/>
  <c r="A258" i="158"/>
  <c r="A257" i="158"/>
  <c r="A256" i="158"/>
  <c r="A255" i="158"/>
  <c r="A254" i="158"/>
  <c r="A253" i="158"/>
  <c r="A252" i="158"/>
  <c r="A251" i="158"/>
  <c r="A250" i="158"/>
  <c r="A249" i="158"/>
  <c r="A248" i="158"/>
  <c r="A247" i="158"/>
  <c r="A246" i="158"/>
  <c r="A245" i="158"/>
  <c r="A244" i="158"/>
  <c r="A243" i="158"/>
  <c r="A242" i="158"/>
  <c r="A241" i="158"/>
  <c r="A240" i="158"/>
  <c r="A239" i="158"/>
  <c r="A238" i="158"/>
  <c r="A237" i="158"/>
  <c r="A236" i="158"/>
  <c r="A235" i="158"/>
  <c r="A234" i="158"/>
  <c r="A233" i="158"/>
  <c r="A232" i="158"/>
  <c r="A231" i="158"/>
  <c r="A230" i="158"/>
  <c r="A229" i="158"/>
  <c r="A228" i="158"/>
  <c r="A227" i="158"/>
  <c r="A226" i="158"/>
  <c r="A225" i="158"/>
  <c r="A224" i="158"/>
  <c r="A223" i="158"/>
  <c r="A222" i="158"/>
  <c r="A221" i="158"/>
  <c r="A220" i="158"/>
  <c r="A219" i="158"/>
  <c r="A218" i="158"/>
  <c r="A217" i="158"/>
  <c r="A216" i="158"/>
  <c r="A215" i="158"/>
  <c r="A214" i="158"/>
  <c r="A213" i="158"/>
  <c r="A212" i="158"/>
  <c r="A211" i="158"/>
  <c r="A210" i="158"/>
  <c r="A209" i="158"/>
  <c r="A208" i="158"/>
  <c r="A207" i="158"/>
  <c r="A206" i="158"/>
  <c r="A205" i="158"/>
  <c r="A204" i="158"/>
  <c r="A203" i="158"/>
  <c r="A202" i="158"/>
  <c r="A201" i="158"/>
  <c r="A200" i="158"/>
  <c r="A199" i="158"/>
  <c r="A198" i="158"/>
  <c r="A197" i="158"/>
  <c r="A196" i="158"/>
  <c r="A195" i="158"/>
  <c r="A194" i="158"/>
  <c r="A193" i="158"/>
  <c r="A192" i="158"/>
  <c r="A191" i="158"/>
  <c r="A190" i="158"/>
  <c r="A189" i="158"/>
  <c r="A188" i="158"/>
  <c r="A187" i="158"/>
  <c r="A186" i="158"/>
  <c r="A185" i="158"/>
  <c r="A184" i="158"/>
  <c r="A183" i="158"/>
  <c r="A182" i="158"/>
  <c r="A181" i="158"/>
  <c r="A180" i="158"/>
  <c r="A179" i="158"/>
  <c r="A178" i="158"/>
  <c r="A177" i="158"/>
  <c r="A176" i="158"/>
  <c r="A175" i="158"/>
  <c r="A174" i="158"/>
  <c r="A173" i="158"/>
  <c r="A172" i="158"/>
  <c r="A171" i="158"/>
  <c r="A170" i="158"/>
  <c r="A169" i="158"/>
  <c r="A168" i="158"/>
  <c r="A167" i="158"/>
  <c r="A166" i="158"/>
  <c r="A165" i="158"/>
  <c r="A164" i="158"/>
  <c r="A163" i="158"/>
  <c r="A162" i="158"/>
  <c r="A161" i="158"/>
  <c r="A160" i="158"/>
  <c r="A159" i="158"/>
  <c r="A158" i="158"/>
  <c r="A157" i="158"/>
  <c r="A156" i="158"/>
  <c r="A155" i="158"/>
  <c r="A154" i="158"/>
  <c r="A153" i="158"/>
  <c r="A152" i="158"/>
  <c r="A151" i="158"/>
  <c r="A150" i="158"/>
  <c r="A149" i="158"/>
  <c r="A148" i="158"/>
  <c r="A147" i="158"/>
  <c r="A146" i="158"/>
  <c r="A145" i="158"/>
  <c r="A144" i="158"/>
  <c r="A143" i="158"/>
  <c r="A142" i="158"/>
  <c r="A141" i="158"/>
  <c r="A140" i="158"/>
  <c r="A139" i="158"/>
  <c r="A138" i="158"/>
  <c r="A137" i="158"/>
  <c r="A136" i="158"/>
  <c r="A135" i="158"/>
  <c r="A134" i="158"/>
  <c r="A133" i="158"/>
  <c r="A132" i="158"/>
  <c r="A131" i="158"/>
  <c r="A130" i="158"/>
  <c r="A129" i="158"/>
  <c r="A128" i="158"/>
  <c r="A127" i="158"/>
  <c r="A126" i="158"/>
  <c r="A125" i="158"/>
  <c r="A124" i="158"/>
  <c r="A123" i="158"/>
  <c r="A122" i="158"/>
  <c r="A121" i="158"/>
  <c r="A120" i="158"/>
  <c r="A119" i="158"/>
  <c r="A118" i="158"/>
  <c r="A117" i="158"/>
  <c r="A116" i="158"/>
  <c r="A115" i="158"/>
  <c r="A114" i="158"/>
  <c r="A113" i="158"/>
  <c r="A112" i="158"/>
  <c r="A111" i="158"/>
  <c r="A110" i="158"/>
  <c r="A109" i="158"/>
  <c r="A108" i="158"/>
  <c r="A107" i="158"/>
  <c r="A106" i="158"/>
  <c r="A105" i="158"/>
  <c r="A104" i="158"/>
  <c r="A103" i="158"/>
  <c r="A102" i="158"/>
  <c r="A101" i="158"/>
  <c r="A100" i="158"/>
  <c r="A99" i="158"/>
  <c r="A98" i="158"/>
  <c r="A97" i="158"/>
  <c r="A96" i="158"/>
  <c r="A95" i="158"/>
  <c r="A94" i="158"/>
  <c r="A93" i="158"/>
  <c r="A92" i="158"/>
  <c r="A91" i="158"/>
  <c r="A90" i="158"/>
  <c r="A89" i="158"/>
  <c r="A88" i="158"/>
  <c r="A87" i="158"/>
  <c r="A86" i="158"/>
  <c r="A85" i="158"/>
  <c r="A84" i="158"/>
  <c r="A83" i="158"/>
  <c r="A82" i="158"/>
  <c r="A81" i="158"/>
  <c r="A80" i="158"/>
  <c r="A79" i="158"/>
  <c r="A78" i="158"/>
  <c r="A77" i="158"/>
  <c r="A76" i="158"/>
  <c r="A75" i="158"/>
  <c r="A74" i="158"/>
  <c r="B30" i="157"/>
  <c r="G31" i="157"/>
  <c r="E31" i="157"/>
  <c r="H31" i="157"/>
  <c r="P23" i="158"/>
  <c r="P24" i="158"/>
  <c r="P27" i="158"/>
  <c r="P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5" i="158"/>
  <c r="P26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F48" i="157"/>
  <c r="F49" i="157"/>
  <c r="F50" i="157"/>
  <c r="J18" i="159"/>
  <c r="J19" i="159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G30" i="157"/>
  <c r="E30" i="157"/>
  <c r="H30" i="157"/>
  <c r="R7" i="157"/>
  <c r="R8" i="157"/>
  <c r="R9" i="157"/>
  <c r="F42" i="157"/>
  <c r="G42" i="157"/>
  <c r="H70" i="158"/>
  <c r="K70" i="158"/>
  <c r="L70" i="158"/>
  <c r="M70" i="158"/>
  <c r="N70" i="158"/>
  <c r="H71" i="158"/>
  <c r="K71" i="158"/>
  <c r="L71" i="158"/>
  <c r="M71" i="158"/>
  <c r="N71" i="158"/>
  <c r="H72" i="158"/>
  <c r="K72" i="158"/>
  <c r="L72" i="158"/>
  <c r="M72" i="158"/>
  <c r="N72" i="158"/>
  <c r="H73" i="158"/>
  <c r="K73" i="158"/>
  <c r="L73" i="158"/>
  <c r="M73" i="158"/>
  <c r="N73" i="158"/>
  <c r="A70" i="158"/>
  <c r="A71" i="158"/>
  <c r="A72" i="158"/>
  <c r="A73" i="158"/>
  <c r="F41" i="157"/>
  <c r="G41" i="157"/>
  <c r="J2" i="159"/>
  <c r="E2" i="159"/>
  <c r="F2" i="159"/>
  <c r="C2" i="159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E18" i="159"/>
  <c r="F18" i="159"/>
  <c r="C18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C19" i="157"/>
  <c r="C20" i="157"/>
  <c r="C21" i="157"/>
  <c r="C22" i="157"/>
  <c r="C23" i="157"/>
  <c r="C24" i="157"/>
  <c r="C25" i="157"/>
  <c r="C26" i="157"/>
  <c r="C27" i="157"/>
  <c r="C28" i="157"/>
  <c r="C29" i="157"/>
  <c r="C32" i="157"/>
  <c r="C4" i="103"/>
  <c r="E4" i="103"/>
  <c r="R10" i="157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<sst xmlns="http://schemas.openxmlformats.org/spreadsheetml/2006/main" count="425" uniqueCount="256">
  <si>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</si>
  <si>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</si>
  <si>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</si>
  <si>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</si>
  <si>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</si>
  <si>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</si>
  <si>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</si>
  <si>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</si>
  <si>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</si>
  <si>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</si>
  <si>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</si>
  <si>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</si>
  <si>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</si>
  <si>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</si>
  <si>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</si>
  <si>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</si>
  <si>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</si>
  <si>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</si>
  <si>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</si>
  <si>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</si>
  <si>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</si>
  <si>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</si>
  <si>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</si>
  <si>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</si>
  <si>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</si>
  <si>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</si>
  <si>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</si>
  <si>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</si>
  <si>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</si>
  <si>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</si>
  <si>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</si>
  <si>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</si>
  <si>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</si>
  <si>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</si>
  <si>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</si>
  <si>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</si>
  <si>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</si>
  <si>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</si>
  <si>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</si>
  <si>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</si>
  <si>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</si>
  <si>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</si>
  <si>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</si>
  <si>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</si>
  <si>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</si>
  <si>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</si>
  <si>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</si>
  <si>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</si>
  <si>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</si>
  <si>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</si>
  <si>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</si>
  <si>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</si>
  <si>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</si>
  <si>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</si>
  <si>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</si>
  <si>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</si>
  <si>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</si>
  <si>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</si>
  <si>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</si>
  <si>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</si>
  <si>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</si>
  <si>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</si>
  <si>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</si>
  <si>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</si>
  <si>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</si>
  <si>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</si>
  <si>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</si>
  <si>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</si>
  <si>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</si>
  <si>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</si>
  <si>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</si>
  <si>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</si>
  <si>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</si>
  <si>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</si>
  <si>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</si>
  <si>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</si>
  <si>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</si>
  <si>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</si>
  <si>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</si>
  <si>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</si>
  <si>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</si>
  <si>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</si>
  <si>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</si>
  <si>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</si>
  <si>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</si>
  <si>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</si>
  <si>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</si>
  <si>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</si>
  <si>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</si>
  <si>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</si>
  <si>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</si>
  <si>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</si>
  <si>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</si>
  <si>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</si>
  <si>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</si>
  <si>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</si>
  <si>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</si>
  <si>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</si>
  <si>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</si>
  <si>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</si>
  <si>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</si>
  <si>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</si>
  <si>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</si>
  <si>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</si>
  <si>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</si>
  <si>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</si>
  <si>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</si>
  <si>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</si>
  <si>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</si>
  <si>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</si>
  <si>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</si>
  <si>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</si>
  <si>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</si>
  <si>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</si>
  <si>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</si>
  <si>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</si>
  <si>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</si>
  <si>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</si>
  <si>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</si>
  <si>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</si>
  <si>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</si>
  <si>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</si>
  <si>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</si>
  <si>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</si>
  <si>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</si>
  <si>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</si>
  <si>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</si>
  <si>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</si>
  <si>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</si>
  <si>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</si>
  <si>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</si>
  <si>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</si>
  <si>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</si>
  <si>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</si>
  <si>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</si>
  <si>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</si>
  <si>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</si>
  <si>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</si>
  <si>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</si>
  <si>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</si>
  <si>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</si>
  <si>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</si>
  <si>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</si>
  <si>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</si>
  <si>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</si>
  <si>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</si>
  <si>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</si>
  <si>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</si>
  <si>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</si>
  <si>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</si>
  <si>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</si>
  <si>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</si>
  <si>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</si>
  <si>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</si>
  <si>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</si>
  <si>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</si>
  <si>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</si>
  <si>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</si>
  <si>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</si>
  <si>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</si>
  <si>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</si>
  <si>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</si>
  <si>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</si>
  <si>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</si>
  <si>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</si>
  <si>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</si>
  <si>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</si>
  <si>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</si>
  <si>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</si>
  <si>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</si>
  <si>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</si>
  <si>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</si>
  <si>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</si>
  <si>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</si>
  <si>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</si>
  <si>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</si>
  <si>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</si>
  <si>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</si>
  <si>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</si>
  <si>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</si>
  <si>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</si>
  <si>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</si>
  <si>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</si>
  <si>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</si>
  <si>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</si>
  <si>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</si>
  <si>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</si>
  <si>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</si>
  <si>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</si>
  <si>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</si>
  <si>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</si>
  <si>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</si>
  <si>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</si>
  <si>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</si>
  <si>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</si>
  <si>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</si>
  <si>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</si>
  <si>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</si>
  <si>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</si>
  <si>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</si>
  <si>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</si>
  <si>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</si>
  <si>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</si>
  <si>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</si>
  <si>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</si>
  <si>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</si>
  <si>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</si>
  <si>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</si>
  <si>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</si>
  <si>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</si>
  <si>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</si>
  <si>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</si>
  <si>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</si>
  <si>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</si>
  <si>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</si>
  <si>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</si>
  <si>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</si>
  <si>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</si>
  <si>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</si>
  <si>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</si>
  <si>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</si>
  <si>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</si>
  <si>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</si>
  <si>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</si>
  <si>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</si>
  <si>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</si>
  <si>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</si>
  <si>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</si>
  <si>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</si>
  <si>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</si>
  <si>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</si>
  <si>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</si>
  <si>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</si>
  <si>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</si>
  <si>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</si>
  <si>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</si>
  <si>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</si>
  <si>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</si>
  <si>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</si>
  <si>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</si>
  <si>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</si>
  <si>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</si>
  <si>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</si>
  <si>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</si>
  <si>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</si>
  <si>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</si>
  <si>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gacha_settle_tables_</t>
    <phoneticPr fontId="20"/>
  </si>
  <si>
    <t>.tmp</t>
    <phoneticPr fontId="53"/>
  </si>
  <si>
    <t>PremiumSSw</t>
    <phoneticPr fontId="20"/>
  </si>
  <si>
    <t>old</t>
    <phoneticPr fontId="20"/>
  </si>
  <si>
    <t>PremiumSSS</t>
    <phoneticPr fontId="20"/>
  </si>
  <si>
    <t>tables_560100</t>
    <phoneticPr fontId="20"/>
  </si>
  <si>
    <t>tables_560010</t>
    <phoneticPr fontId="20"/>
  </si>
  <si>
    <t>tables_settle_560100</t>
    <phoneticPr fontId="20"/>
  </si>
  <si>
    <t>Premium</t>
  </si>
  <si>
    <t>PremiumSS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</si>
</sst>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99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178" fontId="0" fillId="0" borderId="0" xfId="0" applyNumberFormat="1"/>
    <xf numFmtId="0" fontId="2" fillId="0" borderId="1" xfId="3036" applyFont="1" applyBorder="1"/>
    <xf numFmtId="0" fontId="24" fillId="33" borderId="1" xfId="0" applyFont="1" applyFill="1" applyBorder="1" applyAlignment="1">
      <alignment horizontal="right" vertical="center"/>
    </xf>
    <xf numFmtId="180" fontId="0" fillId="4" borderId="1" xfId="0" applyNumberFormat="1" applyFill="1" applyBorder="1"/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1431</v>
          </cell>
          <cell r="B1402" t="str">
            <v>ja</v>
          </cell>
          <cell r="C1402" t="str">
            <v>センコR5</v>
          </cell>
          <cell r="D1402" t="str">
            <v>未定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5</v>
          </cell>
          <cell r="J1402" t="str">
            <v>PremiumSS</v>
          </cell>
          <cell r="K1402" t="str">
            <v>technical</v>
          </cell>
          <cell r="L1402" t="str">
            <v>テクニカルタイプ</v>
          </cell>
          <cell r="M1402" t="str">
            <v>god</v>
          </cell>
        </row>
        <row r="1403">
          <cell r="A1403">
            <v>1432</v>
          </cell>
          <cell r="B1403" t="str">
            <v>ja</v>
          </cell>
          <cell r="C1403" t="str">
            <v>センコR6</v>
          </cell>
          <cell r="D1403" t="str">
            <v>未定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6</v>
          </cell>
          <cell r="J1403" t="str">
            <v>PremiumSS</v>
          </cell>
          <cell r="K1403" t="str">
            <v>technical</v>
          </cell>
          <cell r="L1403" t="str">
            <v>テクニカルタイプ</v>
          </cell>
          <cell r="M1403" t="str">
            <v>god</v>
          </cell>
        </row>
        <row r="1404">
          <cell r="A1404">
            <v>1433</v>
          </cell>
          <cell r="B1404" t="str">
            <v>ja</v>
          </cell>
          <cell r="C1404" t="str">
            <v>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3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1434</v>
          </cell>
          <cell r="B1405" t="str">
            <v>ja</v>
          </cell>
          <cell r="C1405" t="str">
            <v>メガ超越の果実</v>
          </cell>
          <cell r="D1405" t="str">
            <v>スキル進化素材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yellow</v>
          </cell>
          <cell r="I1405">
            <v>4</v>
          </cell>
          <cell r="J1405" t="str">
            <v>Material</v>
          </cell>
          <cell r="K1405" t="str">
            <v>limitbreak</v>
          </cell>
          <cell r="L1405" t="str">
            <v>限界突破素材</v>
          </cell>
          <cell r="M1405" t="str">
            <v>unknown</v>
          </cell>
        </row>
        <row r="1406">
          <cell r="A1406">
            <v>1435</v>
          </cell>
          <cell r="B1406" t="str">
            <v>ja</v>
          </cell>
          <cell r="C1406" t="str">
            <v>ギガ超越の果実</v>
          </cell>
          <cell r="D1406" t="str">
            <v>スキル進化素材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yellow</v>
          </cell>
          <cell r="I1406">
            <v>5</v>
          </cell>
          <cell r="J1406" t="str">
            <v>Material</v>
          </cell>
          <cell r="K1406" t="str">
            <v>limitbreak</v>
          </cell>
          <cell r="L1406" t="str">
            <v>限界突破素材</v>
          </cell>
          <cell r="M1406" t="str">
            <v>unknown</v>
          </cell>
        </row>
        <row r="1407">
          <cell r="A1407">
            <v>1452</v>
          </cell>
          <cell r="B1407" t="str">
            <v>ja</v>
          </cell>
          <cell r="C1407" t="str">
            <v>メルセンヌ</v>
          </cell>
          <cell r="D1407" t="str">
            <v>未定</v>
          </cell>
          <cell r="E1407" t="str">
            <v>アリス</v>
          </cell>
          <cell r="F1407" t="str">
            <v>世界観</v>
          </cell>
          <cell r="G1407" t="str">
            <v>不明</v>
          </cell>
          <cell r="H1407" t="str">
            <v>yellow</v>
          </cell>
          <cell r="I1407">
            <v>5</v>
          </cell>
          <cell r="J1407" t="str">
            <v>PremiumSSS</v>
          </cell>
          <cell r="K1407" t="str">
            <v>hp</v>
          </cell>
          <cell r="L1407" t="str">
            <v>体力タイプ</v>
          </cell>
          <cell r="M1407" t="str">
            <v>academia</v>
          </cell>
        </row>
        <row r="1408">
          <cell r="A1408">
            <v>1453</v>
          </cell>
          <cell r="B1408" t="str">
            <v>ja</v>
          </cell>
          <cell r="C1408" t="str">
            <v>数解の自鳴琴 メルセンヌ</v>
          </cell>
          <cell r="D1408" t="str">
            <v>未定</v>
          </cell>
          <cell r="E1408" t="str">
            <v>アリス</v>
          </cell>
          <cell r="F1408" t="str">
            <v>世界観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PremiumSSS</v>
          </cell>
          <cell r="K1408" t="str">
            <v>hp</v>
          </cell>
          <cell r="L1408" t="str">
            <v>体力タイプ</v>
          </cell>
          <cell r="M1408" t="str">
            <v>academia</v>
          </cell>
        </row>
        <row r="1409">
          <cell r="A1409">
            <v>1454</v>
          </cell>
          <cell r="B1409" t="str">
            <v>ja</v>
          </cell>
          <cell r="C1409" t="str">
            <v>ストレングス</v>
          </cell>
          <cell r="D1409" t="str">
            <v>未定</v>
          </cell>
          <cell r="E1409" t="str">
            <v>アリス</v>
          </cell>
          <cell r="F1409" t="str">
            <v>世界観</v>
          </cell>
          <cell r="G1409" t="str">
            <v>不明</v>
          </cell>
          <cell r="H1409" t="str">
            <v>red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god</v>
          </cell>
        </row>
        <row r="1410">
          <cell r="A1410">
            <v>1455</v>
          </cell>
          <cell r="B1410" t="str">
            <v>ja</v>
          </cell>
          <cell r="C1410" t="str">
            <v>豪毅なる征獣師 ストレングス</v>
          </cell>
          <cell r="D1410" t="str">
            <v>未定</v>
          </cell>
          <cell r="E1410" t="str">
            <v>アリス</v>
          </cell>
          <cell r="F1410" t="str">
            <v>世界観</v>
          </cell>
          <cell r="G1410" t="str">
            <v>不明</v>
          </cell>
          <cell r="H1410" t="str">
            <v>red</v>
          </cell>
          <cell r="I1410">
            <v>6</v>
          </cell>
          <cell r="J1410" t="str">
            <v>PremiumSSS</v>
          </cell>
          <cell r="K1410" t="str">
            <v>balance</v>
          </cell>
          <cell r="L1410" t="str">
            <v>バランスタイプ</v>
          </cell>
          <cell r="M1410" t="str">
            <v>god</v>
          </cell>
        </row>
        <row r="1411">
          <cell r="A1411">
            <v>1456</v>
          </cell>
          <cell r="B1411" t="str">
            <v>ja</v>
          </cell>
          <cell r="C1411" t="str">
            <v>ネセバル</v>
          </cell>
          <cell r="H1411" t="str">
            <v>blue</v>
          </cell>
          <cell r="I1411">
            <v>5</v>
          </cell>
          <cell r="J1411" t="str">
            <v>PremiumSSw</v>
          </cell>
          <cell r="K1411" t="str">
            <v>attack</v>
          </cell>
          <cell r="L1411" t="str">
            <v>攻撃タイプ</v>
          </cell>
          <cell r="M1411" t="str">
            <v>hero</v>
          </cell>
        </row>
        <row r="1412">
          <cell r="A1412">
            <v>1457</v>
          </cell>
          <cell r="B1412" t="str">
            <v>ja</v>
          </cell>
          <cell r="C1412" t="str">
            <v>碧影の聖跡 ネセバル</v>
          </cell>
          <cell r="H1412" t="str">
            <v>blue</v>
          </cell>
          <cell r="I1412">
            <v>6</v>
          </cell>
          <cell r="J1412" t="str">
            <v>PremiumSSw</v>
          </cell>
          <cell r="K1412" t="str">
            <v>attack</v>
          </cell>
          <cell r="L1412" t="str">
            <v>攻撃タイプ</v>
          </cell>
          <cell r="M1412" t="str">
            <v>hero</v>
          </cell>
        </row>
        <row r="1413">
          <cell r="A1413">
            <v>1458</v>
          </cell>
          <cell r="B1413" t="str">
            <v>ja</v>
          </cell>
          <cell r="C1413" t="str">
            <v>diamond01</v>
          </cell>
          <cell r="H1413" t="str">
            <v>red</v>
          </cell>
          <cell r="I1413">
            <v>5</v>
          </cell>
          <cell r="J1413" t="str">
            <v>PremiumSS</v>
          </cell>
          <cell r="K1413" t="str">
            <v>attack</v>
          </cell>
          <cell r="L1413" t="str">
            <v>攻撃タイプ</v>
          </cell>
          <cell r="M1413" t="str">
            <v>human</v>
          </cell>
        </row>
        <row r="1414">
          <cell r="A1414">
            <v>1459</v>
          </cell>
          <cell r="B1414" t="str">
            <v>ja</v>
          </cell>
          <cell r="C1414" t="str">
            <v>diamond02</v>
          </cell>
          <cell r="H1414" t="str">
            <v>red</v>
          </cell>
          <cell r="I1414">
            <v>6</v>
          </cell>
          <cell r="J1414" t="str">
            <v>PremiumSS</v>
          </cell>
          <cell r="K1414" t="str">
            <v>attack</v>
          </cell>
          <cell r="L1414" t="str">
            <v>攻撃タイプ</v>
          </cell>
          <cell r="M1414" t="str">
            <v>human</v>
          </cell>
        </row>
        <row r="1415">
          <cell r="A1415">
            <v>1460</v>
          </cell>
          <cell r="B1415" t="str">
            <v>ja</v>
          </cell>
          <cell r="C1415" t="str">
            <v>opal01</v>
          </cell>
          <cell r="H1415" t="str">
            <v>blue</v>
          </cell>
          <cell r="I1415">
            <v>4</v>
          </cell>
          <cell r="J1415" t="str">
            <v>PremiumS</v>
          </cell>
          <cell r="K1415" t="str">
            <v>balance</v>
          </cell>
          <cell r="L1415" t="str">
            <v>バランスタイプ</v>
          </cell>
          <cell r="M1415" t="str">
            <v>human</v>
          </cell>
        </row>
        <row r="1416">
          <cell r="A1416">
            <v>1461</v>
          </cell>
          <cell r="B1416" t="str">
            <v>ja</v>
          </cell>
          <cell r="C1416" t="str">
            <v>opal02</v>
          </cell>
          <cell r="H1416" t="str">
            <v>blue</v>
          </cell>
          <cell r="I1416">
            <v>5</v>
          </cell>
          <cell r="J1416" t="str">
            <v>PremiumS</v>
          </cell>
          <cell r="K1416" t="str">
            <v>balance</v>
          </cell>
          <cell r="L1416" t="str">
            <v>バランスタイプ</v>
          </cell>
          <cell r="M1416" t="str">
            <v>human</v>
          </cell>
        </row>
        <row r="1417">
          <cell r="A1417">
            <v>1462</v>
          </cell>
          <cell r="B1417" t="str">
            <v>ja</v>
          </cell>
          <cell r="C1417" t="str">
            <v>ruby01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technical</v>
          </cell>
          <cell r="L1417" t="str">
            <v>テクニカルタイプ</v>
          </cell>
          <cell r="M1417" t="str">
            <v>human</v>
          </cell>
        </row>
        <row r="1418">
          <cell r="A1418">
            <v>1463</v>
          </cell>
          <cell r="B1418" t="str">
            <v>ja</v>
          </cell>
          <cell r="C1418" t="str">
            <v>ruby02</v>
          </cell>
          <cell r="H1418" t="str">
            <v>yellow</v>
          </cell>
          <cell r="I1418">
            <v>6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human</v>
          </cell>
        </row>
        <row r="1419">
          <cell r="A1419">
            <v>1464</v>
          </cell>
          <cell r="B1419" t="str">
            <v>ja</v>
          </cell>
          <cell r="C1419" t="str">
            <v>garnet01</v>
          </cell>
          <cell r="H1419" t="str">
            <v>yellow</v>
          </cell>
          <cell r="I1419">
            <v>5</v>
          </cell>
          <cell r="J1419" t="str">
            <v>PremiumSS</v>
          </cell>
          <cell r="K1419" t="str">
            <v>hp</v>
          </cell>
          <cell r="L1419" t="str">
            <v>体力タイプ</v>
          </cell>
          <cell r="M1419" t="str">
            <v>human</v>
          </cell>
        </row>
        <row r="1420">
          <cell r="A1420">
            <v>1465</v>
          </cell>
          <cell r="B1420" t="str">
            <v>ja</v>
          </cell>
          <cell r="C1420" t="str">
            <v>garnet02</v>
          </cell>
          <cell r="H1420" t="str">
            <v>yellow</v>
          </cell>
          <cell r="I1420">
            <v>6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human</v>
          </cell>
        </row>
        <row r="1421">
          <cell r="A1421">
            <v>1466</v>
          </cell>
          <cell r="B1421" t="str">
            <v>ja</v>
          </cell>
          <cell r="C1421" t="str">
            <v>sapphire01</v>
          </cell>
          <cell r="H1421" t="str">
            <v>blue</v>
          </cell>
          <cell r="I1421">
            <v>5</v>
          </cell>
          <cell r="J1421" t="str">
            <v>DropWizS</v>
          </cell>
          <cell r="K1421" t="str">
            <v>attack</v>
          </cell>
          <cell r="L1421" t="str">
            <v>攻撃タイプ</v>
          </cell>
          <cell r="M1421" t="str">
            <v>human</v>
          </cell>
        </row>
        <row r="1422">
          <cell r="A1422">
            <v>1467</v>
          </cell>
          <cell r="B1422" t="str">
            <v>ja</v>
          </cell>
          <cell r="C1422" t="str">
            <v>sapphire02</v>
          </cell>
          <cell r="H1422" t="str">
            <v>blue</v>
          </cell>
          <cell r="I1422">
            <v>6</v>
          </cell>
          <cell r="J1422" t="str">
            <v>DropWizS</v>
          </cell>
          <cell r="K1422" t="str">
            <v>attack</v>
          </cell>
          <cell r="L1422" t="str">
            <v>攻撃タイプ</v>
          </cell>
          <cell r="M1422" t="str">
            <v>human</v>
          </cell>
        </row>
        <row r="1423">
          <cell r="A1423">
            <v>1468</v>
          </cell>
          <cell r="B1423" t="str">
            <v>ja</v>
          </cell>
          <cell r="C1423" t="str">
            <v>emerald01</v>
          </cell>
          <cell r="H1423" t="str">
            <v>green</v>
          </cell>
          <cell r="I1423">
            <v>5</v>
          </cell>
          <cell r="J1423" t="str">
            <v>Drop2N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1469</v>
          </cell>
          <cell r="B1424" t="str">
            <v>ja</v>
          </cell>
          <cell r="C1424" t="str">
            <v>aquamarine01</v>
          </cell>
          <cell r="H1424" t="str">
            <v>yellow</v>
          </cell>
          <cell r="I1424">
            <v>5</v>
          </cell>
          <cell r="J1424" t="str">
            <v>Drop2N</v>
          </cell>
          <cell r="K1424" t="str">
            <v>technical</v>
          </cell>
          <cell r="L1424" t="str">
            <v>テクニカルタイプ</v>
          </cell>
          <cell r="M1424" t="str">
            <v>unknown</v>
          </cell>
        </row>
        <row r="1425">
          <cell r="A1425">
            <v>1470</v>
          </cell>
          <cell r="B1425" t="str">
            <v>ja</v>
          </cell>
          <cell r="C1425" t="str">
            <v>amethyst01</v>
          </cell>
          <cell r="H1425" t="str">
            <v>red</v>
          </cell>
          <cell r="I1425">
            <v>5</v>
          </cell>
          <cell r="J1425" t="str">
            <v>Drop2N</v>
          </cell>
          <cell r="K1425" t="str">
            <v>balance</v>
          </cell>
          <cell r="L1425" t="str">
            <v>バランスタイプ</v>
          </cell>
          <cell r="M1425" t="str">
            <v>unknown</v>
          </cell>
        </row>
        <row r="1426">
          <cell r="A1426">
            <v>1471</v>
          </cell>
          <cell r="B1426" t="str">
            <v>ja</v>
          </cell>
          <cell r="C1426" t="str">
            <v>エイプリルアーサー</v>
          </cell>
          <cell r="H1426" t="str">
            <v>red</v>
          </cell>
          <cell r="I1426">
            <v>6</v>
          </cell>
          <cell r="J1426" t="str">
            <v>DropWizS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1488</v>
          </cell>
          <cell r="B1427" t="str">
            <v>ja</v>
          </cell>
          <cell r="C1427" t="str">
            <v>バクR5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green</v>
          </cell>
          <cell r="I1427">
            <v>5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1489</v>
          </cell>
          <cell r="B1428" t="str">
            <v>ja</v>
          </cell>
          <cell r="C1428" t="str">
            <v>バクR6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green</v>
          </cell>
          <cell r="I1428">
            <v>6</v>
          </cell>
          <cell r="J1428" t="str">
            <v>PremiumSSS</v>
          </cell>
          <cell r="K1428" t="str">
            <v>attack</v>
          </cell>
          <cell r="L1428" t="str">
            <v>攻撃タイプ</v>
          </cell>
          <cell r="M1428" t="str">
            <v>academia</v>
          </cell>
        </row>
        <row r="1429">
          <cell r="A1429">
            <v>1495</v>
          </cell>
          <cell r="B1429" t="str">
            <v>ja</v>
          </cell>
          <cell r="C1429" t="str">
            <v>花見牛若丸</v>
          </cell>
          <cell r="D1429" t="str">
            <v>未定</v>
          </cell>
          <cell r="E1429" t="str">
            <v>アリス</v>
          </cell>
          <cell r="F1429" t="str">
            <v>世界観</v>
          </cell>
          <cell r="G1429" t="str">
            <v>不明</v>
          </cell>
          <cell r="H1429" t="str">
            <v>yellow</v>
          </cell>
          <cell r="I1429">
            <v>6</v>
          </cell>
          <cell r="J1429" t="str">
            <v>PremiumSS</v>
          </cell>
          <cell r="K1429" t="str">
            <v>balance</v>
          </cell>
          <cell r="L1429" t="str">
            <v>バランスタイプ</v>
          </cell>
          <cell r="M1429" t="str">
            <v>human</v>
          </cell>
        </row>
        <row r="1430">
          <cell r="A1430">
            <v>1496</v>
          </cell>
          <cell r="B1430" t="str">
            <v>ja</v>
          </cell>
          <cell r="C1430" t="str">
            <v>花見沖田</v>
          </cell>
          <cell r="D1430" t="str">
            <v>未定</v>
          </cell>
          <cell r="E1430" t="str">
            <v>アリス</v>
          </cell>
          <cell r="F1430" t="str">
            <v>世界観</v>
          </cell>
          <cell r="G1430" t="str">
            <v>不明</v>
          </cell>
          <cell r="H1430" t="str">
            <v>green</v>
          </cell>
          <cell r="I1430">
            <v>6</v>
          </cell>
          <cell r="J1430" t="str">
            <v>PremiumSS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1497</v>
          </cell>
          <cell r="B1431" t="str">
            <v>ja</v>
          </cell>
          <cell r="C1431" t="str">
            <v>ヨシノ</v>
          </cell>
          <cell r="H1431" t="str">
            <v>yellow</v>
          </cell>
          <cell r="I1431">
            <v>5</v>
          </cell>
          <cell r="J1431" t="str">
            <v>PremiumSS</v>
          </cell>
          <cell r="K1431" t="str">
            <v>technical</v>
          </cell>
          <cell r="L1431" t="str">
            <v>テクニカルタイプ</v>
          </cell>
          <cell r="M1431" t="str">
            <v>human</v>
          </cell>
        </row>
        <row r="1432">
          <cell r="A1432">
            <v>1498</v>
          </cell>
          <cell r="B1432" t="str">
            <v>ja</v>
          </cell>
          <cell r="C1432" t="str">
            <v>咲誇る夢見草 ヨシノ</v>
          </cell>
          <cell r="H1432" t="str">
            <v>yellow</v>
          </cell>
          <cell r="I1432">
            <v>6</v>
          </cell>
          <cell r="J1432" t="str">
            <v>PremiumSS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1499</v>
          </cell>
          <cell r="B1433" t="str">
            <v>ja</v>
          </cell>
          <cell r="C1433" t="str">
            <v>コノハナサクヤ</v>
          </cell>
          <cell r="D1433" t="str">
            <v>未定</v>
          </cell>
          <cell r="E1433" t="str">
            <v>アリス</v>
          </cell>
          <cell r="F1433" t="str">
            <v>世界観</v>
          </cell>
          <cell r="G1433" t="str">
            <v>不明</v>
          </cell>
          <cell r="H1433" t="str">
            <v>yellow</v>
          </cell>
          <cell r="I1433">
            <v>5</v>
          </cell>
          <cell r="J1433" t="str">
            <v>PremiumSS</v>
          </cell>
          <cell r="K1433" t="str">
            <v>technical</v>
          </cell>
          <cell r="L1433" t="str">
            <v>テクニカルタイプ</v>
          </cell>
          <cell r="M1433" t="str">
            <v>god</v>
          </cell>
        </row>
        <row r="1434">
          <cell r="A1434">
            <v>1500</v>
          </cell>
          <cell r="B1434" t="str">
            <v>ja</v>
          </cell>
          <cell r="C1434" t="str">
            <v>櫻歌する開華 コノハナサクヤ</v>
          </cell>
          <cell r="D1434" t="str">
            <v>未定</v>
          </cell>
          <cell r="E1434" t="str">
            <v>アリス</v>
          </cell>
          <cell r="F1434" t="str">
            <v>世界観</v>
          </cell>
          <cell r="G1434" t="str">
            <v>不明</v>
          </cell>
          <cell r="H1434" t="str">
            <v>yellow</v>
          </cell>
          <cell r="I1434">
            <v>6</v>
          </cell>
          <cell r="J1434" t="str">
            <v>PremiumSS</v>
          </cell>
          <cell r="K1434" t="str">
            <v>technical</v>
          </cell>
          <cell r="L1434" t="str">
            <v>テクニカルタイプ</v>
          </cell>
          <cell r="M1434" t="str">
            <v>god</v>
          </cell>
        </row>
        <row r="1435">
          <cell r="A1435">
            <v>1501</v>
          </cell>
          <cell r="B1435" t="str">
            <v>ja</v>
          </cell>
          <cell r="C1435" t="str">
            <v>晴舞台の桜舞 ドガ</v>
          </cell>
          <cell r="H1435" t="str">
            <v>blue</v>
          </cell>
          <cell r="I1435">
            <v>6</v>
          </cell>
          <cell r="J1435" t="str">
            <v>PremiumSS</v>
          </cell>
          <cell r="K1435" t="str">
            <v>balance</v>
          </cell>
          <cell r="L1435" t="str">
            <v>バランスタイプ</v>
          </cell>
          <cell r="M1435" t="str">
            <v>animal</v>
          </cell>
        </row>
        <row r="1436">
          <cell r="A1436">
            <v>1502</v>
          </cell>
          <cell r="B1436" t="str">
            <v>ja</v>
          </cell>
          <cell r="C1436" t="str">
            <v>打咲かす桜花灯 トリスタン</v>
          </cell>
          <cell r="H1436" t="str">
            <v>red</v>
          </cell>
          <cell r="I1436">
            <v>5</v>
          </cell>
          <cell r="J1436" t="str">
            <v>PremiumS</v>
          </cell>
          <cell r="K1436" t="str">
            <v>attack</v>
          </cell>
          <cell r="L1436" t="str">
            <v>攻撃タイプ</v>
          </cell>
          <cell r="M1436" t="str">
            <v>human</v>
          </cell>
        </row>
        <row r="1437">
          <cell r="A1437">
            <v>1503</v>
          </cell>
          <cell r="B1437" t="str">
            <v>ja</v>
          </cell>
          <cell r="C1437" t="str">
            <v>春纏う蛇撫子 ヨルムンガンド</v>
          </cell>
          <cell r="H1437" t="str">
            <v>yellow</v>
          </cell>
          <cell r="I1437">
            <v>5</v>
          </cell>
          <cell r="J1437" t="str">
            <v>PremiumS</v>
          </cell>
          <cell r="K1437" t="str">
            <v>technical</v>
          </cell>
          <cell r="L1437" t="str">
            <v>テクニカルタイプ</v>
          </cell>
          <cell r="M1437" t="str">
            <v>dragon</v>
          </cell>
        </row>
        <row r="1438">
          <cell r="A1438">
            <v>1504</v>
          </cell>
          <cell r="B1438" t="str">
            <v>ja</v>
          </cell>
          <cell r="C1438" t="str">
            <v>ネコ</v>
          </cell>
          <cell r="H1438" t="str">
            <v>red</v>
          </cell>
          <cell r="I1438">
            <v>1</v>
          </cell>
          <cell r="J1438" t="str">
            <v>Drop1T</v>
          </cell>
          <cell r="K1438" t="str">
            <v>balance</v>
          </cell>
          <cell r="L1438" t="str">
            <v>バランスタイプ</v>
          </cell>
          <cell r="M1438" t="str">
            <v>unknown</v>
          </cell>
        </row>
        <row r="1439">
          <cell r="A1439">
            <v>1505</v>
          </cell>
          <cell r="B1439" t="str">
            <v>ja</v>
          </cell>
          <cell r="C1439" t="str">
            <v>タンクネコ</v>
          </cell>
          <cell r="H1439" t="str">
            <v>green</v>
          </cell>
          <cell r="I1439">
            <v>1</v>
          </cell>
          <cell r="J1439" t="str">
            <v>Drop1T</v>
          </cell>
          <cell r="K1439" t="str">
            <v>hp</v>
          </cell>
          <cell r="L1439" t="str">
            <v>体力タイプ</v>
          </cell>
          <cell r="M1439" t="str">
            <v>unknown</v>
          </cell>
        </row>
        <row r="1440">
          <cell r="A1440">
            <v>1506</v>
          </cell>
          <cell r="B1440" t="str">
            <v>ja</v>
          </cell>
          <cell r="C1440" t="str">
            <v>バトルネコ</v>
          </cell>
          <cell r="H1440" t="str">
            <v>yellow</v>
          </cell>
          <cell r="I1440">
            <v>2</v>
          </cell>
          <cell r="J1440" t="str">
            <v>Drop1S</v>
          </cell>
          <cell r="K1440" t="str">
            <v>attack</v>
          </cell>
          <cell r="L1440" t="str">
            <v>攻撃タイプ</v>
          </cell>
          <cell r="M1440" t="str">
            <v>unknown</v>
          </cell>
        </row>
        <row r="1441">
          <cell r="A1441">
            <v>1507</v>
          </cell>
          <cell r="B1441" t="str">
            <v>ja</v>
          </cell>
          <cell r="C1441" t="str">
            <v>キモネコ</v>
          </cell>
          <cell r="H1441" t="str">
            <v>blue</v>
          </cell>
          <cell r="I1441">
            <v>3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unknown</v>
          </cell>
        </row>
        <row r="1442">
          <cell r="A1442">
            <v>1508</v>
          </cell>
          <cell r="B1442" t="str">
            <v>ja</v>
          </cell>
          <cell r="C1442" t="str">
            <v>ネコノトリ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unknown</v>
          </cell>
        </row>
        <row r="1443">
          <cell r="A1443">
            <v>1509</v>
          </cell>
          <cell r="B1443" t="str">
            <v>ja</v>
          </cell>
          <cell r="C1443" t="str">
            <v>巨神ネコ</v>
          </cell>
          <cell r="H1443" t="str">
            <v>green</v>
          </cell>
          <cell r="I1443">
            <v>5</v>
          </cell>
          <cell r="J1443" t="str">
            <v>Drop2N</v>
          </cell>
          <cell r="K1443" t="str">
            <v>hp</v>
          </cell>
          <cell r="L1443" t="str">
            <v>体力タイプ</v>
          </cell>
          <cell r="M1443" t="str">
            <v>god</v>
          </cell>
        </row>
        <row r="1444">
          <cell r="A1444">
            <v>1510</v>
          </cell>
          <cell r="B1444" t="str">
            <v>ja</v>
          </cell>
          <cell r="C1444" t="str">
            <v>ネコヴァルキリー</v>
          </cell>
          <cell r="H1444" t="str">
            <v>yellow</v>
          </cell>
          <cell r="I1444">
            <v>4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god</v>
          </cell>
        </row>
        <row r="1445">
          <cell r="A1445">
            <v>1511</v>
          </cell>
          <cell r="B1445" t="str">
            <v>ja</v>
          </cell>
          <cell r="C1445" t="str">
            <v>ネコヴァルキリー･真</v>
          </cell>
          <cell r="H1445" t="str">
            <v>yellow</v>
          </cell>
          <cell r="I1445">
            <v>5</v>
          </cell>
          <cell r="J1445" t="str">
            <v>DropWizS</v>
          </cell>
          <cell r="K1445" t="str">
            <v>balance</v>
          </cell>
          <cell r="L1445" t="str">
            <v>バランスタイプ</v>
          </cell>
          <cell r="M1445" t="str">
            <v>god</v>
          </cell>
        </row>
        <row r="1446">
          <cell r="A1446">
            <v>1512</v>
          </cell>
          <cell r="B1446" t="str">
            <v>ja</v>
          </cell>
          <cell r="C1446" t="str">
            <v>ネコヴァルキリー･聖</v>
          </cell>
          <cell r="H1446" t="str">
            <v>yellow</v>
          </cell>
          <cell r="I1446">
            <v>6</v>
          </cell>
          <cell r="J1446" t="str">
            <v>DropWizS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1513</v>
          </cell>
          <cell r="B1447" t="str">
            <v>ja</v>
          </cell>
          <cell r="C1447" t="str">
            <v>金ネコ</v>
          </cell>
          <cell r="H1447" t="str">
            <v>yellow</v>
          </cell>
          <cell r="I1447">
            <v>4</v>
          </cell>
          <cell r="J1447" t="str">
            <v>Material</v>
          </cell>
          <cell r="K1447" t="str">
            <v>coin</v>
          </cell>
          <cell r="L1447" t="str">
            <v>コインタイプ</v>
          </cell>
          <cell r="M1447" t="str">
            <v>unknown</v>
          </cell>
        </row>
        <row r="1448">
          <cell r="A1448">
            <v>1514</v>
          </cell>
          <cell r="B1448" t="str">
            <v>ja</v>
          </cell>
          <cell r="C1448" t="str">
            <v>金ネコビルダー</v>
          </cell>
          <cell r="H1448" t="str">
            <v>yellow</v>
          </cell>
          <cell r="I1448">
            <v>5</v>
          </cell>
          <cell r="J1448" t="str">
            <v>Material</v>
          </cell>
          <cell r="K1448" t="str">
            <v>coin</v>
          </cell>
          <cell r="L1448" t="str">
            <v>コインタイプ</v>
          </cell>
          <cell r="M1448" t="str">
            <v>unknown</v>
          </cell>
        </row>
        <row r="1449">
          <cell r="A1449">
            <v>1515</v>
          </cell>
          <cell r="B1449" t="str">
            <v>ja</v>
          </cell>
          <cell r="C1449" t="str">
            <v>赤メタルネコ</v>
          </cell>
          <cell r="H1449" t="str">
            <v>red</v>
          </cell>
          <cell r="I1449">
            <v>4</v>
          </cell>
          <cell r="J1449" t="str">
            <v>Material</v>
          </cell>
          <cell r="K1449" t="str">
            <v>exp</v>
          </cell>
          <cell r="L1449" t="str">
            <v>強化素材タイプ</v>
          </cell>
          <cell r="M1449" t="str">
            <v>unknown</v>
          </cell>
        </row>
        <row r="1450">
          <cell r="A1450">
            <v>1516</v>
          </cell>
          <cell r="B1450" t="str">
            <v>ja</v>
          </cell>
          <cell r="C1450" t="str">
            <v>赤メタルネコビルダー</v>
          </cell>
          <cell r="H1450" t="str">
            <v>red</v>
          </cell>
          <cell r="I1450">
            <v>5</v>
          </cell>
          <cell r="J1450" t="str">
            <v>Material</v>
          </cell>
          <cell r="K1450" t="str">
            <v>exp</v>
          </cell>
          <cell r="L1450" t="str">
            <v>強化素材タイプ</v>
          </cell>
          <cell r="M1450" t="str">
            <v>unknown</v>
          </cell>
        </row>
        <row r="1451">
          <cell r="A1451">
            <v>1517</v>
          </cell>
          <cell r="B1451" t="str">
            <v>ja</v>
          </cell>
          <cell r="C1451" t="str">
            <v>青メタルネコ</v>
          </cell>
          <cell r="H1451" t="str">
            <v>blue</v>
          </cell>
          <cell r="I1451">
            <v>4</v>
          </cell>
          <cell r="J1451" t="str">
            <v>Material</v>
          </cell>
          <cell r="K1451" t="str">
            <v>exp</v>
          </cell>
          <cell r="L1451" t="str">
            <v>強化素材タイプ</v>
          </cell>
          <cell r="M1451" t="str">
            <v>unknown</v>
          </cell>
        </row>
        <row r="1452">
          <cell r="A1452">
            <v>1518</v>
          </cell>
          <cell r="B1452" t="str">
            <v>ja</v>
          </cell>
          <cell r="C1452" t="str">
            <v>青メタルネコビルダー</v>
          </cell>
          <cell r="H1452" t="str">
            <v>blue</v>
          </cell>
          <cell r="I1452">
            <v>5</v>
          </cell>
          <cell r="J1452" t="str">
            <v>Material</v>
          </cell>
          <cell r="K1452" t="str">
            <v>exp</v>
          </cell>
          <cell r="L1452" t="str">
            <v>強化素材タイプ</v>
          </cell>
          <cell r="M1452" t="str">
            <v>unknown</v>
          </cell>
        </row>
        <row r="1453">
          <cell r="A1453">
            <v>1519</v>
          </cell>
          <cell r="B1453" t="str">
            <v>ja</v>
          </cell>
          <cell r="C1453" t="str">
            <v>緑メタルネコ</v>
          </cell>
          <cell r="H1453" t="str">
            <v>green</v>
          </cell>
          <cell r="I1453">
            <v>4</v>
          </cell>
          <cell r="J1453" t="str">
            <v>Material</v>
          </cell>
          <cell r="K1453" t="str">
            <v>exp</v>
          </cell>
          <cell r="L1453" t="str">
            <v>強化素材タイプ</v>
          </cell>
          <cell r="M1453" t="str">
            <v>unknown</v>
          </cell>
        </row>
        <row r="1454">
          <cell r="A1454">
            <v>1520</v>
          </cell>
          <cell r="B1454" t="str">
            <v>ja</v>
          </cell>
          <cell r="C1454" t="str">
            <v>緑メタルネコビルダー</v>
          </cell>
          <cell r="H1454" t="str">
            <v>green</v>
          </cell>
          <cell r="I1454">
            <v>5</v>
          </cell>
          <cell r="J1454" t="str">
            <v>Material</v>
          </cell>
          <cell r="K1454" t="str">
            <v>exp</v>
          </cell>
          <cell r="L1454" t="str">
            <v>強化素材タイプ</v>
          </cell>
          <cell r="M1454" t="str">
            <v>unknown</v>
          </cell>
        </row>
        <row r="1455">
          <cell r="A1455">
            <v>1521</v>
          </cell>
          <cell r="B1455" t="str">
            <v>ja</v>
          </cell>
          <cell r="C1455" t="str">
            <v>黄メタルネコ</v>
          </cell>
          <cell r="H1455" t="str">
            <v>yellow</v>
          </cell>
          <cell r="I1455">
            <v>4</v>
          </cell>
          <cell r="J1455" t="str">
            <v>Material</v>
          </cell>
          <cell r="K1455" t="str">
            <v>exp</v>
          </cell>
          <cell r="L1455" t="str">
            <v>強化素材タイプ</v>
          </cell>
          <cell r="M1455" t="str">
            <v>unknown</v>
          </cell>
        </row>
        <row r="1456">
          <cell r="A1456">
            <v>1522</v>
          </cell>
          <cell r="B1456" t="str">
            <v>ja</v>
          </cell>
          <cell r="C1456" t="str">
            <v>黄メタルネコビルダー</v>
          </cell>
          <cell r="H1456" t="str">
            <v>yellow</v>
          </cell>
          <cell r="I1456">
            <v>5</v>
          </cell>
          <cell r="J1456" t="str">
            <v>Material</v>
          </cell>
          <cell r="K1456" t="str">
            <v>exp</v>
          </cell>
          <cell r="L1456" t="str">
            <v>強化素材タイプ</v>
          </cell>
          <cell r="M1456" t="str">
            <v>unknown</v>
          </cell>
        </row>
        <row r="1457">
          <cell r="A1457">
            <v>1523</v>
          </cell>
          <cell r="B1457" t="str">
            <v>ja</v>
          </cell>
          <cell r="C1457" t="str">
            <v>ネコムート</v>
          </cell>
          <cell r="H1457" t="str">
            <v>blue</v>
          </cell>
          <cell r="I1457">
            <v>5</v>
          </cell>
          <cell r="J1457" t="str">
            <v>DropWizS</v>
          </cell>
          <cell r="K1457" t="str">
            <v>technical</v>
          </cell>
          <cell r="L1457" t="str">
            <v>テクニカルタイプ</v>
          </cell>
          <cell r="M1457" t="str">
            <v>animal</v>
          </cell>
        </row>
        <row r="1458">
          <cell r="A1458">
            <v>1524</v>
          </cell>
          <cell r="B1458" t="str">
            <v>ja</v>
          </cell>
          <cell r="C1458" t="str">
            <v>狂乱のネコムート</v>
          </cell>
          <cell r="H1458" t="str">
            <v>blue</v>
          </cell>
          <cell r="I1458">
            <v>6</v>
          </cell>
          <cell r="J1458" t="str">
            <v>DropWizS</v>
          </cell>
          <cell r="K1458" t="str">
            <v>technical</v>
          </cell>
          <cell r="L1458" t="str">
            <v>テクニカルタイプ</v>
          </cell>
          <cell r="M1458" t="str">
            <v>animal</v>
          </cell>
        </row>
        <row r="1459">
          <cell r="A1459">
            <v>1525</v>
          </cell>
          <cell r="B1459" t="str">
            <v>ja</v>
          </cell>
          <cell r="C1459" t="str">
            <v>狂乱のネコ</v>
          </cell>
          <cell r="H1459" t="str">
            <v>red</v>
          </cell>
          <cell r="I1459">
            <v>5</v>
          </cell>
          <cell r="J1459" t="str">
            <v>DropWizSS</v>
          </cell>
          <cell r="K1459" t="str">
            <v>attack</v>
          </cell>
          <cell r="L1459" t="str">
            <v>攻撃タイプ</v>
          </cell>
          <cell r="M1459" t="str">
            <v>animal</v>
          </cell>
        </row>
        <row r="1460">
          <cell r="A1460">
            <v>1526</v>
          </cell>
          <cell r="B1460" t="str">
            <v>ja</v>
          </cell>
          <cell r="C1460" t="str">
            <v>狂乱のネコビルダー</v>
          </cell>
          <cell r="H1460" t="str">
            <v>red</v>
          </cell>
          <cell r="I1460">
            <v>6</v>
          </cell>
          <cell r="J1460" t="str">
            <v>DropWizSS</v>
          </cell>
          <cell r="K1460" t="str">
            <v>attack</v>
          </cell>
          <cell r="L1460" t="str">
            <v>攻撃タイプ</v>
          </cell>
          <cell r="M1460" t="str">
            <v>animal</v>
          </cell>
        </row>
        <row r="1461">
          <cell r="A1461">
            <v>1527</v>
          </cell>
          <cell r="B1461" t="str">
            <v>ja</v>
          </cell>
          <cell r="C1461" t="str">
            <v>ネコ魔剣士</v>
          </cell>
          <cell r="H1461" t="str">
            <v>red</v>
          </cell>
          <cell r="I1461">
            <v>4</v>
          </cell>
          <cell r="J1461" t="str">
            <v>PremiumS</v>
          </cell>
          <cell r="K1461" t="str">
            <v>attack</v>
          </cell>
          <cell r="L1461" t="str">
            <v>攻撃タイプ</v>
          </cell>
          <cell r="M1461" t="str">
            <v>animal</v>
          </cell>
        </row>
        <row r="1462">
          <cell r="A1462">
            <v>1528</v>
          </cell>
          <cell r="B1462" t="str">
            <v>ja</v>
          </cell>
          <cell r="C1462" t="str">
            <v>双剣ネコ魔剣士</v>
          </cell>
          <cell r="H1462" t="str">
            <v>red</v>
          </cell>
          <cell r="I1462">
            <v>5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animal</v>
          </cell>
        </row>
        <row r="1463">
          <cell r="A1463">
            <v>1529</v>
          </cell>
          <cell r="B1463" t="str">
            <v>ja</v>
          </cell>
          <cell r="C1463" t="str">
            <v>ねこ海賊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1530</v>
          </cell>
          <cell r="B1464" t="str">
            <v>ja</v>
          </cell>
          <cell r="C1464" t="str">
            <v>ニャーコック船長</v>
          </cell>
          <cell r="H1464" t="str">
            <v>blue</v>
          </cell>
          <cell r="I1464">
            <v>5</v>
          </cell>
          <cell r="J1464" t="str">
            <v>PremiumS</v>
          </cell>
          <cell r="K1464" t="str">
            <v>balance</v>
          </cell>
          <cell r="L1464" t="str">
            <v>バランスタイプ</v>
          </cell>
          <cell r="M1464" t="str">
            <v>unknown</v>
          </cell>
        </row>
        <row r="1465">
          <cell r="A1465">
            <v>1531</v>
          </cell>
          <cell r="B1465" t="str">
            <v>ja</v>
          </cell>
          <cell r="C1465" t="str">
            <v>ねこジュラ</v>
          </cell>
          <cell r="H1465" t="str">
            <v>green</v>
          </cell>
          <cell r="I1465">
            <v>4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animal</v>
          </cell>
        </row>
        <row r="1466">
          <cell r="A1466">
            <v>1532</v>
          </cell>
          <cell r="B1466" t="str">
            <v>ja</v>
          </cell>
          <cell r="C1466" t="str">
            <v>ねこジュラシッター</v>
          </cell>
          <cell r="H1466" t="str">
            <v>green</v>
          </cell>
          <cell r="I1466">
            <v>5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animal</v>
          </cell>
        </row>
        <row r="1467">
          <cell r="A1467">
            <v>1533</v>
          </cell>
          <cell r="B1467" t="str">
            <v>ja</v>
          </cell>
          <cell r="C1467" t="str">
            <v>ネコエステ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animal</v>
          </cell>
        </row>
        <row r="1468">
          <cell r="A1468">
            <v>1534</v>
          </cell>
          <cell r="B1468" t="str">
            <v>ja</v>
          </cell>
          <cell r="C1468" t="str">
            <v>ネコジェンヌ</v>
          </cell>
          <cell r="H1468" t="str">
            <v>yellow</v>
          </cell>
          <cell r="I1468">
            <v>5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1535</v>
          </cell>
          <cell r="B1469" t="str">
            <v>ja</v>
          </cell>
          <cell r="C1469" t="str">
            <v>ねこナース</v>
          </cell>
          <cell r="H1469" t="str">
            <v>red</v>
          </cell>
          <cell r="I1469">
            <v>5</v>
          </cell>
          <cell r="J1469" t="str">
            <v>PremiumSS</v>
          </cell>
          <cell r="K1469" t="str">
            <v>technical</v>
          </cell>
          <cell r="L1469" t="str">
            <v>テクニカルタイプ</v>
          </cell>
          <cell r="M1469" t="str">
            <v>god</v>
          </cell>
        </row>
        <row r="1470">
          <cell r="A1470">
            <v>1536</v>
          </cell>
          <cell r="B1470" t="str">
            <v>ja</v>
          </cell>
          <cell r="C1470" t="str">
            <v>ハートフルねこナース</v>
          </cell>
          <cell r="H1470" t="str">
            <v>red</v>
          </cell>
          <cell r="I1470">
            <v>6</v>
          </cell>
          <cell r="J1470" t="str">
            <v>PremiumSS</v>
          </cell>
          <cell r="K1470" t="str">
            <v>technical</v>
          </cell>
          <cell r="L1470" t="str">
            <v>テクニカルタイプ</v>
          </cell>
          <cell r="M1470" t="str">
            <v>god</v>
          </cell>
        </row>
        <row r="1471">
          <cell r="A1471">
            <v>1537</v>
          </cell>
          <cell r="B1471" t="str">
            <v>ja</v>
          </cell>
          <cell r="C1471" t="str">
            <v>キャットマンダディ</v>
          </cell>
          <cell r="H1471" t="str">
            <v>blue</v>
          </cell>
          <cell r="I1471">
            <v>5</v>
          </cell>
          <cell r="J1471" t="str">
            <v>PremiumSSS</v>
          </cell>
          <cell r="K1471" t="str">
            <v>attack</v>
          </cell>
          <cell r="L1471" t="str">
            <v>攻撃タイプ</v>
          </cell>
          <cell r="M1471" t="str">
            <v>unknown</v>
          </cell>
        </row>
        <row r="1472">
          <cell r="A1472">
            <v>1538</v>
          </cell>
          <cell r="B1472" t="str">
            <v>ja</v>
          </cell>
          <cell r="C1472" t="str">
            <v>キャットマンダーク</v>
          </cell>
          <cell r="H1472" t="str">
            <v>blue</v>
          </cell>
          <cell r="I1472">
            <v>6</v>
          </cell>
          <cell r="J1472" t="str">
            <v>PremiumSSS</v>
          </cell>
          <cell r="K1472" t="str">
            <v>attack</v>
          </cell>
          <cell r="L1472" t="str">
            <v>攻撃タイプ</v>
          </cell>
          <cell r="M1472" t="str">
            <v>unknown</v>
          </cell>
        </row>
        <row r="1473">
          <cell r="A1473">
            <v>1539</v>
          </cell>
          <cell r="B1473" t="str">
            <v>ja</v>
          </cell>
          <cell r="C1473" t="str">
            <v>雷神のサンディア</v>
          </cell>
          <cell r="H1473" t="str">
            <v>yellow</v>
          </cell>
          <cell r="I1473">
            <v>5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god</v>
          </cell>
        </row>
        <row r="1474">
          <cell r="A1474">
            <v>1540</v>
          </cell>
          <cell r="B1474" t="str">
            <v>ja</v>
          </cell>
          <cell r="C1474" t="str">
            <v>雷神のサンディアβ</v>
          </cell>
          <cell r="H1474" t="str">
            <v>yellow</v>
          </cell>
          <cell r="I1474">
            <v>6</v>
          </cell>
          <cell r="J1474" t="str">
            <v>PremiumSS</v>
          </cell>
          <cell r="K1474" t="str">
            <v>attack</v>
          </cell>
          <cell r="L1474" t="str">
            <v>攻撃タイプ</v>
          </cell>
          <cell r="M1474" t="str">
            <v>god</v>
          </cell>
        </row>
        <row r="1475">
          <cell r="A1475">
            <v>1541</v>
          </cell>
          <cell r="B1475" t="str">
            <v>ja</v>
          </cell>
          <cell r="C1475" t="str">
            <v>美女神アフロディーテ</v>
          </cell>
          <cell r="H1475" t="str">
            <v>red</v>
          </cell>
          <cell r="I1475">
            <v>5</v>
          </cell>
          <cell r="J1475" t="str">
            <v>PremiumSSS</v>
          </cell>
          <cell r="K1475" t="str">
            <v>technical</v>
          </cell>
          <cell r="L1475" t="str">
            <v>テクニカルタイプ</v>
          </cell>
          <cell r="M1475" t="str">
            <v>god</v>
          </cell>
        </row>
        <row r="1476">
          <cell r="A1476">
            <v>1542</v>
          </cell>
          <cell r="B1476" t="str">
            <v>ja</v>
          </cell>
          <cell r="C1476" t="str">
            <v>メガロディーテ</v>
          </cell>
          <cell r="H1476" t="str">
            <v>red</v>
          </cell>
          <cell r="I1476">
            <v>6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god</v>
          </cell>
        </row>
        <row r="1477">
          <cell r="A1477">
            <v>1543</v>
          </cell>
          <cell r="B1477" t="str">
            <v>ja</v>
          </cell>
          <cell r="C1477" t="str">
            <v>ツルの恩返し</v>
          </cell>
          <cell r="H1477" t="str">
            <v>red</v>
          </cell>
          <cell r="I1477">
            <v>5</v>
          </cell>
          <cell r="J1477" t="str">
            <v>PremiumSS</v>
          </cell>
          <cell r="K1477" t="str">
            <v>balance</v>
          </cell>
          <cell r="L1477" t="str">
            <v>バランスタイプ</v>
          </cell>
          <cell r="M1477" t="str">
            <v>hero</v>
          </cell>
        </row>
        <row r="1478">
          <cell r="A1478">
            <v>1544</v>
          </cell>
          <cell r="B1478" t="str">
            <v>ja</v>
          </cell>
          <cell r="C1478" t="str">
            <v>銀河戦士コスモ</v>
          </cell>
          <cell r="H1478" t="str">
            <v>red</v>
          </cell>
          <cell r="I1478">
            <v>6</v>
          </cell>
          <cell r="J1478" t="str">
            <v>PremiumSS</v>
          </cell>
          <cell r="K1478" t="str">
            <v>balance</v>
          </cell>
          <cell r="L1478" t="str">
            <v>バランスタイプ</v>
          </cell>
          <cell r="M1478" t="str">
            <v>hero</v>
          </cell>
        </row>
        <row r="1479">
          <cell r="A1479">
            <v>1545</v>
          </cell>
          <cell r="B1479" t="str">
            <v>ja</v>
          </cell>
          <cell r="C1479" t="str">
            <v>ネコルガ</v>
          </cell>
          <cell r="H1479" t="str">
            <v>green</v>
          </cell>
          <cell r="I1479">
            <v>5</v>
          </cell>
          <cell r="J1479" t="str">
            <v>PremiumSS</v>
          </cell>
          <cell r="K1479" t="str">
            <v>hp</v>
          </cell>
          <cell r="L1479" t="str">
            <v>体力タイプ</v>
          </cell>
          <cell r="M1479" t="str">
            <v>unknown</v>
          </cell>
        </row>
        <row r="1480">
          <cell r="A1480">
            <v>1546</v>
          </cell>
          <cell r="B1480" t="str">
            <v>ja</v>
          </cell>
          <cell r="C1480" t="str">
            <v>ケサランパサラン</v>
          </cell>
          <cell r="H1480" t="str">
            <v>green</v>
          </cell>
          <cell r="I1480">
            <v>6</v>
          </cell>
          <cell r="J1480" t="str">
            <v>PremiumSS</v>
          </cell>
          <cell r="K1480" t="str">
            <v>hp</v>
          </cell>
          <cell r="L1480" t="str">
            <v>体力タイプ</v>
          </cell>
          <cell r="M1480" t="str">
            <v>unknown</v>
          </cell>
        </row>
        <row r="1481">
          <cell r="A1481">
            <v>1547</v>
          </cell>
          <cell r="B1481" t="str">
            <v>ja</v>
          </cell>
          <cell r="C1481" t="str">
            <v>ネコフラワー</v>
          </cell>
          <cell r="H1481" t="str">
            <v>green</v>
          </cell>
          <cell r="I1481">
            <v>4</v>
          </cell>
          <cell r="J1481" t="str">
            <v>Drop2N</v>
          </cell>
          <cell r="K1481" t="str">
            <v>hp</v>
          </cell>
          <cell r="L1481" t="str">
            <v>体力タイプ</v>
          </cell>
          <cell r="M1481" t="str">
            <v>animal</v>
          </cell>
        </row>
        <row r="1482">
          <cell r="A1482">
            <v>1548</v>
          </cell>
          <cell r="B1482" t="str">
            <v>ja</v>
          </cell>
          <cell r="C1482" t="str">
            <v>にゃんこ扇風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animal</v>
          </cell>
        </row>
        <row r="1483">
          <cell r="A1483">
            <v>1549</v>
          </cell>
          <cell r="B1483" t="str">
            <v>ja</v>
          </cell>
          <cell r="C1483" t="str">
            <v>ネコリンゴ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1550</v>
          </cell>
          <cell r="B1484" t="str">
            <v>ja</v>
          </cell>
          <cell r="C1484" t="str">
            <v>カオルくん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</row>
        <row r="1485">
          <cell r="A1485">
            <v>5001</v>
          </cell>
          <cell r="B1485" t="str">
            <v>ja</v>
          </cell>
          <cell r="C1485" t="str">
            <v>ガルーダ</v>
          </cell>
          <cell r="D1485" t="str">
            <v>ノーマルクエスト</v>
          </cell>
          <cell r="E1485" t="str">
            <v>QoH</v>
          </cell>
          <cell r="F1485" t="str">
            <v>世界観</v>
          </cell>
          <cell r="G1485" t="str">
            <v>不明</v>
          </cell>
          <cell r="H1485" t="str">
            <v>red</v>
          </cell>
          <cell r="I1485">
            <v>5</v>
          </cell>
          <cell r="J1485" t="str">
            <v>PremiumSSw</v>
          </cell>
          <cell r="K1485" t="str">
            <v>attack</v>
          </cell>
          <cell r="L1485" t="str">
            <v>攻撃タイプ</v>
          </cell>
          <cell r="M1485" t="str">
            <v>god</v>
          </cell>
        </row>
        <row r="1486">
          <cell r="A1486">
            <v>5002</v>
          </cell>
          <cell r="B1486" t="str">
            <v>ja</v>
          </cell>
          <cell r="C1486" t="str">
            <v>ガルーダ★６</v>
          </cell>
          <cell r="D1486" t="str">
            <v>ノーマルクエスト</v>
          </cell>
          <cell r="E1486" t="str">
            <v>アバター</v>
          </cell>
          <cell r="F1486" t="str">
            <v>世界観</v>
          </cell>
          <cell r="G1486" t="str">
            <v>男性</v>
          </cell>
          <cell r="H1486" t="str">
            <v>red</v>
          </cell>
          <cell r="I1486">
            <v>6</v>
          </cell>
          <cell r="J1486" t="str">
            <v>PremiumSSw</v>
          </cell>
          <cell r="K1486" t="str">
            <v>attack</v>
          </cell>
          <cell r="L1486" t="str">
            <v>攻撃タイプ</v>
          </cell>
          <cell r="M1486" t="str">
            <v>god</v>
          </cell>
        </row>
        <row r="1487">
          <cell r="A1487">
            <v>5003</v>
          </cell>
          <cell r="B1487" t="str">
            <v>ja</v>
          </cell>
          <cell r="C1487" t="str">
            <v>ナーガ</v>
          </cell>
          <cell r="D1487" t="str">
            <v>リンクガチャ:4神</v>
          </cell>
          <cell r="E1487" t="str">
            <v>守護神</v>
          </cell>
          <cell r="F1487" t="str">
            <v>格好いい</v>
          </cell>
          <cell r="G1487" t="str">
            <v>不明</v>
          </cell>
          <cell r="H1487" t="str">
            <v>green</v>
          </cell>
          <cell r="I1487">
            <v>5</v>
          </cell>
          <cell r="J1487" t="str">
            <v>DropWizS</v>
          </cell>
          <cell r="K1487" t="str">
            <v>technical</v>
          </cell>
          <cell r="L1487" t="str">
            <v>テクニカルタイプ</v>
          </cell>
          <cell r="M1487" t="str">
            <v>animal</v>
          </cell>
        </row>
        <row r="1488">
          <cell r="A1488">
            <v>5004</v>
          </cell>
          <cell r="B1488" t="str">
            <v>ja</v>
          </cell>
          <cell r="C1488" t="str">
            <v>ナーガ★６</v>
          </cell>
          <cell r="D1488" t="str">
            <v>ノーマルクエスト</v>
          </cell>
          <cell r="E1488" t="str">
            <v>アバター</v>
          </cell>
          <cell r="F1488" t="str">
            <v>世界観</v>
          </cell>
          <cell r="G1488" t="str">
            <v>不明</v>
          </cell>
          <cell r="H1488" t="str">
            <v>green</v>
          </cell>
          <cell r="I1488">
            <v>6</v>
          </cell>
          <cell r="J1488" t="str">
            <v>DropWizS</v>
          </cell>
          <cell r="K1488" t="str">
            <v>technical</v>
          </cell>
          <cell r="L1488" t="str">
            <v>テクニカルタイプ</v>
          </cell>
          <cell r="M1488" t="str">
            <v>animal</v>
          </cell>
        </row>
        <row r="1489">
          <cell r="A1489">
            <v>5005</v>
          </cell>
          <cell r="B1489" t="str">
            <v>ja</v>
          </cell>
          <cell r="C1489" t="str">
            <v>カーミラ</v>
          </cell>
          <cell r="D1489" t="str">
            <v>ノーマルクエスト</v>
          </cell>
          <cell r="E1489" t="str">
            <v>QoH</v>
          </cell>
          <cell r="F1489" t="str">
            <v>世界観</v>
          </cell>
          <cell r="G1489" t="str">
            <v>不明</v>
          </cell>
          <cell r="H1489" t="str">
            <v>green</v>
          </cell>
          <cell r="I1489">
            <v>5</v>
          </cell>
          <cell r="J1489" t="str">
            <v>PremiumSSw</v>
          </cell>
          <cell r="K1489" t="str">
            <v>balance</v>
          </cell>
          <cell r="L1489" t="str">
            <v>バランスタイプ</v>
          </cell>
          <cell r="M1489" t="str">
            <v>demon</v>
          </cell>
        </row>
        <row r="1490">
          <cell r="A1490">
            <v>5006</v>
          </cell>
          <cell r="B1490" t="str">
            <v>ja</v>
          </cell>
          <cell r="C1490" t="str">
            <v>カーミラ★６</v>
          </cell>
          <cell r="D1490" t="str">
            <v>ノーマルクエスト</v>
          </cell>
          <cell r="E1490" t="str">
            <v>アバター</v>
          </cell>
          <cell r="F1490" t="str">
            <v>世界観</v>
          </cell>
          <cell r="G1490" t="str">
            <v>男性</v>
          </cell>
          <cell r="H1490" t="str">
            <v>green</v>
          </cell>
          <cell r="I1490">
            <v>6</v>
          </cell>
          <cell r="J1490" t="str">
            <v>PremiumSSw</v>
          </cell>
          <cell r="K1490" t="str">
            <v>balance</v>
          </cell>
          <cell r="L1490" t="str">
            <v>バランスタイプ</v>
          </cell>
          <cell r="M1490" t="str">
            <v>demon</v>
          </cell>
        </row>
        <row r="1491">
          <cell r="A1491">
            <v>5007</v>
          </cell>
          <cell r="B1491" t="str">
            <v>ja</v>
          </cell>
          <cell r="C1491" t="str">
            <v>ヘルシング</v>
          </cell>
          <cell r="D1491" t="str">
            <v>リンクガチャ:4神</v>
          </cell>
          <cell r="E1491" t="str">
            <v>守護神</v>
          </cell>
          <cell r="F1491" t="str">
            <v>格好いい</v>
          </cell>
          <cell r="G1491" t="str">
            <v>不明</v>
          </cell>
          <cell r="H1491" t="str">
            <v>yellow</v>
          </cell>
          <cell r="I1491">
            <v>5</v>
          </cell>
          <cell r="J1491" t="str">
            <v>DropWizS</v>
          </cell>
          <cell r="K1491" t="str">
            <v>technical</v>
          </cell>
          <cell r="L1491" t="str">
            <v>テクニカルタイプ</v>
          </cell>
          <cell r="M1491" t="str">
            <v>human</v>
          </cell>
        </row>
        <row r="1492">
          <cell r="A1492">
            <v>5008</v>
          </cell>
          <cell r="B1492" t="str">
            <v>ja</v>
          </cell>
          <cell r="C1492" t="str">
            <v>ヘルシング★６</v>
          </cell>
          <cell r="D1492" t="str">
            <v>ノーマルクエスト</v>
          </cell>
          <cell r="E1492" t="str">
            <v>アバター</v>
          </cell>
          <cell r="F1492" t="str">
            <v>世界観</v>
          </cell>
          <cell r="G1492" t="str">
            <v>不明</v>
          </cell>
          <cell r="H1492" t="str">
            <v>yellow</v>
          </cell>
          <cell r="I1492">
            <v>6</v>
          </cell>
          <cell r="J1492" t="str">
            <v>DropWizS</v>
          </cell>
          <cell r="K1492" t="str">
            <v>technical</v>
          </cell>
          <cell r="L1492" t="str">
            <v>テクニカルタイプ</v>
          </cell>
          <cell r="M1492" t="str">
            <v>human</v>
          </cell>
        </row>
        <row r="1493">
          <cell r="A1493">
            <v>6001</v>
          </cell>
          <cell r="B1493" t="str">
            <v>ja</v>
          </cell>
          <cell r="C1493" t="str">
            <v>ジェリー</v>
          </cell>
          <cell r="D1493" t="str">
            <v>ノーマルクエスト</v>
          </cell>
          <cell r="E1493" t="str">
            <v>QoH</v>
          </cell>
          <cell r="F1493" t="str">
            <v>世界観</v>
          </cell>
          <cell r="G1493" t="str">
            <v>不明</v>
          </cell>
          <cell r="H1493" t="str">
            <v>red</v>
          </cell>
          <cell r="I1493">
            <v>1</v>
          </cell>
          <cell r="J1493" t="str">
            <v>Drop1T</v>
          </cell>
          <cell r="K1493" t="str">
            <v>ra</v>
          </cell>
          <cell r="L1493" t="str">
            <v>ラグランジュチャレンジ</v>
          </cell>
          <cell r="M1493" t="str">
            <v>unknown</v>
          </cell>
        </row>
        <row r="1494">
          <cell r="A1494">
            <v>6002</v>
          </cell>
          <cell r="B1494" t="str">
            <v>ja</v>
          </cell>
          <cell r="C1494" t="str">
            <v>ヨシタカ</v>
          </cell>
          <cell r="D1494" t="str">
            <v>ノーマルクエスト</v>
          </cell>
          <cell r="E1494" t="str">
            <v>アバター</v>
          </cell>
          <cell r="F1494" t="str">
            <v>世界観</v>
          </cell>
          <cell r="G1494" t="str">
            <v>男性</v>
          </cell>
          <cell r="H1494" t="str">
            <v>red</v>
          </cell>
          <cell r="I1494">
            <v>2</v>
          </cell>
          <cell r="J1494" t="str">
            <v>Drop1N</v>
          </cell>
          <cell r="K1494" t="str">
            <v>ra</v>
          </cell>
          <cell r="L1494" t="str">
            <v>ラグランジュチャレンジ</v>
          </cell>
          <cell r="M1494" t="str">
            <v>human</v>
          </cell>
        </row>
        <row r="1495">
          <cell r="A1495">
            <v>6003</v>
          </cell>
          <cell r="B1495" t="str">
            <v>ja</v>
          </cell>
          <cell r="C1495" t="str">
            <v>朱雀</v>
          </cell>
          <cell r="D1495" t="str">
            <v>リンクガチャ:4神</v>
          </cell>
          <cell r="E1495" t="str">
            <v>守護神</v>
          </cell>
          <cell r="F1495" t="str">
            <v>格好いい</v>
          </cell>
          <cell r="G1495" t="str">
            <v>不明</v>
          </cell>
          <cell r="H1495" t="str">
            <v>red</v>
          </cell>
          <cell r="I1495">
            <v>3</v>
          </cell>
          <cell r="J1495" t="str">
            <v>Drop2N</v>
          </cell>
          <cell r="K1495" t="str">
            <v>ra</v>
          </cell>
          <cell r="L1495" t="str">
            <v>ラグランジュチャレンジ</v>
          </cell>
          <cell r="M1495" t="str">
            <v>animal</v>
          </cell>
        </row>
        <row r="1496">
          <cell r="A1496">
            <v>6004</v>
          </cell>
          <cell r="B1496" t="str">
            <v>ja</v>
          </cell>
          <cell r="C1496" t="str">
            <v>ブレット</v>
          </cell>
          <cell r="D1496" t="str">
            <v>ノーマルクエスト</v>
          </cell>
          <cell r="E1496" t="str">
            <v>アバター</v>
          </cell>
          <cell r="F1496" t="str">
            <v>世界観</v>
          </cell>
          <cell r="G1496" t="str">
            <v>不明</v>
          </cell>
          <cell r="H1496" t="str">
            <v>red</v>
          </cell>
          <cell r="I1496">
            <v>1</v>
          </cell>
          <cell r="J1496" t="str">
            <v>Drop1W</v>
          </cell>
          <cell r="K1496" t="str">
            <v>ra</v>
          </cell>
          <cell r="L1496" t="str">
            <v>ラグランジュチャレンジ</v>
          </cell>
          <cell r="M1496" t="str">
            <v>animal</v>
          </cell>
        </row>
        <row r="1497">
          <cell r="A1497">
            <v>6005</v>
          </cell>
          <cell r="B1497" t="str">
            <v>ja</v>
          </cell>
          <cell r="C1497" t="str">
            <v>孤神 テティス</v>
          </cell>
          <cell r="D1497" t="str">
            <v>初期ガチャ</v>
          </cell>
          <cell r="E1497" t="str">
            <v>管理者</v>
          </cell>
          <cell r="F1497" t="str">
            <v>美しい</v>
          </cell>
          <cell r="G1497" t="str">
            <v>女性</v>
          </cell>
          <cell r="H1497" t="str">
            <v>blue</v>
          </cell>
          <cell r="I1497">
            <v>4</v>
          </cell>
          <cell r="J1497" t="str">
            <v>PremiumN</v>
          </cell>
          <cell r="K1497" t="str">
            <v>ra</v>
          </cell>
          <cell r="L1497" t="str">
            <v>ラグランジュチャレンジ</v>
          </cell>
          <cell r="M1497" t="str">
            <v>god</v>
          </cell>
        </row>
        <row r="1498">
          <cell r="A1498">
            <v>6006</v>
          </cell>
          <cell r="B1498" t="str">
            <v>ja</v>
          </cell>
          <cell r="C1498" t="str">
            <v>海底の孤高神 テティス</v>
          </cell>
          <cell r="D1498" t="str">
            <v>初期ガチャ</v>
          </cell>
          <cell r="E1498" t="str">
            <v>管理者</v>
          </cell>
          <cell r="F1498" t="str">
            <v>美しい</v>
          </cell>
          <cell r="G1498" t="str">
            <v>女性</v>
          </cell>
          <cell r="H1498" t="str">
            <v>blue</v>
          </cell>
          <cell r="I1498">
            <v>5</v>
          </cell>
          <cell r="J1498" t="str">
            <v>PremiumN</v>
          </cell>
          <cell r="K1498" t="str">
            <v>ra</v>
          </cell>
          <cell r="L1498" t="str">
            <v>ラグランジュチャレンジ</v>
          </cell>
          <cell r="M1498" t="str">
            <v>god</v>
          </cell>
        </row>
        <row r="1499">
          <cell r="A1499">
            <v>6007</v>
          </cell>
          <cell r="B1499" t="str">
            <v>ja</v>
          </cell>
          <cell r="C1499" t="str">
            <v>番犬 ケルベロス</v>
          </cell>
          <cell r="D1499" t="str">
            <v>初期ガチャ</v>
          </cell>
          <cell r="E1499" t="str">
            <v>破界者</v>
          </cell>
          <cell r="F1499" t="str">
            <v>可愛い</v>
          </cell>
          <cell r="G1499" t="str">
            <v>女性</v>
          </cell>
          <cell r="H1499" t="str">
            <v>red</v>
          </cell>
          <cell r="I1499">
            <v>4</v>
          </cell>
          <cell r="J1499" t="str">
            <v>PremiumN</v>
          </cell>
          <cell r="K1499" t="str">
            <v>ra</v>
          </cell>
          <cell r="L1499" t="str">
            <v>ラグランジュチャレンジ</v>
          </cell>
          <cell r="M1499" t="str">
            <v>animal</v>
          </cell>
        </row>
        <row r="1500">
          <cell r="A1500">
            <v>6008</v>
          </cell>
          <cell r="B1500" t="str">
            <v>ja</v>
          </cell>
          <cell r="C1500" t="str">
            <v>焔神 プロメテウス</v>
          </cell>
          <cell r="D1500" t="str">
            <v>初期ガチャ</v>
          </cell>
          <cell r="E1500" t="str">
            <v>管理者</v>
          </cell>
          <cell r="F1500" t="str">
            <v>格好いい</v>
          </cell>
          <cell r="G1500" t="str">
            <v>男性</v>
          </cell>
          <cell r="H1500" t="str">
            <v>red</v>
          </cell>
          <cell r="I1500">
            <v>4</v>
          </cell>
          <cell r="J1500" t="str">
            <v>PremiumN</v>
          </cell>
          <cell r="K1500" t="str">
            <v>ra</v>
          </cell>
          <cell r="L1500" t="str">
            <v>ラグランジュチャレンジ</v>
          </cell>
          <cell r="M1500" t="str">
            <v>god</v>
          </cell>
        </row>
        <row r="1501">
          <cell r="A1501">
            <v>6009</v>
          </cell>
          <cell r="B1501" t="str">
            <v>ja</v>
          </cell>
          <cell r="C1501" t="str">
            <v>超越自我 ラグランジュ</v>
          </cell>
          <cell r="D1501" t="str">
            <v>ガチャ:フィーバーフェス02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red</v>
          </cell>
          <cell r="I1501">
            <v>5</v>
          </cell>
          <cell r="J1501" t="str">
            <v>PremiumSSS</v>
          </cell>
          <cell r="K1501" t="str">
            <v>ra</v>
          </cell>
          <cell r="L1501" t="str">
            <v>ラグランジュチャレンジ</v>
          </cell>
          <cell r="M1501" t="str">
            <v>human</v>
          </cell>
        </row>
        <row r="1502">
          <cell r="A1502">
            <v>6010</v>
          </cell>
          <cell r="B1502" t="str">
            <v>ja</v>
          </cell>
          <cell r="C1502" t="str">
            <v>超越凌駕 ラグランジュ</v>
          </cell>
          <cell r="D1502" t="str">
            <v>ガチャ:フィーバーフェス02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red</v>
          </cell>
          <cell r="I1502">
            <v>6</v>
          </cell>
          <cell r="J1502" t="str">
            <v>PremiumSSS</v>
          </cell>
          <cell r="K1502" t="str">
            <v>ra</v>
          </cell>
          <cell r="L1502" t="str">
            <v>ラグランジュチャレンジ</v>
          </cell>
          <cell r="M1502" t="str">
            <v>human</v>
          </cell>
        </row>
        <row r="1503">
          <cell r="A1503">
            <v>6011</v>
          </cell>
          <cell r="B1503" t="str">
            <v>ja</v>
          </cell>
          <cell r="C1503" t="str">
            <v>パトドッグリーダー ポチ</v>
          </cell>
          <cell r="D1503" t="str">
            <v>ガチャ:フィーバーフェス02</v>
          </cell>
          <cell r="E1503" t="str">
            <v>執行者</v>
          </cell>
          <cell r="F1503" t="str">
            <v>格好いい</v>
          </cell>
          <cell r="G1503" t="str">
            <v>男性</v>
          </cell>
          <cell r="H1503" t="str">
            <v>blue</v>
          </cell>
          <cell r="I1503">
            <v>2</v>
          </cell>
          <cell r="J1503" t="str">
            <v>Drop1T</v>
          </cell>
          <cell r="K1503" t="str">
            <v>ra002</v>
          </cell>
          <cell r="L1503" t="str">
            <v>ユークリッドチャレンジ</v>
          </cell>
          <cell r="M1503" t="str">
            <v>unknown</v>
          </cell>
        </row>
        <row r="1504">
          <cell r="A1504">
            <v>6012</v>
          </cell>
          <cell r="B1504" t="str">
            <v>ja</v>
          </cell>
          <cell r="C1504" t="str">
            <v>ミミ</v>
          </cell>
          <cell r="D1504" t="str">
            <v>ガチャ:フィーバーフェス02</v>
          </cell>
          <cell r="E1504" t="str">
            <v>執行者</v>
          </cell>
          <cell r="F1504" t="str">
            <v>格好いい</v>
          </cell>
          <cell r="G1504" t="str">
            <v>男性</v>
          </cell>
          <cell r="H1504" t="str">
            <v>yellow</v>
          </cell>
          <cell r="I1504">
            <v>1</v>
          </cell>
          <cell r="J1504" t="str">
            <v>Drop1W</v>
          </cell>
          <cell r="K1504" t="str">
            <v>ra002</v>
          </cell>
          <cell r="L1504" t="str">
            <v>ユークリッドチャレンジ</v>
          </cell>
          <cell r="M1504" t="str">
            <v>animal</v>
          </cell>
        </row>
        <row r="1505">
          <cell r="A1505">
            <v>6013</v>
          </cell>
          <cell r="B1505" t="str">
            <v>ja</v>
          </cell>
          <cell r="C1505" t="str">
            <v>護衛機人 スケアクロウ</v>
          </cell>
          <cell r="D1505" t="str">
            <v>ガチャ:フィーバーフェス02</v>
          </cell>
          <cell r="E1505" t="str">
            <v>執行者</v>
          </cell>
          <cell r="F1505" t="str">
            <v>格好いい</v>
          </cell>
          <cell r="G1505" t="str">
            <v>男性</v>
          </cell>
          <cell r="H1505" t="str">
            <v>blue</v>
          </cell>
          <cell r="I1505">
            <v>2</v>
          </cell>
          <cell r="J1505" t="str">
            <v>Drop1N</v>
          </cell>
          <cell r="K1505" t="str">
            <v>ra002</v>
          </cell>
          <cell r="L1505" t="str">
            <v>ユークリッドチャレンジ</v>
          </cell>
          <cell r="M1505" t="str">
            <v>machine</v>
          </cell>
        </row>
        <row r="1506">
          <cell r="A1506">
            <v>6014</v>
          </cell>
          <cell r="B1506" t="str">
            <v>ja</v>
          </cell>
          <cell r="C1506" t="str">
            <v>月下の人狼 ローレンス</v>
          </cell>
          <cell r="D1506" t="str">
            <v>ガチャ:フィーバーフェス02</v>
          </cell>
          <cell r="E1506" t="str">
            <v>執行者</v>
          </cell>
          <cell r="F1506" t="str">
            <v>格好いい</v>
          </cell>
          <cell r="G1506" t="str">
            <v>男性</v>
          </cell>
          <cell r="H1506" t="str">
            <v>blue</v>
          </cell>
          <cell r="I1506">
            <v>4</v>
          </cell>
          <cell r="J1506" t="str">
            <v>PremiumW</v>
          </cell>
          <cell r="K1506" t="str">
            <v>ra002</v>
          </cell>
          <cell r="L1506" t="str">
            <v>ユークリッドチャレンジ</v>
          </cell>
          <cell r="M1506" t="str">
            <v>animal</v>
          </cell>
        </row>
        <row r="1507">
          <cell r="A1507">
            <v>6015</v>
          </cell>
          <cell r="B1507" t="str">
            <v>ja</v>
          </cell>
          <cell r="C1507" t="str">
            <v>フレイヤ</v>
          </cell>
          <cell r="D1507" t="str">
            <v>ガチャ:フィーバーフェス02</v>
          </cell>
          <cell r="E1507" t="str">
            <v>執行者</v>
          </cell>
          <cell r="F1507" t="str">
            <v>格好いい</v>
          </cell>
          <cell r="G1507" t="str">
            <v>男性</v>
          </cell>
          <cell r="H1507" t="str">
            <v>blue</v>
          </cell>
          <cell r="I1507">
            <v>4</v>
          </cell>
          <cell r="J1507" t="str">
            <v>PremiumSS</v>
          </cell>
          <cell r="K1507" t="str">
            <v>ra002</v>
          </cell>
          <cell r="L1507" t="str">
            <v>ユークリッドチャレンジ</v>
          </cell>
          <cell r="M1507" t="str">
            <v>animal</v>
          </cell>
        </row>
        <row r="1508">
          <cell r="A1508">
            <v>6016</v>
          </cell>
          <cell r="B1508" t="str">
            <v>ja</v>
          </cell>
          <cell r="C1508" t="str">
            <v>根原論理 ユークリッド</v>
          </cell>
          <cell r="D1508" t="str">
            <v>ガチャ:フィーバーフェス02</v>
          </cell>
          <cell r="E1508" t="str">
            <v>執行者</v>
          </cell>
          <cell r="F1508" t="str">
            <v>格好いい</v>
          </cell>
          <cell r="G1508" t="str">
            <v>男性</v>
          </cell>
          <cell r="H1508" t="str">
            <v>blue</v>
          </cell>
          <cell r="I1508">
            <v>5</v>
          </cell>
          <cell r="J1508" t="str">
            <v>PremiumSSS</v>
          </cell>
          <cell r="K1508" t="str">
            <v>ra002</v>
          </cell>
          <cell r="L1508" t="str">
            <v>ユークリッドチャレンジ</v>
          </cell>
          <cell r="M1508" t="str">
            <v>human</v>
          </cell>
        </row>
        <row r="1509">
          <cell r="A1509">
            <v>6017</v>
          </cell>
          <cell r="B1509" t="str">
            <v>ja</v>
          </cell>
          <cell r="C1509" t="str">
            <v>不朽の極論 ユークリッド</v>
          </cell>
          <cell r="D1509" t="str">
            <v>ガチャ:フィーバーフェス02</v>
          </cell>
          <cell r="E1509" t="str">
            <v>執行者</v>
          </cell>
          <cell r="F1509" t="str">
            <v>格好いい</v>
          </cell>
          <cell r="G1509" t="str">
            <v>男性</v>
          </cell>
          <cell r="H1509" t="str">
            <v>blue</v>
          </cell>
          <cell r="I1509">
            <v>6</v>
          </cell>
          <cell r="J1509" t="str">
            <v>PremiumSSS</v>
          </cell>
          <cell r="K1509" t="str">
            <v>ra002</v>
          </cell>
          <cell r="L1509" t="str">
            <v>ユークリッドチャレンジ</v>
          </cell>
          <cell r="M1509" t="str">
            <v>human</v>
          </cell>
        </row>
        <row r="1510">
          <cell r="A1510">
            <v>6018</v>
          </cell>
          <cell r="B1510" t="str">
            <v>ja</v>
          </cell>
          <cell r="C1510" t="str">
            <v>ハヅル</v>
          </cell>
          <cell r="D1510" t="str">
            <v>ガチャ:フィーバーフェス02</v>
          </cell>
          <cell r="E1510" t="str">
            <v>執行者</v>
          </cell>
          <cell r="F1510" t="str">
            <v>格好いい</v>
          </cell>
          <cell r="G1510" t="str">
            <v>男性</v>
          </cell>
          <cell r="H1510" t="str">
            <v>red</v>
          </cell>
          <cell r="I1510">
            <v>4</v>
          </cell>
          <cell r="J1510" t="str">
            <v>PremiumSS</v>
          </cell>
          <cell r="K1510" t="str">
            <v>ra002</v>
          </cell>
          <cell r="L1510" t="str">
            <v>ユークリッドチャレンジ</v>
          </cell>
          <cell r="M1510" t="str">
            <v>animal</v>
          </cell>
        </row>
        <row r="1511">
          <cell r="A1511">
            <v>6019</v>
          </cell>
          <cell r="B1511" t="str">
            <v>ja</v>
          </cell>
          <cell r="C1511" t="str">
            <v>天織羽鶴 ハヅル</v>
          </cell>
          <cell r="D1511" t="str">
            <v>ガチャ:フィーバーフェス02</v>
          </cell>
          <cell r="E1511" t="str">
            <v>執行者</v>
          </cell>
          <cell r="F1511" t="str">
            <v>格好いい</v>
          </cell>
          <cell r="G1511" t="str">
            <v>男性</v>
          </cell>
          <cell r="H1511" t="str">
            <v>red</v>
          </cell>
          <cell r="I1511">
            <v>5</v>
          </cell>
          <cell r="J1511" t="str">
            <v>PremiumSS</v>
          </cell>
          <cell r="K1511" t="str">
            <v>ra002</v>
          </cell>
          <cell r="L1511" t="str">
            <v>ユークリッドチャレンジ</v>
          </cell>
          <cell r="M1511" t="str">
            <v>animal</v>
          </cell>
        </row>
        <row r="1512">
          <cell r="A1512">
            <v>6020</v>
          </cell>
          <cell r="B1512" t="str">
            <v>ja</v>
          </cell>
          <cell r="C1512" t="str">
            <v>ミズチ</v>
          </cell>
          <cell r="D1512" t="str">
            <v>ガチャ:フィーバーフェス02</v>
          </cell>
          <cell r="E1512" t="str">
            <v>執行者</v>
          </cell>
          <cell r="F1512" t="str">
            <v>格好いい</v>
          </cell>
          <cell r="G1512" t="str">
            <v>男性</v>
          </cell>
          <cell r="H1512" t="str">
            <v>blue</v>
          </cell>
          <cell r="I1512">
            <v>4</v>
          </cell>
          <cell r="J1512" t="str">
            <v>PremiumS</v>
          </cell>
          <cell r="K1512" t="str">
            <v>ra002</v>
          </cell>
          <cell r="L1512" t="str">
            <v>ユークリッドチャレンジ</v>
          </cell>
          <cell r="M1512" t="str">
            <v>dragon</v>
          </cell>
        </row>
        <row r="1513">
          <cell r="A1513">
            <v>8001</v>
          </cell>
          <cell r="B1513" t="str">
            <v>ja</v>
          </cell>
          <cell r="C1513" t="str">
            <v>媽祖</v>
          </cell>
          <cell r="D1513" t="str">
            <v>イベント:ミクコラボ01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yellow</v>
          </cell>
          <cell r="I1513">
            <v>5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8002</v>
          </cell>
          <cell r="B1514" t="str">
            <v>ja</v>
          </cell>
          <cell r="C1514" t="str">
            <v>宣導する天海妃 媽祖</v>
          </cell>
          <cell r="D1514" t="str">
            <v>イベント:ミクコラボ01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yellow</v>
          </cell>
          <cell r="I1514">
            <v>6</v>
          </cell>
          <cell r="J1514" t="str">
            <v>PremiumSS</v>
          </cell>
          <cell r="K1514" t="str">
            <v>attack</v>
          </cell>
          <cell r="L1514" t="str">
            <v>攻撃タイプ</v>
          </cell>
          <cell r="M1514" t="str">
            <v>god</v>
          </cell>
        </row>
        <row r="1515">
          <cell r="A1515">
            <v>8003</v>
          </cell>
          <cell r="B1515" t="str">
            <v>ja</v>
          </cell>
          <cell r="C1515" t="str">
            <v>蛟龍</v>
          </cell>
          <cell r="D1515" t="str">
            <v>イベント:ミクコラボ01</v>
          </cell>
          <cell r="E1515" t="str">
            <v>執行者</v>
          </cell>
          <cell r="F1515" t="str">
            <v>格好いい</v>
          </cell>
          <cell r="G1515" t="str">
            <v>不明</v>
          </cell>
          <cell r="H1515" t="str">
            <v>blue</v>
          </cell>
          <cell r="I1515">
            <v>5</v>
          </cell>
          <cell r="J1515" t="str">
            <v>DropWizS</v>
          </cell>
          <cell r="K1515" t="str">
            <v>hp</v>
          </cell>
          <cell r="L1515" t="str">
            <v>体力タイプ</v>
          </cell>
          <cell r="M1515" t="str">
            <v>dragon</v>
          </cell>
        </row>
        <row r="1516">
          <cell r="A1516">
            <v>8004</v>
          </cell>
          <cell r="B1516" t="str">
            <v>ja</v>
          </cell>
          <cell r="C1516" t="str">
            <v>呼嵐の蒼棲龍 蛟龍</v>
          </cell>
          <cell r="D1516" t="str">
            <v>イベント:ミクコラボ01</v>
          </cell>
          <cell r="E1516" t="str">
            <v>執行者</v>
          </cell>
          <cell r="F1516" t="str">
            <v>格好いい</v>
          </cell>
          <cell r="G1516" t="str">
            <v>不明</v>
          </cell>
          <cell r="H1516" t="str">
            <v>blue</v>
          </cell>
          <cell r="I1516">
            <v>6</v>
          </cell>
          <cell r="J1516" t="str">
            <v>DropWizS</v>
          </cell>
          <cell r="K1516" t="str">
            <v>hp</v>
          </cell>
          <cell r="L1516" t="str">
            <v>体力タイプ</v>
          </cell>
          <cell r="M1516" t="str">
            <v>dragon</v>
          </cell>
        </row>
        <row r="1517">
          <cell r="A1517">
            <v>8005</v>
          </cell>
          <cell r="B1517" t="str">
            <v>ja</v>
          </cell>
          <cell r="C1517" t="str">
            <v>三蔵法師</v>
          </cell>
          <cell r="D1517" t="str">
            <v>イベント:ミクコラボ01</v>
          </cell>
          <cell r="E1517" t="str">
            <v>執行者</v>
          </cell>
          <cell r="F1517" t="str">
            <v>格好いい</v>
          </cell>
          <cell r="G1517" t="str">
            <v>不明</v>
          </cell>
          <cell r="H1517" t="str">
            <v>blue</v>
          </cell>
          <cell r="I1517">
            <v>5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8006</v>
          </cell>
          <cell r="B1518" t="str">
            <v>ja</v>
          </cell>
          <cell r="C1518" t="str">
            <v>慈戒の呪封使 三蔵法師</v>
          </cell>
          <cell r="D1518" t="str">
            <v>イベント:ミクコラボ01</v>
          </cell>
          <cell r="E1518" t="str">
            <v>執行者</v>
          </cell>
          <cell r="F1518" t="str">
            <v>格好いい</v>
          </cell>
          <cell r="G1518" t="str">
            <v>不明</v>
          </cell>
          <cell r="H1518" t="str">
            <v>blue</v>
          </cell>
          <cell r="I1518">
            <v>6</v>
          </cell>
          <cell r="J1518" t="str">
            <v>PremiumSS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8007</v>
          </cell>
          <cell r="B1519" t="str">
            <v>ja</v>
          </cell>
          <cell r="C1519" t="str">
            <v>孫悟空</v>
          </cell>
          <cell r="D1519" t="str">
            <v>イベント:ミクコラボ01</v>
          </cell>
          <cell r="E1519" t="str">
            <v>執行者</v>
          </cell>
          <cell r="F1519" t="str">
            <v>格好いい</v>
          </cell>
          <cell r="G1519" t="str">
            <v>不明</v>
          </cell>
          <cell r="H1519" t="str">
            <v>red</v>
          </cell>
          <cell r="I1519">
            <v>5</v>
          </cell>
          <cell r="J1519" t="str">
            <v>DropWizS</v>
          </cell>
          <cell r="K1519" t="str">
            <v>attack</v>
          </cell>
          <cell r="L1519" t="str">
            <v>攻撃タイプ</v>
          </cell>
          <cell r="M1519" t="str">
            <v>animal</v>
          </cell>
        </row>
        <row r="1520">
          <cell r="A1520">
            <v>8008</v>
          </cell>
          <cell r="B1520" t="str">
            <v>ja</v>
          </cell>
          <cell r="C1520" t="str">
            <v>花果の天猿仙人 孫悟空</v>
          </cell>
          <cell r="D1520" t="str">
            <v>イベント:ミクコラボ01</v>
          </cell>
          <cell r="E1520" t="str">
            <v>執行者</v>
          </cell>
          <cell r="F1520" t="str">
            <v>格好いい</v>
          </cell>
          <cell r="G1520" t="str">
            <v>不明</v>
          </cell>
          <cell r="H1520" t="str">
            <v>red</v>
          </cell>
          <cell r="I1520">
            <v>6</v>
          </cell>
          <cell r="J1520" t="str">
            <v>DropWizS</v>
          </cell>
          <cell r="K1520" t="str">
            <v>attack</v>
          </cell>
          <cell r="L1520" t="str">
            <v>攻撃タイプ</v>
          </cell>
          <cell r="M1520" t="str">
            <v>animal</v>
          </cell>
        </row>
        <row r="1521">
          <cell r="A1521">
            <v>8009</v>
          </cell>
          <cell r="B1521" t="str">
            <v>ja</v>
          </cell>
          <cell r="C1521" t="str">
            <v>西王娘娘</v>
          </cell>
          <cell r="D1521" t="str">
            <v>イベント:ミクコラボ01</v>
          </cell>
          <cell r="E1521" t="str">
            <v>執行者</v>
          </cell>
          <cell r="F1521" t="str">
            <v>格好いい</v>
          </cell>
          <cell r="G1521" t="str">
            <v>不明</v>
          </cell>
          <cell r="H1521" t="str">
            <v>green</v>
          </cell>
          <cell r="I1521">
            <v>5</v>
          </cell>
          <cell r="J1521" t="str">
            <v>PremiumSS</v>
          </cell>
          <cell r="K1521" t="str">
            <v>attack</v>
          </cell>
          <cell r="L1521" t="str">
            <v>攻撃タイプ</v>
          </cell>
          <cell r="M1521" t="str">
            <v>god</v>
          </cell>
        </row>
        <row r="1522">
          <cell r="A1522">
            <v>8010</v>
          </cell>
          <cell r="B1522" t="str">
            <v>ja</v>
          </cell>
          <cell r="C1522" t="str">
            <v>極楽瑶池の聖母 西王娘娘</v>
          </cell>
          <cell r="D1522" t="str">
            <v>イベント:ミクコラボ01</v>
          </cell>
          <cell r="E1522" t="str">
            <v>執行者</v>
          </cell>
          <cell r="F1522" t="str">
            <v>格好いい</v>
          </cell>
          <cell r="G1522" t="str">
            <v>不明</v>
          </cell>
          <cell r="H1522" t="str">
            <v>green</v>
          </cell>
          <cell r="I1522">
            <v>6</v>
          </cell>
          <cell r="J1522" t="str">
            <v>PremiumSS</v>
          </cell>
          <cell r="K1522" t="str">
            <v>attack</v>
          </cell>
          <cell r="L1522" t="str">
            <v>攻撃タイプ</v>
          </cell>
          <cell r="M1522" t="str">
            <v>god</v>
          </cell>
        </row>
        <row r="1523">
          <cell r="A1523">
            <v>8011</v>
          </cell>
          <cell r="B1523" t="str">
            <v>ja</v>
          </cell>
          <cell r="C1523" t="str">
            <v>月下老人</v>
          </cell>
          <cell r="D1523" t="str">
            <v>イベント:ミクコラボ01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yellow</v>
          </cell>
          <cell r="I1523">
            <v>5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god</v>
          </cell>
        </row>
        <row r="1524">
          <cell r="A1524">
            <v>8012</v>
          </cell>
          <cell r="B1524" t="str">
            <v>ja</v>
          </cell>
          <cell r="C1524" t="str">
            <v>破戀斬る縁剣 月下老人</v>
          </cell>
          <cell r="D1524" t="str">
            <v>イベント:ミクコラボ01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yellow</v>
          </cell>
          <cell r="I1524">
            <v>6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god</v>
          </cell>
        </row>
        <row r="1525">
          <cell r="A1525">
            <v>8013</v>
          </cell>
          <cell r="B1525" t="str">
            <v>ja</v>
          </cell>
          <cell r="C1525" t="str">
            <v>初音ミクV3</v>
          </cell>
          <cell r="D1525" t="str">
            <v>初音ミクV3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yellow</v>
          </cell>
          <cell r="I1525">
            <v>4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unknown</v>
          </cell>
        </row>
        <row r="1526">
          <cell r="A1526">
            <v>8014</v>
          </cell>
          <cell r="B1526" t="str">
            <v>ja</v>
          </cell>
          <cell r="C1526" t="str">
            <v>初音ミクV3</v>
          </cell>
          <cell r="D1526" t="str">
            <v>初音ミクV3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yellow</v>
          </cell>
          <cell r="I1526">
            <v>5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unknown</v>
          </cell>
        </row>
        <row r="1527">
          <cell r="A1527">
            <v>8015</v>
          </cell>
          <cell r="B1527" t="str">
            <v>ja</v>
          </cell>
          <cell r="C1527" t="str">
            <v>初音ミク・アペンド</v>
          </cell>
          <cell r="D1527" t="str">
            <v>初音ミク・アペンド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green</v>
          </cell>
          <cell r="I1527">
            <v>4</v>
          </cell>
          <cell r="J1527" t="str">
            <v>PremiumSSS</v>
          </cell>
          <cell r="K1527" t="str">
            <v>technical</v>
          </cell>
          <cell r="L1527" t="str">
            <v>テクニカルタイプ</v>
          </cell>
          <cell r="M1527" t="str">
            <v>unknown</v>
          </cell>
        </row>
        <row r="1528">
          <cell r="A1528">
            <v>8016</v>
          </cell>
          <cell r="B1528" t="str">
            <v>ja</v>
          </cell>
          <cell r="C1528" t="str">
            <v>初音ミク・アペンド</v>
          </cell>
          <cell r="D1528" t="str">
            <v>初音ミク・アペンド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green</v>
          </cell>
          <cell r="I1528">
            <v>5</v>
          </cell>
          <cell r="J1528" t="str">
            <v>PremiumSSS</v>
          </cell>
          <cell r="K1528" t="str">
            <v>technical</v>
          </cell>
          <cell r="L1528" t="str">
            <v>テクニカルタイプ</v>
          </cell>
          <cell r="M1528" t="str">
            <v>unknown</v>
          </cell>
        </row>
        <row r="1529">
          <cell r="A1529">
            <v>8017</v>
          </cell>
          <cell r="B1529" t="str">
            <v>ja</v>
          </cell>
          <cell r="C1529" t="str">
            <v>初音ミク</v>
          </cell>
          <cell r="D1529" t="str">
            <v>初音ミク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4</v>
          </cell>
          <cell r="J1529" t="str">
            <v>PremiumSSS</v>
          </cell>
          <cell r="K1529" t="str">
            <v>balance</v>
          </cell>
          <cell r="L1529" t="str">
            <v>バランスタイプ</v>
          </cell>
          <cell r="M1529" t="str">
            <v>unknown</v>
          </cell>
        </row>
        <row r="1530">
          <cell r="A1530">
            <v>8018</v>
          </cell>
          <cell r="B1530" t="str">
            <v>ja</v>
          </cell>
          <cell r="C1530" t="str">
            <v>初音ミク</v>
          </cell>
          <cell r="D1530" t="str">
            <v>初音ミク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5</v>
          </cell>
          <cell r="J1530" t="str">
            <v>PremiumSSS</v>
          </cell>
          <cell r="K1530" t="str">
            <v>balance</v>
          </cell>
          <cell r="L1530" t="str">
            <v>バランスタイプ</v>
          </cell>
          <cell r="M1530" t="str">
            <v>unknown</v>
          </cell>
        </row>
        <row r="1531">
          <cell r="A1531">
            <v>8019</v>
          </cell>
          <cell r="B1531" t="str">
            <v>ja</v>
          </cell>
          <cell r="C1531" t="str">
            <v>鏡音リン</v>
          </cell>
          <cell r="D1531" t="str">
            <v>鏡音リン</v>
          </cell>
          <cell r="E1531" t="str">
            <v>執行者</v>
          </cell>
          <cell r="F1531" t="str">
            <v>格好いい</v>
          </cell>
          <cell r="G1531" t="str">
            <v>男性</v>
          </cell>
          <cell r="H1531" t="str">
            <v>yellow</v>
          </cell>
          <cell r="I1531">
            <v>4</v>
          </cell>
          <cell r="J1531" t="str">
            <v>PremiumSS</v>
          </cell>
          <cell r="K1531" t="str">
            <v>balance</v>
          </cell>
          <cell r="L1531" t="str">
            <v>バランスタイプ</v>
          </cell>
          <cell r="M1531" t="str">
            <v>unknown</v>
          </cell>
        </row>
        <row r="1532">
          <cell r="A1532">
            <v>8020</v>
          </cell>
          <cell r="B1532" t="str">
            <v>ja</v>
          </cell>
          <cell r="C1532" t="str">
            <v>鏡音リン</v>
          </cell>
          <cell r="D1532" t="str">
            <v>鏡音リン</v>
          </cell>
          <cell r="E1532" t="str">
            <v>執行者</v>
          </cell>
          <cell r="F1532" t="str">
            <v>格好いい</v>
          </cell>
          <cell r="G1532" t="str">
            <v>男性</v>
          </cell>
          <cell r="H1532" t="str">
            <v>yellow</v>
          </cell>
          <cell r="I1532">
            <v>5</v>
          </cell>
          <cell r="J1532" t="str">
            <v>PremiumSS</v>
          </cell>
          <cell r="K1532" t="str">
            <v>balance</v>
          </cell>
          <cell r="L1532" t="str">
            <v>バランスタイプ</v>
          </cell>
          <cell r="M1532" t="str">
            <v>unknown</v>
          </cell>
        </row>
        <row r="1533">
          <cell r="A1533">
            <v>8021</v>
          </cell>
          <cell r="B1533" t="str">
            <v>ja</v>
          </cell>
          <cell r="C1533" t="str">
            <v>鏡音レン</v>
          </cell>
          <cell r="D1533" t="str">
            <v>鏡音レン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PremiumSS</v>
          </cell>
          <cell r="K1533" t="str">
            <v>heal</v>
          </cell>
          <cell r="L1533" t="str">
            <v>回復タイプ</v>
          </cell>
          <cell r="M1533" t="str">
            <v>unknown</v>
          </cell>
        </row>
        <row r="1534">
          <cell r="A1534">
            <v>8022</v>
          </cell>
          <cell r="B1534" t="str">
            <v>ja</v>
          </cell>
          <cell r="C1534" t="str">
            <v>鏡音レン</v>
          </cell>
          <cell r="D1534" t="str">
            <v>鏡音レン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heal</v>
          </cell>
          <cell r="L1534" t="str">
            <v>回復タイプ</v>
          </cell>
          <cell r="M1534" t="str">
            <v>unknown</v>
          </cell>
        </row>
        <row r="1535">
          <cell r="A1535">
            <v>8023</v>
          </cell>
          <cell r="B1535" t="str">
            <v>ja</v>
          </cell>
          <cell r="C1535" t="str">
            <v>巡音ルカ</v>
          </cell>
          <cell r="D1535" t="str">
            <v>巡音ルカ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red</v>
          </cell>
          <cell r="I1535">
            <v>3</v>
          </cell>
          <cell r="J1535" t="str">
            <v>PremiumS</v>
          </cell>
          <cell r="K1535" t="str">
            <v>attack</v>
          </cell>
          <cell r="L1535" t="str">
            <v>攻撃タイプ</v>
          </cell>
          <cell r="M1535" t="str">
            <v>unknown</v>
          </cell>
        </row>
        <row r="1536">
          <cell r="A1536">
            <v>8024</v>
          </cell>
          <cell r="B1536" t="str">
            <v>ja</v>
          </cell>
          <cell r="C1536" t="str">
            <v>巡音ルカ</v>
          </cell>
          <cell r="D1536" t="str">
            <v>巡音ルカ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4</v>
          </cell>
          <cell r="J1536" t="str">
            <v>PremiumS</v>
          </cell>
          <cell r="K1536" t="str">
            <v>attack</v>
          </cell>
          <cell r="L1536" t="str">
            <v>攻撃タイプ</v>
          </cell>
          <cell r="M1536" t="str">
            <v>unknown</v>
          </cell>
        </row>
        <row r="1537">
          <cell r="A1537">
            <v>8025</v>
          </cell>
          <cell r="B1537" t="str">
            <v>ja</v>
          </cell>
          <cell r="C1537" t="str">
            <v>MEIKO</v>
          </cell>
          <cell r="D1537" t="str">
            <v>MEIKO</v>
          </cell>
          <cell r="E1537" t="str">
            <v>執行者</v>
          </cell>
          <cell r="F1537" t="str">
            <v>格好いい</v>
          </cell>
          <cell r="G1537" t="str">
            <v>男性</v>
          </cell>
          <cell r="H1537" t="str">
            <v>red</v>
          </cell>
          <cell r="I1537">
            <v>3</v>
          </cell>
          <cell r="J1537" t="str">
            <v>PremiumS</v>
          </cell>
          <cell r="K1537" t="str">
            <v>hp</v>
          </cell>
          <cell r="L1537" t="str">
            <v>体力タイプ</v>
          </cell>
          <cell r="M1537" t="str">
            <v>unknown</v>
          </cell>
        </row>
        <row r="1538">
          <cell r="A1538">
            <v>8026</v>
          </cell>
          <cell r="B1538" t="str">
            <v>ja</v>
          </cell>
          <cell r="C1538" t="str">
            <v>MEIKO</v>
          </cell>
          <cell r="D1538" t="str">
            <v>MEIKO</v>
          </cell>
          <cell r="E1538" t="str">
            <v>執行者</v>
          </cell>
          <cell r="F1538" t="str">
            <v>格好いい</v>
          </cell>
          <cell r="G1538" t="str">
            <v>男性</v>
          </cell>
          <cell r="H1538" t="str">
            <v>red</v>
          </cell>
          <cell r="I1538">
            <v>4</v>
          </cell>
          <cell r="J1538" t="str">
            <v>PremiumS</v>
          </cell>
          <cell r="K1538" t="str">
            <v>hp</v>
          </cell>
          <cell r="L1538" t="str">
            <v>体力タイプ</v>
          </cell>
          <cell r="M1538" t="str">
            <v>unknown</v>
          </cell>
        </row>
        <row r="1539">
          <cell r="A1539">
            <v>8027</v>
          </cell>
          <cell r="B1539" t="str">
            <v>ja</v>
          </cell>
          <cell r="C1539" t="str">
            <v>KAITO</v>
          </cell>
          <cell r="D1539" t="str">
            <v>KAITO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3</v>
          </cell>
          <cell r="J1539" t="str">
            <v>PremiumS</v>
          </cell>
          <cell r="K1539" t="str">
            <v>technical</v>
          </cell>
          <cell r="L1539" t="str">
            <v>テクニカルタイプ</v>
          </cell>
          <cell r="M1539" t="str">
            <v>unknown</v>
          </cell>
        </row>
        <row r="1540">
          <cell r="A1540">
            <v>8028</v>
          </cell>
          <cell r="B1540" t="str">
            <v>ja</v>
          </cell>
          <cell r="C1540" t="str">
            <v>KAITO</v>
          </cell>
          <cell r="D1540" t="str">
            <v>KAITO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blue</v>
          </cell>
          <cell r="I1540">
            <v>4</v>
          </cell>
          <cell r="J1540" t="str">
            <v>PremiumS</v>
          </cell>
          <cell r="K1540" t="str">
            <v>technical</v>
          </cell>
          <cell r="L1540" t="str">
            <v>テクニカルタイプ</v>
          </cell>
          <cell r="M1540" t="str">
            <v>unknown</v>
          </cell>
        </row>
        <row r="1541">
          <cell r="A1541">
            <v>8029</v>
          </cell>
          <cell r="B1541" t="str">
            <v>ja</v>
          </cell>
          <cell r="C1541" t="str">
            <v>Expoミク</v>
          </cell>
          <cell r="D1541" t="str">
            <v>Expoミク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blue</v>
          </cell>
          <cell r="I1541">
            <v>4</v>
          </cell>
          <cell r="J1541" t="str">
            <v>Drop2N</v>
          </cell>
          <cell r="K1541" t="str">
            <v>heal</v>
          </cell>
          <cell r="L1541" t="str">
            <v>回復タイプ</v>
          </cell>
          <cell r="M1541" t="str">
            <v>unknown</v>
          </cell>
        </row>
        <row r="1542">
          <cell r="A1542">
            <v>8030</v>
          </cell>
          <cell r="B1542" t="str">
            <v>ja</v>
          </cell>
          <cell r="C1542" t="str">
            <v>Expoミク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blue</v>
          </cell>
          <cell r="I1542">
            <v>5</v>
          </cell>
          <cell r="J1542" t="str">
            <v>Drop2N</v>
          </cell>
          <cell r="K1542" t="str">
            <v>heal</v>
          </cell>
          <cell r="L1542" t="str">
            <v>回復タイプ</v>
          </cell>
          <cell r="M1542" t="str">
            <v>unknown</v>
          </cell>
        </row>
        <row r="1543">
          <cell r="A1543">
            <v>8031</v>
          </cell>
          <cell r="B1543" t="str">
            <v>ja</v>
          </cell>
          <cell r="C1543" t="str">
            <v>閻羅王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5</v>
          </cell>
          <cell r="J1543" t="str">
            <v>PremiumSS</v>
          </cell>
          <cell r="K1543" t="str">
            <v>balance</v>
          </cell>
          <cell r="L1543" t="str">
            <v>バランスタイプ</v>
          </cell>
          <cell r="M1543" t="str">
            <v>god</v>
          </cell>
        </row>
        <row r="1544">
          <cell r="A1544">
            <v>8032</v>
          </cell>
          <cell r="B1544" t="str">
            <v>ja</v>
          </cell>
          <cell r="C1544" t="str">
            <v>六道輪廻の絶獄 閻羅王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6</v>
          </cell>
          <cell r="J1544" t="str">
            <v>PremiumSS</v>
          </cell>
          <cell r="K1544" t="str">
            <v>balance</v>
          </cell>
          <cell r="L1544" t="str">
            <v>バランスタイプ</v>
          </cell>
          <cell r="M1544" t="str">
            <v>god</v>
          </cell>
        </row>
        <row r="1545">
          <cell r="A1545">
            <v>8033</v>
          </cell>
          <cell r="B1545" t="str">
            <v>ja</v>
          </cell>
          <cell r="C1545" t="str">
            <v>牛頭馬面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green</v>
          </cell>
          <cell r="I1545">
            <v>5</v>
          </cell>
          <cell r="J1545" t="str">
            <v>DropWizS</v>
          </cell>
          <cell r="K1545" t="str">
            <v>attack</v>
          </cell>
          <cell r="L1545" t="str">
            <v>攻撃タイプ</v>
          </cell>
          <cell r="M1545" t="str">
            <v>god</v>
          </cell>
        </row>
        <row r="1546">
          <cell r="A1546">
            <v>8034</v>
          </cell>
          <cell r="B1546" t="str">
            <v>ja</v>
          </cell>
          <cell r="C1546" t="str">
            <v>冥府狩る魂使 牛頭馬面</v>
          </cell>
          <cell r="D1546" t="str">
            <v>Expoミク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green</v>
          </cell>
          <cell r="I1546">
            <v>6</v>
          </cell>
          <cell r="J1546" t="str">
            <v>DropWizS</v>
          </cell>
          <cell r="K1546" t="str">
            <v>attack</v>
          </cell>
          <cell r="L1546" t="str">
            <v>攻撃タイプ</v>
          </cell>
          <cell r="M1546" t="str">
            <v>god</v>
          </cell>
        </row>
        <row r="1547">
          <cell r="A1547">
            <v>8035</v>
          </cell>
          <cell r="B1547" t="str">
            <v>ja</v>
          </cell>
          <cell r="C1547" t="str">
            <v>飛衛</v>
          </cell>
          <cell r="D1547" t="str">
            <v>Expoミク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blue</v>
          </cell>
          <cell r="I1547">
            <v>5</v>
          </cell>
          <cell r="J1547" t="str">
            <v>PremiumSS</v>
          </cell>
          <cell r="K1547" t="str">
            <v>heal</v>
          </cell>
          <cell r="L1547" t="str">
            <v>回復タイプ</v>
          </cell>
          <cell r="M1547" t="str">
            <v>human</v>
          </cell>
        </row>
        <row r="1548">
          <cell r="A1548">
            <v>8036</v>
          </cell>
          <cell r="B1548" t="str">
            <v>ja</v>
          </cell>
          <cell r="C1548" t="str">
            <v>レア６飛衛</v>
          </cell>
          <cell r="D1548" t="str">
            <v>Expoミク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blue</v>
          </cell>
          <cell r="I1548">
            <v>6</v>
          </cell>
          <cell r="J1548" t="str">
            <v>PremiumSS</v>
          </cell>
          <cell r="K1548" t="str">
            <v>heal</v>
          </cell>
          <cell r="L1548" t="str">
            <v>回復タイプ</v>
          </cell>
          <cell r="M1548" t="str">
            <v>human</v>
          </cell>
        </row>
        <row r="1549">
          <cell r="A1549">
            <v>8037</v>
          </cell>
          <cell r="B1549" t="str">
            <v>ja</v>
          </cell>
          <cell r="C1549" t="str">
            <v>紀昌</v>
          </cell>
          <cell r="D1549" t="str">
            <v>Expoミク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8038</v>
          </cell>
          <cell r="B1550" t="str">
            <v>ja</v>
          </cell>
          <cell r="C1550" t="str">
            <v>レア６紀昌</v>
          </cell>
          <cell r="D1550" t="str">
            <v>Expoミク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DropWizS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8039</v>
          </cell>
          <cell r="B1551" t="str">
            <v>ja</v>
          </cell>
          <cell r="C1551" t="str">
            <v>何仙姑</v>
          </cell>
          <cell r="D1551" t="str">
            <v>Expoミク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yellow</v>
          </cell>
          <cell r="I1551">
            <v>5</v>
          </cell>
          <cell r="J1551" t="str">
            <v>PremiumSSw</v>
          </cell>
          <cell r="K1551" t="str">
            <v>hp</v>
          </cell>
          <cell r="L1551" t="str">
            <v>体力タイプ</v>
          </cell>
          <cell r="M1551" t="str">
            <v>god</v>
          </cell>
        </row>
        <row r="1552">
          <cell r="A1552">
            <v>8040</v>
          </cell>
          <cell r="B1552" t="str">
            <v>ja</v>
          </cell>
          <cell r="C1552" t="str">
            <v>レア６何仙姑</v>
          </cell>
          <cell r="D1552" t="str">
            <v>Expoミク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yellow</v>
          </cell>
          <cell r="I1552">
            <v>6</v>
          </cell>
          <cell r="J1552" t="str">
            <v>PremiumSSw</v>
          </cell>
          <cell r="K1552" t="str">
            <v>hp</v>
          </cell>
          <cell r="L1552" t="str">
            <v>体力タイプ</v>
          </cell>
          <cell r="M1552" t="str">
            <v>god</v>
          </cell>
        </row>
        <row r="1553">
          <cell r="A1553">
            <v>8041</v>
          </cell>
          <cell r="B1553" t="str">
            <v>ja</v>
          </cell>
          <cell r="C1553" t="str">
            <v>藍采和</v>
          </cell>
          <cell r="D1553" t="str">
            <v>Expoミク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blue</v>
          </cell>
          <cell r="I1553">
            <v>5</v>
          </cell>
          <cell r="J1553" t="str">
            <v>DropWizS</v>
          </cell>
          <cell r="K1553" t="str">
            <v>balance</v>
          </cell>
          <cell r="L1553" t="str">
            <v>バランスタイプ</v>
          </cell>
          <cell r="M1553" t="str">
            <v>god</v>
          </cell>
        </row>
        <row r="1554">
          <cell r="A1554">
            <v>8042</v>
          </cell>
          <cell r="B1554" t="str">
            <v>ja</v>
          </cell>
          <cell r="C1554" t="str">
            <v>レア６藍采和</v>
          </cell>
          <cell r="D1554" t="str">
            <v>Expoミク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blue</v>
          </cell>
          <cell r="I1554">
            <v>6</v>
          </cell>
          <cell r="J1554" t="str">
            <v>DropWizS</v>
          </cell>
          <cell r="K1554" t="str">
            <v>balance</v>
          </cell>
          <cell r="L1554" t="str">
            <v>バランスタイプ</v>
          </cell>
          <cell r="M1554" t="str">
            <v>god</v>
          </cell>
        </row>
        <row r="1555">
          <cell r="A1555">
            <v>8043</v>
          </cell>
          <cell r="B1555" t="str">
            <v>ja</v>
          </cell>
          <cell r="C1555" t="str">
            <v>サンリオキャラ大集合+アザゼル</v>
          </cell>
          <cell r="D1555" t="str">
            <v>サンリオキャラ大集合+アザゼル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5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8044</v>
          </cell>
          <cell r="B1556" t="str">
            <v>ja</v>
          </cell>
          <cell r="C1556" t="str">
            <v>サンリオキャラ大集合+アザゼル</v>
          </cell>
          <cell r="D1556" t="str">
            <v>サンリオキャラ大集合+アザゼル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6</v>
          </cell>
          <cell r="J1556" t="str">
            <v>DropWizS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8045</v>
          </cell>
          <cell r="B1557" t="str">
            <v>ja</v>
          </cell>
          <cell r="C1557" t="str">
            <v>ニムダ_サンリオキャラ混じり</v>
          </cell>
          <cell r="D1557" t="str">
            <v>ニムダ_サンリオキャラ混じり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yellow</v>
          </cell>
          <cell r="I1557">
            <v>4</v>
          </cell>
          <cell r="J1557" t="str">
            <v>Drop2N</v>
          </cell>
          <cell r="K1557" t="str">
            <v>technical</v>
          </cell>
          <cell r="L1557" t="str">
            <v>テクニカルタイプ</v>
          </cell>
          <cell r="M1557" t="str">
            <v>ss</v>
          </cell>
        </row>
        <row r="1558">
          <cell r="A1558">
            <v>8046</v>
          </cell>
          <cell r="B1558" t="str">
            <v>ja</v>
          </cell>
          <cell r="C1558" t="str">
            <v>ニムダ_サンリオキャラ混じり</v>
          </cell>
          <cell r="D1558" t="str">
            <v>ニムダ_サンリオキャラ混じり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yellow</v>
          </cell>
          <cell r="I1558">
            <v>5</v>
          </cell>
          <cell r="J1558" t="str">
            <v>Drop2N</v>
          </cell>
          <cell r="K1558" t="str">
            <v>technical</v>
          </cell>
          <cell r="L1558" t="str">
            <v>テクニカルタイプ</v>
          </cell>
          <cell r="M1558" t="str">
            <v>ss</v>
          </cell>
        </row>
        <row r="1559">
          <cell r="A1559">
            <v>8047</v>
          </cell>
          <cell r="B1559" t="str">
            <v>ja</v>
          </cell>
          <cell r="C1559" t="str">
            <v>ハローキティ</v>
          </cell>
          <cell r="D1559" t="str">
            <v>ハローキティ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Drop2N</v>
          </cell>
          <cell r="K1559" t="str">
            <v>balance</v>
          </cell>
          <cell r="L1559" t="str">
            <v>バランスタイプ</v>
          </cell>
          <cell r="M1559" t="str">
            <v>ss</v>
          </cell>
        </row>
        <row r="1560">
          <cell r="A1560">
            <v>8048</v>
          </cell>
          <cell r="B1560" t="str">
            <v>ja</v>
          </cell>
          <cell r="C1560" t="str">
            <v>ハローキティ</v>
          </cell>
          <cell r="D1560" t="str">
            <v>ハローキティ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5</v>
          </cell>
          <cell r="J1560" t="str">
            <v>Drop2N</v>
          </cell>
          <cell r="K1560" t="str">
            <v>balance</v>
          </cell>
          <cell r="L1560" t="str">
            <v>バランスタイプ</v>
          </cell>
          <cell r="M1560" t="str">
            <v>ss</v>
          </cell>
        </row>
        <row r="1561">
          <cell r="A1561">
            <v>8049</v>
          </cell>
          <cell r="B1561" t="str">
            <v>ja</v>
          </cell>
          <cell r="C1561" t="str">
            <v>KIRIMIちゃん</v>
          </cell>
          <cell r="D1561" t="str">
            <v>KIRIMIちゃん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4</v>
          </cell>
          <cell r="J1561" t="str">
            <v>Drop2N</v>
          </cell>
          <cell r="K1561" t="str">
            <v>hp</v>
          </cell>
          <cell r="L1561" t="str">
            <v>体力タイプ</v>
          </cell>
          <cell r="M1561" t="str">
            <v>ss</v>
          </cell>
        </row>
        <row r="1562">
          <cell r="A1562">
            <v>8050</v>
          </cell>
          <cell r="B1562" t="str">
            <v>ja</v>
          </cell>
          <cell r="C1562" t="str">
            <v>KIRIMIちゃん</v>
          </cell>
          <cell r="D1562" t="str">
            <v>KIRIMIちゃん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5</v>
          </cell>
          <cell r="J1562" t="str">
            <v>Drop2N</v>
          </cell>
          <cell r="K1562" t="str">
            <v>hp</v>
          </cell>
          <cell r="L1562" t="str">
            <v>体力タイプ</v>
          </cell>
          <cell r="M1562" t="str">
            <v>ss</v>
          </cell>
        </row>
        <row r="1563">
          <cell r="A1563">
            <v>8051</v>
          </cell>
          <cell r="B1563" t="str">
            <v>ja</v>
          </cell>
          <cell r="C1563" t="str">
            <v>ハローキティのリボン</v>
          </cell>
          <cell r="D1563" t="str">
            <v>ハローキティのリボン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red</v>
          </cell>
          <cell r="I1563">
            <v>5</v>
          </cell>
          <cell r="J1563" t="str">
            <v>Drop2N</v>
          </cell>
          <cell r="K1563" t="str">
            <v>evolution</v>
          </cell>
          <cell r="L1563" t="str">
            <v>覚醒素材タイプ</v>
          </cell>
          <cell r="M1563" t="str">
            <v>ss</v>
          </cell>
        </row>
        <row r="1564">
          <cell r="A1564">
            <v>8052</v>
          </cell>
          <cell r="B1564" t="str">
            <v>ja</v>
          </cell>
          <cell r="C1564" t="str">
            <v>ママの作ったアップルパイ</v>
          </cell>
          <cell r="D1564" t="str">
            <v>ママの作ったアップルパイ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red</v>
          </cell>
          <cell r="I1564">
            <v>4</v>
          </cell>
          <cell r="J1564" t="str">
            <v>Drop2N</v>
          </cell>
          <cell r="K1564" t="str">
            <v>evolution</v>
          </cell>
          <cell r="L1564" t="str">
            <v>覚醒素材タイプ</v>
          </cell>
          <cell r="M1564" t="str">
            <v>ss</v>
          </cell>
        </row>
        <row r="1565">
          <cell r="A1565">
            <v>8053</v>
          </cell>
          <cell r="B1565" t="str">
            <v>ja</v>
          </cell>
          <cell r="C1565" t="str">
            <v>D.R.T.H__キティコスプレ</v>
          </cell>
          <cell r="D1565" t="str">
            <v>D.R.T.H__キティコスプレ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red</v>
          </cell>
          <cell r="I1565">
            <v>5</v>
          </cell>
          <cell r="J1565" t="str">
            <v>PremiumSS</v>
          </cell>
          <cell r="K1565" t="str">
            <v>balance</v>
          </cell>
          <cell r="L1565" t="str">
            <v>バランスタイプ</v>
          </cell>
          <cell r="M1565" t="str">
            <v>ss</v>
          </cell>
        </row>
        <row r="1566">
          <cell r="A1566">
            <v>8054</v>
          </cell>
          <cell r="B1566" t="str">
            <v>ja</v>
          </cell>
          <cell r="C1566" t="str">
            <v>D.R.T.H__キティコスプレ</v>
          </cell>
          <cell r="D1566" t="str">
            <v>D.R.T.H__キティコスプレ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ss</v>
          </cell>
        </row>
        <row r="1567">
          <cell r="A1567">
            <v>8055</v>
          </cell>
          <cell r="B1567" t="str">
            <v>ja</v>
          </cell>
          <cell r="C1567" t="str">
            <v>マイメロディ</v>
          </cell>
          <cell r="D1567" t="str">
            <v>マイメロディ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red</v>
          </cell>
          <cell r="I1567">
            <v>4</v>
          </cell>
          <cell r="J1567" t="str">
            <v>PremiumS</v>
          </cell>
          <cell r="K1567" t="str">
            <v>attack</v>
          </cell>
          <cell r="L1567" t="str">
            <v>攻撃タイプ</v>
          </cell>
          <cell r="M1567" t="str">
            <v>ss</v>
          </cell>
        </row>
        <row r="1568">
          <cell r="A1568">
            <v>8056</v>
          </cell>
          <cell r="B1568" t="str">
            <v>ja</v>
          </cell>
          <cell r="C1568" t="str">
            <v>マイメロディ</v>
          </cell>
          <cell r="D1568" t="str">
            <v>マイメロディ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red</v>
          </cell>
          <cell r="I1568">
            <v>5</v>
          </cell>
          <cell r="J1568" t="str">
            <v>PremiumS</v>
          </cell>
          <cell r="K1568" t="str">
            <v>attack</v>
          </cell>
          <cell r="L1568" t="str">
            <v>攻撃タイプ</v>
          </cell>
          <cell r="M1568" t="str">
            <v>ss</v>
          </cell>
        </row>
        <row r="1569">
          <cell r="A1569">
            <v>8057</v>
          </cell>
          <cell r="B1569" t="str">
            <v>ja</v>
          </cell>
          <cell r="C1569" t="str">
            <v>ニーベルゲン_シナモロールコスプレ</v>
          </cell>
          <cell r="D1569" t="str">
            <v>ニーベルゲン_シナモロールコスプレ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green</v>
          </cell>
          <cell r="I1569">
            <v>4</v>
          </cell>
          <cell r="J1569" t="str">
            <v>PremiumS</v>
          </cell>
          <cell r="K1569" t="str">
            <v>balance</v>
          </cell>
          <cell r="L1569" t="str">
            <v>バランスタイプ</v>
          </cell>
          <cell r="M1569" t="str">
            <v>ss</v>
          </cell>
        </row>
        <row r="1570">
          <cell r="A1570">
            <v>8058</v>
          </cell>
          <cell r="B1570" t="str">
            <v>ja</v>
          </cell>
          <cell r="C1570" t="str">
            <v>ニーベルゲン_シナモロールコスプレ</v>
          </cell>
          <cell r="D1570" t="str">
            <v>ニーベルゲン_シナモロールコスプレ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green</v>
          </cell>
          <cell r="I1570">
            <v>5</v>
          </cell>
          <cell r="J1570" t="str">
            <v>PremiumS</v>
          </cell>
          <cell r="K1570" t="str">
            <v>balance</v>
          </cell>
          <cell r="L1570" t="str">
            <v>バランスタイプ</v>
          </cell>
          <cell r="M1570" t="str">
            <v>ss</v>
          </cell>
        </row>
        <row r="1571">
          <cell r="A1571">
            <v>8059</v>
          </cell>
          <cell r="B1571" t="str">
            <v>ja</v>
          </cell>
          <cell r="C1571" t="str">
            <v>カカシ_マイメロディコスプレ</v>
          </cell>
          <cell r="D1571" t="str">
            <v>カカシ_マイメロディコスプレ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green</v>
          </cell>
          <cell r="I1571">
            <v>4</v>
          </cell>
          <cell r="J1571" t="str">
            <v>PremiumS</v>
          </cell>
          <cell r="K1571" t="str">
            <v>technical</v>
          </cell>
          <cell r="L1571" t="str">
            <v>テクニカルタイプ</v>
          </cell>
          <cell r="M1571" t="str">
            <v>ss</v>
          </cell>
        </row>
        <row r="1572">
          <cell r="A1572">
            <v>8060</v>
          </cell>
          <cell r="B1572" t="str">
            <v>ja</v>
          </cell>
          <cell r="C1572" t="str">
            <v>カカシ_マイメロディコスプレ</v>
          </cell>
          <cell r="D1572" t="str">
            <v>カカシ_マイメロディコスプレ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green</v>
          </cell>
          <cell r="I1572">
            <v>5</v>
          </cell>
          <cell r="J1572" t="str">
            <v>PremiumS</v>
          </cell>
          <cell r="K1572" t="str">
            <v>technical</v>
          </cell>
          <cell r="L1572" t="str">
            <v>テクニカルタイプ</v>
          </cell>
          <cell r="M1572" t="str">
            <v>ss</v>
          </cell>
        </row>
        <row r="1573">
          <cell r="A1573">
            <v>8061</v>
          </cell>
          <cell r="B1573" t="str">
            <v>ja</v>
          </cell>
          <cell r="C1573" t="str">
            <v>ケロケロけろっぴ</v>
          </cell>
          <cell r="D1573" t="str">
            <v>ケロケロけろっぴ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green</v>
          </cell>
          <cell r="I1573">
            <v>3</v>
          </cell>
          <cell r="J1573" t="str">
            <v>PremiumS</v>
          </cell>
          <cell r="K1573" t="str">
            <v>balance</v>
          </cell>
          <cell r="L1573" t="str">
            <v>バランスタイプ</v>
          </cell>
          <cell r="M1573" t="str">
            <v>ss</v>
          </cell>
        </row>
        <row r="1574">
          <cell r="A1574">
            <v>8062</v>
          </cell>
          <cell r="B1574" t="str">
            <v>ja</v>
          </cell>
          <cell r="C1574" t="str">
            <v>ケロケロけろっぴ</v>
          </cell>
          <cell r="D1574" t="str">
            <v>ケロケロけろっぴ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green</v>
          </cell>
          <cell r="I1574">
            <v>4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ss</v>
          </cell>
        </row>
        <row r="1575">
          <cell r="A1575">
            <v>8063</v>
          </cell>
          <cell r="B1575" t="str">
            <v>ja</v>
          </cell>
          <cell r="C1575" t="str">
            <v>モルドレッド_ポムポムプリンコスプレ</v>
          </cell>
          <cell r="D1575" t="str">
            <v>モルドレッド_ポムポムプリンコスプレ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blue</v>
          </cell>
          <cell r="I1575">
            <v>5</v>
          </cell>
          <cell r="J1575" t="str">
            <v>PremiumSS</v>
          </cell>
          <cell r="K1575" t="str">
            <v>heal</v>
          </cell>
          <cell r="L1575" t="str">
            <v>回復タイプ</v>
          </cell>
          <cell r="M1575" t="str">
            <v>ss</v>
          </cell>
        </row>
        <row r="1576">
          <cell r="A1576">
            <v>8064</v>
          </cell>
          <cell r="B1576" t="str">
            <v>ja</v>
          </cell>
          <cell r="C1576" t="str">
            <v>モルドレッド_ポムポムプリンコスプレ</v>
          </cell>
          <cell r="D1576" t="str">
            <v>モルドレッド_ポムポムプリンコスプレ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blue</v>
          </cell>
          <cell r="I1576">
            <v>6</v>
          </cell>
          <cell r="J1576" t="str">
            <v>PremiumSS</v>
          </cell>
          <cell r="K1576" t="str">
            <v>heal</v>
          </cell>
          <cell r="L1576" t="str">
            <v>回復タイプ</v>
          </cell>
          <cell r="M1576" t="str">
            <v>ss</v>
          </cell>
        </row>
        <row r="1577">
          <cell r="A1577">
            <v>8065</v>
          </cell>
          <cell r="B1577" t="str">
            <v>ja</v>
          </cell>
          <cell r="C1577" t="str">
            <v>クロミ</v>
          </cell>
          <cell r="D1577" t="str">
            <v>クロミ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blue</v>
          </cell>
          <cell r="I1577">
            <v>3</v>
          </cell>
          <cell r="J1577" t="str">
            <v>PremiumS</v>
          </cell>
          <cell r="K1577" t="str">
            <v>technical</v>
          </cell>
          <cell r="L1577" t="str">
            <v>テクニカルタイプ</v>
          </cell>
          <cell r="M1577" t="str">
            <v>ss</v>
          </cell>
        </row>
        <row r="1578">
          <cell r="A1578">
            <v>8066</v>
          </cell>
          <cell r="B1578" t="str">
            <v>ja</v>
          </cell>
          <cell r="C1578" t="str">
            <v>クロミ</v>
          </cell>
          <cell r="D1578" t="str">
            <v>クロミ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blue</v>
          </cell>
          <cell r="I1578">
            <v>4</v>
          </cell>
          <cell r="J1578" t="str">
            <v>PremiumS</v>
          </cell>
          <cell r="K1578" t="str">
            <v>technical</v>
          </cell>
          <cell r="L1578" t="str">
            <v>テクニカルタイプ</v>
          </cell>
          <cell r="M1578" t="str">
            <v>ss</v>
          </cell>
        </row>
        <row r="1579">
          <cell r="A1579">
            <v>8067</v>
          </cell>
          <cell r="B1579" t="str">
            <v>ja</v>
          </cell>
          <cell r="C1579" t="str">
            <v>バッドばつ丸</v>
          </cell>
          <cell r="D1579" t="str">
            <v>バッドばつ丸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blue</v>
          </cell>
          <cell r="I1579">
            <v>3</v>
          </cell>
          <cell r="J1579" t="str">
            <v>PremiumS</v>
          </cell>
          <cell r="K1579" t="str">
            <v>attack</v>
          </cell>
          <cell r="L1579" t="str">
            <v>攻撃タイプ</v>
          </cell>
          <cell r="M1579" t="str">
            <v>ss</v>
          </cell>
        </row>
        <row r="1580">
          <cell r="A1580">
            <v>8068</v>
          </cell>
          <cell r="B1580" t="str">
            <v>ja</v>
          </cell>
          <cell r="C1580" t="str">
            <v>バッドばつ丸</v>
          </cell>
          <cell r="D1580" t="str">
            <v>バッドばつ丸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blue</v>
          </cell>
          <cell r="I1580">
            <v>4</v>
          </cell>
          <cell r="J1580" t="str">
            <v>PremiumS</v>
          </cell>
          <cell r="K1580" t="str">
            <v>attack</v>
          </cell>
          <cell r="L1580" t="str">
            <v>攻撃タイプ</v>
          </cell>
          <cell r="M1580" t="str">
            <v>ss</v>
          </cell>
        </row>
        <row r="1581">
          <cell r="A1581">
            <v>8069</v>
          </cell>
          <cell r="B1581" t="str">
            <v>ja</v>
          </cell>
          <cell r="C1581" t="str">
            <v>シナモロール</v>
          </cell>
          <cell r="D1581" t="str">
            <v>シナモロール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yellow</v>
          </cell>
          <cell r="I1581">
            <v>4</v>
          </cell>
          <cell r="J1581" t="str">
            <v>PremiumS</v>
          </cell>
          <cell r="K1581" t="str">
            <v>heal</v>
          </cell>
          <cell r="L1581" t="str">
            <v>回復タイプ</v>
          </cell>
          <cell r="M1581" t="str">
            <v>ss</v>
          </cell>
        </row>
        <row r="1582">
          <cell r="A1582">
            <v>8070</v>
          </cell>
          <cell r="B1582" t="str">
            <v>ja</v>
          </cell>
          <cell r="C1582" t="str">
            <v>シナモロール</v>
          </cell>
          <cell r="D1582" t="str">
            <v>シナモロール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yellow</v>
          </cell>
          <cell r="I1582">
            <v>5</v>
          </cell>
          <cell r="J1582" t="str">
            <v>PremiumS</v>
          </cell>
          <cell r="K1582" t="str">
            <v>heal</v>
          </cell>
          <cell r="L1582" t="str">
            <v>回復タイプ</v>
          </cell>
          <cell r="M1582" t="str">
            <v>ss</v>
          </cell>
        </row>
        <row r="1583">
          <cell r="A1583">
            <v>8071</v>
          </cell>
          <cell r="B1583" t="str">
            <v>ja</v>
          </cell>
          <cell r="C1583" t="str">
            <v>ポムポムプリン</v>
          </cell>
          <cell r="D1583" t="str">
            <v>ポムポムプリン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3</v>
          </cell>
          <cell r="J1583" t="str">
            <v>PremiumS</v>
          </cell>
          <cell r="K1583" t="str">
            <v>hp</v>
          </cell>
          <cell r="L1583" t="str">
            <v>体力タイプ</v>
          </cell>
          <cell r="M1583" t="str">
            <v>ss</v>
          </cell>
        </row>
        <row r="1584">
          <cell r="A1584">
            <v>8072</v>
          </cell>
          <cell r="B1584" t="str">
            <v>ja</v>
          </cell>
          <cell r="C1584" t="str">
            <v>ポムポムプリン</v>
          </cell>
          <cell r="D1584" t="str">
            <v>ポムポムプリン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4</v>
          </cell>
          <cell r="J1584" t="str">
            <v>PremiumS</v>
          </cell>
          <cell r="K1584" t="str">
            <v>hp</v>
          </cell>
          <cell r="L1584" t="str">
            <v>体力タイプ</v>
          </cell>
          <cell r="M1584" t="str">
            <v>ss</v>
          </cell>
        </row>
        <row r="1585">
          <cell r="A1585">
            <v>8073</v>
          </cell>
          <cell r="B1585" t="str">
            <v>ja</v>
          </cell>
          <cell r="C1585" t="str">
            <v>星海祈る天光妃 媽祖</v>
          </cell>
          <cell r="D1585" t="str">
            <v>Expoミク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6</v>
          </cell>
          <cell r="J1585" t="str">
            <v>PremiumSS</v>
          </cell>
          <cell r="K1585" t="str">
            <v>attack</v>
          </cell>
          <cell r="L1585" t="str">
            <v>攻撃タイプ</v>
          </cell>
          <cell r="M1585" t="str">
            <v>human</v>
          </cell>
        </row>
        <row r="1586">
          <cell r="A1586">
            <v>8074</v>
          </cell>
          <cell r="B1586" t="str">
            <v>ja</v>
          </cell>
          <cell r="C1586" t="str">
            <v>海戀の絶龍姫 蛟龍</v>
          </cell>
          <cell r="D1586" t="str">
            <v>Expoミク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blue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dragon</v>
          </cell>
        </row>
        <row r="1587">
          <cell r="A1587">
            <v>8075</v>
          </cell>
          <cell r="B1587" t="str">
            <v>ja</v>
          </cell>
          <cell r="C1587" t="str">
            <v>三蔵法師_超覚醒</v>
          </cell>
          <cell r="D1587" t="str">
            <v>Expoミク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PremiumSS</v>
          </cell>
          <cell r="K1587" t="str">
            <v>balance</v>
          </cell>
          <cell r="L1587" t="str">
            <v>バランスタイプ</v>
          </cell>
          <cell r="M1587" t="str">
            <v>god</v>
          </cell>
        </row>
        <row r="1588">
          <cell r="A1588">
            <v>8076</v>
          </cell>
          <cell r="B1588" t="str">
            <v>ja</v>
          </cell>
          <cell r="C1588" t="str">
            <v>孫悟空_超覚醒</v>
          </cell>
          <cell r="D1588" t="str">
            <v>Expoミク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red</v>
          </cell>
          <cell r="I1588">
            <v>6</v>
          </cell>
          <cell r="J1588" t="str">
            <v>DropWizS</v>
          </cell>
          <cell r="K1588" t="str">
            <v>attack</v>
          </cell>
          <cell r="L1588" t="str">
            <v>攻撃タイプ</v>
          </cell>
          <cell r="M1588" t="str">
            <v>unknown</v>
          </cell>
        </row>
        <row r="1589">
          <cell r="A1589">
            <v>8077</v>
          </cell>
          <cell r="B1589" t="str">
            <v>ja</v>
          </cell>
          <cell r="C1589" t="str">
            <v>鄭成功</v>
          </cell>
          <cell r="D1589" t="str">
            <v>ポムポムプリン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blue</v>
          </cell>
          <cell r="I1589">
            <v>5</v>
          </cell>
          <cell r="J1589" t="str">
            <v>PremiumSS</v>
          </cell>
          <cell r="K1589" t="str">
            <v>attack</v>
          </cell>
          <cell r="L1589" t="str">
            <v>攻撃タイプ</v>
          </cell>
          <cell r="M1589" t="str">
            <v>human</v>
          </cell>
        </row>
        <row r="1590">
          <cell r="A1590">
            <v>8078</v>
          </cell>
          <cell r="B1590" t="str">
            <v>ja</v>
          </cell>
          <cell r="C1590" t="str">
            <v>レア６鄭成功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blue</v>
          </cell>
          <cell r="I1590">
            <v>6</v>
          </cell>
          <cell r="J1590" t="str">
            <v>PremiumSS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8079</v>
          </cell>
          <cell r="B1591" t="str">
            <v>ja</v>
          </cell>
          <cell r="C1591" t="str">
            <v>赤鬼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5</v>
          </cell>
          <cell r="J1591" t="str">
            <v>DropWizS</v>
          </cell>
          <cell r="K1591" t="str">
            <v>hp</v>
          </cell>
          <cell r="L1591" t="str">
            <v>体力タイプ</v>
          </cell>
          <cell r="M1591" t="str">
            <v>dragon</v>
          </cell>
        </row>
        <row r="1592">
          <cell r="A1592">
            <v>8080</v>
          </cell>
          <cell r="B1592" t="str">
            <v>ja</v>
          </cell>
          <cell r="C1592" t="str">
            <v>レア６赤鬼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red</v>
          </cell>
          <cell r="I1592">
            <v>6</v>
          </cell>
          <cell r="J1592" t="str">
            <v>DropWizS</v>
          </cell>
          <cell r="K1592" t="str">
            <v>hp</v>
          </cell>
          <cell r="L1592" t="str">
            <v>体力タイプ</v>
          </cell>
          <cell r="M1592" t="str">
            <v>dragon</v>
          </cell>
        </row>
        <row r="1593">
          <cell r="A1593">
            <v>8081</v>
          </cell>
          <cell r="B1593" t="str">
            <v>ja</v>
          </cell>
          <cell r="C1593" t="str">
            <v>関羽</v>
          </cell>
          <cell r="H1593" t="str">
            <v>green</v>
          </cell>
          <cell r="I1593">
            <v>5</v>
          </cell>
          <cell r="J1593" t="str">
            <v>PremiumSSS</v>
          </cell>
          <cell r="K1593" t="str">
            <v>balance</v>
          </cell>
          <cell r="L1593" t="str">
            <v>バランスタイプ</v>
          </cell>
          <cell r="M1593" t="str">
            <v>samurai</v>
          </cell>
        </row>
        <row r="1594">
          <cell r="A1594">
            <v>8082</v>
          </cell>
          <cell r="B1594" t="str">
            <v>ja</v>
          </cell>
          <cell r="C1594" t="str">
            <v>★６関羽</v>
          </cell>
          <cell r="H1594" t="str">
            <v>green</v>
          </cell>
          <cell r="I1594">
            <v>6</v>
          </cell>
          <cell r="J1594" t="str">
            <v>PremiumSSS</v>
          </cell>
          <cell r="K1594" t="str">
            <v>balance</v>
          </cell>
          <cell r="L1594" t="str">
            <v>バランスタイプ</v>
          </cell>
          <cell r="M1594" t="str">
            <v>samurai</v>
          </cell>
        </row>
        <row r="1595">
          <cell r="A1595">
            <v>8083</v>
          </cell>
          <cell r="B1595" t="str">
            <v>ja</v>
          </cell>
          <cell r="C1595" t="str">
            <v>曹操</v>
          </cell>
          <cell r="H1595" t="str">
            <v>yellow</v>
          </cell>
          <cell r="I1595">
            <v>5</v>
          </cell>
          <cell r="J1595" t="str">
            <v>DropWizSS</v>
          </cell>
          <cell r="K1595" t="str">
            <v>technical</v>
          </cell>
          <cell r="L1595" t="str">
            <v>テクニカルタイプ</v>
          </cell>
          <cell r="M1595" t="str">
            <v>samurai</v>
          </cell>
        </row>
        <row r="1596">
          <cell r="A1596">
            <v>8084</v>
          </cell>
          <cell r="B1596" t="str">
            <v>ja</v>
          </cell>
          <cell r="C1596" t="str">
            <v>★６曹操</v>
          </cell>
          <cell r="H1596" t="str">
            <v>yellow</v>
          </cell>
          <cell r="I1596">
            <v>6</v>
          </cell>
          <cell r="J1596" t="str">
            <v>DropWizSS</v>
          </cell>
          <cell r="K1596" t="str">
            <v>technical</v>
          </cell>
          <cell r="L1596" t="str">
            <v>テクニカルタイプ</v>
          </cell>
          <cell r="M1596" t="str">
            <v>samurai</v>
          </cell>
        </row>
        <row r="1597">
          <cell r="A1597">
            <v>8087</v>
          </cell>
          <cell r="B1597" t="str">
            <v>ja</v>
          </cell>
          <cell r="C1597" t="str">
            <v>財神</v>
          </cell>
          <cell r="H1597" t="str">
            <v>red</v>
          </cell>
          <cell r="I1597">
            <v>5</v>
          </cell>
          <cell r="J1597" t="str">
            <v>PremiumSSS</v>
          </cell>
          <cell r="K1597" t="str">
            <v>technical</v>
          </cell>
          <cell r="L1597" t="str">
            <v>テクニカルタイプ</v>
          </cell>
          <cell r="M1597" t="str">
            <v>god</v>
          </cell>
        </row>
        <row r="1598">
          <cell r="A1598">
            <v>8088</v>
          </cell>
          <cell r="B1598" t="str">
            <v>ja</v>
          </cell>
          <cell r="C1598" t="str">
            <v>★６財神</v>
          </cell>
          <cell r="H1598" t="str">
            <v>red</v>
          </cell>
          <cell r="I1598">
            <v>6</v>
          </cell>
          <cell r="J1598" t="str">
            <v>PremiumSSS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</row>
        <row r="1599">
          <cell r="A1599">
            <v>8089</v>
          </cell>
          <cell r="B1599" t="str">
            <v>ja</v>
          </cell>
          <cell r="C1599" t="str">
            <v>年獣</v>
          </cell>
          <cell r="H1599" t="str">
            <v>green</v>
          </cell>
          <cell r="I1599">
            <v>5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8090</v>
          </cell>
          <cell r="B1600" t="str">
            <v>ja</v>
          </cell>
          <cell r="C1600" t="str">
            <v>★６年獣</v>
          </cell>
          <cell r="H1600" t="str">
            <v>green</v>
          </cell>
          <cell r="I1600">
            <v>6</v>
          </cell>
          <cell r="J1600" t="str">
            <v>DropWizS</v>
          </cell>
          <cell r="K1600" t="str">
            <v>attack</v>
          </cell>
          <cell r="L1600" t="str">
            <v>攻撃タイプ</v>
          </cell>
          <cell r="M1600" t="str">
            <v>animal</v>
          </cell>
        </row>
        <row r="1601">
          <cell r="A1601">
            <v>8095</v>
          </cell>
          <cell r="B1601" t="str">
            <v>ja</v>
          </cell>
          <cell r="C1601" t="str">
            <v>バハムートダック赤</v>
          </cell>
          <cell r="D1601" t="str">
            <v>ポムポムプリン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red</v>
          </cell>
          <cell r="I1601">
            <v>6</v>
          </cell>
          <cell r="J1601" t="str">
            <v>Material</v>
          </cell>
          <cell r="K1601" t="str">
            <v>exp</v>
          </cell>
          <cell r="L1601" t="str">
            <v>強化素材タイプ</v>
          </cell>
          <cell r="M1601" t="str">
            <v>unknown</v>
          </cell>
        </row>
        <row r="1602">
          <cell r="A1602">
            <v>8096</v>
          </cell>
          <cell r="B1602" t="str">
            <v>ja</v>
          </cell>
          <cell r="C1602" t="str">
            <v>バハムートダック緑</v>
          </cell>
          <cell r="D1602" t="str">
            <v>ポムポムプリン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green</v>
          </cell>
          <cell r="I1602">
            <v>6</v>
          </cell>
          <cell r="J1602" t="str">
            <v>Material</v>
          </cell>
          <cell r="K1602" t="str">
            <v>exp</v>
          </cell>
          <cell r="L1602" t="str">
            <v>強化素材タイプ</v>
          </cell>
          <cell r="M1602" t="str">
            <v>unknown</v>
          </cell>
        </row>
        <row r="1603">
          <cell r="A1603">
            <v>8097</v>
          </cell>
          <cell r="B1603" t="str">
            <v>ja</v>
          </cell>
          <cell r="C1603" t="str">
            <v>バハムートダック青</v>
          </cell>
          <cell r="D1603" t="str">
            <v>ポムポムプリン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blue</v>
          </cell>
          <cell r="I1603">
            <v>6</v>
          </cell>
          <cell r="J1603" t="str">
            <v>Material</v>
          </cell>
          <cell r="K1603" t="str">
            <v>exp</v>
          </cell>
          <cell r="L1603" t="str">
            <v>強化素材タイプ</v>
          </cell>
          <cell r="M1603" t="str">
            <v>unknown</v>
          </cell>
        </row>
        <row r="1604">
          <cell r="A1604">
            <v>8098</v>
          </cell>
          <cell r="B1604" t="str">
            <v>ja</v>
          </cell>
          <cell r="C1604" t="str">
            <v>バハムートダック黄</v>
          </cell>
          <cell r="D1604" t="str">
            <v>ポムポムプリン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6</v>
          </cell>
          <cell r="J1604" t="str">
            <v>Material</v>
          </cell>
          <cell r="K1604" t="str">
            <v>exp</v>
          </cell>
          <cell r="L1604" t="str">
            <v>強化素材タイプ</v>
          </cell>
          <cell r="M1604" t="str">
            <v>unknown</v>
          </cell>
        </row>
        <row r="1605">
          <cell r="A1605">
            <v>8099</v>
          </cell>
          <cell r="B1605" t="str">
            <v>ja</v>
          </cell>
          <cell r="C1605" t="str">
            <v>韓湘子</v>
          </cell>
          <cell r="D1605" t="str">
            <v>ポムポムプリン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PremiumSSw</v>
          </cell>
          <cell r="K1605" t="str">
            <v>balance</v>
          </cell>
          <cell r="L1605" t="str">
            <v>バランスタイプ</v>
          </cell>
          <cell r="M1605" t="str">
            <v>god</v>
          </cell>
        </row>
        <row r="1606">
          <cell r="A1606">
            <v>8100</v>
          </cell>
          <cell r="B1606" t="str">
            <v>ja</v>
          </cell>
          <cell r="C1606" t="str">
            <v>韓湘子★６</v>
          </cell>
          <cell r="D1606" t="str">
            <v>ポムポムプリン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PremiumSSw</v>
          </cell>
          <cell r="K1606" t="str">
            <v>balance</v>
          </cell>
          <cell r="L1606" t="str">
            <v>バランスタイプ</v>
          </cell>
          <cell r="M1606" t="str">
            <v>god</v>
          </cell>
        </row>
        <row r="1607">
          <cell r="A1607">
            <v>8101</v>
          </cell>
          <cell r="B1607" t="str">
            <v>ja</v>
          </cell>
          <cell r="C1607" t="str">
            <v>張果老</v>
          </cell>
          <cell r="D1607" t="str">
            <v>ポムポムプリン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yellow</v>
          </cell>
          <cell r="I1607">
            <v>5</v>
          </cell>
          <cell r="J1607" t="str">
            <v>DropWizS</v>
          </cell>
          <cell r="K1607" t="str">
            <v>attack</v>
          </cell>
          <cell r="L1607" t="str">
            <v>攻撃タイプ</v>
          </cell>
          <cell r="M1607" t="str">
            <v>god</v>
          </cell>
        </row>
        <row r="1608">
          <cell r="A1608">
            <v>8102</v>
          </cell>
          <cell r="B1608" t="str">
            <v>ja</v>
          </cell>
          <cell r="C1608" t="str">
            <v>張果老★６</v>
          </cell>
          <cell r="D1608" t="str">
            <v>各属性相性良3・黄・R455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yellow</v>
          </cell>
          <cell r="I1608">
            <v>6</v>
          </cell>
          <cell r="J1608" t="str">
            <v>DropWizS</v>
          </cell>
          <cell r="K1608" t="str">
            <v>attack</v>
          </cell>
          <cell r="L1608" t="str">
            <v>攻撃タイプ</v>
          </cell>
          <cell r="M1608" t="str">
            <v>god</v>
          </cell>
        </row>
        <row r="1609">
          <cell r="A1609">
            <v>9001</v>
          </cell>
          <cell r="B1609" t="str">
            <v>ja</v>
          </cell>
          <cell r="C1609" t="str">
            <v>春香</v>
          </cell>
          <cell r="D1609" t="str">
            <v>ポムポムプリン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human</v>
          </cell>
        </row>
        <row r="1610">
          <cell r="A1610">
            <v>9002</v>
          </cell>
          <cell r="B1610" t="str">
            <v>ja</v>
          </cell>
          <cell r="C1610" t="str">
            <v>春香★６</v>
          </cell>
          <cell r="D1610" t="str">
            <v>ポムポムプリン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human</v>
          </cell>
        </row>
        <row r="1611">
          <cell r="A1611">
            <v>9003</v>
          </cell>
          <cell r="B1611" t="str">
            <v>ja</v>
          </cell>
          <cell r="C1611" t="str">
            <v>夢龍</v>
          </cell>
          <cell r="D1611" t="str">
            <v>ポムポムプリン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heal</v>
          </cell>
          <cell r="L1611" t="str">
            <v>回復タイプ</v>
          </cell>
          <cell r="M1611" t="str">
            <v>dragon</v>
          </cell>
        </row>
        <row r="1612">
          <cell r="A1612">
            <v>9004</v>
          </cell>
          <cell r="B1612" t="str">
            <v>ja</v>
          </cell>
          <cell r="C1612" t="str">
            <v>夢龍★６</v>
          </cell>
          <cell r="D1612" t="str">
            <v>各属性相性良3・黄・R455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heal</v>
          </cell>
          <cell r="L1612" t="str">
            <v>回復タイプ</v>
          </cell>
          <cell r="M1612" t="str">
            <v>dragon</v>
          </cell>
        </row>
        <row r="1613">
          <cell r="A1613">
            <v>9005</v>
          </cell>
          <cell r="B1613" t="str">
            <v>ja</v>
          </cell>
          <cell r="C1613" t="str">
            <v>降臨</v>
          </cell>
          <cell r="D1613" t="str">
            <v>ポムポムプリン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PremiumSSw</v>
          </cell>
          <cell r="K1613" t="str">
            <v>hp</v>
          </cell>
          <cell r="L1613" t="str">
            <v>体力タイプ</v>
          </cell>
          <cell r="M1613" t="str">
            <v>demon</v>
          </cell>
        </row>
        <row r="1614">
          <cell r="A1614">
            <v>9006</v>
          </cell>
          <cell r="B1614" t="str">
            <v>ja</v>
          </cell>
          <cell r="C1614" t="str">
            <v>降臨★６</v>
          </cell>
          <cell r="D1614" t="str">
            <v>ポムポムプリン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PremiumSSw</v>
          </cell>
          <cell r="K1614" t="str">
            <v>hp</v>
          </cell>
          <cell r="L1614" t="str">
            <v>体力タイプ</v>
          </cell>
          <cell r="M1614" t="str">
            <v>demon</v>
          </cell>
        </row>
        <row r="1615">
          <cell r="A1615">
            <v>9007</v>
          </cell>
          <cell r="B1615" t="str">
            <v>ja</v>
          </cell>
          <cell r="C1615" t="str">
            <v>田禹治</v>
          </cell>
          <cell r="D1615" t="str">
            <v>ポムポムプリン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hero</v>
          </cell>
        </row>
        <row r="1616">
          <cell r="A1616">
            <v>9008</v>
          </cell>
          <cell r="B1616" t="str">
            <v>ja</v>
          </cell>
          <cell r="C1616" t="str">
            <v>田禹治★６</v>
          </cell>
          <cell r="D1616" t="str">
            <v>各属性相性良3・黄・R455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hero</v>
          </cell>
        </row>
        <row r="1617">
          <cell r="A1617">
            <v>10001</v>
          </cell>
          <cell r="B1617" t="str">
            <v>ja</v>
          </cell>
          <cell r="C1617" t="str">
            <v>テストユニット01</v>
          </cell>
          <cell r="H1617" t="str">
            <v>yellow</v>
          </cell>
          <cell r="I1617">
            <v>6</v>
          </cell>
          <cell r="J1617" t="str">
            <v>DropWizS</v>
          </cell>
          <cell r="K1617" t="str">
            <v>heal</v>
          </cell>
          <cell r="L1617" t="str">
            <v>回復タイプ</v>
          </cell>
          <cell r="M1617" t="str">
            <v>human</v>
          </cell>
        </row>
        <row r="1618">
          <cell r="A1618">
            <v>10002</v>
          </cell>
          <cell r="B1618" t="str">
            <v>ja</v>
          </cell>
          <cell r="C1618" t="str">
            <v>テストユニット02</v>
          </cell>
          <cell r="H1618" t="str">
            <v>yellow</v>
          </cell>
          <cell r="I1618">
            <v>6</v>
          </cell>
          <cell r="J1618" t="str">
            <v>PremiumSS</v>
          </cell>
          <cell r="K1618" t="str">
            <v>technical</v>
          </cell>
          <cell r="L1618" t="str">
            <v>テクニカルタイプ</v>
          </cell>
          <cell r="M1618" t="str">
            <v>animal</v>
          </cell>
        </row>
        <row r="1619">
          <cell r="A1619">
            <v>10003</v>
          </cell>
          <cell r="B1619" t="str">
            <v>ja</v>
          </cell>
          <cell r="C1619" t="str">
            <v>テストユニット03</v>
          </cell>
          <cell r="H1619" t="str">
            <v>red</v>
          </cell>
          <cell r="I1619">
            <v>5</v>
          </cell>
          <cell r="J1619" t="str">
            <v>PremiumSSS</v>
          </cell>
          <cell r="K1619" t="str">
            <v>technical</v>
          </cell>
          <cell r="L1619" t="str">
            <v>テクニカルタイプ</v>
          </cell>
          <cell r="M1619" t="str">
            <v>academia</v>
          </cell>
        </row>
        <row r="1620">
          <cell r="A1620">
            <v>10004</v>
          </cell>
          <cell r="B1620" t="str">
            <v>ja</v>
          </cell>
          <cell r="C1620" t="str">
            <v>テストユニット04</v>
          </cell>
          <cell r="H1620" t="str">
            <v>red</v>
          </cell>
          <cell r="I1620">
            <v>6</v>
          </cell>
          <cell r="J1620" t="str">
            <v>PremiumSSS</v>
          </cell>
          <cell r="K1620" t="str">
            <v>technical</v>
          </cell>
          <cell r="L1620" t="str">
            <v>テクニカルタイプ</v>
          </cell>
          <cell r="M1620" t="str">
            <v>academia</v>
          </cell>
        </row>
        <row r="1621">
          <cell r="A1621">
            <v>10005</v>
          </cell>
          <cell r="B1621" t="str">
            <v>ja</v>
          </cell>
          <cell r="C1621" t="str">
            <v>テストユニット05</v>
          </cell>
          <cell r="H1621" t="str">
            <v>yellow</v>
          </cell>
          <cell r="I1621">
            <v>6</v>
          </cell>
          <cell r="J1621" t="str">
            <v>PremiumSS</v>
          </cell>
          <cell r="K1621" t="str">
            <v>technical</v>
          </cell>
          <cell r="L1621" t="str">
            <v>テクニカルタイプ</v>
          </cell>
          <cell r="M1621" t="str">
            <v>human</v>
          </cell>
        </row>
        <row r="1622">
          <cell r="A1622">
            <v>10006</v>
          </cell>
          <cell r="B1622" t="str">
            <v>ja</v>
          </cell>
          <cell r="C1622" t="str">
            <v>テストユニット06</v>
          </cell>
          <cell r="H1622" t="str">
            <v>yellow</v>
          </cell>
          <cell r="I1622">
            <v>6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animal</v>
          </cell>
        </row>
        <row r="1623">
          <cell r="A1623">
            <v>10007</v>
          </cell>
          <cell r="B1623" t="str">
            <v>ja</v>
          </cell>
          <cell r="C1623" t="str">
            <v>テストユニット07</v>
          </cell>
          <cell r="H1623" t="str">
            <v>yellow</v>
          </cell>
          <cell r="I1623">
            <v>5</v>
          </cell>
          <cell r="J1623" t="str">
            <v>PremiumSSS</v>
          </cell>
          <cell r="K1623" t="str">
            <v>technical</v>
          </cell>
          <cell r="L1623" t="str">
            <v>テクニカルタイプ</v>
          </cell>
          <cell r="M1623" t="str">
            <v>machine</v>
          </cell>
        </row>
        <row r="1624">
          <cell r="A1624">
            <v>10008</v>
          </cell>
          <cell r="B1624" t="str">
            <v>ja</v>
          </cell>
          <cell r="C1624" t="str">
            <v>テストユニット08</v>
          </cell>
          <cell r="H1624" t="str">
            <v>yellow</v>
          </cell>
          <cell r="I1624">
            <v>6</v>
          </cell>
          <cell r="J1624" t="str">
            <v>PremiumSSS</v>
          </cell>
          <cell r="K1624" t="str">
            <v>technical</v>
          </cell>
          <cell r="L1624" t="str">
            <v>テクニカルタイプ</v>
          </cell>
          <cell r="M1624" t="str">
            <v>machine</v>
          </cell>
        </row>
        <row r="1625">
          <cell r="A1625">
            <v>10009</v>
          </cell>
          <cell r="B1625" t="str">
            <v>ja</v>
          </cell>
          <cell r="C1625" t="str">
            <v>青テスト01</v>
          </cell>
          <cell r="H1625" t="str">
            <v>blue</v>
          </cell>
          <cell r="I1625">
            <v>6</v>
          </cell>
          <cell r="J1625" t="str">
            <v>DropWizS</v>
          </cell>
          <cell r="K1625" t="str">
            <v>heal</v>
          </cell>
          <cell r="L1625" t="str">
            <v>回復タイプ</v>
          </cell>
          <cell r="M1625" t="str">
            <v>human</v>
          </cell>
        </row>
        <row r="1626">
          <cell r="A1626">
            <v>10010</v>
          </cell>
          <cell r="B1626" t="str">
            <v>ja</v>
          </cell>
          <cell r="C1626" t="str">
            <v>赤テスト01</v>
          </cell>
          <cell r="H1626" t="str">
            <v>red</v>
          </cell>
          <cell r="I1626">
            <v>6</v>
          </cell>
          <cell r="J1626" t="str">
            <v>PremiumSSS</v>
          </cell>
          <cell r="K1626" t="str">
            <v>technical</v>
          </cell>
          <cell r="L1626" t="str">
            <v>テクニカルタイプ</v>
          </cell>
          <cell r="M1626" t="str">
            <v>human</v>
          </cell>
        </row>
        <row r="1627">
          <cell r="A1627">
            <v>10011</v>
          </cell>
          <cell r="B1627" t="str">
            <v>ja</v>
          </cell>
          <cell r="C1627" t="str">
            <v>テストユニット11</v>
          </cell>
          <cell r="H1627" t="str">
            <v>red</v>
          </cell>
          <cell r="I1627">
            <v>6</v>
          </cell>
          <cell r="J1627" t="str">
            <v>PremiumSSS</v>
          </cell>
          <cell r="K1627" t="str">
            <v>technical</v>
          </cell>
          <cell r="L1627" t="str">
            <v>テクニカルタイプ</v>
          </cell>
          <cell r="M1627" t="str">
            <v>academia</v>
          </cell>
        </row>
        <row r="1628">
          <cell r="A1628">
            <v>10012</v>
          </cell>
          <cell r="B1628" t="str">
            <v>ja</v>
          </cell>
          <cell r="C1628" t="str">
            <v>テストユニット12</v>
          </cell>
          <cell r="H1628" t="str">
            <v>red</v>
          </cell>
          <cell r="I1628">
            <v>6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academia</v>
          </cell>
        </row>
        <row r="1629">
          <cell r="A1629">
            <v>10013</v>
          </cell>
          <cell r="B1629" t="str">
            <v>ja</v>
          </cell>
          <cell r="C1629" t="str">
            <v>テストユニット13</v>
          </cell>
          <cell r="H1629" t="str">
            <v>red</v>
          </cell>
          <cell r="I1629">
            <v>6</v>
          </cell>
          <cell r="J1629" t="str">
            <v>PremiumSS</v>
          </cell>
          <cell r="K1629" t="str">
            <v>balance</v>
          </cell>
          <cell r="L1629" t="str">
            <v>バランスタイプ</v>
          </cell>
          <cell r="M1629" t="str">
            <v>unknown</v>
          </cell>
        </row>
        <row r="1630">
          <cell r="A1630">
            <v>10014</v>
          </cell>
          <cell r="B1630" t="str">
            <v>ja</v>
          </cell>
          <cell r="C1630" t="str">
            <v>テストユニット14</v>
          </cell>
          <cell r="H1630" t="str">
            <v>blue</v>
          </cell>
          <cell r="I1630">
            <v>6</v>
          </cell>
          <cell r="J1630" t="str">
            <v>PremiumSS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10015</v>
          </cell>
          <cell r="B1631" t="str">
            <v>ja</v>
          </cell>
          <cell r="C1631" t="str">
            <v>テストユニット15</v>
          </cell>
          <cell r="H1631" t="str">
            <v>green</v>
          </cell>
          <cell r="I1631">
            <v>6</v>
          </cell>
          <cell r="J1631" t="str">
            <v>PremiumSS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10016</v>
          </cell>
          <cell r="B1632" t="str">
            <v>ja</v>
          </cell>
          <cell r="C1632" t="str">
            <v>テストユニット16</v>
          </cell>
          <cell r="H1632" t="str">
            <v>yellow</v>
          </cell>
          <cell r="I1632">
            <v>6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10017</v>
          </cell>
          <cell r="B1633" t="str">
            <v>ja</v>
          </cell>
          <cell r="C1633" t="str">
            <v>テストユニット17</v>
          </cell>
          <cell r="H1633" t="str">
            <v>red</v>
          </cell>
          <cell r="I1633">
            <v>6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10018</v>
          </cell>
          <cell r="B1634" t="str">
            <v>ja</v>
          </cell>
          <cell r="C1634" t="str">
            <v>テストユニット18</v>
          </cell>
          <cell r="H1634" t="str">
            <v>blue</v>
          </cell>
          <cell r="I1634">
            <v>6</v>
          </cell>
          <cell r="J1634" t="str">
            <v>PremiumSS</v>
          </cell>
          <cell r="K1634" t="str">
            <v>balance</v>
          </cell>
          <cell r="L1634" t="str">
            <v>バランスタイプ</v>
          </cell>
          <cell r="M1634" t="str">
            <v>unknown</v>
          </cell>
        </row>
        <row r="1635">
          <cell r="A1635">
            <v>10019</v>
          </cell>
          <cell r="B1635" t="str">
            <v>ja</v>
          </cell>
          <cell r="C1635" t="str">
            <v>テストユニット19</v>
          </cell>
          <cell r="H1635" t="str">
            <v>green</v>
          </cell>
          <cell r="I1635">
            <v>6</v>
          </cell>
          <cell r="J1635" t="str">
            <v>PremiumSS</v>
          </cell>
          <cell r="K1635" t="str">
            <v>balance</v>
          </cell>
          <cell r="L1635" t="str">
            <v>バランスタイプ</v>
          </cell>
          <cell r="M1635" t="str">
            <v>unknown</v>
          </cell>
        </row>
        <row r="1636">
          <cell r="A1636">
            <v>10020</v>
          </cell>
          <cell r="B1636" t="str">
            <v>ja</v>
          </cell>
          <cell r="C1636" t="str">
            <v>テストユニット20</v>
          </cell>
          <cell r="H1636" t="str">
            <v>yellow</v>
          </cell>
          <cell r="I1636">
            <v>6</v>
          </cell>
          <cell r="J1636" t="str">
            <v>PremiumSS</v>
          </cell>
          <cell r="K1636" t="str">
            <v>balance</v>
          </cell>
          <cell r="L1636" t="str">
            <v>バランスタイプ</v>
          </cell>
          <cell r="M1636" t="str">
            <v>unknown</v>
          </cell>
        </row>
        <row r="1637">
          <cell r="A1637">
            <v>10021</v>
          </cell>
          <cell r="B1637" t="str">
            <v>ja</v>
          </cell>
          <cell r="C1637" t="str">
            <v>テストユニット21</v>
          </cell>
          <cell r="H1637" t="str">
            <v>red</v>
          </cell>
          <cell r="I1637">
            <v>6</v>
          </cell>
          <cell r="J1637" t="str">
            <v>PremiumSS</v>
          </cell>
          <cell r="K1637" t="str">
            <v>balance</v>
          </cell>
          <cell r="L1637" t="str">
            <v>バランスタイプ</v>
          </cell>
          <cell r="M1637" t="str">
            <v>unknown</v>
          </cell>
        </row>
        <row r="1638">
          <cell r="A1638">
            <v>10022</v>
          </cell>
          <cell r="B1638" t="str">
            <v>ja</v>
          </cell>
          <cell r="C1638" t="str">
            <v>テストユニット22</v>
          </cell>
          <cell r="H1638" t="str">
            <v>blue</v>
          </cell>
          <cell r="I1638">
            <v>6</v>
          </cell>
          <cell r="J1638" t="str">
            <v>PremiumSS</v>
          </cell>
          <cell r="K1638" t="str">
            <v>balance</v>
          </cell>
          <cell r="L1638" t="str">
            <v>バランスタイプ</v>
          </cell>
          <cell r="M1638" t="str">
            <v>unknown</v>
          </cell>
        </row>
        <row r="1639">
          <cell r="A1639">
            <v>10023</v>
          </cell>
          <cell r="B1639" t="str">
            <v>ja</v>
          </cell>
          <cell r="C1639" t="str">
            <v>テストユニット23</v>
          </cell>
          <cell r="H1639" t="str">
            <v>green</v>
          </cell>
          <cell r="I1639">
            <v>6</v>
          </cell>
          <cell r="J1639" t="str">
            <v>PremiumSS</v>
          </cell>
          <cell r="K1639" t="str">
            <v>balance</v>
          </cell>
          <cell r="L1639" t="str">
            <v>バランスタイプ</v>
          </cell>
          <cell r="M1639" t="str">
            <v>unknown</v>
          </cell>
        </row>
        <row r="1640">
          <cell r="A1640">
            <v>10024</v>
          </cell>
          <cell r="B1640" t="str">
            <v>ja</v>
          </cell>
          <cell r="C1640" t="str">
            <v>テストユニット24</v>
          </cell>
          <cell r="H1640" t="str">
            <v>yellow</v>
          </cell>
          <cell r="I1640">
            <v>6</v>
          </cell>
          <cell r="J1640" t="str">
            <v>PremiumSS</v>
          </cell>
          <cell r="K1640" t="str">
            <v>balance</v>
          </cell>
          <cell r="L1640" t="str">
            <v>バランスタイプ</v>
          </cell>
          <cell r="M1640" t="str">
            <v>unknown</v>
          </cell>
        </row>
        <row r="1641">
          <cell r="A1641">
            <v>10025</v>
          </cell>
          <cell r="B1641" t="str">
            <v>ja</v>
          </cell>
          <cell r="C1641" t="str">
            <v>テストユニット25</v>
          </cell>
          <cell r="H1641" t="str">
            <v>red</v>
          </cell>
          <cell r="I1641">
            <v>6</v>
          </cell>
          <cell r="J1641" t="str">
            <v>PremiumSS</v>
          </cell>
          <cell r="K1641" t="str">
            <v>balance</v>
          </cell>
          <cell r="L1641" t="str">
            <v>バランスタイプ</v>
          </cell>
          <cell r="M1641" t="str">
            <v>unknown</v>
          </cell>
        </row>
        <row r="1642">
          <cell r="A1642">
            <v>10026</v>
          </cell>
          <cell r="B1642" t="str">
            <v>ja</v>
          </cell>
          <cell r="C1642" t="str">
            <v>テストユニット26</v>
          </cell>
          <cell r="H1642" t="str">
            <v>blue</v>
          </cell>
          <cell r="I1642">
            <v>6</v>
          </cell>
          <cell r="J1642" t="str">
            <v>PremiumSS</v>
          </cell>
          <cell r="K1642" t="str">
            <v>balance</v>
          </cell>
          <cell r="L1642" t="str">
            <v>バランスタイプ</v>
          </cell>
          <cell r="M1642" t="str">
            <v>unknown</v>
          </cell>
        </row>
        <row r="1643">
          <cell r="A1643">
            <v>10027</v>
          </cell>
          <cell r="B1643" t="str">
            <v>ja</v>
          </cell>
          <cell r="C1643" t="str">
            <v>テストユニット27</v>
          </cell>
          <cell r="H1643" t="str">
            <v>green</v>
          </cell>
          <cell r="I1643">
            <v>6</v>
          </cell>
          <cell r="J1643" t="str">
            <v>PremiumSS</v>
          </cell>
          <cell r="K1643" t="str">
            <v>balance</v>
          </cell>
          <cell r="L1643" t="str">
            <v>バランスタイプ</v>
          </cell>
          <cell r="M1643" t="str">
            <v>unknown</v>
          </cell>
        </row>
        <row r="1644">
          <cell r="A1644">
            <v>10028</v>
          </cell>
          <cell r="B1644" t="str">
            <v>ja</v>
          </cell>
          <cell r="C1644" t="str">
            <v>テストユニット28</v>
          </cell>
          <cell r="H1644" t="str">
            <v>yellow</v>
          </cell>
          <cell r="I1644">
            <v>6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unknown</v>
          </cell>
        </row>
        <row r="1645">
          <cell r="A1645">
            <v>10029</v>
          </cell>
          <cell r="B1645" t="str">
            <v>ja</v>
          </cell>
          <cell r="C1645" t="str">
            <v>テストユニット29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unknown</v>
          </cell>
        </row>
        <row r="1646">
          <cell r="A1646">
            <v>10030</v>
          </cell>
          <cell r="B1646" t="str">
            <v>ja</v>
          </cell>
          <cell r="C1646" t="str">
            <v>テストユニット30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unknown</v>
          </cell>
        </row>
        <row r="1647">
          <cell r="A1647">
            <v>10031</v>
          </cell>
          <cell r="B1647" t="str">
            <v>ja</v>
          </cell>
          <cell r="C1647" t="str">
            <v>テストユニット31</v>
          </cell>
          <cell r="H1647" t="str">
            <v>green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unknown</v>
          </cell>
        </row>
        <row r="1648">
          <cell r="A1648">
            <v>10032</v>
          </cell>
          <cell r="B1648" t="str">
            <v>ja</v>
          </cell>
          <cell r="C1648" t="str">
            <v>テストユニット32</v>
          </cell>
          <cell r="H1648" t="str">
            <v>yellow</v>
          </cell>
          <cell r="I1648">
            <v>6</v>
          </cell>
          <cell r="J1648" t="str">
            <v>PremiumSS</v>
          </cell>
          <cell r="K1648" t="str">
            <v>balance</v>
          </cell>
          <cell r="L1648" t="str">
            <v>バランスタイプ</v>
          </cell>
          <cell r="M1648" t="str">
            <v>unknown</v>
          </cell>
        </row>
        <row r="1649">
          <cell r="A1649">
            <v>10033</v>
          </cell>
          <cell r="B1649" t="str">
            <v>ja</v>
          </cell>
          <cell r="C1649" t="str">
            <v>テストユニット33</v>
          </cell>
          <cell r="H1649" t="str">
            <v>red</v>
          </cell>
          <cell r="I1649">
            <v>6</v>
          </cell>
          <cell r="J1649" t="str">
            <v>PremiumSS</v>
          </cell>
          <cell r="K1649" t="str">
            <v>balance</v>
          </cell>
          <cell r="L1649" t="str">
            <v>バランスタイプ</v>
          </cell>
          <cell r="M1649" t="str">
            <v>unknown</v>
          </cell>
        </row>
        <row r="1650">
          <cell r="A1650">
            <v>10034</v>
          </cell>
          <cell r="B1650" t="str">
            <v>ja</v>
          </cell>
          <cell r="C1650" t="str">
            <v>テストユニット34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balance</v>
          </cell>
          <cell r="L1650" t="str">
            <v>バランスタイプ</v>
          </cell>
          <cell r="M1650" t="str">
            <v>unknown</v>
          </cell>
        </row>
        <row r="1651">
          <cell r="A1651">
            <v>10035</v>
          </cell>
          <cell r="B1651" t="str">
            <v>ja</v>
          </cell>
          <cell r="C1651" t="str">
            <v>テストユニット35</v>
          </cell>
          <cell r="H1651" t="str">
            <v>green</v>
          </cell>
          <cell r="I1651">
            <v>6</v>
          </cell>
          <cell r="J1651" t="str">
            <v>PremiumSS</v>
          </cell>
          <cell r="K1651" t="str">
            <v>balance</v>
          </cell>
          <cell r="L1651" t="str">
            <v>バランスタイプ</v>
          </cell>
          <cell r="M1651" t="str">
            <v>unknown</v>
          </cell>
        </row>
        <row r="1652">
          <cell r="A1652">
            <v>10036</v>
          </cell>
          <cell r="B1652" t="str">
            <v>ja</v>
          </cell>
          <cell r="C1652" t="str">
            <v>テストユニット36</v>
          </cell>
          <cell r="H1652" t="str">
            <v>yellow</v>
          </cell>
          <cell r="I1652">
            <v>6</v>
          </cell>
          <cell r="J1652" t="str">
            <v>PremiumSS</v>
          </cell>
          <cell r="K1652" t="str">
            <v>balance</v>
          </cell>
          <cell r="L1652" t="str">
            <v>バランスタイプ</v>
          </cell>
          <cell r="M1652" t="str">
            <v>unknown</v>
          </cell>
        </row>
        <row r="1653">
          <cell r="A1653">
            <v>10037</v>
          </cell>
          <cell r="B1653" t="str">
            <v>ja</v>
          </cell>
          <cell r="C1653" t="str">
            <v>テストユニット37</v>
          </cell>
          <cell r="H1653" t="str">
            <v>red</v>
          </cell>
          <cell r="I1653">
            <v>6</v>
          </cell>
          <cell r="J1653" t="str">
            <v>PremiumSS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</row>
        <row r="1654">
          <cell r="A1654">
            <v>10038</v>
          </cell>
          <cell r="B1654" t="str">
            <v>ja</v>
          </cell>
          <cell r="C1654" t="str">
            <v>テストユニット38</v>
          </cell>
          <cell r="H1654" t="str">
            <v>blue</v>
          </cell>
          <cell r="I1654">
            <v>6</v>
          </cell>
          <cell r="J1654" t="str">
            <v>PremiumSS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</row>
        <row r="1655">
          <cell r="A1655">
            <v>10039</v>
          </cell>
          <cell r="B1655" t="str">
            <v>ja</v>
          </cell>
          <cell r="C1655" t="str">
            <v>テストユニット39</v>
          </cell>
          <cell r="H1655" t="str">
            <v>green</v>
          </cell>
          <cell r="I1655">
            <v>6</v>
          </cell>
          <cell r="J1655" t="str">
            <v>PremiumSS</v>
          </cell>
          <cell r="K1655" t="str">
            <v>balance</v>
          </cell>
          <cell r="L1655" t="str">
            <v>バランスタイプ</v>
          </cell>
          <cell r="M1655" t="str">
            <v>unknown</v>
          </cell>
        </row>
        <row r="1656">
          <cell r="A1656">
            <v>10040</v>
          </cell>
          <cell r="B1656" t="str">
            <v>ja</v>
          </cell>
          <cell r="C1656" t="str">
            <v>テストユニット40</v>
          </cell>
          <cell r="H1656" t="str">
            <v>yellow</v>
          </cell>
          <cell r="I1656">
            <v>6</v>
          </cell>
          <cell r="J1656" t="str">
            <v>PremiumSS</v>
          </cell>
          <cell r="K1656" t="str">
            <v>balance</v>
          </cell>
          <cell r="L1656" t="str">
            <v>バランスタイプ</v>
          </cell>
          <cell r="M1656" t="str">
            <v>unknown</v>
          </cell>
        </row>
        <row r="1657">
          <cell r="A1657">
            <v>10041</v>
          </cell>
          <cell r="B1657" t="str">
            <v>ja</v>
          </cell>
          <cell r="C1657" t="str">
            <v>テストユニット41</v>
          </cell>
          <cell r="H1657" t="str">
            <v>red</v>
          </cell>
          <cell r="I1657">
            <v>6</v>
          </cell>
          <cell r="J1657" t="str">
            <v>PremiumSS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</row>
        <row r="1658">
          <cell r="A1658">
            <v>10042</v>
          </cell>
          <cell r="B1658" t="str">
            <v>ja</v>
          </cell>
          <cell r="C1658" t="str">
            <v>テストユニット42</v>
          </cell>
          <cell r="H1658" t="str">
            <v>blue</v>
          </cell>
          <cell r="I1658">
            <v>6</v>
          </cell>
          <cell r="J1658" t="str">
            <v>PremiumSS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</row>
        <row r="1659">
          <cell r="A1659">
            <v>10043</v>
          </cell>
          <cell r="B1659" t="str">
            <v>ja</v>
          </cell>
          <cell r="C1659" t="str">
            <v>テストユニット43</v>
          </cell>
          <cell r="H1659" t="str">
            <v>green</v>
          </cell>
          <cell r="I1659">
            <v>6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</row>
        <row r="1660">
          <cell r="A1660">
            <v>10044</v>
          </cell>
          <cell r="B1660" t="str">
            <v>ja</v>
          </cell>
          <cell r="C1660" t="str">
            <v>テストユニット44</v>
          </cell>
          <cell r="H1660" t="str">
            <v>yellow</v>
          </cell>
          <cell r="I1660">
            <v>6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</row>
        <row r="1661">
          <cell r="A1661">
            <v>10045</v>
          </cell>
          <cell r="B1661" t="str">
            <v>ja</v>
          </cell>
          <cell r="C1661" t="str">
            <v>テストユニット45</v>
          </cell>
          <cell r="H1661" t="str">
            <v>red</v>
          </cell>
          <cell r="I1661">
            <v>6</v>
          </cell>
          <cell r="J1661" t="str">
            <v>PremiumSS</v>
          </cell>
          <cell r="K1661" t="str">
            <v>balance</v>
          </cell>
          <cell r="L1661" t="str">
            <v>バランスタイプ</v>
          </cell>
          <cell r="M1661" t="str">
            <v>unknown</v>
          </cell>
        </row>
        <row r="1662">
          <cell r="A1662">
            <v>10046</v>
          </cell>
          <cell r="B1662" t="str">
            <v>ja</v>
          </cell>
          <cell r="C1662" t="str">
            <v>テストユニット46</v>
          </cell>
          <cell r="H1662" t="str">
            <v>blue</v>
          </cell>
          <cell r="I1662">
            <v>6</v>
          </cell>
          <cell r="J1662" t="str">
            <v>PremiumSS</v>
          </cell>
          <cell r="K1662" t="str">
            <v>balance</v>
          </cell>
          <cell r="L1662" t="str">
            <v>バランスタイプ</v>
          </cell>
          <cell r="M1662" t="str">
            <v>unknown</v>
          </cell>
        </row>
        <row r="1663">
          <cell r="A1663">
            <v>10047</v>
          </cell>
          <cell r="B1663" t="str">
            <v>ja</v>
          </cell>
          <cell r="C1663" t="str">
            <v>テストユニット47</v>
          </cell>
          <cell r="H1663" t="str">
            <v>green</v>
          </cell>
          <cell r="I1663">
            <v>6</v>
          </cell>
          <cell r="J1663" t="str">
            <v>PremiumSS</v>
          </cell>
          <cell r="K1663" t="str">
            <v>balance</v>
          </cell>
          <cell r="L1663" t="str">
            <v>バランスタイプ</v>
          </cell>
          <cell r="M1663" t="str">
            <v>unknown</v>
          </cell>
        </row>
        <row r="1664">
          <cell r="A1664">
            <v>10048</v>
          </cell>
          <cell r="B1664" t="str">
            <v>ja</v>
          </cell>
          <cell r="C1664" t="str">
            <v>テストユニット48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balance</v>
          </cell>
          <cell r="L1664" t="str">
            <v>バランスタイプ</v>
          </cell>
          <cell r="M1664" t="str">
            <v>unknown</v>
          </cell>
        </row>
        <row r="1665">
          <cell r="A1665">
            <v>10049</v>
          </cell>
          <cell r="B1665" t="str">
            <v>ja</v>
          </cell>
          <cell r="C1665" t="str">
            <v>テストユニット49</v>
          </cell>
          <cell r="H1665" t="str">
            <v>red</v>
          </cell>
          <cell r="I1665">
            <v>6</v>
          </cell>
          <cell r="J1665" t="str">
            <v>PremiumSS</v>
          </cell>
          <cell r="K1665" t="str">
            <v>balance</v>
          </cell>
          <cell r="L1665" t="str">
            <v>バランスタイプ</v>
          </cell>
          <cell r="M1665" t="str">
            <v>unknown</v>
          </cell>
        </row>
        <row r="1666">
          <cell r="A1666">
            <v>10050</v>
          </cell>
          <cell r="B1666" t="str">
            <v>ja</v>
          </cell>
          <cell r="C1666" t="str">
            <v>テストユニット50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unknown</v>
          </cell>
        </row>
        <row r="1667">
          <cell r="A1667">
            <v>10051</v>
          </cell>
          <cell r="B1667" t="str">
            <v>ja</v>
          </cell>
          <cell r="C1667" t="str">
            <v>テストユニット51</v>
          </cell>
          <cell r="H1667" t="str">
            <v>green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unknown</v>
          </cell>
        </row>
        <row r="1668">
          <cell r="A1668">
            <v>10052</v>
          </cell>
          <cell r="B1668" t="str">
            <v>ja</v>
          </cell>
          <cell r="C1668" t="str">
            <v>テストユニット52</v>
          </cell>
          <cell r="H1668" t="str">
            <v>yellow</v>
          </cell>
          <cell r="I1668">
            <v>6</v>
          </cell>
          <cell r="J1668" t="str">
            <v>PremiumSS</v>
          </cell>
          <cell r="K1668" t="str">
            <v>balance</v>
          </cell>
          <cell r="L1668" t="str">
            <v>バランスタイプ</v>
          </cell>
          <cell r="M1668" t="str">
            <v>unknown</v>
          </cell>
        </row>
        <row r="1669">
          <cell r="A1669">
            <v>10053</v>
          </cell>
          <cell r="B1669" t="str">
            <v>ja</v>
          </cell>
          <cell r="C1669" t="str">
            <v>テストユニット53</v>
          </cell>
          <cell r="H1669" t="str">
            <v>red</v>
          </cell>
          <cell r="I1669">
            <v>6</v>
          </cell>
          <cell r="J1669" t="str">
            <v>PremiumSS</v>
          </cell>
          <cell r="K1669" t="str">
            <v>balance</v>
          </cell>
          <cell r="L1669" t="str">
            <v>バランスタイプ</v>
          </cell>
          <cell r="M1669" t="str">
            <v>unknown</v>
          </cell>
        </row>
        <row r="1670">
          <cell r="A1670">
            <v>10054</v>
          </cell>
          <cell r="B1670" t="str">
            <v>ja</v>
          </cell>
          <cell r="C1670" t="str">
            <v>テストユニット54</v>
          </cell>
          <cell r="H1670" t="str">
            <v>blue</v>
          </cell>
          <cell r="I1670">
            <v>6</v>
          </cell>
          <cell r="J1670" t="str">
            <v>PremiumSS</v>
          </cell>
          <cell r="K1670" t="str">
            <v>balance</v>
          </cell>
          <cell r="L1670" t="str">
            <v>バランスタイプ</v>
          </cell>
          <cell r="M1670" t="str">
            <v>unknown</v>
          </cell>
        </row>
        <row r="1671">
          <cell r="A1671">
            <v>10055</v>
          </cell>
          <cell r="B1671" t="str">
            <v>ja</v>
          </cell>
          <cell r="C1671" t="str">
            <v>テストユニット55</v>
          </cell>
          <cell r="H1671" t="str">
            <v>green</v>
          </cell>
          <cell r="I1671">
            <v>6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unknown</v>
          </cell>
        </row>
        <row r="1672">
          <cell r="A1672">
            <v>10056</v>
          </cell>
          <cell r="B1672" t="str">
            <v>ja</v>
          </cell>
          <cell r="C1672" t="str">
            <v>テストユニット56</v>
          </cell>
          <cell r="H1672" t="str">
            <v>yellow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unknown</v>
          </cell>
        </row>
        <row r="1673">
          <cell r="A1673">
            <v>10057</v>
          </cell>
          <cell r="B1673" t="str">
            <v>ja</v>
          </cell>
          <cell r="C1673" t="str">
            <v>テストユニット57</v>
          </cell>
          <cell r="H1673" t="str">
            <v>red</v>
          </cell>
          <cell r="I1673">
            <v>6</v>
          </cell>
          <cell r="J1673" t="str">
            <v>PremiumSS</v>
          </cell>
          <cell r="K1673" t="str">
            <v>balance</v>
          </cell>
          <cell r="L1673" t="str">
            <v>バランスタイプ</v>
          </cell>
          <cell r="M1673" t="str">
            <v>unknown</v>
          </cell>
        </row>
        <row r="1674">
          <cell r="A1674">
            <v>10058</v>
          </cell>
          <cell r="B1674" t="str">
            <v>ja</v>
          </cell>
          <cell r="C1674" t="str">
            <v>テストユニット58</v>
          </cell>
          <cell r="H1674" t="str">
            <v>blue</v>
          </cell>
          <cell r="I1674">
            <v>6</v>
          </cell>
          <cell r="J1674" t="str">
            <v>PremiumSS</v>
          </cell>
          <cell r="K1674" t="str">
            <v>balance</v>
          </cell>
          <cell r="L1674" t="str">
            <v>バランスタイプ</v>
          </cell>
          <cell r="M1674" t="str">
            <v>unknown</v>
          </cell>
        </row>
        <row r="1675">
          <cell r="A1675">
            <v>10059</v>
          </cell>
          <cell r="B1675" t="str">
            <v>ja</v>
          </cell>
          <cell r="C1675" t="str">
            <v>テストユニット59</v>
          </cell>
          <cell r="H1675" t="str">
            <v>green</v>
          </cell>
          <cell r="I1675">
            <v>6</v>
          </cell>
          <cell r="J1675" t="str">
            <v>PremiumSS</v>
          </cell>
          <cell r="K1675" t="str">
            <v>balance</v>
          </cell>
          <cell r="L1675" t="str">
            <v>バランスタイプ</v>
          </cell>
          <cell r="M1675" t="str">
            <v>unknown</v>
          </cell>
        </row>
        <row r="1676">
          <cell r="A1676">
            <v>10060</v>
          </cell>
          <cell r="B1676" t="str">
            <v>ja</v>
          </cell>
          <cell r="C1676" t="str">
            <v>テストユニット60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balance</v>
          </cell>
          <cell r="L1676" t="str">
            <v>バランスタイプ</v>
          </cell>
          <cell r="M1676" t="str">
            <v>unknown</v>
          </cell>
        </row>
        <row r="1677">
          <cell r="A1677">
            <v>10061</v>
          </cell>
          <cell r="B1677" t="str">
            <v>ja</v>
          </cell>
          <cell r="C1677" t="str">
            <v>テストユニット61</v>
          </cell>
          <cell r="H1677" t="str">
            <v>red</v>
          </cell>
          <cell r="I1677">
            <v>6</v>
          </cell>
          <cell r="J1677" t="str">
            <v>PremiumSS</v>
          </cell>
          <cell r="K1677" t="str">
            <v>balance</v>
          </cell>
          <cell r="L1677" t="str">
            <v>バランスタイプ</v>
          </cell>
          <cell r="M1677" t="str">
            <v>unknown</v>
          </cell>
        </row>
        <row r="1678">
          <cell r="A1678">
            <v>10062</v>
          </cell>
          <cell r="B1678" t="str">
            <v>ja</v>
          </cell>
          <cell r="C1678" t="str">
            <v>テストユニット62</v>
          </cell>
          <cell r="H1678" t="str">
            <v>blue</v>
          </cell>
          <cell r="I1678">
            <v>6</v>
          </cell>
          <cell r="J1678" t="str">
            <v>PremiumSS</v>
          </cell>
          <cell r="K1678" t="str">
            <v>balance</v>
          </cell>
          <cell r="L1678" t="str">
            <v>バランスタイプ</v>
          </cell>
          <cell r="M1678" t="str">
            <v>unknown</v>
          </cell>
        </row>
        <row r="1679">
          <cell r="A1679">
            <v>10063</v>
          </cell>
          <cell r="B1679" t="str">
            <v>ja</v>
          </cell>
          <cell r="C1679" t="str">
            <v>テストユニット63</v>
          </cell>
          <cell r="H1679" t="str">
            <v>green</v>
          </cell>
          <cell r="I1679">
            <v>6</v>
          </cell>
          <cell r="J1679" t="str">
            <v>PremiumSS</v>
          </cell>
          <cell r="K1679" t="str">
            <v>balance</v>
          </cell>
          <cell r="L1679" t="str">
            <v>バランスタイプ</v>
          </cell>
          <cell r="M1679" t="str">
            <v>unknown</v>
          </cell>
        </row>
        <row r="1680">
          <cell r="A1680">
            <v>10064</v>
          </cell>
          <cell r="B1680" t="str">
            <v>ja</v>
          </cell>
          <cell r="C1680" t="str">
            <v>テストユニット64</v>
          </cell>
          <cell r="H1680" t="str">
            <v>yellow</v>
          </cell>
          <cell r="I1680">
            <v>6</v>
          </cell>
          <cell r="J1680" t="str">
            <v>PremiumSS</v>
          </cell>
          <cell r="K1680" t="str">
            <v>balance</v>
          </cell>
          <cell r="L1680" t="str">
            <v>バランスタイプ</v>
          </cell>
          <cell r="M1680" t="str">
            <v>unknown</v>
          </cell>
        </row>
        <row r="1681">
          <cell r="A1681">
            <v>10065</v>
          </cell>
          <cell r="B1681" t="str">
            <v>ja</v>
          </cell>
          <cell r="C1681" t="str">
            <v>テストユニット65</v>
          </cell>
          <cell r="H1681" t="str">
            <v>red</v>
          </cell>
          <cell r="I1681">
            <v>6</v>
          </cell>
          <cell r="J1681" t="str">
            <v>PremiumSS</v>
          </cell>
          <cell r="K1681" t="str">
            <v>balance</v>
          </cell>
          <cell r="L1681" t="str">
            <v>バランスタイプ</v>
          </cell>
          <cell r="M1681" t="str">
            <v>unknown</v>
          </cell>
        </row>
        <row r="1682">
          <cell r="A1682">
            <v>10066</v>
          </cell>
          <cell r="B1682" t="str">
            <v>ja</v>
          </cell>
          <cell r="C1682" t="str">
            <v>テストユニット66</v>
          </cell>
          <cell r="H1682" t="str">
            <v>blue</v>
          </cell>
          <cell r="I1682">
            <v>6</v>
          </cell>
          <cell r="J1682" t="str">
            <v>PremiumSS</v>
          </cell>
          <cell r="K1682" t="str">
            <v>balance</v>
          </cell>
          <cell r="L1682" t="str">
            <v>バランスタイプ</v>
          </cell>
          <cell r="M1682" t="str">
            <v>unknown</v>
          </cell>
        </row>
        <row r="1683">
          <cell r="A1683">
            <v>10067</v>
          </cell>
          <cell r="B1683" t="str">
            <v>ja</v>
          </cell>
          <cell r="C1683" t="str">
            <v>テストユニット67</v>
          </cell>
          <cell r="H1683" t="str">
            <v>green</v>
          </cell>
          <cell r="I1683">
            <v>6</v>
          </cell>
          <cell r="J1683" t="str">
            <v>PremiumSS</v>
          </cell>
          <cell r="K1683" t="str">
            <v>balance</v>
          </cell>
          <cell r="L1683" t="str">
            <v>バランスタイプ</v>
          </cell>
          <cell r="M1683" t="str">
            <v>unknown</v>
          </cell>
        </row>
        <row r="1684">
          <cell r="A1684">
            <v>10068</v>
          </cell>
          <cell r="B1684" t="str">
            <v>ja</v>
          </cell>
          <cell r="C1684" t="str">
            <v>テストユニット68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balance</v>
          </cell>
          <cell r="L1684" t="str">
            <v>バランスタイプ</v>
          </cell>
          <cell r="M1684" t="str">
            <v>unknown</v>
          </cell>
        </row>
        <row r="1685">
          <cell r="A1685">
            <v>10069</v>
          </cell>
          <cell r="B1685" t="str">
            <v>ja</v>
          </cell>
          <cell r="C1685" t="str">
            <v>テストユニット69</v>
          </cell>
          <cell r="H1685" t="str">
            <v>red</v>
          </cell>
          <cell r="I1685">
            <v>6</v>
          </cell>
          <cell r="J1685" t="str">
            <v>PremiumSS</v>
          </cell>
          <cell r="K1685" t="str">
            <v>balance</v>
          </cell>
          <cell r="L1685" t="str">
            <v>バランスタイプ</v>
          </cell>
          <cell r="M1685" t="str">
            <v>unknown</v>
          </cell>
        </row>
        <row r="1686">
          <cell r="A1686">
            <v>10070</v>
          </cell>
          <cell r="B1686" t="str">
            <v>ja</v>
          </cell>
          <cell r="C1686" t="str">
            <v>テストユニット70</v>
          </cell>
          <cell r="H1686" t="str">
            <v>blue</v>
          </cell>
          <cell r="I1686">
            <v>6</v>
          </cell>
          <cell r="J1686" t="str">
            <v>PremiumSS</v>
          </cell>
          <cell r="K1686" t="str">
            <v>balance</v>
          </cell>
          <cell r="L1686" t="str">
            <v>バランスタイプ</v>
          </cell>
          <cell r="M1686" t="str">
            <v>unknown</v>
          </cell>
        </row>
        <row r="1687">
          <cell r="A1687">
            <v>10071</v>
          </cell>
          <cell r="B1687" t="str">
            <v>ja</v>
          </cell>
          <cell r="C1687" t="str">
            <v>テストユニット71</v>
          </cell>
          <cell r="H1687" t="str">
            <v>green</v>
          </cell>
          <cell r="I1687">
            <v>6</v>
          </cell>
          <cell r="J1687" t="str">
            <v>PremiumSS</v>
          </cell>
          <cell r="K1687" t="str">
            <v>balance</v>
          </cell>
          <cell r="L1687" t="str">
            <v>バランスタイプ</v>
          </cell>
          <cell r="M1687" t="str">
            <v>unknown</v>
          </cell>
        </row>
        <row r="1688">
          <cell r="A1688">
            <v>10072</v>
          </cell>
          <cell r="B1688" t="str">
            <v>ja</v>
          </cell>
          <cell r="C1688" t="str">
            <v>テストユニット72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unknown</v>
          </cell>
        </row>
        <row r="1689">
          <cell r="A1689">
            <v>10073</v>
          </cell>
          <cell r="B1689" t="str">
            <v>ja</v>
          </cell>
          <cell r="C1689" t="str">
            <v>テストユニット73</v>
          </cell>
          <cell r="H1689" t="str">
            <v>red</v>
          </cell>
          <cell r="I1689">
            <v>6</v>
          </cell>
          <cell r="J1689" t="str">
            <v>PremiumSS</v>
          </cell>
          <cell r="K1689" t="str">
            <v>balance</v>
          </cell>
          <cell r="L1689" t="str">
            <v>バランスタイプ</v>
          </cell>
          <cell r="M1689" t="str">
            <v>unknown</v>
          </cell>
        </row>
        <row r="1690">
          <cell r="A1690">
            <v>10074</v>
          </cell>
          <cell r="B1690" t="str">
            <v>ja</v>
          </cell>
          <cell r="C1690" t="str">
            <v>テストユニット74</v>
          </cell>
          <cell r="H1690" t="str">
            <v>blue</v>
          </cell>
          <cell r="I1690">
            <v>6</v>
          </cell>
          <cell r="J1690" t="str">
            <v>PremiumSS</v>
          </cell>
          <cell r="K1690" t="str">
            <v>balance</v>
          </cell>
          <cell r="L1690" t="str">
            <v>バランスタイプ</v>
          </cell>
          <cell r="M1690" t="str">
            <v>unknown</v>
          </cell>
        </row>
        <row r="1691">
          <cell r="A1691">
            <v>10075</v>
          </cell>
          <cell r="B1691" t="str">
            <v>ja</v>
          </cell>
          <cell r="C1691" t="str">
            <v>テストユニット75</v>
          </cell>
          <cell r="H1691" t="str">
            <v>green</v>
          </cell>
          <cell r="I1691">
            <v>6</v>
          </cell>
          <cell r="J1691" t="str">
            <v>PremiumSS</v>
          </cell>
          <cell r="K1691" t="str">
            <v>balance</v>
          </cell>
          <cell r="L1691" t="str">
            <v>バランスタイプ</v>
          </cell>
          <cell r="M1691" t="str">
            <v>unknown</v>
          </cell>
        </row>
        <row r="1692">
          <cell r="A1692">
            <v>10076</v>
          </cell>
          <cell r="B1692" t="str">
            <v>ja</v>
          </cell>
          <cell r="C1692" t="str">
            <v>テストユニット76</v>
          </cell>
          <cell r="H1692" t="str">
            <v>yellow</v>
          </cell>
          <cell r="I1692">
            <v>6</v>
          </cell>
          <cell r="J1692" t="str">
            <v>PremiumSS</v>
          </cell>
          <cell r="K1692" t="str">
            <v>balance</v>
          </cell>
          <cell r="L1692" t="str">
            <v>バランスタイプ</v>
          </cell>
          <cell r="M1692" t="str">
            <v>unknown</v>
          </cell>
        </row>
        <row r="1693">
          <cell r="A1693">
            <v>10077</v>
          </cell>
          <cell r="B1693" t="str">
            <v>ja</v>
          </cell>
          <cell r="C1693" t="str">
            <v>テストユニット77</v>
          </cell>
          <cell r="H1693" t="str">
            <v>red</v>
          </cell>
          <cell r="I1693">
            <v>6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unknown</v>
          </cell>
        </row>
        <row r="1694">
          <cell r="A1694">
            <v>10078</v>
          </cell>
          <cell r="B1694" t="str">
            <v>ja</v>
          </cell>
          <cell r="C1694" t="str">
            <v>テストユニット78</v>
          </cell>
          <cell r="H1694" t="str">
            <v>blue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unknown</v>
          </cell>
        </row>
        <row r="1695">
          <cell r="A1695">
            <v>10079</v>
          </cell>
          <cell r="B1695" t="str">
            <v>ja</v>
          </cell>
          <cell r="C1695" t="str">
            <v>テストユニット79</v>
          </cell>
          <cell r="H1695" t="str">
            <v>green</v>
          </cell>
          <cell r="I1695">
            <v>6</v>
          </cell>
          <cell r="J1695" t="str">
            <v>PremiumSS</v>
          </cell>
          <cell r="K1695" t="str">
            <v>balance</v>
          </cell>
          <cell r="L1695" t="str">
            <v>バランスタイプ</v>
          </cell>
          <cell r="M1695" t="str">
            <v>unknown</v>
          </cell>
        </row>
        <row r="1696">
          <cell r="A1696">
            <v>10080</v>
          </cell>
          <cell r="B1696" t="str">
            <v>ja</v>
          </cell>
          <cell r="C1696" t="str">
            <v>テストユニット80</v>
          </cell>
          <cell r="H1696" t="str">
            <v>yellow</v>
          </cell>
          <cell r="I1696">
            <v>6</v>
          </cell>
          <cell r="J1696" t="str">
            <v>PremiumSS</v>
          </cell>
          <cell r="K1696" t="str">
            <v>balance</v>
          </cell>
          <cell r="L1696" t="str">
            <v>バランスタイプ</v>
          </cell>
          <cell r="M1696" t="str">
            <v>unknown</v>
          </cell>
        </row>
        <row r="1697">
          <cell r="A1697">
            <v>10081</v>
          </cell>
          <cell r="B1697" t="str">
            <v>ja</v>
          </cell>
          <cell r="C1697" t="str">
            <v>テストユニット81</v>
          </cell>
          <cell r="H1697" t="str">
            <v>red</v>
          </cell>
          <cell r="I1697">
            <v>6</v>
          </cell>
          <cell r="J1697" t="str">
            <v>PremiumSS</v>
          </cell>
          <cell r="K1697" t="str">
            <v>balance</v>
          </cell>
          <cell r="L1697" t="str">
            <v>バランスタイプ</v>
          </cell>
          <cell r="M1697" t="str">
            <v>unknown</v>
          </cell>
        </row>
        <row r="1698">
          <cell r="A1698">
            <v>10082</v>
          </cell>
          <cell r="B1698" t="str">
            <v>ja</v>
          </cell>
          <cell r="C1698" t="str">
            <v>テストユニット82</v>
          </cell>
          <cell r="H1698" t="str">
            <v>blue</v>
          </cell>
          <cell r="I1698">
            <v>6</v>
          </cell>
          <cell r="J1698" t="str">
            <v>PremiumSS</v>
          </cell>
          <cell r="K1698" t="str">
            <v>balance</v>
          </cell>
          <cell r="L1698" t="str">
            <v>バランスタイプ</v>
          </cell>
          <cell r="M1698" t="str">
            <v>unknown</v>
          </cell>
        </row>
        <row r="1699">
          <cell r="A1699">
            <v>10083</v>
          </cell>
          <cell r="B1699" t="str">
            <v>ja</v>
          </cell>
          <cell r="C1699" t="str">
            <v>テストユニット83</v>
          </cell>
          <cell r="H1699" t="str">
            <v>green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10084</v>
          </cell>
          <cell r="B1700" t="str">
            <v>ja</v>
          </cell>
          <cell r="C1700" t="str">
            <v>テストユニット84</v>
          </cell>
          <cell r="H1700" t="str">
            <v>yellow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10085</v>
          </cell>
          <cell r="B1701" t="str">
            <v>ja</v>
          </cell>
          <cell r="C1701" t="str">
            <v>テストユニット85</v>
          </cell>
          <cell r="H1701" t="str">
            <v>red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10086</v>
          </cell>
          <cell r="B1702" t="str">
            <v>ja</v>
          </cell>
          <cell r="C1702" t="str">
            <v>テストユニット86</v>
          </cell>
          <cell r="H1702" t="str">
            <v>blue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10087</v>
          </cell>
          <cell r="B1703" t="str">
            <v>ja</v>
          </cell>
          <cell r="C1703" t="str">
            <v>テストユニット87</v>
          </cell>
          <cell r="H1703" t="str">
            <v>green</v>
          </cell>
          <cell r="I1703">
            <v>6</v>
          </cell>
          <cell r="J1703" t="str">
            <v>PremiumSS</v>
          </cell>
          <cell r="K1703" t="str">
            <v>balance</v>
          </cell>
          <cell r="L1703" t="str">
            <v>バランスタイプ</v>
          </cell>
          <cell r="M1703" t="str">
            <v>unknown</v>
          </cell>
        </row>
        <row r="1704">
          <cell r="A1704">
            <v>10088</v>
          </cell>
          <cell r="B1704" t="str">
            <v>ja</v>
          </cell>
          <cell r="C1704" t="str">
            <v>テストユニット88</v>
          </cell>
          <cell r="H1704" t="str">
            <v>yellow</v>
          </cell>
          <cell r="I1704">
            <v>6</v>
          </cell>
          <cell r="J1704" t="str">
            <v>PremiumSS</v>
          </cell>
          <cell r="K1704" t="str">
            <v>balance</v>
          </cell>
          <cell r="L1704" t="str">
            <v>バランスタイプ</v>
          </cell>
          <cell r="M1704" t="str">
            <v>unknown</v>
          </cell>
        </row>
        <row r="1705">
          <cell r="A1705">
            <v>10089</v>
          </cell>
          <cell r="B1705" t="str">
            <v>ja</v>
          </cell>
          <cell r="C1705" t="str">
            <v>テストユニット89</v>
          </cell>
          <cell r="H1705" t="str">
            <v>red</v>
          </cell>
          <cell r="I1705">
            <v>6</v>
          </cell>
          <cell r="J1705" t="str">
            <v>PremiumSS</v>
          </cell>
          <cell r="K1705" t="str">
            <v>balance</v>
          </cell>
          <cell r="L1705" t="str">
            <v>バランスタイプ</v>
          </cell>
          <cell r="M1705" t="str">
            <v>unknown</v>
          </cell>
        </row>
        <row r="1706">
          <cell r="A1706">
            <v>10090</v>
          </cell>
          <cell r="B1706" t="str">
            <v>ja</v>
          </cell>
          <cell r="C1706" t="str">
            <v>テストユニット90</v>
          </cell>
          <cell r="H1706" t="str">
            <v>blue</v>
          </cell>
          <cell r="I1706">
            <v>6</v>
          </cell>
          <cell r="J1706" t="str">
            <v>PremiumSS</v>
          </cell>
          <cell r="K1706" t="str">
            <v>balance</v>
          </cell>
          <cell r="L1706" t="str">
            <v>バランスタイプ</v>
          </cell>
          <cell r="M1706" t="str">
            <v>unknown</v>
          </cell>
        </row>
        <row r="1707">
          <cell r="A1707">
            <v>10101</v>
          </cell>
          <cell r="B1707" t="str">
            <v>ja</v>
          </cell>
          <cell r="C1707" t="str">
            <v>Usagi-kun</v>
          </cell>
          <cell r="H1707" t="str">
            <v>blue</v>
          </cell>
          <cell r="I1707">
            <v>6</v>
          </cell>
          <cell r="J1707" t="str">
            <v>DropWizS</v>
          </cell>
          <cell r="K1707" t="str">
            <v>balance</v>
          </cell>
          <cell r="L1707" t="str">
            <v>バランスタイプ</v>
          </cell>
          <cell r="M1707" t="str">
            <v>unknown</v>
          </cell>
        </row>
        <row r="1708">
          <cell r="A1708">
            <v>10102</v>
          </cell>
          <cell r="B1708" t="str">
            <v>ja</v>
          </cell>
          <cell r="C1708" t="str">
            <v>ローズ</v>
          </cell>
          <cell r="D1708" t="str">
            <v>未定</v>
          </cell>
          <cell r="E1708" t="str">
            <v>執行者</v>
          </cell>
          <cell r="F1708" t="str">
            <v>格好いい</v>
          </cell>
          <cell r="G1708" t="str">
            <v>不明</v>
          </cell>
          <cell r="H1708" t="str">
            <v>red</v>
          </cell>
          <cell r="I1708">
            <v>3</v>
          </cell>
          <cell r="J1708" t="str">
            <v>DropWizSSS</v>
          </cell>
          <cell r="K1708" t="str">
            <v>attack</v>
          </cell>
          <cell r="L1708" t="str">
            <v>攻撃タイプ</v>
          </cell>
          <cell r="M1708" t="str">
            <v>queen</v>
          </cell>
        </row>
        <row r="1709">
          <cell r="A1709">
            <v>10103</v>
          </cell>
          <cell r="B1709" t="str">
            <v>ja</v>
          </cell>
          <cell r="C1709" t="str">
            <v>ローズ</v>
          </cell>
          <cell r="D1709" t="str">
            <v>未定</v>
          </cell>
          <cell r="E1709" t="str">
            <v>執行者</v>
          </cell>
          <cell r="F1709" t="str">
            <v>格好いい</v>
          </cell>
          <cell r="G1709" t="str">
            <v>不明</v>
          </cell>
          <cell r="H1709" t="str">
            <v>red</v>
          </cell>
          <cell r="I1709">
            <v>4</v>
          </cell>
          <cell r="J1709" t="str">
            <v>DropWizSSS</v>
          </cell>
          <cell r="K1709" t="str">
            <v>attack</v>
          </cell>
          <cell r="L1709" t="str">
            <v>攻撃タイプ</v>
          </cell>
          <cell r="M1709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249</v>
      </c>
      <c r="B2" s="61" t="s">
        <v>110</v>
      </c>
      <c r="C2" s="50" t="str">
        <f t="shared" ref="C2" si="0">RIGHT(F2,6)</f>
        <v>560100</v>
      </c>
      <c r="D2" s="19" t="s">
        <v>45</v>
      </c>
      <c r="E2" s="17" t="str">
        <f t="shared" ref="E2" si="1">B2&amp;C2&amp;D2</f>
        <v>gacha_select_tables_560100.tmp</v>
      </c>
      <c r="F2" s="98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6" t="s">
        <v>241</v>
      </c>
      <c r="B3" s="61" t="s">
        <v>110</v>
      </c>
      <c r="C3" s="50" t="str">
        <f t="shared" ref="C3:C7" si="2">RIGHT(F3,6)</f>
        <v>560010</v>
      </c>
      <c r="D3" s="19" t="s">
        <v>45</v>
      </c>
      <c r="E3" s="17" t="str">
        <f t="shared" ref="E3:E10" si="3">B3&amp;C3&amp;D3</f>
        <v>gacha_select_tables_560010.tmp</v>
      </c>
      <c r="F3" s="98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249</v>
      </c>
      <c r="B4" s="92" t="s">
        <v>246</v>
      </c>
      <c r="C4" s="93" t="str">
        <f t="shared" si="2"/>
        <v>560100</v>
      </c>
      <c r="D4" s="19" t="s">
        <v>247</v>
      </c>
      <c r="E4" s="17" t="str">
        <f t="shared" si="3"/>
        <v>gacha_settle_tables_560100.tmp</v>
      </c>
      <c r="F4" s="98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6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6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/>
  </sheetViews>
  <sheetFormatPr baseColWidth="12" defaultRowHeight="14" x14ac:dyDescent="0.15"/>
  <cols>
    <col min="1" max="2" width="24.19921875" bestFit="1" customWidth="1"/>
    <col min="13" max="13" width="20.796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">
        <v>1452</v>
      </c>
      <c r="M3" s="37" t="str">
        <f>VLOOKUP(L3,[1]characters!$A:$C,3,FALSE)</f>
        <v>メルセンヌ</v>
      </c>
      <c r="N3" s="76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VLOOKUP(L3,tables_560100!B:C,2,FALSE)</f>
        <v>PremiumSSS5R3less</v>
      </c>
      <c r="R3" s="62">
        <f t="shared" ref="R3:R20" si="1">N3*A$36</f>
        <v>163200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">
        <v>1090</v>
      </c>
      <c r="M4" s="37" t="str">
        <f>VLOOKUP(L4,[1]characters!$A:$C,3,FALSE)</f>
        <v>ラプラス</v>
      </c>
      <c r="N4" s="76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VLOOKUP(L4,tables_560100!B:C,2,FALSE)</f>
        <v>PremiumSSS5R3less</v>
      </c>
      <c r="R4" s="62">
        <f t="shared" si="1"/>
        <v>163200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8.8235294117647051E-4</v>
      </c>
      <c r="F5">
        <f>(COUNTIF(tables_560100!C:C,input_560100!A28)+COUNTIF(tables_560100!C:C,input_560100!A29))</f>
        <v>72</v>
      </c>
      <c r="H5" s="83">
        <v>1.4999999999999999E-2</v>
      </c>
      <c r="I5" s="31">
        <v>4</v>
      </c>
      <c r="L5" s="60">
        <v>410</v>
      </c>
      <c r="M5" s="37" t="str">
        <f>VLOOKUP(L5,[1]characters!$A:$C,3,FALSE)</f>
        <v>ファラデー</v>
      </c>
      <c r="N5" s="76">
        <v>2.5000000000000001E-3</v>
      </c>
      <c r="O5" s="37">
        <f>VLOOKUP(L5,[1]characters!$A:$I,9,FALSE)</f>
        <v>4</v>
      </c>
      <c r="P5" s="37" t="str">
        <f>VLOOKUP(L5,[1]characters!$A:$J,10,FALSE)</f>
        <v>PremiumSSS</v>
      </c>
      <c r="Q5" s="37" t="str">
        <f>VLOOKUP(L5,tables_560100!B:C,2,FALSE)</f>
        <v>PremiumSSS4R3less</v>
      </c>
      <c r="R5" s="62">
        <f t="shared" si="1"/>
        <v>81600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0.85</v>
      </c>
      <c r="D6" t="s">
        <v>202</v>
      </c>
      <c r="E6" s="76">
        <f>(B10-H6)/(F6-I6)</f>
        <v>9.479166666666667E-3</v>
      </c>
      <c r="F6">
        <f>(COUNTIF(tables_560100!C:C,input_560100!A25)+COUNTIF(tables_560100!C:C,input_560100!A18)+COUNTIF(tables_560100!C:C,input_560100!A20)+COUNTIF(tables_560100!C:C,input_560100!A22))</f>
        <v>96</v>
      </c>
      <c r="H6" s="88">
        <v>0</v>
      </c>
      <c r="I6" s="31">
        <v>0</v>
      </c>
      <c r="L6" s="60">
        <v>411</v>
      </c>
      <c r="M6" s="37" t="str">
        <f>VLOOKUP(L6,[1]characters!$A:$C,3,FALSE)</f>
        <v>電隷の始祖 ファラデー</v>
      </c>
      <c r="N6" s="76">
        <v>2.5000000000000001E-3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VLOOKUP(L6,tables_560100!B:C,2,FALSE)</f>
        <v>PremiumSSS5R3less</v>
      </c>
      <c r="R6" s="62">
        <f t="shared" si="1"/>
        <v>81600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60"/>
      <c r="M7" s="37" t="e">
        <f>VLOOKUP(L7,[1]characters!$A:$C,3,FALSE)</f>
        <v>#N/A</v>
      </c>
      <c r="N7" s="76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VLOOKUP(L7,tables_560100!B:C,2,FALSE)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0"/>
      <c r="M8" s="37" t="e">
        <f>VLOOKUP(L8,[1]characters!$A:$C,3,FALSE)</f>
        <v>#N/A</v>
      </c>
      <c r="N8" s="76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1.4999999999999999E-2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COUNTIF(tables_560100!C:C,input_560100!A17)-COUNTIF(Q:Q,A17)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B6-SUM(B20,B22,B25,B27,B30)-C30</f>
        <v>0.21847708333333332</v>
      </c>
      <c r="C18" s="84">
        <f t="shared" si="2"/>
        <v>0</v>
      </c>
      <c r="D18" s="74">
        <f t="shared" si="3"/>
        <v>0.21847708333333332</v>
      </c>
      <c r="E18">
        <f>COUNTIF(tables_560100!C:C,input_560100!A18)-COUNTIF(Q:Q,A18)</f>
        <v>20</v>
      </c>
      <c r="F18" s="43">
        <f>IFERROR(B18/E18,0)</f>
        <v>1.0923854166666667E-2</v>
      </c>
      <c r="G18">
        <f t="shared" si="4"/>
        <v>7131092</v>
      </c>
      <c r="H18">
        <f t="shared" si="5"/>
        <v>356554.6</v>
      </c>
      <c r="I18">
        <f t="shared" si="6"/>
        <v>0.59999999997671694</v>
      </c>
      <c r="J18">
        <f t="shared" si="7"/>
        <v>1.6666666667313419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COUNTIF(tables_560100!C:C,input_560100!A19)-COUNTIF(Q:Q,A19)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</f>
        <v>0.41897916666666668</v>
      </c>
      <c r="C20" s="84">
        <f t="shared" si="2"/>
        <v>0</v>
      </c>
      <c r="D20" s="74">
        <f t="shared" si="3"/>
        <v>0.41897916666666668</v>
      </c>
      <c r="E20">
        <f>COUNTIF(tables_560100!C:C,input_560100!A20)-COUNTIF(Q:Q,A20)</f>
        <v>52</v>
      </c>
      <c r="F20" s="43">
        <f t="shared" si="8"/>
        <v>8.0572916666666675E-3</v>
      </c>
      <c r="G20">
        <f t="shared" si="4"/>
        <v>13675480</v>
      </c>
      <c r="H20">
        <f t="shared" si="5"/>
        <v>262990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4.5043749999999994E-2</v>
      </c>
      <c r="C21" s="84">
        <f t="shared" si="2"/>
        <v>0</v>
      </c>
      <c r="D21" s="74">
        <f t="shared" si="3"/>
        <v>4.5043749999999994E-2</v>
      </c>
      <c r="E21">
        <f>COUNTIF(tables_560100!C:C,input_560100!A21)-COUNTIF(Q:Q,A21)</f>
        <v>52</v>
      </c>
      <c r="F21" s="43">
        <f t="shared" si="8"/>
        <v>8.6622596153846146E-4</v>
      </c>
      <c r="G21">
        <f t="shared" si="4"/>
        <v>1470227.9999999998</v>
      </c>
      <c r="H21">
        <f t="shared" si="5"/>
        <v>28273.615379999999</v>
      </c>
      <c r="I21">
        <f t="shared" si="6"/>
        <v>0.61537999999927706</v>
      </c>
      <c r="J21">
        <f t="shared" si="7"/>
        <v>1.6250121875933159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0.15261458333333333</v>
      </c>
      <c r="C22" s="84">
        <f t="shared" si="2"/>
        <v>0</v>
      </c>
      <c r="D22" s="74">
        <f t="shared" si="3"/>
        <v>0.15261458333333333</v>
      </c>
      <c r="E22">
        <f>COUNTIF(tables_560100!C:C,input_560100!A22)-COUNTIF(Q:Q,A22)</f>
        <v>20</v>
      </c>
      <c r="F22" s="43">
        <f t="shared" si="8"/>
        <v>7.6307291666666667E-3</v>
      </c>
      <c r="G22">
        <f t="shared" si="4"/>
        <v>4981340</v>
      </c>
      <c r="H22">
        <f t="shared" si="5"/>
        <v>249067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3.6968750000000002E-2</v>
      </c>
      <c r="C23" s="84">
        <f t="shared" si="2"/>
        <v>0</v>
      </c>
      <c r="D23" s="74">
        <f t="shared" si="3"/>
        <v>3.6968750000000002E-2</v>
      </c>
      <c r="E23">
        <f>COUNTIF(tables_560100!C:C,input_560100!A23)-COUNTIF(Q:Q,A23)</f>
        <v>26</v>
      </c>
      <c r="F23" s="43">
        <f t="shared" si="8"/>
        <v>1.421875E-3</v>
      </c>
      <c r="G23">
        <f t="shared" si="4"/>
        <v>1206660</v>
      </c>
      <c r="H23">
        <f t="shared" si="5"/>
        <v>46410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COUNTIF(tables_560100!C:C,input_560100!A24)-COUNTIF(Q:Q,A24)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3.222916666666667E-2</v>
      </c>
      <c r="C25" s="84">
        <f t="shared" si="2"/>
        <v>0</v>
      </c>
      <c r="D25" s="74">
        <f t="shared" si="3"/>
        <v>3.222916666666667E-2</v>
      </c>
      <c r="E25">
        <f>COUNTIF(tables_560100!C:C,input_560100!A25)-COUNTIF(Q:Q,A25)</f>
        <v>4</v>
      </c>
      <c r="F25" s="43">
        <f t="shared" si="8"/>
        <v>8.0572916666666675E-3</v>
      </c>
      <c r="G25">
        <f t="shared" si="4"/>
        <v>1051960</v>
      </c>
      <c r="H25">
        <f t="shared" si="5"/>
        <v>262990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5.6874999999999998E-3</v>
      </c>
      <c r="C26" s="84">
        <f t="shared" si="2"/>
        <v>0</v>
      </c>
      <c r="D26" s="74">
        <f t="shared" si="3"/>
        <v>5.6874999999999998E-3</v>
      </c>
      <c r="E26">
        <f>COUNTIF(tables_560100!C:C,input_560100!A26)-COUNTIF(Q:Q,A26)</f>
        <v>4</v>
      </c>
      <c r="F26" s="43">
        <f t="shared" si="8"/>
        <v>1.421875E-3</v>
      </c>
      <c r="G26">
        <f t="shared" si="4"/>
        <v>185640</v>
      </c>
      <c r="H26">
        <f t="shared" si="5"/>
        <v>46410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E$5*E27*(B$5+B$6)*1.2</f>
        <v>2.5199999999999997E-2</v>
      </c>
      <c r="C27" s="84">
        <f t="shared" si="2"/>
        <v>0</v>
      </c>
      <c r="D27" s="74">
        <f t="shared" si="3"/>
        <v>2.5199999999999997E-2</v>
      </c>
      <c r="E27">
        <f>COUNTIF(tables_560100!C:C,input_560100!A27)-COUNTIF(Q:Q,A27)</f>
        <v>28</v>
      </c>
      <c r="F27" s="43">
        <f>IFERROR(B27/E27,0)</f>
        <v>8.9999999999999987E-4</v>
      </c>
      <c r="G27">
        <f t="shared" si="4"/>
        <v>822527.99999999988</v>
      </c>
      <c r="H27">
        <f t="shared" si="5"/>
        <v>29376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E$5*E28*B$7*1.2</f>
        <v>4.4470588235294107E-3</v>
      </c>
      <c r="C28" s="84">
        <f t="shared" si="2"/>
        <v>0</v>
      </c>
      <c r="D28" s="74">
        <f t="shared" si="3"/>
        <v>4.4470588235294107E-3</v>
      </c>
      <c r="E28">
        <f>COUNTIF(tables_560100!C:C,input_560100!A28)-COUNTIF(Q:Q,A28)</f>
        <v>28</v>
      </c>
      <c r="F28" s="43">
        <f t="shared" si="8"/>
        <v>1.5882352941176466E-4</v>
      </c>
      <c r="G28">
        <f t="shared" si="4"/>
        <v>145151.99999999997</v>
      </c>
      <c r="H28">
        <f t="shared" si="5"/>
        <v>5184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97">
        <f>B11-B27-B28</f>
        <v>4.5352941176470589E-2</v>
      </c>
      <c r="C29" s="84">
        <f t="shared" si="2"/>
        <v>0</v>
      </c>
      <c r="D29" s="74">
        <f t="shared" si="3"/>
        <v>4.5352941176470589E-2</v>
      </c>
      <c r="E29">
        <f>COUNTIF(tables_560100!C:C,input_560100!A29)-COUNTIF(Q:Q,A29)</f>
        <v>44</v>
      </c>
      <c r="F29" s="43">
        <f t="shared" si="8"/>
        <v>1.0307486631016044E-3</v>
      </c>
      <c r="G29">
        <f t="shared" si="4"/>
        <v>1480320</v>
      </c>
      <c r="H29">
        <f t="shared" si="5"/>
        <v>33643.636359999997</v>
      </c>
      <c r="I29">
        <f t="shared" si="6"/>
        <v>0.63635999999678461</v>
      </c>
      <c r="J29">
        <f t="shared" si="7"/>
        <v>1.5714375510796605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2.5000000000000001E-3</v>
      </c>
      <c r="D30" s="74">
        <f t="shared" si="3"/>
        <v>-2.5000000000000001E-3</v>
      </c>
      <c r="E30">
        <f>COUNTIF(tables_560100!C:C,input_560100!A30)-COUNTIF(Q:Q,A30)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1.2500000000000001E-2</v>
      </c>
      <c r="D31" s="74">
        <f t="shared" si="3"/>
        <v>-1.2500000000000001E-2</v>
      </c>
      <c r="E31">
        <f>COUNTIF(tables_560100!C:C,input_560100!A31)-COUNTIF(Q:Q,A31)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0.98499999999999999</v>
      </c>
      <c r="C32" s="41">
        <f>SUM(C19:C31)</f>
        <v>1.5000000000000001E-2</v>
      </c>
      <c r="D32" s="42">
        <f t="shared" si="3"/>
        <v>0.97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  <c r="F35" s="94"/>
    </row>
    <row r="36" spans="1:7" x14ac:dyDescent="0.15">
      <c r="A36" s="31">
        <f>LCM(F5-I5,F6-I6)*1000*2*2*5</f>
        <v>32640000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SUMIF(tables_560100!C:C,input_560100!A40,tables_560100!O:O)</f>
        <v>0</v>
      </c>
      <c r="C40" s="54">
        <f t="shared" ref="C40:C46" ca="1" si="9">B40/B$47</f>
        <v>0</v>
      </c>
      <c r="E40">
        <v>3</v>
      </c>
      <c r="F40">
        <f ca="1">SUMIF(tables_560100!J:J,input_560100!E40,tables_560100!O:O)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SUMIF(tables_560100!C:C,input_560100!A41,tables_560100!O:O)</f>
        <v>13675480</v>
      </c>
      <c r="C41" s="54">
        <f t="shared" ca="1" si="9"/>
        <v>0.84870295435098375</v>
      </c>
      <c r="E41">
        <v>4</v>
      </c>
      <c r="F41">
        <f ca="1">SUMIF(tables_560100!J:J,input_560100!E41,tables_560100!O:O)</f>
        <v>27743999.999999996</v>
      </c>
      <c r="G41">
        <f ca="1">F41/A36</f>
        <v>0.84999999999999987</v>
      </c>
    </row>
    <row r="42" spans="1:7" x14ac:dyDescent="0.15">
      <c r="A42" s="33" t="s">
        <v>106</v>
      </c>
      <c r="B42">
        <f ca="1">SUMIF(tables_560100!C:C,input_560100!A42,tables_560100!O:O)</f>
        <v>822528</v>
      </c>
      <c r="C42" s="54">
        <f t="shared" ca="1" si="9"/>
        <v>5.1046248002732331E-2</v>
      </c>
      <c r="E42">
        <v>5</v>
      </c>
      <c r="F42">
        <f ca="1">SUMIF(tables_560100!J:J,input_560100!E42,tables_560100!O:O)</f>
        <v>4895999.999599996</v>
      </c>
      <c r="G42">
        <f ca="1">F42/A36</f>
        <v>0.14999999998774496</v>
      </c>
    </row>
    <row r="43" spans="1:7" x14ac:dyDescent="0.15">
      <c r="A43" s="33" t="s">
        <v>109</v>
      </c>
      <c r="B43">
        <f>SUMIF(tables_560100!C:C,input_560100!A43,tables_560100!O:O)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SUMIF(tables_560100!C:C,input_560100!A44,tables_560100!O:O)</f>
        <v>1470227.9997600005</v>
      </c>
      <c r="C44" s="54">
        <f t="shared" ca="1" si="9"/>
        <v>9.1242636234037111E-2</v>
      </c>
      <c r="E44" t="s">
        <v>54</v>
      </c>
      <c r="F44" s="55"/>
    </row>
    <row r="45" spans="1:7" x14ac:dyDescent="0.15">
      <c r="A45" s="33" t="s">
        <v>107</v>
      </c>
      <c r="B45">
        <f ca="1">SUMIF(tables_560100!C:C,input_560100!A45,tables_560100!O:O)</f>
        <v>145152</v>
      </c>
      <c r="C45" s="54">
        <f t="shared" ca="1" si="9"/>
        <v>9.0081614122468814E-3</v>
      </c>
      <c r="E45" t="s">
        <v>204</v>
      </c>
      <c r="F45" s="55">
        <f ca="1">SUMIF(tables_560100!I:I,input_560100!E45,tables_560100!P:P)</f>
        <v>0.22700833333611495</v>
      </c>
    </row>
    <row r="46" spans="1:7" x14ac:dyDescent="0.15">
      <c r="A46" s="33" t="s">
        <v>108</v>
      </c>
      <c r="B46">
        <f>SUMIF(tables_560100!C:C,input_560100!A46,tables_560100!O:O)</f>
        <v>0</v>
      </c>
      <c r="C46" s="54">
        <f t="shared" ca="1" si="9"/>
        <v>0</v>
      </c>
      <c r="E46" t="s">
        <v>205</v>
      </c>
      <c r="F46" s="55">
        <f ca="1">SUMIF(tables_560100!I:I,input_560100!E46,tables_560100!P:P)</f>
        <v>0.18013729967929062</v>
      </c>
    </row>
    <row r="47" spans="1:7" x14ac:dyDescent="0.15">
      <c r="A47" s="39" t="s">
        <v>59</v>
      </c>
      <c r="B47">
        <f ca="1">SUM(B40:B46)</f>
        <v>16113387.99976</v>
      </c>
      <c r="C47" s="55">
        <f ca="1">SUM(C40:C46)</f>
        <v>1</v>
      </c>
      <c r="E47" t="s">
        <v>206</v>
      </c>
      <c r="F47" s="55">
        <f ca="1">SUMIF(tables_560100!I:I,input_560100!E47,tables_560100!P:P)</f>
        <v>0.50285436698839237</v>
      </c>
    </row>
    <row r="48" spans="1:7" x14ac:dyDescent="0.15">
      <c r="E48" t="s">
        <v>207</v>
      </c>
      <c r="F48" s="55">
        <f ca="1">SUMIF(tables_560100!I:I,input_560100!E48,tables_560100!P:P)</f>
        <v>6.572326202899155E-2</v>
      </c>
      <c r="G48" s="55"/>
    </row>
    <row r="49" spans="5:6" x14ac:dyDescent="0.15">
      <c r="E49" t="s">
        <v>248</v>
      </c>
      <c r="F49" s="55">
        <f ca="1">SUMIF(tables_560100!I:I,input_560100!E49,tables_560100!P:P)</f>
        <v>9.2767379670254356E-3</v>
      </c>
    </row>
    <row r="50" spans="5:6" x14ac:dyDescent="0.15">
      <c r="E50" t="s">
        <v>250</v>
      </c>
      <c r="F50" s="55">
        <f ca="1">SUMIF(tables_560100!I:I,input_560100!E50,tables_560100!P:P)</f>
        <v>1.5000000000183802E-2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9"/>
  <sheetViews>
    <sheetView showGridLines="0" zoomScale="75" zoomScaleNormal="75" zoomScalePageLayoutView="75" workbookViewId="0">
      <pane ySplit="1" topLeftCell="A44" activePane="bottomLeft" state="frozen"/>
      <selection activeCell="H276" sqref="H276"/>
      <selection pane="bottomLeft" activeCell="B44" sqref="B44:B35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input_560100!A$2</f>
        <v>560100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IFERROR(VLOOKUP(B2,input_560100!L:R,7,FALSE),VLOOKUP(tables_560100!C2,input_560100!A:H,8,FALSE))</f>
        <v>0</v>
      </c>
      <c r="P2" s="46">
        <f t="shared" ref="P2:P33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input_560100!A$2</f>
        <v>560100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IFERROR(VLOOKUP(B3,input_560100!L:R,7,FALSE),VLOOKUP(tables_560100!C3,input_560100!A:H,8,FALSE))</f>
        <v>356554.6</v>
      </c>
      <c r="P3" s="46">
        <f t="shared" ca="1" si="1"/>
        <v>1.092385416680052E-2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input_560100!A$2</f>
        <v>560100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IFERROR(VLOOKUP(B4,input_560100!L:R,7,FALSE),VLOOKUP(tables_560100!C4,input_560100!A:H,8,FALSE))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input_560100!A$2</f>
        <v>560100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IFERROR(VLOOKUP(B5,input_560100!L:R,7,FALSE),VLOOKUP(tables_560100!C5,input_560100!A:H,8,FALSE))</f>
        <v>356554.6</v>
      </c>
      <c r="P5" s="46">
        <f t="shared" ca="1" si="1"/>
        <v>1.092385416680052E-2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input_560100!A$2</f>
        <v>560100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IFERROR(VLOOKUP(B6,input_560100!L:R,7,FALSE),VLOOKUP(tables_560100!C6,input_560100!A:H,8,FALSE))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input_560100!A$2</f>
        <v>560100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IFERROR(VLOOKUP(B7,input_560100!L:R,7,FALSE),VLOOKUP(tables_560100!C7,input_560100!A:H,8,FALSE))</f>
        <v>356554.6</v>
      </c>
      <c r="P7" s="46">
        <f t="shared" ca="1" si="1"/>
        <v>1.092385416680052E-2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input_560100!A$2</f>
        <v>560100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IFERROR(VLOOKUP(B8,input_560100!L:R,7,FALSE),VLOOKUP(tables_560100!C8,input_560100!A:H,8,FALSE))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input_560100!A$2</f>
        <v>560100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IFERROR(VLOOKUP(B9,input_560100!L:R,7,FALSE),VLOOKUP(tables_560100!C9,input_560100!A:H,8,FALSE))</f>
        <v>356554.6</v>
      </c>
      <c r="P9" s="46">
        <f t="shared" ca="1" si="1"/>
        <v>1.092385416680052E-2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input_560100!A$2</f>
        <v>560100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IFERROR(VLOOKUP(B10,input_560100!L:R,7,FALSE),VLOOKUP(tables_560100!C10,input_560100!A:H,8,FALSE))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input_560100!A$2</f>
        <v>560100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IFERROR(VLOOKUP(B11,input_560100!L:R,7,FALSE),VLOOKUP(tables_560100!C11,input_560100!A:H,8,FALSE))</f>
        <v>356554.6</v>
      </c>
      <c r="P11" s="46">
        <f t="shared" ca="1" si="1"/>
        <v>1.092385416680052E-2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input_560100!A$2</f>
        <v>560100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IFERROR(VLOOKUP(B12,input_560100!L:R,7,FALSE),VLOOKUP(tables_560100!C12,input_560100!A:H,8,FALSE))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input_560100!A$2</f>
        <v>560100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IFERROR(VLOOKUP(B13,input_560100!L:R,7,FALSE),VLOOKUP(tables_560100!C13,input_560100!A:H,8,FALSE))</f>
        <v>356554.6</v>
      </c>
      <c r="P13" s="46">
        <f t="shared" ca="1" si="1"/>
        <v>1.092385416680052E-2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input_560100!A$2</f>
        <v>560100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IFERROR(VLOOKUP(B14,input_560100!L:R,7,FALSE),VLOOKUP(tables_560100!C14,input_560100!A:H,8,FALSE))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input_560100!A$2</f>
        <v>560100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IFERROR(VLOOKUP(B15,input_560100!L:R,7,FALSE),VLOOKUP(tables_560100!C15,input_560100!A:H,8,FALSE))</f>
        <v>356554.6</v>
      </c>
      <c r="P15" s="46">
        <f t="shared" ca="1" si="1"/>
        <v>1.092385416680052E-2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input_560100!A$2</f>
        <v>560100</v>
      </c>
      <c r="B16" s="6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IFERROR(VLOOKUP(B16,input_560100!L:R,7,FALSE),VLOOKUP(tables_560100!C16,input_560100!A:H,8,FALSE))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input_560100!A$2</f>
        <v>560100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IFERROR(VLOOKUP(B17,input_560100!L:R,7,FALSE),VLOOKUP(tables_560100!C17,input_560100!A:H,8,FALSE))</f>
        <v>356554.6</v>
      </c>
      <c r="P17" s="46">
        <f t="shared" ca="1" si="1"/>
        <v>1.092385416680052E-2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input_560100!A$2</f>
        <v>560100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IFERROR(VLOOKUP(B18,input_560100!L:R,7,FALSE),VLOOKUP(tables_560100!C18,input_560100!A:H,8,FALSE))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input_560100!A$2</f>
        <v>560100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IFERROR(VLOOKUP(B19,input_560100!L:R,7,FALSE),VLOOKUP(tables_560100!C19,input_560100!A:H,8,FALSE))</f>
        <v>356554.6</v>
      </c>
      <c r="P19" s="46">
        <f t="shared" ca="1" si="1"/>
        <v>1.092385416680052E-2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input_560100!A$2</f>
        <v>560100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IFERROR(VLOOKUP(B20,input_560100!L:R,7,FALSE),VLOOKUP(tables_560100!C20,input_560100!A:H,8,FALSE))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input_560100!A$2</f>
        <v>560100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IFERROR(VLOOKUP(B21,input_560100!L:R,7,FALSE),VLOOKUP(tables_560100!C21,input_560100!A:H,8,FALSE))</f>
        <v>356554.6</v>
      </c>
      <c r="P21" s="46">
        <f t="shared" ca="1" si="1"/>
        <v>1.092385416680052E-2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input_560100!A$2</f>
        <v>560100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IFERROR(VLOOKUP(B22,input_560100!L:R,7,FALSE),VLOOKUP(tables_560100!C22,input_560100!A:H,8,FALSE))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input_560100!A$2</f>
        <v>560100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IFERROR(VLOOKUP(B23,input_560100!L:R,7,FALSE),VLOOKUP(tables_560100!C23,input_560100!A:H,8,FALSE))</f>
        <v>356554.6</v>
      </c>
      <c r="P23" s="46">
        <f t="shared" ca="1" si="1"/>
        <v>1.092385416680052E-2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input_560100!A$2</f>
        <v>560100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IFERROR(VLOOKUP(B24,input_560100!L:R,7,FALSE),VLOOKUP(tables_560100!C24,input_560100!A:H,8,FALSE))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input_560100!A$2</f>
        <v>560100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IFERROR(VLOOKUP(B25,input_560100!L:R,7,FALSE),VLOOKUP(tables_560100!C25,input_560100!A:H,8,FALSE))</f>
        <v>356554.6</v>
      </c>
      <c r="P25" s="46">
        <f t="shared" ca="1" si="1"/>
        <v>1.092385416680052E-2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input_560100!A$2</f>
        <v>560100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IFERROR(VLOOKUP(B26,input_560100!L:R,7,FALSE),VLOOKUP(tables_560100!C26,input_560100!A:H,8,FALSE))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input_560100!A$2</f>
        <v>560100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IFERROR(VLOOKUP(B27,input_560100!L:R,7,FALSE),VLOOKUP(tables_560100!C27,input_560100!A:H,8,FALSE))</f>
        <v>356554.6</v>
      </c>
      <c r="P27" s="46">
        <f t="shared" ca="1" si="1"/>
        <v>1.092385416680052E-2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input_560100!A$2</f>
        <v>560100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IFERROR(VLOOKUP(B28,input_560100!L:R,7,FALSE),VLOOKUP(tables_560100!C28,input_560100!A:H,8,FALSE))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input_560100!A$2</f>
        <v>560100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IFERROR(VLOOKUP(B29,input_560100!L:R,7,FALSE),VLOOKUP(tables_560100!C29,input_560100!A:H,8,FALSE))</f>
        <v>356554.6</v>
      </c>
      <c r="P29" s="46">
        <f t="shared" ca="1" si="1"/>
        <v>1.092385416680052E-2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input_560100!A$2</f>
        <v>560100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IFERROR(VLOOKUP(B30,input_560100!L:R,7,FALSE),VLOOKUP(tables_560100!C30,input_560100!A:H,8,FALSE))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input_560100!A$2</f>
        <v>560100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IFERROR(VLOOKUP(B31,input_560100!L:R,7,FALSE),VLOOKUP(tables_560100!C31,input_560100!A:H,8,FALSE))</f>
        <v>356554.6</v>
      </c>
      <c r="P31" s="46">
        <f t="shared" ca="1" si="1"/>
        <v>1.092385416680052E-2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input_560100!A$2</f>
        <v>560100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IFERROR(VLOOKUP(B32,input_560100!L:R,7,FALSE),VLOOKUP(tables_560100!C32,input_560100!A:H,8,FALSE))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input_560100!A$2</f>
        <v>560100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IFERROR(VLOOKUP(B33,input_560100!L:R,7,FALSE),VLOOKUP(tables_560100!C33,input_560100!A:H,8,FALSE))</f>
        <v>356554.6</v>
      </c>
      <c r="P33" s="46">
        <f t="shared" ca="1" si="1"/>
        <v>1.092385416680052E-2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input_560100!A$2</f>
        <v>560100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IFERROR(VLOOKUP(B34,input_560100!L:R,7,FALSE),VLOOKUP(tables_560100!C34,input_560100!A:H,8,FALSE))</f>
        <v>0</v>
      </c>
      <c r="P34" s="46">
        <f t="shared" ref="P34:P65" ca="1" si="3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input_560100!A$2</f>
        <v>560100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IFERROR(VLOOKUP(B35,input_560100!L:R,7,FALSE),VLOOKUP(tables_560100!C35,input_560100!A:H,8,FALSE))</f>
        <v>356554.6</v>
      </c>
      <c r="P35" s="46">
        <f t="shared" ca="1" si="3"/>
        <v>1.092385416680052E-2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input_560100!A$2</f>
        <v>560100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IFERROR(VLOOKUP(B36,input_560100!L:R,7,FALSE),VLOOKUP(tables_560100!C36,input_560100!A:H,8,FALSE))</f>
        <v>0</v>
      </c>
      <c r="P36" s="46">
        <f t="shared" ca="1" si="3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input_560100!A$2</f>
        <v>560100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IFERROR(VLOOKUP(B37,input_560100!L:R,7,FALSE),VLOOKUP(tables_560100!C37,input_560100!A:H,8,FALSE))</f>
        <v>356554.6</v>
      </c>
      <c r="P37" s="46">
        <f t="shared" ca="1" si="3"/>
        <v>1.092385416680052E-2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input_560100!A$2</f>
        <v>560100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IFERROR(VLOOKUP(B38,input_560100!L:R,7,FALSE),VLOOKUP(tables_560100!C38,input_560100!A:H,8,FALSE))</f>
        <v>0</v>
      </c>
      <c r="P38" s="46">
        <f t="shared" ca="1" si="3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input_560100!A$2</f>
        <v>560100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IFERROR(VLOOKUP(B39,input_560100!L:R,7,FALSE),VLOOKUP(tables_560100!C39,input_560100!A:H,8,FALSE))</f>
        <v>356554.6</v>
      </c>
      <c r="P39" s="46">
        <f t="shared" ca="1" si="3"/>
        <v>1.092385416680052E-2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input_560100!A$2</f>
        <v>560100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IFERROR(VLOOKUP(B40,input_560100!L:R,7,FALSE),VLOOKUP(tables_560100!C40,input_560100!A:H,8,FALSE))</f>
        <v>0</v>
      </c>
      <c r="P40" s="46">
        <f t="shared" ca="1" si="3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input_560100!A$2</f>
        <v>560100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IFERROR(VLOOKUP(B41,input_560100!L:R,7,FALSE),VLOOKUP(tables_560100!C41,input_560100!A:H,8,FALSE))</f>
        <v>356554.6</v>
      </c>
      <c r="P41" s="46">
        <f t="shared" ca="1" si="3"/>
        <v>1.092385416680052E-2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input_560100!A$2</f>
        <v>560100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IFERROR(VLOOKUP(B42,input_560100!L:R,7,FALSE),VLOOKUP(tables_560100!C42,input_560100!A:H,8,FALSE))</f>
        <v>0</v>
      </c>
      <c r="P42" s="46">
        <f t="shared" ca="1" si="3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input_560100!A$2</f>
        <v>560100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IFERROR(VLOOKUP(B43,input_560100!L:R,7,FALSE),VLOOKUP(tables_560100!C43,input_560100!A:H,8,FALSE))</f>
        <v>262990</v>
      </c>
      <c r="P43" s="46">
        <f t="shared" ca="1" si="3"/>
        <v>8.0572916667653958E-3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input_560100!A$2</f>
        <v>560100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IFERROR(VLOOKUP(B44,input_560100!L:R,7,FALSE),VLOOKUP(tables_560100!C44,input_560100!A:H,8,FALSE))</f>
        <v>46410</v>
      </c>
      <c r="P44" s="46">
        <f t="shared" ca="1" si="3"/>
        <v>1.4218750000174229E-3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input_560100!A$2</f>
        <v>560100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IFERROR(VLOOKUP(B45,input_560100!L:R,7,FALSE),VLOOKUP(tables_560100!C45,input_560100!A:H,8,FALSE))</f>
        <v>0</v>
      </c>
      <c r="P45" s="46">
        <f t="shared" ca="1" si="3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input_560100!A$2</f>
        <v>560100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IFERROR(VLOOKUP(B46,input_560100!L:R,7,FALSE),VLOOKUP(tables_560100!C46,input_560100!A:H,8,FALSE))</f>
        <v>262990</v>
      </c>
      <c r="P46" s="46">
        <f t="shared" ca="1" si="3"/>
        <v>8.0572916667653958E-3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input_560100!A$2</f>
        <v>560100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IFERROR(VLOOKUP(B47,input_560100!L:R,7,FALSE),VLOOKUP(tables_560100!C47,input_560100!A:H,8,FALSE))</f>
        <v>46410</v>
      </c>
      <c r="P47" s="46">
        <f t="shared" ca="1" si="3"/>
        <v>1.4218750000174229E-3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input_560100!A$2</f>
        <v>560100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IFERROR(VLOOKUP(B48,input_560100!L:R,7,FALSE),VLOOKUP(tables_560100!C48,input_560100!A:H,8,FALSE))</f>
        <v>0</v>
      </c>
      <c r="P48" s="46">
        <f t="shared" ca="1" si="3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input_560100!A$2</f>
        <v>560100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IFERROR(VLOOKUP(B49,input_560100!L:R,7,FALSE),VLOOKUP(tables_560100!C49,input_560100!A:H,8,FALSE))</f>
        <v>262990</v>
      </c>
      <c r="P49" s="46">
        <f t="shared" ca="1" si="3"/>
        <v>8.0572916667653958E-3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input_560100!A$2</f>
        <v>560100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IFERROR(VLOOKUP(B50,input_560100!L:R,7,FALSE),VLOOKUP(tables_560100!C50,input_560100!A:H,8,FALSE))</f>
        <v>46410</v>
      </c>
      <c r="P50" s="46">
        <f t="shared" ca="1" si="3"/>
        <v>1.4218750000174229E-3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input_560100!A$2</f>
        <v>560100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IFERROR(VLOOKUP(B51,input_560100!L:R,7,FALSE),VLOOKUP(tables_560100!C51,input_560100!A:H,8,FALSE))</f>
        <v>0</v>
      </c>
      <c r="P51" s="46">
        <f t="shared" ca="1" si="3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input_560100!A$2</f>
        <v>560100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IFERROR(VLOOKUP(B52,input_560100!L:R,7,FALSE),VLOOKUP(tables_560100!C52,input_560100!A:H,8,FALSE))</f>
        <v>262990</v>
      </c>
      <c r="P52" s="46">
        <f t="shared" ca="1" si="3"/>
        <v>8.0572916667653958E-3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input_560100!A$2</f>
        <v>560100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IFERROR(VLOOKUP(B53,input_560100!L:R,7,FALSE),VLOOKUP(tables_560100!C53,input_560100!A:H,8,FALSE))</f>
        <v>28273.615379999999</v>
      </c>
      <c r="P53" s="46">
        <f t="shared" ca="1" si="3"/>
        <v>8.6622596140767296E-4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input_560100!A$2</f>
        <v>560100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IFERROR(VLOOKUP(B54,input_560100!L:R,7,FALSE),VLOOKUP(tables_560100!C54,input_560100!A:H,8,FALSE))</f>
        <v>0</v>
      </c>
      <c r="P54" s="46">
        <f t="shared" ca="1" si="3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input_560100!A$2</f>
        <v>560100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IFERROR(VLOOKUP(B55,input_560100!L:R,7,FALSE),VLOOKUP(tables_560100!C55,input_560100!A:H,8,FALSE))</f>
        <v>262990</v>
      </c>
      <c r="P55" s="46">
        <f t="shared" ca="1" si="3"/>
        <v>8.0572916667653958E-3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input_560100!A$2</f>
        <v>560100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IFERROR(VLOOKUP(B56,input_560100!L:R,7,FALSE),VLOOKUP(tables_560100!C56,input_560100!A:H,8,FALSE))</f>
        <v>28273.615379999999</v>
      </c>
      <c r="P56" s="46">
        <f t="shared" ca="1" si="3"/>
        <v>8.6622596140767296E-4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input_560100!A$2</f>
        <v>560100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IFERROR(VLOOKUP(B57,input_560100!L:R,7,FALSE),VLOOKUP(tables_560100!C57,input_560100!A:H,8,FALSE))</f>
        <v>0</v>
      </c>
      <c r="P57" s="46">
        <f t="shared" ca="1" si="3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input_560100!A$2</f>
        <v>560100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IFERROR(VLOOKUP(B58,input_560100!L:R,7,FALSE),VLOOKUP(tables_560100!C58,input_560100!A:H,8,FALSE))</f>
        <v>262990</v>
      </c>
      <c r="P58" s="46">
        <f t="shared" ca="1" si="3"/>
        <v>8.0572916667653958E-3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input_560100!A$2</f>
        <v>560100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IFERROR(VLOOKUP(B59,input_560100!L:R,7,FALSE),VLOOKUP(tables_560100!C59,input_560100!A:H,8,FALSE))</f>
        <v>28273.615379999999</v>
      </c>
      <c r="P59" s="46">
        <f t="shared" ca="1" si="3"/>
        <v>8.6622596140767296E-4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input_560100!A$2</f>
        <v>560100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IFERROR(VLOOKUP(B60,input_560100!L:R,7,FALSE),VLOOKUP(tables_560100!C60,input_560100!A:H,8,FALSE))</f>
        <v>0</v>
      </c>
      <c r="P60" s="46">
        <f t="shared" ca="1" si="3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input_560100!A$2</f>
        <v>560100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IFERROR(VLOOKUP(B61,input_560100!L:R,7,FALSE),VLOOKUP(tables_560100!C61,input_560100!A:H,8,FALSE))</f>
        <v>262990</v>
      </c>
      <c r="P61" s="46">
        <f t="shared" ca="1" si="3"/>
        <v>8.0572916667653958E-3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input_560100!A$2</f>
        <v>560100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IFERROR(VLOOKUP(B62,input_560100!L:R,7,FALSE),VLOOKUP(tables_560100!C62,input_560100!A:H,8,FALSE))</f>
        <v>28273.615379999999</v>
      </c>
      <c r="P62" s="46">
        <f t="shared" ca="1" si="3"/>
        <v>8.6622596140767296E-4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input_560100!A$2</f>
        <v>560100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IFERROR(VLOOKUP(B63,input_560100!L:R,7,FALSE),VLOOKUP(tables_560100!C63,input_560100!A:H,8,FALSE))</f>
        <v>0</v>
      </c>
      <c r="P63" s="46">
        <f t="shared" ca="1" si="3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input_560100!A$2</f>
        <v>560100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IFERROR(VLOOKUP(B64,input_560100!L:R,7,FALSE),VLOOKUP(tables_560100!C64,input_560100!A:H,8,FALSE))</f>
        <v>262990</v>
      </c>
      <c r="P64" s="46">
        <f t="shared" ca="1" si="3"/>
        <v>8.0572916667653958E-3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input_560100!A$2</f>
        <v>560100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IFERROR(VLOOKUP(B65,input_560100!L:R,7,FALSE),VLOOKUP(tables_560100!C65,input_560100!A:H,8,FALSE))</f>
        <v>28273.615379999999</v>
      </c>
      <c r="P65" s="46">
        <f t="shared" ca="1" si="3"/>
        <v>8.6622596140767296E-4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input_560100!A$2</f>
        <v>560100</v>
      </c>
      <c r="B66" s="6">
        <v>190</v>
      </c>
      <c r="C66" s="7" t="str">
        <f t="shared" ref="C66:C6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IFERROR(VLOOKUP(B66,input_560100!L:R,7,FALSE),VLOOKUP(tables_560100!C66,input_560100!A:H,8,FALSE))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input_560100!A$2</f>
        <v>560100</v>
      </c>
      <c r="B67" s="6">
        <v>191</v>
      </c>
      <c r="C67" s="7" t="str">
        <f t="shared" si="4"/>
        <v>Premium4</v>
      </c>
      <c r="D67" s="7" t="str">
        <f t="shared" ref="D67:D69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IFERROR(VLOOKUP(B67,input_560100!L:R,7,FALSE),VLOOKUP(tables_560100!C67,input_560100!A:H,8,FALSE))</f>
        <v>262990</v>
      </c>
      <c r="P67" s="46">
        <f t="shared" ca="1" si="5"/>
        <v>8.0572916667653958E-3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input_560100!A$2</f>
        <v>560100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IFERROR(VLOOKUP(B68,input_560100!L:R,7,FALSE),VLOOKUP(tables_560100!C68,input_560100!A:H,8,FALSE))</f>
        <v>28273.615379999999</v>
      </c>
      <c r="P68" s="46">
        <f t="shared" ca="1" si="5"/>
        <v>8.6622596140767296E-4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input_560100!A$2</f>
        <v>560100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IFERROR(VLOOKUP(B69,input_560100!L:R,7,FALSE),VLOOKUP(tables_560100!C69,input_560100!A:H,8,FALSE))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input_560100!A$2</f>
        <v>560100</v>
      </c>
      <c r="B70" s="6">
        <v>194</v>
      </c>
      <c r="C70" s="7" t="str">
        <f t="shared" ref="C70:C73" si="7">D70&amp;J70&amp;E70&amp;F70&amp;G70</f>
        <v>Premium4</v>
      </c>
      <c r="D70" s="7" t="str">
        <f t="shared" ref="D70:D73" si="8">IF(OR(I70="PremiumSS",I70="PremiumSSw"),"PremiumSS",IF(I70="PremiumSSS",I70,IF(I70="PremiumW",IF(J70=5,"premium",I70),"Premium")))</f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IFERROR(VLOOKUP(B70,input_560100!L:R,7,FALSE),VLOOKUP(tables_560100!C70,input_560100!A:H,8,FALSE))</f>
        <v>262990</v>
      </c>
      <c r="P70" s="46">
        <f t="shared" ca="1" si="5"/>
        <v>8.0572916667653958E-3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input_560100!A$2</f>
        <v>560100</v>
      </c>
      <c r="B71" s="6">
        <v>195</v>
      </c>
      <c r="C71" s="7" t="str">
        <f t="shared" si="7"/>
        <v>Premium5</v>
      </c>
      <c r="D71" s="7" t="str">
        <f t="shared" si="8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IFERROR(VLOOKUP(B71,input_560100!L:R,7,FALSE),VLOOKUP(tables_560100!C71,input_560100!A:H,8,FALSE))</f>
        <v>28273.615379999999</v>
      </c>
      <c r="P71" s="46">
        <f t="shared" ca="1" si="5"/>
        <v>8.6622596140767296E-4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input_560100!A$2</f>
        <v>560100</v>
      </c>
      <c r="B72" s="6">
        <v>196</v>
      </c>
      <c r="C72" s="7" t="str">
        <f t="shared" si="7"/>
        <v>Premium3</v>
      </c>
      <c r="D72" s="7" t="str">
        <f t="shared" si="8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IFERROR(VLOOKUP(B72,input_560100!L:R,7,FALSE),VLOOKUP(tables_560100!C72,input_560100!A:H,8,FALSE))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input_560100!A$2</f>
        <v>560100</v>
      </c>
      <c r="B73" s="8">
        <v>197</v>
      </c>
      <c r="C73" s="7" t="str">
        <f t="shared" si="7"/>
        <v>Premium4</v>
      </c>
      <c r="D73" s="7" t="str">
        <f t="shared" si="8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IFERROR(VLOOKUP(B73,input_560100!L:R,7,FALSE),VLOOKUP(tables_560100!C73,input_560100!A:H,8,FALSE))</f>
        <v>262990</v>
      </c>
      <c r="P73" s="46">
        <f t="shared" ca="1" si="5"/>
        <v>8.0572916667653958E-3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input_560100!A$2</f>
        <v>560100</v>
      </c>
      <c r="B74" s="5">
        <v>198</v>
      </c>
      <c r="C74" s="7" t="str">
        <f t="shared" ref="C74:C137" si="9">D74&amp;J74&amp;E74&amp;F74&amp;G74</f>
        <v>Premium5</v>
      </c>
      <c r="D74" s="7" t="str">
        <f t="shared" ref="D74:D137" si="10">IF(OR(I74="PremiumSS",I74="PremiumSSw"),"PremiumSS",IF(I74="PremiumSSS",I74,IF(I74="PremiumW",IF(J74=5,"premium",I74),"Premium")))</f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IFERROR(VLOOKUP(B74,input_560100!L:R,7,FALSE),VLOOKUP(tables_560100!C74,input_560100!A:H,8,FALSE))</f>
        <v>28273.615379999999</v>
      </c>
      <c r="P74" s="46">
        <f t="shared" ca="1" si="5"/>
        <v>8.6622596140767296E-4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input_560100!A$2</f>
        <v>560100</v>
      </c>
      <c r="B75" s="5">
        <v>199</v>
      </c>
      <c r="C75" s="7" t="str">
        <f t="shared" si="9"/>
        <v>Premium3</v>
      </c>
      <c r="D75" s="7" t="str">
        <f t="shared" si="10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IFERROR(VLOOKUP(B75,input_560100!L:R,7,FALSE),VLOOKUP(tables_560100!C75,input_560100!A:H,8,FALSE))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input_560100!A$2</f>
        <v>560100</v>
      </c>
      <c r="B76" s="5">
        <v>200</v>
      </c>
      <c r="C76" s="7" t="str">
        <f t="shared" si="9"/>
        <v>Premium4</v>
      </c>
      <c r="D76" s="7" t="str">
        <f t="shared" si="10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IFERROR(VLOOKUP(B76,input_560100!L:R,7,FALSE),VLOOKUP(tables_560100!C76,input_560100!A:H,8,FALSE))</f>
        <v>262990</v>
      </c>
      <c r="P76" s="46">
        <f t="shared" ca="1" si="5"/>
        <v>8.0572916667653958E-3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input_560100!A$2</f>
        <v>560100</v>
      </c>
      <c r="B77" s="5">
        <v>201</v>
      </c>
      <c r="C77" s="7" t="str">
        <f t="shared" si="9"/>
        <v>Premium5</v>
      </c>
      <c r="D77" s="7" t="str">
        <f t="shared" si="10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IFERROR(VLOOKUP(B77,input_560100!L:R,7,FALSE),VLOOKUP(tables_560100!C77,input_560100!A:H,8,FALSE))</f>
        <v>28273.615379999999</v>
      </c>
      <c r="P77" s="46">
        <f t="shared" ca="1" si="5"/>
        <v>8.6622596140767296E-4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input_560100!A$2</f>
        <v>560100</v>
      </c>
      <c r="B78" s="5">
        <v>202</v>
      </c>
      <c r="C78" s="7" t="str">
        <f t="shared" si="9"/>
        <v>Premium3</v>
      </c>
      <c r="D78" s="7" t="str">
        <f t="shared" si="10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IFERROR(VLOOKUP(B78,input_560100!L:R,7,FALSE),VLOOKUP(tables_560100!C78,input_560100!A:H,8,FALSE))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input_560100!A$2</f>
        <v>560100</v>
      </c>
      <c r="B79" s="5">
        <v>203</v>
      </c>
      <c r="C79" s="7" t="str">
        <f t="shared" si="9"/>
        <v>Premium4</v>
      </c>
      <c r="D79" s="7" t="str">
        <f t="shared" si="10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IFERROR(VLOOKUP(B79,input_560100!L:R,7,FALSE),VLOOKUP(tables_560100!C79,input_560100!A:H,8,FALSE))</f>
        <v>262990</v>
      </c>
      <c r="P79" s="46">
        <f t="shared" ca="1" si="5"/>
        <v>8.0572916667653958E-3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input_560100!A$2</f>
        <v>560100</v>
      </c>
      <c r="B80" s="5">
        <v>204</v>
      </c>
      <c r="C80" s="7" t="str">
        <f t="shared" si="9"/>
        <v>Premium5</v>
      </c>
      <c r="D80" s="7" t="str">
        <f t="shared" si="10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IFERROR(VLOOKUP(B80,input_560100!L:R,7,FALSE),VLOOKUP(tables_560100!C80,input_560100!A:H,8,FALSE))</f>
        <v>28273.615379999999</v>
      </c>
      <c r="P80" s="46">
        <f t="shared" ca="1" si="5"/>
        <v>8.6622596140767296E-4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input_560100!A$2</f>
        <v>560100</v>
      </c>
      <c r="B81" s="5">
        <v>205</v>
      </c>
      <c r="C81" s="7" t="str">
        <f t="shared" si="9"/>
        <v>Premium3</v>
      </c>
      <c r="D81" s="7" t="str">
        <f t="shared" si="10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IFERROR(VLOOKUP(B81,input_560100!L:R,7,FALSE),VLOOKUP(tables_560100!C81,input_560100!A:H,8,FALSE))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input_560100!A$2</f>
        <v>560100</v>
      </c>
      <c r="B82" s="5">
        <v>206</v>
      </c>
      <c r="C82" s="7" t="str">
        <f t="shared" si="9"/>
        <v>Premium4</v>
      </c>
      <c r="D82" s="7" t="str">
        <f t="shared" si="10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IFERROR(VLOOKUP(B82,input_560100!L:R,7,FALSE),VLOOKUP(tables_560100!C82,input_560100!A:H,8,FALSE))</f>
        <v>262990</v>
      </c>
      <c r="P82" s="46">
        <f t="shared" ca="1" si="5"/>
        <v>8.0572916667653958E-3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input_560100!A$2</f>
        <v>560100</v>
      </c>
      <c r="B83" s="5">
        <v>207</v>
      </c>
      <c r="C83" s="7" t="str">
        <f t="shared" si="9"/>
        <v>Premium5</v>
      </c>
      <c r="D83" s="7" t="str">
        <f t="shared" si="10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IFERROR(VLOOKUP(B83,input_560100!L:R,7,FALSE),VLOOKUP(tables_560100!C83,input_560100!A:H,8,FALSE))</f>
        <v>28273.615379999999</v>
      </c>
      <c r="P83" s="46">
        <f t="shared" ca="1" si="5"/>
        <v>8.6622596140767296E-4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input_560100!A$2</f>
        <v>560100</v>
      </c>
      <c r="B84" s="5">
        <v>208</v>
      </c>
      <c r="C84" s="7" t="str">
        <f t="shared" si="9"/>
        <v>Premium3</v>
      </c>
      <c r="D84" s="7" t="str">
        <f t="shared" si="10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IFERROR(VLOOKUP(B84,input_560100!L:R,7,FALSE),VLOOKUP(tables_560100!C84,input_560100!A:H,8,FALSE))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input_560100!A$2</f>
        <v>560100</v>
      </c>
      <c r="B85" s="5">
        <v>209</v>
      </c>
      <c r="C85" s="7" t="str">
        <f t="shared" si="9"/>
        <v>Premium4</v>
      </c>
      <c r="D85" s="7" t="str">
        <f t="shared" si="10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IFERROR(VLOOKUP(B85,input_560100!L:R,7,FALSE),VLOOKUP(tables_560100!C85,input_560100!A:H,8,FALSE))</f>
        <v>262990</v>
      </c>
      <c r="P85" s="46">
        <f t="shared" ca="1" si="5"/>
        <v>8.0572916667653958E-3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input_560100!A$2</f>
        <v>560100</v>
      </c>
      <c r="B86" s="5">
        <v>210</v>
      </c>
      <c r="C86" s="7" t="str">
        <f t="shared" si="9"/>
        <v>Premium5</v>
      </c>
      <c r="D86" s="7" t="str">
        <f t="shared" si="10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IFERROR(VLOOKUP(B86,input_560100!L:R,7,FALSE),VLOOKUP(tables_560100!C86,input_560100!A:H,8,FALSE))</f>
        <v>28273.615379999999</v>
      </c>
      <c r="P86" s="46">
        <f t="shared" ca="1" si="5"/>
        <v>8.6622596140767296E-4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input_560100!A$2</f>
        <v>560100</v>
      </c>
      <c r="B87" s="5">
        <v>211</v>
      </c>
      <c r="C87" s="7" t="str">
        <f t="shared" si="9"/>
        <v>Premium3</v>
      </c>
      <c r="D87" s="7" t="str">
        <f t="shared" si="10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IFERROR(VLOOKUP(B87,input_560100!L:R,7,FALSE),VLOOKUP(tables_560100!C87,input_560100!A:H,8,FALSE))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input_560100!A$2</f>
        <v>560100</v>
      </c>
      <c r="B88" s="5">
        <v>212</v>
      </c>
      <c r="C88" s="7" t="str">
        <f t="shared" si="9"/>
        <v>Premium4</v>
      </c>
      <c r="D88" s="7" t="str">
        <f t="shared" si="10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IFERROR(VLOOKUP(B88,input_560100!L:R,7,FALSE),VLOOKUP(tables_560100!C88,input_560100!A:H,8,FALSE))</f>
        <v>262990</v>
      </c>
      <c r="P88" s="46">
        <f t="shared" ca="1" si="5"/>
        <v>8.0572916667653958E-3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input_560100!A$2</f>
        <v>560100</v>
      </c>
      <c r="B89" s="5">
        <v>213</v>
      </c>
      <c r="C89" s="7" t="str">
        <f t="shared" si="9"/>
        <v>Premium5</v>
      </c>
      <c r="D89" s="7" t="str">
        <f t="shared" si="10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IFERROR(VLOOKUP(B89,input_560100!L:R,7,FALSE),VLOOKUP(tables_560100!C89,input_560100!A:H,8,FALSE))</f>
        <v>28273.615379999999</v>
      </c>
      <c r="P89" s="46">
        <f t="shared" ca="1" si="5"/>
        <v>8.6622596140767296E-4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input_560100!A$2</f>
        <v>560100</v>
      </c>
      <c r="B90" s="5">
        <v>214</v>
      </c>
      <c r="C90" s="7" t="str">
        <f t="shared" si="9"/>
        <v>Premium3</v>
      </c>
      <c r="D90" s="7" t="str">
        <f t="shared" si="10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IFERROR(VLOOKUP(B90,input_560100!L:R,7,FALSE),VLOOKUP(tables_560100!C90,input_560100!A:H,8,FALSE))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input_560100!A$2</f>
        <v>560100</v>
      </c>
      <c r="B91" s="5">
        <v>215</v>
      </c>
      <c r="C91" s="7" t="str">
        <f t="shared" si="9"/>
        <v>Premium4</v>
      </c>
      <c r="D91" s="7" t="str">
        <f t="shared" si="10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IFERROR(VLOOKUP(B91,input_560100!L:R,7,FALSE),VLOOKUP(tables_560100!C91,input_560100!A:H,8,FALSE))</f>
        <v>262990</v>
      </c>
      <c r="P91" s="46">
        <f t="shared" ca="1" si="5"/>
        <v>8.0572916667653958E-3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input_560100!A$2</f>
        <v>560100</v>
      </c>
      <c r="B92" s="5">
        <v>216</v>
      </c>
      <c r="C92" s="7" t="str">
        <f t="shared" si="9"/>
        <v>Premium5</v>
      </c>
      <c r="D92" s="7" t="str">
        <f t="shared" si="10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IFERROR(VLOOKUP(B92,input_560100!L:R,7,FALSE),VLOOKUP(tables_560100!C92,input_560100!A:H,8,FALSE))</f>
        <v>28273.615379999999</v>
      </c>
      <c r="P92" s="46">
        <f t="shared" ca="1" si="5"/>
        <v>8.6622596140767296E-4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input_560100!A$2</f>
        <v>560100</v>
      </c>
      <c r="B93" s="5">
        <v>217</v>
      </c>
      <c r="C93" s="7" t="str">
        <f t="shared" si="9"/>
        <v>Premium3</v>
      </c>
      <c r="D93" s="7" t="str">
        <f t="shared" si="10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IFERROR(VLOOKUP(B93,input_560100!L:R,7,FALSE),VLOOKUP(tables_560100!C93,input_560100!A:H,8,FALSE))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input_560100!A$2</f>
        <v>560100</v>
      </c>
      <c r="B94" s="5">
        <v>218</v>
      </c>
      <c r="C94" s="7" t="str">
        <f t="shared" si="9"/>
        <v>Premium4</v>
      </c>
      <c r="D94" s="7" t="str">
        <f t="shared" si="10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IFERROR(VLOOKUP(B94,input_560100!L:R,7,FALSE),VLOOKUP(tables_560100!C94,input_560100!A:H,8,FALSE))</f>
        <v>262990</v>
      </c>
      <c r="P94" s="46">
        <f t="shared" ca="1" si="5"/>
        <v>8.0572916667653958E-3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input_560100!A$2</f>
        <v>560100</v>
      </c>
      <c r="B95" s="5">
        <v>219</v>
      </c>
      <c r="C95" s="7" t="str">
        <f t="shared" si="9"/>
        <v>Premium5</v>
      </c>
      <c r="D95" s="7" t="str">
        <f t="shared" si="10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IFERROR(VLOOKUP(B95,input_560100!L:R,7,FALSE),VLOOKUP(tables_560100!C95,input_560100!A:H,8,FALSE))</f>
        <v>28273.615379999999</v>
      </c>
      <c r="P95" s="46">
        <f t="shared" ca="1" si="5"/>
        <v>8.6622596140767296E-4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input_560100!A$2</f>
        <v>560100</v>
      </c>
      <c r="B96" s="5">
        <v>220</v>
      </c>
      <c r="C96" s="7" t="str">
        <f t="shared" si="9"/>
        <v>Premium3</v>
      </c>
      <c r="D96" s="7" t="str">
        <f t="shared" si="10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IFERROR(VLOOKUP(B96,input_560100!L:R,7,FALSE),VLOOKUP(tables_560100!C96,input_560100!A:H,8,FALSE))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input_560100!A$2</f>
        <v>560100</v>
      </c>
      <c r="B97" s="5">
        <v>221</v>
      </c>
      <c r="C97" s="7" t="str">
        <f t="shared" si="9"/>
        <v>Premium4</v>
      </c>
      <c r="D97" s="7" t="str">
        <f t="shared" si="10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IFERROR(VLOOKUP(B97,input_560100!L:R,7,FALSE),VLOOKUP(tables_560100!C97,input_560100!A:H,8,FALSE))</f>
        <v>262990</v>
      </c>
      <c r="P97" s="46">
        <f t="shared" ca="1" si="5"/>
        <v>8.0572916667653958E-3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input_560100!A$2</f>
        <v>560100</v>
      </c>
      <c r="B98" s="5">
        <v>222</v>
      </c>
      <c r="C98" s="7" t="str">
        <f t="shared" si="9"/>
        <v>Premium5</v>
      </c>
      <c r="D98" s="7" t="str">
        <f t="shared" si="10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IFERROR(VLOOKUP(B98,input_560100!L:R,7,FALSE),VLOOKUP(tables_560100!C98,input_560100!A:H,8,FALSE))</f>
        <v>28273.615379999999</v>
      </c>
      <c r="P98" s="46">
        <f t="shared" ca="1" si="5"/>
        <v>8.6622596140767296E-4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input_560100!A$2</f>
        <v>560100</v>
      </c>
      <c r="B99" s="5">
        <v>223</v>
      </c>
      <c r="C99" s="7" t="str">
        <f t="shared" si="9"/>
        <v>Premium3</v>
      </c>
      <c r="D99" s="7" t="str">
        <f t="shared" si="10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IFERROR(VLOOKUP(B99,input_560100!L:R,7,FALSE),VLOOKUP(tables_560100!C99,input_560100!A:H,8,FALSE))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input_560100!A$2</f>
        <v>560100</v>
      </c>
      <c r="B100" s="5">
        <v>224</v>
      </c>
      <c r="C100" s="7" t="str">
        <f t="shared" si="9"/>
        <v>Premium4</v>
      </c>
      <c r="D100" s="7" t="str">
        <f t="shared" si="10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IFERROR(VLOOKUP(B100,input_560100!L:R,7,FALSE),VLOOKUP(tables_560100!C100,input_560100!A:H,8,FALSE))</f>
        <v>262990</v>
      </c>
      <c r="P100" s="46">
        <f t="shared" ca="1" si="5"/>
        <v>8.0572916667653958E-3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input_560100!A$2</f>
        <v>560100</v>
      </c>
      <c r="B101" s="5">
        <v>225</v>
      </c>
      <c r="C101" s="7" t="str">
        <f t="shared" si="9"/>
        <v>Premium5</v>
      </c>
      <c r="D101" s="7" t="str">
        <f t="shared" si="10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IFERROR(VLOOKUP(B101,input_560100!L:R,7,FALSE),VLOOKUP(tables_560100!C101,input_560100!A:H,8,FALSE))</f>
        <v>28273.615379999999</v>
      </c>
      <c r="P101" s="46">
        <f t="shared" ca="1" si="5"/>
        <v>8.6622596140767296E-4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input_560100!A$2</f>
        <v>560100</v>
      </c>
      <c r="B102" s="5">
        <v>226</v>
      </c>
      <c r="C102" s="7" t="str">
        <f t="shared" si="9"/>
        <v>Premium3</v>
      </c>
      <c r="D102" s="7" t="str">
        <f t="shared" si="10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IFERROR(VLOOKUP(B102,input_560100!L:R,7,FALSE),VLOOKUP(tables_560100!C102,input_560100!A:H,8,FALSE))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input_560100!A$2</f>
        <v>560100</v>
      </c>
      <c r="B103" s="5">
        <v>227</v>
      </c>
      <c r="C103" s="7" t="str">
        <f t="shared" si="9"/>
        <v>Premium4</v>
      </c>
      <c r="D103" s="7" t="str">
        <f t="shared" si="10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IFERROR(VLOOKUP(B103,input_560100!L:R,7,FALSE),VLOOKUP(tables_560100!C103,input_560100!A:H,8,FALSE))</f>
        <v>262990</v>
      </c>
      <c r="P103" s="46">
        <f t="shared" ca="1" si="5"/>
        <v>8.0572916667653958E-3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input_560100!A$2</f>
        <v>560100</v>
      </c>
      <c r="B104" s="5">
        <v>228</v>
      </c>
      <c r="C104" s="7" t="str">
        <f t="shared" si="9"/>
        <v>Premium5</v>
      </c>
      <c r="D104" s="7" t="str">
        <f t="shared" si="10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IFERROR(VLOOKUP(B104,input_560100!L:R,7,FALSE),VLOOKUP(tables_560100!C104,input_560100!A:H,8,FALSE))</f>
        <v>28273.615379999999</v>
      </c>
      <c r="P104" s="46">
        <f t="shared" ca="1" si="5"/>
        <v>8.6622596140767296E-4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input_560100!A$2</f>
        <v>560100</v>
      </c>
      <c r="B105" s="5">
        <v>229</v>
      </c>
      <c r="C105" s="7" t="str">
        <f t="shared" si="9"/>
        <v>Premium3</v>
      </c>
      <c r="D105" s="7" t="str">
        <f t="shared" si="10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IFERROR(VLOOKUP(B105,input_560100!L:R,7,FALSE),VLOOKUP(tables_560100!C105,input_560100!A:H,8,FALSE))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input_560100!A$2</f>
        <v>560100</v>
      </c>
      <c r="B106" s="5">
        <v>230</v>
      </c>
      <c r="C106" s="7" t="str">
        <f t="shared" si="9"/>
        <v>Premium4</v>
      </c>
      <c r="D106" s="7" t="str">
        <f t="shared" si="10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IFERROR(VLOOKUP(B106,input_560100!L:R,7,FALSE),VLOOKUP(tables_560100!C106,input_560100!A:H,8,FALSE))</f>
        <v>262990</v>
      </c>
      <c r="P106" s="46">
        <f t="shared" ca="1" si="5"/>
        <v>8.0572916667653958E-3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input_560100!A$2</f>
        <v>560100</v>
      </c>
      <c r="B107" s="5">
        <v>231</v>
      </c>
      <c r="C107" s="7" t="str">
        <f t="shared" si="9"/>
        <v>Premium5</v>
      </c>
      <c r="D107" s="7" t="str">
        <f t="shared" si="10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IFERROR(VLOOKUP(B107,input_560100!L:R,7,FALSE),VLOOKUP(tables_560100!C107,input_560100!A:H,8,FALSE))</f>
        <v>28273.615379999999</v>
      </c>
      <c r="P107" s="46">
        <f t="shared" ca="1" si="5"/>
        <v>8.6622596140767296E-4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input_560100!A$2</f>
        <v>560100</v>
      </c>
      <c r="B108" s="5">
        <v>232</v>
      </c>
      <c r="C108" s="7" t="str">
        <f t="shared" si="9"/>
        <v>Premium3</v>
      </c>
      <c r="D108" s="7" t="str">
        <f t="shared" si="10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IFERROR(VLOOKUP(B108,input_560100!L:R,7,FALSE),VLOOKUP(tables_560100!C108,input_560100!A:H,8,FALSE))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input_560100!A$2</f>
        <v>560100</v>
      </c>
      <c r="B109" s="5">
        <v>233</v>
      </c>
      <c r="C109" s="7" t="str">
        <f t="shared" si="9"/>
        <v>Premium4</v>
      </c>
      <c r="D109" s="7" t="str">
        <f t="shared" si="10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IFERROR(VLOOKUP(B109,input_560100!L:R,7,FALSE),VLOOKUP(tables_560100!C109,input_560100!A:H,8,FALSE))</f>
        <v>262990</v>
      </c>
      <c r="P109" s="46">
        <f t="shared" ca="1" si="5"/>
        <v>8.0572916667653958E-3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input_560100!A$2</f>
        <v>560100</v>
      </c>
      <c r="B110" s="5">
        <v>234</v>
      </c>
      <c r="C110" s="7" t="str">
        <f t="shared" si="9"/>
        <v>Premium5</v>
      </c>
      <c r="D110" s="7" t="str">
        <f t="shared" si="10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IFERROR(VLOOKUP(B110,input_560100!L:R,7,FALSE),VLOOKUP(tables_560100!C110,input_560100!A:H,8,FALSE))</f>
        <v>28273.615379999999</v>
      </c>
      <c r="P110" s="46">
        <f t="shared" ca="1" si="5"/>
        <v>8.6622596140767296E-4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input_560100!A$2</f>
        <v>560100</v>
      </c>
      <c r="B111" s="5">
        <v>235</v>
      </c>
      <c r="C111" s="7" t="str">
        <f t="shared" si="9"/>
        <v>Premium3R6release</v>
      </c>
      <c r="D111" s="7" t="str">
        <f t="shared" si="10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IFERROR(VLOOKUP(B111,input_560100!L:R,7,FALSE),VLOOKUP(tables_560100!C111,input_560100!A:H,8,FALSE))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input_560100!A$2</f>
        <v>560100</v>
      </c>
      <c r="B112" s="5">
        <v>236</v>
      </c>
      <c r="C112" s="7" t="str">
        <f t="shared" si="9"/>
        <v>Premium4R6release</v>
      </c>
      <c r="D112" s="7" t="str">
        <f t="shared" si="10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IFERROR(VLOOKUP(B112,input_560100!L:R,7,FALSE),VLOOKUP(tables_560100!C112,input_560100!A:H,8,FALSE))</f>
        <v>262990</v>
      </c>
      <c r="P112" s="46">
        <f t="shared" ca="1" si="5"/>
        <v>8.0572916667653958E-3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input_560100!A$2</f>
        <v>560100</v>
      </c>
      <c r="B113" s="5">
        <v>237</v>
      </c>
      <c r="C113" s="7" t="str">
        <f t="shared" si="9"/>
        <v>Premium5R6release</v>
      </c>
      <c r="D113" s="7" t="str">
        <f t="shared" si="10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IFERROR(VLOOKUP(B113,input_560100!L:R,7,FALSE),VLOOKUP(tables_560100!C113,input_560100!A:H,8,FALSE))</f>
        <v>46410</v>
      </c>
      <c r="P113" s="46">
        <f t="shared" ca="1" si="5"/>
        <v>1.4218750000174229E-3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input_560100!A$2</f>
        <v>560100</v>
      </c>
      <c r="B114" s="5">
        <v>238</v>
      </c>
      <c r="C114" s="7" t="str">
        <f t="shared" si="9"/>
        <v>Premium3</v>
      </c>
      <c r="D114" s="7" t="str">
        <f t="shared" si="10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IFERROR(VLOOKUP(B114,input_560100!L:R,7,FALSE),VLOOKUP(tables_560100!C114,input_560100!A:H,8,FALSE))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input_560100!A$2</f>
        <v>560100</v>
      </c>
      <c r="B115" s="5">
        <v>239</v>
      </c>
      <c r="C115" s="7" t="str">
        <f t="shared" si="9"/>
        <v>Premium4</v>
      </c>
      <c r="D115" s="7" t="str">
        <f t="shared" si="10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IFERROR(VLOOKUP(B115,input_560100!L:R,7,FALSE),VLOOKUP(tables_560100!C115,input_560100!A:H,8,FALSE))</f>
        <v>262990</v>
      </c>
      <c r="P115" s="46">
        <f t="shared" ca="1" si="5"/>
        <v>8.0572916667653958E-3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input_560100!A$2</f>
        <v>560100</v>
      </c>
      <c r="B116" s="5">
        <v>240</v>
      </c>
      <c r="C116" s="7" t="str">
        <f t="shared" si="9"/>
        <v>Premium5</v>
      </c>
      <c r="D116" s="7" t="str">
        <f t="shared" si="10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IFERROR(VLOOKUP(B116,input_560100!L:R,7,FALSE),VLOOKUP(tables_560100!C116,input_560100!A:H,8,FALSE))</f>
        <v>28273.615379999999</v>
      </c>
      <c r="P116" s="46">
        <f t="shared" ca="1" si="5"/>
        <v>8.6622596140767296E-4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input_560100!A$2</f>
        <v>560100</v>
      </c>
      <c r="B117" s="5">
        <v>241</v>
      </c>
      <c r="C117" s="7" t="str">
        <f t="shared" si="9"/>
        <v>Premium3</v>
      </c>
      <c r="D117" s="7" t="str">
        <f t="shared" si="10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IFERROR(VLOOKUP(B117,input_560100!L:R,7,FALSE),VLOOKUP(tables_560100!C117,input_560100!A:H,8,FALSE))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input_560100!A$2</f>
        <v>560100</v>
      </c>
      <c r="B118" s="5">
        <v>242</v>
      </c>
      <c r="C118" s="7" t="str">
        <f t="shared" si="9"/>
        <v>Premium4</v>
      </c>
      <c r="D118" s="7" t="str">
        <f t="shared" si="10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IFERROR(VLOOKUP(B118,input_560100!L:R,7,FALSE),VLOOKUP(tables_560100!C118,input_560100!A:H,8,FALSE))</f>
        <v>262990</v>
      </c>
      <c r="P118" s="46">
        <f t="shared" ca="1" si="5"/>
        <v>8.0572916667653958E-3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input_560100!A$2</f>
        <v>560100</v>
      </c>
      <c r="B119" s="5">
        <v>243</v>
      </c>
      <c r="C119" s="7" t="str">
        <f t="shared" si="9"/>
        <v>Premium5</v>
      </c>
      <c r="D119" s="7" t="str">
        <f t="shared" si="10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IFERROR(VLOOKUP(B119,input_560100!L:R,7,FALSE),VLOOKUP(tables_560100!C119,input_560100!A:H,8,FALSE))</f>
        <v>28273.615379999999</v>
      </c>
      <c r="P119" s="46">
        <f t="shared" ca="1" si="5"/>
        <v>8.6622596140767296E-4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input_560100!A$2</f>
        <v>560100</v>
      </c>
      <c r="B120" s="5">
        <v>244</v>
      </c>
      <c r="C120" s="7" t="str">
        <f t="shared" si="9"/>
        <v>Premium3</v>
      </c>
      <c r="D120" s="7" t="str">
        <f t="shared" si="10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IFERROR(VLOOKUP(B120,input_560100!L:R,7,FALSE),VLOOKUP(tables_560100!C120,input_560100!A:H,8,FALSE))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input_560100!A$2</f>
        <v>560100</v>
      </c>
      <c r="B121" s="5">
        <v>245</v>
      </c>
      <c r="C121" s="7" t="str">
        <f t="shared" si="9"/>
        <v>Premium4</v>
      </c>
      <c r="D121" s="7" t="str">
        <f t="shared" si="10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IFERROR(VLOOKUP(B121,input_560100!L:R,7,FALSE),VLOOKUP(tables_560100!C121,input_560100!A:H,8,FALSE))</f>
        <v>262990</v>
      </c>
      <c r="P121" s="46">
        <f t="shared" ca="1" si="5"/>
        <v>8.0572916667653958E-3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input_560100!A$2</f>
        <v>560100</v>
      </c>
      <c r="B122" s="5">
        <v>246</v>
      </c>
      <c r="C122" s="7" t="str">
        <f t="shared" si="9"/>
        <v>Premium5</v>
      </c>
      <c r="D122" s="7" t="str">
        <f t="shared" si="10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IFERROR(VLOOKUP(B122,input_560100!L:R,7,FALSE),VLOOKUP(tables_560100!C122,input_560100!A:H,8,FALSE))</f>
        <v>28273.615379999999</v>
      </c>
      <c r="P122" s="46">
        <f t="shared" ca="1" si="5"/>
        <v>8.6622596140767296E-4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input_560100!A$2</f>
        <v>560100</v>
      </c>
      <c r="B123" s="5">
        <v>247</v>
      </c>
      <c r="C123" s="7" t="str">
        <f t="shared" si="9"/>
        <v>Premium3</v>
      </c>
      <c r="D123" s="7" t="str">
        <f t="shared" si="10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IFERROR(VLOOKUP(B123,input_560100!L:R,7,FALSE),VLOOKUP(tables_560100!C123,input_560100!A:H,8,FALSE))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input_560100!A$2</f>
        <v>560100</v>
      </c>
      <c r="B124" s="5">
        <v>248</v>
      </c>
      <c r="C124" s="7" t="str">
        <f t="shared" si="9"/>
        <v>Premium4</v>
      </c>
      <c r="D124" s="7" t="str">
        <f t="shared" si="10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IFERROR(VLOOKUP(B124,input_560100!L:R,7,FALSE),VLOOKUP(tables_560100!C124,input_560100!A:H,8,FALSE))</f>
        <v>262990</v>
      </c>
      <c r="P124" s="46">
        <f t="shared" ca="1" si="5"/>
        <v>8.0572916667653958E-3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input_560100!A$2</f>
        <v>560100</v>
      </c>
      <c r="B125" s="5">
        <v>249</v>
      </c>
      <c r="C125" s="7" t="str">
        <f t="shared" si="9"/>
        <v>Premium5</v>
      </c>
      <c r="D125" s="7" t="str">
        <f t="shared" si="10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IFERROR(VLOOKUP(B125,input_560100!L:R,7,FALSE),VLOOKUP(tables_560100!C125,input_560100!A:H,8,FALSE))</f>
        <v>28273.615379999999</v>
      </c>
      <c r="P125" s="46">
        <f t="shared" ca="1" si="5"/>
        <v>8.6622596140767296E-4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input_560100!A$2</f>
        <v>560100</v>
      </c>
      <c r="B126" s="5">
        <v>250</v>
      </c>
      <c r="C126" s="7" t="str">
        <f t="shared" si="9"/>
        <v>Premium3</v>
      </c>
      <c r="D126" s="7" t="str">
        <f t="shared" si="10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IFERROR(VLOOKUP(B126,input_560100!L:R,7,FALSE),VLOOKUP(tables_560100!C126,input_560100!A:H,8,FALSE))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input_560100!A$2</f>
        <v>560100</v>
      </c>
      <c r="B127" s="5">
        <v>251</v>
      </c>
      <c r="C127" s="7" t="str">
        <f t="shared" si="9"/>
        <v>Premium4</v>
      </c>
      <c r="D127" s="7" t="str">
        <f t="shared" si="10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IFERROR(VLOOKUP(B127,input_560100!L:R,7,FALSE),VLOOKUP(tables_560100!C127,input_560100!A:H,8,FALSE))</f>
        <v>262990</v>
      </c>
      <c r="P127" s="46">
        <f t="shared" ca="1" si="5"/>
        <v>8.0572916667653958E-3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input_560100!A$2</f>
        <v>560100</v>
      </c>
      <c r="B128" s="5">
        <v>252</v>
      </c>
      <c r="C128" s="7" t="str">
        <f t="shared" si="9"/>
        <v>Premium5</v>
      </c>
      <c r="D128" s="7" t="str">
        <f t="shared" si="10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IFERROR(VLOOKUP(B128,input_560100!L:R,7,FALSE),VLOOKUP(tables_560100!C128,input_560100!A:H,8,FALSE))</f>
        <v>28273.615379999999</v>
      </c>
      <c r="P128" s="46">
        <f t="shared" ca="1" si="5"/>
        <v>8.6622596140767296E-4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input_560100!A$2</f>
        <v>560100</v>
      </c>
      <c r="B129" s="5">
        <v>253</v>
      </c>
      <c r="C129" s="7" t="str">
        <f t="shared" si="9"/>
        <v>Premium3</v>
      </c>
      <c r="D129" s="7" t="str">
        <f t="shared" si="10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IFERROR(VLOOKUP(B129,input_560100!L:R,7,FALSE),VLOOKUP(tables_560100!C129,input_560100!A:H,8,FALSE))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input_560100!A$2</f>
        <v>560100</v>
      </c>
      <c r="B130" s="5">
        <v>254</v>
      </c>
      <c r="C130" s="7" t="str">
        <f t="shared" si="9"/>
        <v>Premium4</v>
      </c>
      <c r="D130" s="7" t="str">
        <f t="shared" si="10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IFERROR(VLOOKUP(B130,input_560100!L:R,7,FALSE),VLOOKUP(tables_560100!C130,input_560100!A:H,8,FALSE))</f>
        <v>262990</v>
      </c>
      <c r="P130" s="46">
        <f t="shared" ref="P130:P193" ca="1" si="11">O130/SUM(O:O)</f>
        <v>8.0572916667653958E-3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input_560100!A$2</f>
        <v>560100</v>
      </c>
      <c r="B131" s="5">
        <v>255</v>
      </c>
      <c r="C131" s="7" t="str">
        <f t="shared" si="9"/>
        <v>Premium5</v>
      </c>
      <c r="D131" s="7" t="str">
        <f t="shared" si="10"/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IFERROR(VLOOKUP(B131,input_560100!L:R,7,FALSE),VLOOKUP(tables_560100!C131,input_560100!A:H,8,FALSE))</f>
        <v>28273.615379999999</v>
      </c>
      <c r="P131" s="46">
        <f t="shared" ca="1" si="11"/>
        <v>8.6622596140767296E-4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input_560100!A$2</f>
        <v>560100</v>
      </c>
      <c r="B132" s="5">
        <v>256</v>
      </c>
      <c r="C132" s="7" t="str">
        <f t="shared" si="9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IFERROR(VLOOKUP(B132,input_560100!L:R,7,FALSE),VLOOKUP(tables_560100!C132,input_560100!A:H,8,FALSE))</f>
        <v>0</v>
      </c>
      <c r="P132" s="46">
        <f t="shared" ca="1" si="11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input_560100!A$2</f>
        <v>560100</v>
      </c>
      <c r="B133" s="5">
        <v>257</v>
      </c>
      <c r="C133" s="7" t="str">
        <f t="shared" si="9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IFERROR(VLOOKUP(B133,input_560100!L:R,7,FALSE),VLOOKUP(tables_560100!C133,input_560100!A:H,8,FALSE))</f>
        <v>262990</v>
      </c>
      <c r="P133" s="46">
        <f t="shared" ca="1" si="11"/>
        <v>8.0572916667653958E-3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input_560100!A$2</f>
        <v>560100</v>
      </c>
      <c r="B134" s="5">
        <v>258</v>
      </c>
      <c r="C134" s="7" t="str">
        <f t="shared" si="9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IFERROR(VLOOKUP(B134,input_560100!L:R,7,FALSE),VLOOKUP(tables_560100!C134,input_560100!A:H,8,FALSE))</f>
        <v>28273.615379999999</v>
      </c>
      <c r="P134" s="46">
        <f t="shared" ca="1" si="11"/>
        <v>8.6622596140767296E-4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input_560100!A$2</f>
        <v>560100</v>
      </c>
      <c r="B135" s="5">
        <v>259</v>
      </c>
      <c r="C135" s="7" t="str">
        <f t="shared" si="9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IFERROR(VLOOKUP(B135,input_560100!L:R,7,FALSE),VLOOKUP(tables_560100!C135,input_560100!A:H,8,FALSE))</f>
        <v>0</v>
      </c>
      <c r="P135" s="46">
        <f t="shared" ca="1" si="11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input_560100!A$2</f>
        <v>560100</v>
      </c>
      <c r="B136" s="5">
        <v>260</v>
      </c>
      <c r="C136" s="7" t="str">
        <f t="shared" si="9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IFERROR(VLOOKUP(B136,input_560100!L:R,7,FALSE),VLOOKUP(tables_560100!C136,input_560100!A:H,8,FALSE))</f>
        <v>262990</v>
      </c>
      <c r="P136" s="46">
        <f t="shared" ca="1" si="11"/>
        <v>8.0572916667653958E-3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input_560100!A$2</f>
        <v>560100</v>
      </c>
      <c r="B137" s="5">
        <v>261</v>
      </c>
      <c r="C137" s="7" t="str">
        <f t="shared" si="9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IFERROR(VLOOKUP(B137,input_560100!L:R,7,FALSE),VLOOKUP(tables_560100!C137,input_560100!A:H,8,FALSE))</f>
        <v>28273.615379999999</v>
      </c>
      <c r="P137" s="46">
        <f t="shared" ca="1" si="11"/>
        <v>8.6622596140767296E-4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input_560100!A$2</f>
        <v>560100</v>
      </c>
      <c r="B138" s="5">
        <v>320</v>
      </c>
      <c r="C138" s="7" t="str">
        <f t="shared" ref="C138:C201" si="12">D138&amp;J138&amp;E138&amp;F138&amp;G138</f>
        <v>PremiumSS4</v>
      </c>
      <c r="D138" s="7" t="str">
        <f t="shared" ref="D138:D201" si="13">IF(OR(I138="PremiumSS",I138="PremiumSSw"),"PremiumSS",IF(I138="PremiumSSS",I138,IF(I138="PremiumW",IF(J138=5,"premium",I138),"Premium")))</f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IFERROR(VLOOKUP(B138,input_560100!L:R,7,FALSE),VLOOKUP(tables_560100!C138,input_560100!A:H,8,FALSE))</f>
        <v>29376</v>
      </c>
      <c r="P138" s="46">
        <f t="shared" ca="1" si="11"/>
        <v>9.0000000001102805E-4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input_560100!A$2</f>
        <v>560100</v>
      </c>
      <c r="B139" s="5">
        <v>321</v>
      </c>
      <c r="C139" s="7" t="str">
        <f t="shared" si="12"/>
        <v>PremiumSS5</v>
      </c>
      <c r="D139" s="7" t="str">
        <f t="shared" si="13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IFERROR(VLOOKUP(B139,input_560100!L:R,7,FALSE),VLOOKUP(tables_560100!C139,input_560100!A:H,8,FALSE))</f>
        <v>5184</v>
      </c>
      <c r="P139" s="46">
        <f t="shared" ca="1" si="11"/>
        <v>1.5882352941371083E-4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input_560100!A$2</f>
        <v>560100</v>
      </c>
      <c r="B140" s="5">
        <v>322</v>
      </c>
      <c r="C140" s="7" t="str">
        <f t="shared" si="12"/>
        <v>PremiumSS4</v>
      </c>
      <c r="D140" s="7" t="str">
        <f t="shared" si="13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IFERROR(VLOOKUP(B140,input_560100!L:R,7,FALSE),VLOOKUP(tables_560100!C140,input_560100!A:H,8,FALSE))</f>
        <v>29376</v>
      </c>
      <c r="P140" s="46">
        <f t="shared" ca="1" si="11"/>
        <v>9.0000000001102805E-4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input_560100!A$2</f>
        <v>560100</v>
      </c>
      <c r="B141" s="5">
        <v>323</v>
      </c>
      <c r="C141" s="7" t="str">
        <f t="shared" si="12"/>
        <v>PremiumSS5</v>
      </c>
      <c r="D141" s="7" t="str">
        <f t="shared" si="13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IFERROR(VLOOKUP(B141,input_560100!L:R,7,FALSE),VLOOKUP(tables_560100!C141,input_560100!A:H,8,FALSE))</f>
        <v>5184</v>
      </c>
      <c r="P141" s="46">
        <f t="shared" ca="1" si="11"/>
        <v>1.5882352941371083E-4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input_560100!A$2</f>
        <v>560100</v>
      </c>
      <c r="B142" s="5">
        <v>324</v>
      </c>
      <c r="C142" s="7" t="str">
        <f t="shared" si="12"/>
        <v>PremiumSS4</v>
      </c>
      <c r="D142" s="7" t="str">
        <f t="shared" si="13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IFERROR(VLOOKUP(B142,input_560100!L:R,7,FALSE),VLOOKUP(tables_560100!C142,input_560100!A:H,8,FALSE))</f>
        <v>29376</v>
      </c>
      <c r="P142" s="46">
        <f t="shared" ca="1" si="11"/>
        <v>9.0000000001102805E-4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input_560100!A$2</f>
        <v>560100</v>
      </c>
      <c r="B143" s="5">
        <v>325</v>
      </c>
      <c r="C143" s="7" t="str">
        <f t="shared" si="12"/>
        <v>PremiumSS5</v>
      </c>
      <c r="D143" s="7" t="str">
        <f t="shared" si="13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IFERROR(VLOOKUP(B143,input_560100!L:R,7,FALSE),VLOOKUP(tables_560100!C143,input_560100!A:H,8,FALSE))</f>
        <v>5184</v>
      </c>
      <c r="P143" s="46">
        <f t="shared" ca="1" si="11"/>
        <v>1.5882352941371083E-4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input_560100!A$2</f>
        <v>560100</v>
      </c>
      <c r="B144" s="5">
        <v>326</v>
      </c>
      <c r="C144" s="7" t="str">
        <f t="shared" si="12"/>
        <v>PremiumSS4</v>
      </c>
      <c r="D144" s="7" t="str">
        <f t="shared" si="13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IFERROR(VLOOKUP(B144,input_560100!L:R,7,FALSE),VLOOKUP(tables_560100!C144,input_560100!A:H,8,FALSE))</f>
        <v>29376</v>
      </c>
      <c r="P144" s="46">
        <f t="shared" ca="1" si="11"/>
        <v>9.0000000001102805E-4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input_560100!A$2</f>
        <v>560100</v>
      </c>
      <c r="B145" s="5">
        <v>327</v>
      </c>
      <c r="C145" s="7" t="str">
        <f t="shared" si="12"/>
        <v>PremiumSS5</v>
      </c>
      <c r="D145" s="7" t="str">
        <f t="shared" si="13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IFERROR(VLOOKUP(B145,input_560100!L:R,7,FALSE),VLOOKUP(tables_560100!C145,input_560100!A:H,8,FALSE))</f>
        <v>5184</v>
      </c>
      <c r="P145" s="46">
        <f t="shared" ca="1" si="11"/>
        <v>1.5882352941371083E-4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input_560100!A$2</f>
        <v>560100</v>
      </c>
      <c r="B146" s="5">
        <v>380</v>
      </c>
      <c r="C146" s="7" t="str">
        <f t="shared" si="12"/>
        <v>Premium3</v>
      </c>
      <c r="D146" s="7" t="str">
        <f t="shared" si="13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IFERROR(VLOOKUP(B146,input_560100!L:R,7,FALSE),VLOOKUP(tables_560100!C146,input_560100!A:H,8,FALSE))</f>
        <v>0</v>
      </c>
      <c r="P146" s="46">
        <f t="shared" ca="1" si="11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input_560100!A$2</f>
        <v>560100</v>
      </c>
      <c r="B147" s="5">
        <v>381</v>
      </c>
      <c r="C147" s="7" t="str">
        <f t="shared" si="12"/>
        <v>Premium4</v>
      </c>
      <c r="D147" s="7" t="str">
        <f t="shared" si="13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IFERROR(VLOOKUP(B147,input_560100!L:R,7,FALSE),VLOOKUP(tables_560100!C147,input_560100!A:H,8,FALSE))</f>
        <v>262990</v>
      </c>
      <c r="P147" s="46">
        <f t="shared" ca="1" si="11"/>
        <v>8.0572916667653958E-3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input_560100!A$2</f>
        <v>560100</v>
      </c>
      <c r="B148" s="5">
        <v>382</v>
      </c>
      <c r="C148" s="7" t="str">
        <f t="shared" si="12"/>
        <v>Premium5</v>
      </c>
      <c r="D148" s="7" t="str">
        <f t="shared" si="13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IFERROR(VLOOKUP(B148,input_560100!L:R,7,FALSE),VLOOKUP(tables_560100!C148,input_560100!A:H,8,FALSE))</f>
        <v>28273.615379999999</v>
      </c>
      <c r="P148" s="46">
        <f t="shared" ca="1" si="11"/>
        <v>8.6622596140767296E-4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input_560100!A$2</f>
        <v>560100</v>
      </c>
      <c r="B149" s="5">
        <v>383</v>
      </c>
      <c r="C149" s="7" t="str">
        <f t="shared" si="12"/>
        <v>PremiumSS4</v>
      </c>
      <c r="D149" s="7" t="str">
        <f t="shared" si="13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IFERROR(VLOOKUP(B149,input_560100!L:R,7,FALSE),VLOOKUP(tables_560100!C149,input_560100!A:H,8,FALSE))</f>
        <v>29376</v>
      </c>
      <c r="P149" s="46">
        <f t="shared" ca="1" si="11"/>
        <v>9.0000000001102805E-4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input_560100!A$2</f>
        <v>560100</v>
      </c>
      <c r="B150" s="5">
        <v>384</v>
      </c>
      <c r="C150" s="7" t="str">
        <f t="shared" si="12"/>
        <v>PremiumSS5</v>
      </c>
      <c r="D150" s="7" t="str">
        <f t="shared" si="13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IFERROR(VLOOKUP(B150,input_560100!L:R,7,FALSE),VLOOKUP(tables_560100!C150,input_560100!A:H,8,FALSE))</f>
        <v>5184</v>
      </c>
      <c r="P150" s="46">
        <f t="shared" ca="1" si="11"/>
        <v>1.5882352941371083E-4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input_560100!A$2</f>
        <v>560100</v>
      </c>
      <c r="B151" s="5">
        <v>385</v>
      </c>
      <c r="C151" s="7" t="str">
        <f t="shared" si="12"/>
        <v>PremiumSS4</v>
      </c>
      <c r="D151" s="7" t="str">
        <f t="shared" si="13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IFERROR(VLOOKUP(B151,input_560100!L:R,7,FALSE),VLOOKUP(tables_560100!C151,input_560100!A:H,8,FALSE))</f>
        <v>29376</v>
      </c>
      <c r="P151" s="46">
        <f t="shared" ca="1" si="11"/>
        <v>9.0000000001102805E-4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input_560100!A$2</f>
        <v>560100</v>
      </c>
      <c r="B152" s="5">
        <v>386</v>
      </c>
      <c r="C152" s="7" t="str">
        <f t="shared" si="12"/>
        <v>PremiumSS5</v>
      </c>
      <c r="D152" s="7" t="str">
        <f t="shared" si="13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IFERROR(VLOOKUP(B152,input_560100!L:R,7,FALSE),VLOOKUP(tables_560100!C152,input_560100!A:H,8,FALSE))</f>
        <v>5184</v>
      </c>
      <c r="P152" s="46">
        <f t="shared" ca="1" si="11"/>
        <v>1.5882352941371083E-4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input_560100!A$2</f>
        <v>560100</v>
      </c>
      <c r="B153" s="5">
        <v>387</v>
      </c>
      <c r="C153" s="7" t="str">
        <f t="shared" si="12"/>
        <v>Premium3</v>
      </c>
      <c r="D153" s="7" t="str">
        <f t="shared" si="13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IFERROR(VLOOKUP(B153,input_560100!L:R,7,FALSE),VLOOKUP(tables_560100!C153,input_560100!A:H,8,FALSE))</f>
        <v>0</v>
      </c>
      <c r="P153" s="46">
        <f t="shared" ca="1" si="11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input_560100!A$2</f>
        <v>560100</v>
      </c>
      <c r="B154" s="5">
        <v>388</v>
      </c>
      <c r="C154" s="7" t="str">
        <f t="shared" si="12"/>
        <v>Premium4</v>
      </c>
      <c r="D154" s="7" t="str">
        <f t="shared" si="13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IFERROR(VLOOKUP(B154,input_560100!L:R,7,FALSE),VLOOKUP(tables_560100!C154,input_560100!A:H,8,FALSE))</f>
        <v>262990</v>
      </c>
      <c r="P154" s="46">
        <f t="shared" ca="1" si="11"/>
        <v>8.0572916667653958E-3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input_560100!A$2</f>
        <v>560100</v>
      </c>
      <c r="B155" s="5">
        <v>389</v>
      </c>
      <c r="C155" s="7" t="str">
        <f t="shared" si="12"/>
        <v>Premium5</v>
      </c>
      <c r="D155" s="7" t="str">
        <f t="shared" si="13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IFERROR(VLOOKUP(B155,input_560100!L:R,7,FALSE),VLOOKUP(tables_560100!C155,input_560100!A:H,8,FALSE))</f>
        <v>28273.615379999999</v>
      </c>
      <c r="P155" s="46">
        <f t="shared" ca="1" si="11"/>
        <v>8.6622596140767296E-4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input_560100!A$2</f>
        <v>560100</v>
      </c>
      <c r="B156" s="5">
        <v>390</v>
      </c>
      <c r="C156" s="7" t="str">
        <f t="shared" si="12"/>
        <v>PremiumSS4</v>
      </c>
      <c r="D156" s="7" t="str">
        <f t="shared" si="13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IFERROR(VLOOKUP(B156,input_560100!L:R,7,FALSE),VLOOKUP(tables_560100!C156,input_560100!A:H,8,FALSE))</f>
        <v>29376</v>
      </c>
      <c r="P156" s="46">
        <f t="shared" ca="1" si="11"/>
        <v>9.0000000001102805E-4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input_560100!A$2</f>
        <v>560100</v>
      </c>
      <c r="B157" s="5">
        <v>391</v>
      </c>
      <c r="C157" s="7" t="str">
        <f t="shared" si="12"/>
        <v>PremiumSS5</v>
      </c>
      <c r="D157" s="7" t="str">
        <f t="shared" si="13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IFERROR(VLOOKUP(B157,input_560100!L:R,7,FALSE),VLOOKUP(tables_560100!C157,input_560100!A:H,8,FALSE))</f>
        <v>5184</v>
      </c>
      <c r="P157" s="46">
        <f t="shared" ca="1" si="11"/>
        <v>1.5882352941371083E-4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input_560100!A$2</f>
        <v>560100</v>
      </c>
      <c r="B158" s="5">
        <v>392</v>
      </c>
      <c r="C158" s="7" t="str">
        <f t="shared" si="12"/>
        <v>Premium3</v>
      </c>
      <c r="D158" s="7" t="str">
        <f t="shared" si="13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IFERROR(VLOOKUP(B158,input_560100!L:R,7,FALSE),VLOOKUP(tables_560100!C158,input_560100!A:H,8,FALSE))</f>
        <v>0</v>
      </c>
      <c r="P158" s="46">
        <f t="shared" ca="1" si="11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input_560100!A$2</f>
        <v>560100</v>
      </c>
      <c r="B159" s="5">
        <v>393</v>
      </c>
      <c r="C159" s="7" t="str">
        <f t="shared" si="12"/>
        <v>Premium4</v>
      </c>
      <c r="D159" s="7" t="str">
        <f t="shared" si="13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IFERROR(VLOOKUP(B159,input_560100!L:R,7,FALSE),VLOOKUP(tables_560100!C159,input_560100!A:H,8,FALSE))</f>
        <v>262990</v>
      </c>
      <c r="P159" s="46">
        <f t="shared" ca="1" si="11"/>
        <v>8.0572916667653958E-3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input_560100!A$2</f>
        <v>560100</v>
      </c>
      <c r="B160" s="5">
        <v>394</v>
      </c>
      <c r="C160" s="7" t="str">
        <f t="shared" si="12"/>
        <v>Premium5</v>
      </c>
      <c r="D160" s="7" t="str">
        <f t="shared" si="13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IFERROR(VLOOKUP(B160,input_560100!L:R,7,FALSE),VLOOKUP(tables_560100!C160,input_560100!A:H,8,FALSE))</f>
        <v>28273.615379999999</v>
      </c>
      <c r="P160" s="46">
        <f t="shared" ca="1" si="11"/>
        <v>8.6622596140767296E-4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input_560100!A$2</f>
        <v>560100</v>
      </c>
      <c r="B161" s="5">
        <v>395</v>
      </c>
      <c r="C161" s="7" t="str">
        <f t="shared" si="12"/>
        <v>Premium3</v>
      </c>
      <c r="D161" s="7" t="str">
        <f t="shared" si="13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IFERROR(VLOOKUP(B161,input_560100!L:R,7,FALSE),VLOOKUP(tables_560100!C161,input_560100!A:H,8,FALSE))</f>
        <v>0</v>
      </c>
      <c r="P161" s="46">
        <f t="shared" ca="1" si="11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input_560100!A$2</f>
        <v>560100</v>
      </c>
      <c r="B162" s="5">
        <v>396</v>
      </c>
      <c r="C162" s="7" t="str">
        <f t="shared" si="12"/>
        <v>Premium4</v>
      </c>
      <c r="D162" s="7" t="str">
        <f t="shared" si="13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IFERROR(VLOOKUP(B162,input_560100!L:R,7,FALSE),VLOOKUP(tables_560100!C162,input_560100!A:H,8,FALSE))</f>
        <v>262990</v>
      </c>
      <c r="P162" s="46">
        <f t="shared" ca="1" si="11"/>
        <v>8.0572916667653958E-3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input_560100!A$2</f>
        <v>560100</v>
      </c>
      <c r="B163" s="5">
        <v>397</v>
      </c>
      <c r="C163" s="7" t="str">
        <f t="shared" si="12"/>
        <v>Premium5</v>
      </c>
      <c r="D163" s="7" t="str">
        <f t="shared" si="13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IFERROR(VLOOKUP(B163,input_560100!L:R,7,FALSE),VLOOKUP(tables_560100!C163,input_560100!A:H,8,FALSE))</f>
        <v>28273.615379999999</v>
      </c>
      <c r="P163" s="46">
        <f t="shared" ca="1" si="11"/>
        <v>8.6622596140767296E-4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input_560100!A$2</f>
        <v>560100</v>
      </c>
      <c r="B164" s="5">
        <v>398</v>
      </c>
      <c r="C164" s="7" t="str">
        <f t="shared" si="12"/>
        <v>PremiumSS4</v>
      </c>
      <c r="D164" s="7" t="str">
        <f t="shared" si="13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IFERROR(VLOOKUP(B164,input_560100!L:R,7,FALSE),VLOOKUP(tables_560100!C164,input_560100!A:H,8,FALSE))</f>
        <v>29376</v>
      </c>
      <c r="P164" s="46">
        <f t="shared" ca="1" si="11"/>
        <v>9.0000000001102805E-4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input_560100!A$2</f>
        <v>560100</v>
      </c>
      <c r="B165" s="5">
        <v>399</v>
      </c>
      <c r="C165" s="7" t="str">
        <f t="shared" si="12"/>
        <v>PremiumSS5</v>
      </c>
      <c r="D165" s="7" t="str">
        <f t="shared" si="13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IFERROR(VLOOKUP(B165,input_560100!L:R,7,FALSE),VLOOKUP(tables_560100!C165,input_560100!A:H,8,FALSE))</f>
        <v>5184</v>
      </c>
      <c r="P165" s="46">
        <f t="shared" ca="1" si="11"/>
        <v>1.5882352941371083E-4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input_560100!A$2</f>
        <v>560100</v>
      </c>
      <c r="B166" s="5">
        <v>400</v>
      </c>
      <c r="C166" s="7" t="str">
        <f t="shared" si="12"/>
        <v>Premium3</v>
      </c>
      <c r="D166" s="7" t="str">
        <f t="shared" si="13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IFERROR(VLOOKUP(B166,input_560100!L:R,7,FALSE),VLOOKUP(tables_560100!C166,input_560100!A:H,8,FALSE))</f>
        <v>0</v>
      </c>
      <c r="P166" s="46">
        <f t="shared" ca="1" si="11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input_560100!A$2</f>
        <v>560100</v>
      </c>
      <c r="B167" s="5">
        <v>401</v>
      </c>
      <c r="C167" s="7" t="str">
        <f t="shared" si="12"/>
        <v>Premium4</v>
      </c>
      <c r="D167" s="7" t="str">
        <f t="shared" si="13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IFERROR(VLOOKUP(B167,input_560100!L:R,7,FALSE),VLOOKUP(tables_560100!C167,input_560100!A:H,8,FALSE))</f>
        <v>262990</v>
      </c>
      <c r="P167" s="46">
        <f t="shared" ca="1" si="11"/>
        <v>8.0572916667653958E-3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input_560100!A$2</f>
        <v>560100</v>
      </c>
      <c r="B168" s="5">
        <v>402</v>
      </c>
      <c r="C168" s="7" t="str">
        <f t="shared" si="12"/>
        <v>Premium5</v>
      </c>
      <c r="D168" s="7" t="str">
        <f t="shared" si="13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IFERROR(VLOOKUP(B168,input_560100!L:R,7,FALSE),VLOOKUP(tables_560100!C168,input_560100!A:H,8,FALSE))</f>
        <v>28273.615379999999</v>
      </c>
      <c r="P168" s="46">
        <f t="shared" ca="1" si="11"/>
        <v>8.6622596140767296E-4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input_560100!A$2</f>
        <v>560100</v>
      </c>
      <c r="B169" s="5">
        <v>403</v>
      </c>
      <c r="C169" s="7" t="str">
        <f t="shared" si="12"/>
        <v>PremiumSS4</v>
      </c>
      <c r="D169" s="7" t="str">
        <f t="shared" si="13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IFERROR(VLOOKUP(B169,input_560100!L:R,7,FALSE),VLOOKUP(tables_560100!C169,input_560100!A:H,8,FALSE))</f>
        <v>29376</v>
      </c>
      <c r="P169" s="46">
        <f t="shared" ca="1" si="11"/>
        <v>9.0000000001102805E-4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input_560100!A$2</f>
        <v>560100</v>
      </c>
      <c r="B170" s="5">
        <v>404</v>
      </c>
      <c r="C170" s="7" t="str">
        <f t="shared" si="12"/>
        <v>PremiumSS5</v>
      </c>
      <c r="D170" s="7" t="str">
        <f t="shared" si="13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IFERROR(VLOOKUP(B170,input_560100!L:R,7,FALSE),VLOOKUP(tables_560100!C170,input_560100!A:H,8,FALSE))</f>
        <v>5184</v>
      </c>
      <c r="P170" s="46">
        <f t="shared" ca="1" si="11"/>
        <v>1.5882352941371083E-4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input_560100!A$2</f>
        <v>560100</v>
      </c>
      <c r="B171" s="5">
        <v>405</v>
      </c>
      <c r="C171" s="7" t="str">
        <f t="shared" si="12"/>
        <v>Premium3</v>
      </c>
      <c r="D171" s="7" t="str">
        <f t="shared" si="13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IFERROR(VLOOKUP(B171,input_560100!L:R,7,FALSE),VLOOKUP(tables_560100!C171,input_560100!A:H,8,FALSE))</f>
        <v>0</v>
      </c>
      <c r="P171" s="46">
        <f t="shared" ca="1" si="11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input_560100!A$2</f>
        <v>560100</v>
      </c>
      <c r="B172" s="5">
        <v>406</v>
      </c>
      <c r="C172" s="7" t="str">
        <f t="shared" si="12"/>
        <v>Premium4</v>
      </c>
      <c r="D172" s="7" t="str">
        <f t="shared" si="13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IFERROR(VLOOKUP(B172,input_560100!L:R,7,FALSE),VLOOKUP(tables_560100!C172,input_560100!A:H,8,FALSE))</f>
        <v>262990</v>
      </c>
      <c r="P172" s="46">
        <f t="shared" ca="1" si="11"/>
        <v>8.0572916667653958E-3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input_560100!A$2</f>
        <v>560100</v>
      </c>
      <c r="B173" s="5">
        <v>407</v>
      </c>
      <c r="C173" s="7" t="str">
        <f t="shared" si="12"/>
        <v>Premium5</v>
      </c>
      <c r="D173" s="7" t="str">
        <f t="shared" si="13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IFERROR(VLOOKUP(B173,input_560100!L:R,7,FALSE),VLOOKUP(tables_560100!C173,input_560100!A:H,8,FALSE))</f>
        <v>28273.615379999999</v>
      </c>
      <c r="P173" s="46">
        <f t="shared" ca="1" si="11"/>
        <v>8.6622596140767296E-4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input_560100!A$2</f>
        <v>560100</v>
      </c>
      <c r="B174" s="5">
        <v>408</v>
      </c>
      <c r="C174" s="7" t="str">
        <f t="shared" si="12"/>
        <v>PremiumSS4</v>
      </c>
      <c r="D174" s="7" t="str">
        <f t="shared" si="13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IFERROR(VLOOKUP(B174,input_560100!L:R,7,FALSE),VLOOKUP(tables_560100!C174,input_560100!A:H,8,FALSE))</f>
        <v>29376</v>
      </c>
      <c r="P174" s="46">
        <f t="shared" ca="1" si="11"/>
        <v>9.0000000001102805E-4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input_560100!A$2</f>
        <v>560100</v>
      </c>
      <c r="B175" s="5">
        <v>409</v>
      </c>
      <c r="C175" s="7" t="str">
        <f t="shared" si="12"/>
        <v>PremiumSS5</v>
      </c>
      <c r="D175" s="7" t="str">
        <f t="shared" si="13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IFERROR(VLOOKUP(B175,input_560100!L:R,7,FALSE),VLOOKUP(tables_560100!C175,input_560100!A:H,8,FALSE))</f>
        <v>5184</v>
      </c>
      <c r="P175" s="46">
        <f t="shared" ca="1" si="11"/>
        <v>1.5882352941371083E-4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input_560100!A$2</f>
        <v>560100</v>
      </c>
      <c r="B176" s="5">
        <v>434</v>
      </c>
      <c r="C176" s="7" t="str">
        <f t="shared" si="12"/>
        <v>PremiumSS4</v>
      </c>
      <c r="D176" s="7" t="str">
        <f t="shared" si="13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IFERROR(VLOOKUP(B176,input_560100!L:R,7,FALSE),VLOOKUP(tables_560100!C176,input_560100!A:H,8,FALSE))</f>
        <v>29376</v>
      </c>
      <c r="P176" s="46">
        <f t="shared" ca="1" si="11"/>
        <v>9.0000000001102805E-4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input_560100!A$2</f>
        <v>560100</v>
      </c>
      <c r="B177" s="5">
        <v>435</v>
      </c>
      <c r="C177" s="7" t="str">
        <f t="shared" si="12"/>
        <v>PremiumSS5</v>
      </c>
      <c r="D177" s="7" t="str">
        <f t="shared" si="13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IFERROR(VLOOKUP(B177,input_560100!L:R,7,FALSE),VLOOKUP(tables_560100!C177,input_560100!A:H,8,FALSE))</f>
        <v>5184</v>
      </c>
      <c r="P177" s="46">
        <f t="shared" ca="1" si="11"/>
        <v>1.5882352941371083E-4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input_560100!A$2</f>
        <v>560100</v>
      </c>
      <c r="B178" s="5">
        <v>436</v>
      </c>
      <c r="C178" s="7" t="str">
        <f t="shared" si="12"/>
        <v>Premium3</v>
      </c>
      <c r="D178" s="7" t="str">
        <f t="shared" si="13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IFERROR(VLOOKUP(B178,input_560100!L:R,7,FALSE),VLOOKUP(tables_560100!C178,input_560100!A:H,8,FALSE))</f>
        <v>0</v>
      </c>
      <c r="P178" s="46">
        <f t="shared" ca="1" si="11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input_560100!A$2</f>
        <v>560100</v>
      </c>
      <c r="B179" s="5">
        <v>437</v>
      </c>
      <c r="C179" s="7" t="str">
        <f t="shared" si="12"/>
        <v>Premium4</v>
      </c>
      <c r="D179" s="7" t="str">
        <f t="shared" si="13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IFERROR(VLOOKUP(B179,input_560100!L:R,7,FALSE),VLOOKUP(tables_560100!C179,input_560100!A:H,8,FALSE))</f>
        <v>262990</v>
      </c>
      <c r="P179" s="46">
        <f t="shared" ca="1" si="11"/>
        <v>8.0572916667653958E-3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input_560100!A$2</f>
        <v>560100</v>
      </c>
      <c r="B180" s="5">
        <v>438</v>
      </c>
      <c r="C180" s="7" t="str">
        <f t="shared" si="12"/>
        <v>Premium5</v>
      </c>
      <c r="D180" s="7" t="str">
        <f t="shared" si="13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IFERROR(VLOOKUP(B180,input_560100!L:R,7,FALSE),VLOOKUP(tables_560100!C180,input_560100!A:H,8,FALSE))</f>
        <v>28273.615379999999</v>
      </c>
      <c r="P180" s="46">
        <f t="shared" ca="1" si="11"/>
        <v>8.6622596140767296E-4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input_560100!A$2</f>
        <v>560100</v>
      </c>
      <c r="B181" s="5">
        <v>439</v>
      </c>
      <c r="C181" s="7" t="str">
        <f t="shared" si="12"/>
        <v>Premium3</v>
      </c>
      <c r="D181" s="7" t="str">
        <f t="shared" si="13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IFERROR(VLOOKUP(B181,input_560100!L:R,7,FALSE),VLOOKUP(tables_560100!C181,input_560100!A:H,8,FALSE))</f>
        <v>0</v>
      </c>
      <c r="P181" s="46">
        <f t="shared" ca="1" si="11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input_560100!A$2</f>
        <v>560100</v>
      </c>
      <c r="B182" s="5">
        <v>440</v>
      </c>
      <c r="C182" s="7" t="str">
        <f t="shared" si="12"/>
        <v>Premium4</v>
      </c>
      <c r="D182" s="7" t="str">
        <f t="shared" si="13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IFERROR(VLOOKUP(B182,input_560100!L:R,7,FALSE),VLOOKUP(tables_560100!C182,input_560100!A:H,8,FALSE))</f>
        <v>262990</v>
      </c>
      <c r="P182" s="46">
        <f t="shared" ca="1" si="11"/>
        <v>8.0572916667653958E-3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input_560100!A$2</f>
        <v>560100</v>
      </c>
      <c r="B183" s="5">
        <v>441</v>
      </c>
      <c r="C183" s="7" t="str">
        <f t="shared" si="12"/>
        <v>Premium5</v>
      </c>
      <c r="D183" s="7" t="str">
        <f t="shared" si="13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IFERROR(VLOOKUP(B183,input_560100!L:R,7,FALSE),VLOOKUP(tables_560100!C183,input_560100!A:H,8,FALSE))</f>
        <v>28273.615379999999</v>
      </c>
      <c r="P183" s="46">
        <f t="shared" ca="1" si="11"/>
        <v>8.6622596140767296E-4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input_560100!A$2</f>
        <v>560100</v>
      </c>
      <c r="B184" s="5">
        <v>442</v>
      </c>
      <c r="C184" s="7" t="str">
        <f t="shared" si="12"/>
        <v>PremiumSS4</v>
      </c>
      <c r="D184" s="7" t="str">
        <f t="shared" si="13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IFERROR(VLOOKUP(B184,input_560100!L:R,7,FALSE),VLOOKUP(tables_560100!C184,input_560100!A:H,8,FALSE))</f>
        <v>29376</v>
      </c>
      <c r="P184" s="46">
        <f t="shared" ca="1" si="11"/>
        <v>9.0000000001102805E-4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input_560100!A$2</f>
        <v>560100</v>
      </c>
      <c r="B185" s="5">
        <v>443</v>
      </c>
      <c r="C185" s="7" t="str">
        <f t="shared" si="12"/>
        <v>PremiumSS5</v>
      </c>
      <c r="D185" s="7" t="str">
        <f t="shared" si="13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IFERROR(VLOOKUP(B185,input_560100!L:R,7,FALSE),VLOOKUP(tables_560100!C185,input_560100!A:H,8,FALSE))</f>
        <v>5184</v>
      </c>
      <c r="P185" s="46">
        <f t="shared" ca="1" si="11"/>
        <v>1.5882352941371083E-4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input_560100!A$2</f>
        <v>560100</v>
      </c>
      <c r="B186" s="5">
        <v>462</v>
      </c>
      <c r="C186" s="7" t="str">
        <f t="shared" si="12"/>
        <v>Premium3</v>
      </c>
      <c r="D186" s="7" t="str">
        <f t="shared" si="13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IFERROR(VLOOKUP(B186,input_560100!L:R,7,FALSE),VLOOKUP(tables_560100!C186,input_560100!A:H,8,FALSE))</f>
        <v>0</v>
      </c>
      <c r="P186" s="46">
        <f t="shared" ca="1" si="11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input_560100!A$2</f>
        <v>560100</v>
      </c>
      <c r="B187" s="5">
        <v>463</v>
      </c>
      <c r="C187" s="7" t="str">
        <f t="shared" si="12"/>
        <v>Premium4</v>
      </c>
      <c r="D187" s="7" t="str">
        <f t="shared" si="13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IFERROR(VLOOKUP(B187,input_560100!L:R,7,FALSE),VLOOKUP(tables_560100!C187,input_560100!A:H,8,FALSE))</f>
        <v>262990</v>
      </c>
      <c r="P187" s="46">
        <f t="shared" ca="1" si="11"/>
        <v>8.0572916667653958E-3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input_560100!A$2</f>
        <v>560100</v>
      </c>
      <c r="B188" s="5">
        <v>464</v>
      </c>
      <c r="C188" s="7" t="str">
        <f t="shared" si="12"/>
        <v>Premium5</v>
      </c>
      <c r="D188" s="7" t="str">
        <f t="shared" si="13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IFERROR(VLOOKUP(B188,input_560100!L:R,7,FALSE),VLOOKUP(tables_560100!C188,input_560100!A:H,8,FALSE))</f>
        <v>28273.615379999999</v>
      </c>
      <c r="P188" s="46">
        <f t="shared" ca="1" si="11"/>
        <v>8.6622596140767296E-4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input_560100!A$2</f>
        <v>560100</v>
      </c>
      <c r="B189" s="5">
        <v>465</v>
      </c>
      <c r="C189" s="7" t="str">
        <f t="shared" si="12"/>
        <v>PremiumSS4</v>
      </c>
      <c r="D189" s="7" t="str">
        <f t="shared" si="13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IFERROR(VLOOKUP(B189,input_560100!L:R,7,FALSE),VLOOKUP(tables_560100!C189,input_560100!A:H,8,FALSE))</f>
        <v>29376</v>
      </c>
      <c r="P189" s="46">
        <f t="shared" ca="1" si="11"/>
        <v>9.0000000001102805E-4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ht="21" customHeight="1" x14ac:dyDescent="0.15">
      <c r="A190" s="2" t="str">
        <f ca="1">input_560100!A$2</f>
        <v>560100</v>
      </c>
      <c r="B190" s="5">
        <v>466</v>
      </c>
      <c r="C190" s="7" t="str">
        <f t="shared" si="12"/>
        <v>PremiumSS5</v>
      </c>
      <c r="D190" s="7" t="str">
        <f t="shared" si="13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IFERROR(VLOOKUP(B190,input_560100!L:R,7,FALSE),VLOOKUP(tables_560100!C190,input_560100!A:H,8,FALSE))</f>
        <v>5184</v>
      </c>
      <c r="P190" s="46">
        <f t="shared" ca="1" si="11"/>
        <v>1.5882352941371083E-4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input_560100!A$2</f>
        <v>560100</v>
      </c>
      <c r="B191" s="5">
        <v>467</v>
      </c>
      <c r="C191" s="7" t="str">
        <f t="shared" si="12"/>
        <v>PremiumSS4</v>
      </c>
      <c r="D191" s="7" t="str">
        <f t="shared" si="13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IFERROR(VLOOKUP(B191,input_560100!L:R,7,FALSE),VLOOKUP(tables_560100!C191,input_560100!A:H,8,FALSE))</f>
        <v>29376</v>
      </c>
      <c r="P191" s="46">
        <f t="shared" ca="1" si="11"/>
        <v>9.0000000001102805E-4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input_560100!A$2</f>
        <v>560100</v>
      </c>
      <c r="B192" s="5">
        <v>468</v>
      </c>
      <c r="C192" s="7" t="str">
        <f t="shared" si="12"/>
        <v>PremiumSS5</v>
      </c>
      <c r="D192" s="7" t="str">
        <f t="shared" si="13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IFERROR(VLOOKUP(B192,input_560100!L:R,7,FALSE),VLOOKUP(tables_560100!C192,input_560100!A:H,8,FALSE))</f>
        <v>5184</v>
      </c>
      <c r="P192" s="46">
        <f t="shared" ca="1" si="11"/>
        <v>1.5882352941371083E-4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input_560100!A$2</f>
        <v>560100</v>
      </c>
      <c r="B193" s="5">
        <v>469</v>
      </c>
      <c r="C193" s="7" t="str">
        <f t="shared" si="12"/>
        <v>Premium3</v>
      </c>
      <c r="D193" s="7" t="str">
        <f t="shared" si="13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IFERROR(VLOOKUP(B193,input_560100!L:R,7,FALSE),VLOOKUP(tables_560100!C193,input_560100!A:H,8,FALSE))</f>
        <v>0</v>
      </c>
      <c r="P193" s="46">
        <f t="shared" ca="1" si="11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input_560100!A$2</f>
        <v>560100</v>
      </c>
      <c r="B194" s="5">
        <v>470</v>
      </c>
      <c r="C194" s="7" t="str">
        <f t="shared" si="12"/>
        <v>Premium4</v>
      </c>
      <c r="D194" s="7" t="str">
        <f t="shared" si="13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IFERROR(VLOOKUP(B194,input_560100!L:R,7,FALSE),VLOOKUP(tables_560100!C194,input_560100!A:H,8,FALSE))</f>
        <v>262990</v>
      </c>
      <c r="P194" s="46">
        <f t="shared" ref="P194:P257" ca="1" si="14">O194/SUM(O:O)</f>
        <v>8.0572916667653958E-3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input_560100!A$2</f>
        <v>560100</v>
      </c>
      <c r="B195" s="5">
        <v>471</v>
      </c>
      <c r="C195" s="7" t="str">
        <f t="shared" si="12"/>
        <v>Premium5</v>
      </c>
      <c r="D195" s="7" t="str">
        <f t="shared" si="13"/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IFERROR(VLOOKUP(B195,input_560100!L:R,7,FALSE),VLOOKUP(tables_560100!C195,input_560100!A:H,8,FALSE))</f>
        <v>28273.615379999999</v>
      </c>
      <c r="P195" s="46">
        <f t="shared" ca="1" si="14"/>
        <v>8.6622596140767296E-4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input_560100!A$2</f>
        <v>560100</v>
      </c>
      <c r="B196" s="5">
        <v>474</v>
      </c>
      <c r="C196" s="7" t="str">
        <f t="shared" si="12"/>
        <v>PremiumSS4</v>
      </c>
      <c r="D196" s="7" t="str">
        <f t="shared" si="13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IFERROR(VLOOKUP(B196,input_560100!L:R,7,FALSE),VLOOKUP(tables_560100!C196,input_560100!A:H,8,FALSE))</f>
        <v>29376</v>
      </c>
      <c r="P196" s="46">
        <f t="shared" ca="1" si="14"/>
        <v>9.0000000001102805E-4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input_560100!A$2</f>
        <v>560100</v>
      </c>
      <c r="B197" s="5">
        <v>475</v>
      </c>
      <c r="C197" s="7" t="str">
        <f t="shared" si="12"/>
        <v>PremiumSS5</v>
      </c>
      <c r="D197" s="7" t="str">
        <f t="shared" si="13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IFERROR(VLOOKUP(B197,input_560100!L:R,7,FALSE),VLOOKUP(tables_560100!C197,input_560100!A:H,8,FALSE))</f>
        <v>5184</v>
      </c>
      <c r="P197" s="46">
        <f t="shared" ca="1" si="14"/>
        <v>1.5882352941371083E-4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input_560100!A$2</f>
        <v>560100</v>
      </c>
      <c r="B198" s="5">
        <v>476</v>
      </c>
      <c r="C198" s="7" t="str">
        <f t="shared" si="12"/>
        <v>Premium3</v>
      </c>
      <c r="D198" s="7" t="str">
        <f t="shared" si="13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IFERROR(VLOOKUP(B198,input_560100!L:R,7,FALSE),VLOOKUP(tables_560100!C198,input_560100!A:H,8,FALSE))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input_560100!A$2</f>
        <v>560100</v>
      </c>
      <c r="B199" s="5">
        <v>477</v>
      </c>
      <c r="C199" s="7" t="str">
        <f t="shared" si="12"/>
        <v>Premium4</v>
      </c>
      <c r="D199" s="7" t="str">
        <f t="shared" si="13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IFERROR(VLOOKUP(B199,input_560100!L:R,7,FALSE),VLOOKUP(tables_560100!C199,input_560100!A:H,8,FALSE))</f>
        <v>262990</v>
      </c>
      <c r="P199" s="46">
        <f t="shared" ca="1" si="14"/>
        <v>8.0572916667653958E-3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input_560100!A$2</f>
        <v>560100</v>
      </c>
      <c r="B200" s="5">
        <v>478</v>
      </c>
      <c r="C200" s="7" t="str">
        <f t="shared" si="12"/>
        <v>Premium5</v>
      </c>
      <c r="D200" s="7" t="str">
        <f t="shared" si="13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IFERROR(VLOOKUP(B200,input_560100!L:R,7,FALSE),VLOOKUP(tables_560100!C200,input_560100!A:H,8,FALSE))</f>
        <v>28273.615379999999</v>
      </c>
      <c r="P200" s="46">
        <f t="shared" ca="1" si="14"/>
        <v>8.6622596140767296E-4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input_560100!A$2</f>
        <v>560100</v>
      </c>
      <c r="B201" s="5">
        <v>479</v>
      </c>
      <c r="C201" s="7" t="str">
        <f t="shared" si="12"/>
        <v>PremiumSS4</v>
      </c>
      <c r="D201" s="7" t="str">
        <f t="shared" si="13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IFERROR(VLOOKUP(B201,input_560100!L:R,7,FALSE),VLOOKUP(tables_560100!C201,input_560100!A:H,8,FALSE))</f>
        <v>29376</v>
      </c>
      <c r="P201" s="46">
        <f t="shared" ca="1" si="14"/>
        <v>9.0000000001102805E-4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input_560100!A$2</f>
        <v>560100</v>
      </c>
      <c r="B202" s="5">
        <v>480</v>
      </c>
      <c r="C202" s="7" t="str">
        <f t="shared" ref="C202:C265" si="15">D202&amp;J202&amp;E202&amp;F202&amp;G202</f>
        <v>PremiumSS5</v>
      </c>
      <c r="D202" s="7" t="str">
        <f t="shared" ref="D202:D265" si="16">IF(OR(I202="PremiumSS",I202="PremiumSSw"),"PremiumSS",IF(I202="PremiumSSS",I202,IF(I202="PremiumW",IF(J202=5,"premium",I202),"Premium")))</f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IFERROR(VLOOKUP(B202,input_560100!L:R,7,FALSE),VLOOKUP(tables_560100!C202,input_560100!A:H,8,FALSE))</f>
        <v>5184</v>
      </c>
      <c r="P202" s="46">
        <f t="shared" ca="1" si="14"/>
        <v>1.5882352941371083E-4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input_560100!A$2</f>
        <v>560100</v>
      </c>
      <c r="B203" s="5">
        <v>481</v>
      </c>
      <c r="C203" s="7" t="str">
        <f t="shared" si="15"/>
        <v>Premium3</v>
      </c>
      <c r="D203" s="7" t="str">
        <f t="shared" si="16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IFERROR(VLOOKUP(B203,input_560100!L:R,7,FALSE),VLOOKUP(tables_560100!C203,input_560100!A:H,8,FALSE))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input_560100!A$2</f>
        <v>560100</v>
      </c>
      <c r="B204" s="5">
        <v>482</v>
      </c>
      <c r="C204" s="7" t="str">
        <f t="shared" si="15"/>
        <v>Premium4</v>
      </c>
      <c r="D204" s="7" t="str">
        <f t="shared" si="16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IFERROR(VLOOKUP(B204,input_560100!L:R,7,FALSE),VLOOKUP(tables_560100!C204,input_560100!A:H,8,FALSE))</f>
        <v>262990</v>
      </c>
      <c r="P204" s="46">
        <f t="shared" ca="1" si="14"/>
        <v>8.0572916667653958E-3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input_560100!A$2</f>
        <v>560100</v>
      </c>
      <c r="B205" s="5">
        <v>483</v>
      </c>
      <c r="C205" s="7" t="str">
        <f t="shared" si="15"/>
        <v>Premium5</v>
      </c>
      <c r="D205" s="7" t="str">
        <f t="shared" si="16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IFERROR(VLOOKUP(B205,input_560100!L:R,7,FALSE),VLOOKUP(tables_560100!C205,input_560100!A:H,8,FALSE))</f>
        <v>28273.615379999999</v>
      </c>
      <c r="P205" s="46">
        <f t="shared" ca="1" si="14"/>
        <v>8.6622596140767296E-4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input_560100!A$2</f>
        <v>560100</v>
      </c>
      <c r="B206" s="5">
        <v>492</v>
      </c>
      <c r="C206" s="7" t="str">
        <f t="shared" si="15"/>
        <v>PremiumSS4</v>
      </c>
      <c r="D206" s="7" t="str">
        <f t="shared" si="16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IFERROR(VLOOKUP(B206,input_560100!L:R,7,FALSE),VLOOKUP(tables_560100!C206,input_560100!A:H,8,FALSE))</f>
        <v>29376</v>
      </c>
      <c r="P206" s="46">
        <f t="shared" ca="1" si="14"/>
        <v>9.0000000001102805E-4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input_560100!A$2</f>
        <v>560100</v>
      </c>
      <c r="B207" s="5">
        <v>493</v>
      </c>
      <c r="C207" s="7" t="str">
        <f t="shared" si="15"/>
        <v>PremiumSS5</v>
      </c>
      <c r="D207" s="7" t="str">
        <f t="shared" si="16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IFERROR(VLOOKUP(B207,input_560100!L:R,7,FALSE),VLOOKUP(tables_560100!C207,input_560100!A:H,8,FALSE))</f>
        <v>5184</v>
      </c>
      <c r="P207" s="46">
        <f t="shared" ca="1" si="14"/>
        <v>1.5882352941371083E-4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input_560100!A$2</f>
        <v>560100</v>
      </c>
      <c r="B208" s="5">
        <v>494</v>
      </c>
      <c r="C208" s="7" t="str">
        <f t="shared" si="15"/>
        <v>PremiumSS4</v>
      </c>
      <c r="D208" s="7" t="str">
        <f t="shared" si="16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IFERROR(VLOOKUP(B208,input_560100!L:R,7,FALSE),VLOOKUP(tables_560100!C208,input_560100!A:H,8,FALSE))</f>
        <v>29376</v>
      </c>
      <c r="P208" s="46">
        <f t="shared" ca="1" si="14"/>
        <v>9.0000000001102805E-4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input_560100!A$2</f>
        <v>560100</v>
      </c>
      <c r="B209" s="5">
        <v>495</v>
      </c>
      <c r="C209" s="7" t="str">
        <f t="shared" si="15"/>
        <v>PremiumSS5</v>
      </c>
      <c r="D209" s="7" t="str">
        <f t="shared" si="16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IFERROR(VLOOKUP(B209,input_560100!L:R,7,FALSE),VLOOKUP(tables_560100!C209,input_560100!A:H,8,FALSE))</f>
        <v>5184</v>
      </c>
      <c r="P209" s="46">
        <f t="shared" ca="1" si="14"/>
        <v>1.5882352941371083E-4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input_560100!A$2</f>
        <v>560100</v>
      </c>
      <c r="B210" s="5">
        <v>496</v>
      </c>
      <c r="C210" s="7" t="str">
        <f t="shared" si="15"/>
        <v>Premium3</v>
      </c>
      <c r="D210" s="7" t="str">
        <f t="shared" si="16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IFERROR(VLOOKUP(B210,input_560100!L:R,7,FALSE),VLOOKUP(tables_560100!C210,input_560100!A:H,8,FALSE))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input_560100!A$2</f>
        <v>560100</v>
      </c>
      <c r="B211" s="5">
        <v>497</v>
      </c>
      <c r="C211" s="7" t="str">
        <f t="shared" si="15"/>
        <v>Premium4</v>
      </c>
      <c r="D211" s="7" t="str">
        <f t="shared" si="16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IFERROR(VLOOKUP(B211,input_560100!L:R,7,FALSE),VLOOKUP(tables_560100!C211,input_560100!A:H,8,FALSE))</f>
        <v>262990</v>
      </c>
      <c r="P211" s="46">
        <f t="shared" ca="1" si="14"/>
        <v>8.0572916667653958E-3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input_560100!A$2</f>
        <v>560100</v>
      </c>
      <c r="B212" s="5">
        <v>498</v>
      </c>
      <c r="C212" s="7" t="str">
        <f t="shared" si="15"/>
        <v>Premium5</v>
      </c>
      <c r="D212" s="7" t="str">
        <f t="shared" si="16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IFERROR(VLOOKUP(B212,input_560100!L:R,7,FALSE),VLOOKUP(tables_560100!C212,input_560100!A:H,8,FALSE))</f>
        <v>28273.615379999999</v>
      </c>
      <c r="P212" s="46">
        <f t="shared" ca="1" si="14"/>
        <v>8.6622596140767296E-4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input_560100!A$2</f>
        <v>560100</v>
      </c>
      <c r="B213" s="5">
        <v>499</v>
      </c>
      <c r="C213" s="7" t="str">
        <f t="shared" si="15"/>
        <v>PremiumSS4</v>
      </c>
      <c r="D213" s="7" t="str">
        <f t="shared" si="16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IFERROR(VLOOKUP(B213,input_560100!L:R,7,FALSE),VLOOKUP(tables_560100!C213,input_560100!A:H,8,FALSE))</f>
        <v>29376</v>
      </c>
      <c r="P213" s="46">
        <f t="shared" ca="1" si="14"/>
        <v>9.0000000001102805E-4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input_560100!A$2</f>
        <v>560100</v>
      </c>
      <c r="B214" s="5">
        <v>500</v>
      </c>
      <c r="C214" s="7" t="str">
        <f t="shared" si="15"/>
        <v>PremiumSS5</v>
      </c>
      <c r="D214" s="7" t="str">
        <f t="shared" si="16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IFERROR(VLOOKUP(B214,input_560100!L:R,7,FALSE),VLOOKUP(tables_560100!C214,input_560100!A:H,8,FALSE))</f>
        <v>5184</v>
      </c>
      <c r="P214" s="46">
        <f t="shared" ca="1" si="14"/>
        <v>1.5882352941371083E-4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input_560100!A$2</f>
        <v>560100</v>
      </c>
      <c r="B215" s="5">
        <v>560</v>
      </c>
      <c r="C215" s="7" t="str">
        <f t="shared" si="15"/>
        <v>premium5R3less</v>
      </c>
      <c r="D215" s="7" t="str">
        <f t="shared" si="16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IFERROR(VLOOKUP(B215,input_560100!L:R,7,FALSE),VLOOKUP(tables_560100!C215,input_560100!A:H,8,FALSE))</f>
        <v>46410</v>
      </c>
      <c r="P215" s="46">
        <f t="shared" ca="1" si="14"/>
        <v>1.4218750000174229E-3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input_560100!A$2</f>
        <v>560100</v>
      </c>
      <c r="B216" s="5">
        <v>561</v>
      </c>
      <c r="C216" s="7" t="str">
        <f t="shared" si="15"/>
        <v>premium5R3less</v>
      </c>
      <c r="D216" s="7" t="str">
        <f t="shared" si="16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IFERROR(VLOOKUP(B216,input_560100!L:R,7,FALSE),VLOOKUP(tables_560100!C216,input_560100!A:H,8,FALSE))</f>
        <v>46410</v>
      </c>
      <c r="P216" s="46">
        <f t="shared" ca="1" si="14"/>
        <v>1.4218750000174229E-3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input_560100!A$2</f>
        <v>560100</v>
      </c>
      <c r="B217" s="5">
        <v>562</v>
      </c>
      <c r="C217" s="7" t="str">
        <f t="shared" si="15"/>
        <v>premium5R3less</v>
      </c>
      <c r="D217" s="7" t="str">
        <f t="shared" si="16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IFERROR(VLOOKUP(B217,input_560100!L:R,7,FALSE),VLOOKUP(tables_560100!C217,input_560100!A:H,8,FALSE))</f>
        <v>46410</v>
      </c>
      <c r="P217" s="46">
        <f t="shared" ca="1" si="14"/>
        <v>1.4218750000174229E-3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input_560100!A$2</f>
        <v>560100</v>
      </c>
      <c r="B218" s="5">
        <v>563</v>
      </c>
      <c r="C218" s="7" t="str">
        <f t="shared" si="15"/>
        <v>premium5R3less</v>
      </c>
      <c r="D218" s="7" t="str">
        <f t="shared" si="16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IFERROR(VLOOKUP(B218,input_560100!L:R,7,FALSE),VLOOKUP(tables_560100!C218,input_560100!A:H,8,FALSE))</f>
        <v>46410</v>
      </c>
      <c r="P218" s="46">
        <f t="shared" ca="1" si="14"/>
        <v>1.4218750000174229E-3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input_560100!A$2</f>
        <v>560100</v>
      </c>
      <c r="B219" s="5">
        <v>566</v>
      </c>
      <c r="C219" s="7" t="str">
        <f t="shared" si="15"/>
        <v>premium5R3less</v>
      </c>
      <c r="D219" s="7" t="str">
        <f t="shared" si="16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IFERROR(VLOOKUP(B219,input_560100!L:R,7,FALSE),VLOOKUP(tables_560100!C219,input_560100!A:H,8,FALSE))</f>
        <v>46410</v>
      </c>
      <c r="P219" s="46">
        <f t="shared" ca="1" si="14"/>
        <v>1.4218750000174229E-3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input_560100!A$2</f>
        <v>560100</v>
      </c>
      <c r="B220" s="5">
        <v>567</v>
      </c>
      <c r="C220" s="7" t="str">
        <f t="shared" si="15"/>
        <v>premium5R3less</v>
      </c>
      <c r="D220" s="7" t="str">
        <f t="shared" si="16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IFERROR(VLOOKUP(B220,input_560100!L:R,7,FALSE),VLOOKUP(tables_560100!C220,input_560100!A:H,8,FALSE))</f>
        <v>46410</v>
      </c>
      <c r="P220" s="46">
        <f t="shared" ca="1" si="14"/>
        <v>1.4218750000174229E-3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input_560100!A$2</f>
        <v>560100</v>
      </c>
      <c r="B221" s="5">
        <v>586</v>
      </c>
      <c r="C221" s="7" t="str">
        <f t="shared" si="15"/>
        <v>PremiumSS4</v>
      </c>
      <c r="D221" s="7" t="str">
        <f t="shared" si="16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IFERROR(VLOOKUP(B221,input_560100!L:R,7,FALSE),VLOOKUP(tables_560100!C221,input_560100!A:H,8,FALSE))</f>
        <v>29376</v>
      </c>
      <c r="P221" s="46">
        <f t="shared" ca="1" si="14"/>
        <v>9.0000000001102805E-4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input_560100!A$2</f>
        <v>560100</v>
      </c>
      <c r="B222" s="5">
        <v>587</v>
      </c>
      <c r="C222" s="7" t="str">
        <f t="shared" si="15"/>
        <v>PremiumSS5</v>
      </c>
      <c r="D222" s="7" t="str">
        <f t="shared" si="16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IFERROR(VLOOKUP(B222,input_560100!L:R,7,FALSE),VLOOKUP(tables_560100!C222,input_560100!A:H,8,FALSE))</f>
        <v>5184</v>
      </c>
      <c r="P222" s="46">
        <f t="shared" ca="1" si="14"/>
        <v>1.5882352941371083E-4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input_560100!A$2</f>
        <v>560100</v>
      </c>
      <c r="B223" s="5">
        <v>588</v>
      </c>
      <c r="C223" s="7" t="str">
        <f t="shared" si="15"/>
        <v>Premium3</v>
      </c>
      <c r="D223" s="7" t="str">
        <f t="shared" si="16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IFERROR(VLOOKUP(B223,input_560100!L:R,7,FALSE),VLOOKUP(tables_560100!C223,input_560100!A:H,8,FALSE))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input_560100!A$2</f>
        <v>560100</v>
      </c>
      <c r="B224" s="5">
        <v>589</v>
      </c>
      <c r="C224" s="7" t="str">
        <f t="shared" si="15"/>
        <v>Premium4</v>
      </c>
      <c r="D224" s="7" t="str">
        <f t="shared" si="16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IFERROR(VLOOKUP(B224,input_560100!L:R,7,FALSE),VLOOKUP(tables_560100!C224,input_560100!A:H,8,FALSE))</f>
        <v>262990</v>
      </c>
      <c r="P224" s="46">
        <f t="shared" ca="1" si="14"/>
        <v>8.0572916667653958E-3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input_560100!A$2</f>
        <v>560100</v>
      </c>
      <c r="B225" s="5">
        <v>590</v>
      </c>
      <c r="C225" s="7" t="str">
        <f t="shared" si="15"/>
        <v>Premium5</v>
      </c>
      <c r="D225" s="7" t="str">
        <f t="shared" si="16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IFERROR(VLOOKUP(B225,input_560100!L:R,7,FALSE),VLOOKUP(tables_560100!C225,input_560100!A:H,8,FALSE))</f>
        <v>28273.615379999999</v>
      </c>
      <c r="P225" s="46">
        <f t="shared" ca="1" si="14"/>
        <v>8.6622596140767296E-4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input_560100!A$2</f>
        <v>560100</v>
      </c>
      <c r="B226" s="5">
        <v>591</v>
      </c>
      <c r="C226" s="7" t="str">
        <f t="shared" si="15"/>
        <v>Premium3</v>
      </c>
      <c r="D226" s="7" t="str">
        <f t="shared" si="16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IFERROR(VLOOKUP(B226,input_560100!L:R,7,FALSE),VLOOKUP(tables_560100!C226,input_560100!A:H,8,FALSE))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input_560100!A$2</f>
        <v>560100</v>
      </c>
      <c r="B227" s="5">
        <v>592</v>
      </c>
      <c r="C227" s="7" t="str">
        <f t="shared" si="15"/>
        <v>Premium4</v>
      </c>
      <c r="D227" s="7" t="str">
        <f t="shared" si="16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IFERROR(VLOOKUP(B227,input_560100!L:R,7,FALSE),VLOOKUP(tables_560100!C227,input_560100!A:H,8,FALSE))</f>
        <v>262990</v>
      </c>
      <c r="P227" s="46">
        <f t="shared" ca="1" si="14"/>
        <v>8.0572916667653958E-3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input_560100!A$2</f>
        <v>560100</v>
      </c>
      <c r="B228" s="5">
        <v>593</v>
      </c>
      <c r="C228" s="7" t="str">
        <f t="shared" si="15"/>
        <v>Premium5</v>
      </c>
      <c r="D228" s="7" t="str">
        <f t="shared" si="16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IFERROR(VLOOKUP(B228,input_560100!L:R,7,FALSE),VLOOKUP(tables_560100!C228,input_560100!A:H,8,FALSE))</f>
        <v>28273.615379999999</v>
      </c>
      <c r="P228" s="46">
        <f t="shared" ca="1" si="14"/>
        <v>8.6622596140767296E-4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input_560100!A$2</f>
        <v>560100</v>
      </c>
      <c r="B229" s="5">
        <v>594</v>
      </c>
      <c r="C229" s="7" t="str">
        <f t="shared" si="15"/>
        <v>PremiumSS4</v>
      </c>
      <c r="D229" s="7" t="str">
        <f t="shared" si="16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IFERROR(VLOOKUP(B229,input_560100!L:R,7,FALSE),VLOOKUP(tables_560100!C229,input_560100!A:H,8,FALSE))</f>
        <v>29376</v>
      </c>
      <c r="P229" s="46">
        <f t="shared" ca="1" si="14"/>
        <v>9.0000000001102805E-4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input_560100!A$2</f>
        <v>560100</v>
      </c>
      <c r="B230" s="5">
        <v>595</v>
      </c>
      <c r="C230" s="7" t="str">
        <f t="shared" si="15"/>
        <v>PremiumSS5</v>
      </c>
      <c r="D230" s="7" t="str">
        <f t="shared" si="16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IFERROR(VLOOKUP(B230,input_560100!L:R,7,FALSE),VLOOKUP(tables_560100!C230,input_560100!A:H,8,FALSE))</f>
        <v>5184</v>
      </c>
      <c r="P230" s="46">
        <f t="shared" ca="1" si="14"/>
        <v>1.5882352941371083E-4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input_560100!A$2</f>
        <v>560100</v>
      </c>
      <c r="B231" s="5">
        <v>596</v>
      </c>
      <c r="C231" s="7" t="str">
        <f t="shared" si="15"/>
        <v>Premium3</v>
      </c>
      <c r="D231" s="7" t="str">
        <f t="shared" si="16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IFERROR(VLOOKUP(B231,input_560100!L:R,7,FALSE),VLOOKUP(tables_560100!C231,input_560100!A:H,8,FALSE))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input_560100!A$2</f>
        <v>560100</v>
      </c>
      <c r="B232" s="5">
        <v>597</v>
      </c>
      <c r="C232" s="7" t="str">
        <f t="shared" si="15"/>
        <v>Premium4</v>
      </c>
      <c r="D232" s="7" t="str">
        <f t="shared" si="16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IFERROR(VLOOKUP(B232,input_560100!L:R,7,FALSE),VLOOKUP(tables_560100!C232,input_560100!A:H,8,FALSE))</f>
        <v>262990</v>
      </c>
      <c r="P232" s="46">
        <f t="shared" ca="1" si="14"/>
        <v>8.0572916667653958E-3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input_560100!A$2</f>
        <v>560100</v>
      </c>
      <c r="B233" s="5">
        <v>598</v>
      </c>
      <c r="C233" s="7" t="str">
        <f t="shared" si="15"/>
        <v>Premium5</v>
      </c>
      <c r="D233" s="7" t="str">
        <f t="shared" si="16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IFERROR(VLOOKUP(B233,input_560100!L:R,7,FALSE),VLOOKUP(tables_560100!C233,input_560100!A:H,8,FALSE))</f>
        <v>28273.615379999999</v>
      </c>
      <c r="P233" s="46">
        <f t="shared" ca="1" si="14"/>
        <v>8.6622596140767296E-4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input_560100!A$2</f>
        <v>560100</v>
      </c>
      <c r="B234" s="5">
        <v>599</v>
      </c>
      <c r="C234" s="7" t="str">
        <f t="shared" si="15"/>
        <v>Premium3</v>
      </c>
      <c r="D234" s="7" t="str">
        <f t="shared" si="16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IFERROR(VLOOKUP(B234,input_560100!L:R,7,FALSE),VLOOKUP(tables_560100!C234,input_560100!A:H,8,FALSE))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input_560100!A$2</f>
        <v>560100</v>
      </c>
      <c r="B235" s="5">
        <v>600</v>
      </c>
      <c r="C235" s="7" t="str">
        <f t="shared" si="15"/>
        <v>Premium4</v>
      </c>
      <c r="D235" s="7" t="str">
        <f t="shared" si="16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IFERROR(VLOOKUP(B235,input_560100!L:R,7,FALSE),VLOOKUP(tables_560100!C235,input_560100!A:H,8,FALSE))</f>
        <v>262990</v>
      </c>
      <c r="P235" s="46">
        <f t="shared" ca="1" si="14"/>
        <v>8.0572916667653958E-3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input_560100!A$2</f>
        <v>560100</v>
      </c>
      <c r="B236" s="5">
        <v>601</v>
      </c>
      <c r="C236" s="7" t="str">
        <f t="shared" si="15"/>
        <v>Premium5</v>
      </c>
      <c r="D236" s="7" t="str">
        <f t="shared" si="16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IFERROR(VLOOKUP(B236,input_560100!L:R,7,FALSE),VLOOKUP(tables_560100!C236,input_560100!A:H,8,FALSE))</f>
        <v>28273.615379999999</v>
      </c>
      <c r="P236" s="46">
        <f t="shared" ca="1" si="14"/>
        <v>8.6622596140767296E-4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input_560100!A$2</f>
        <v>560100</v>
      </c>
      <c r="B237" s="5">
        <v>602</v>
      </c>
      <c r="C237" s="7" t="str">
        <f t="shared" si="15"/>
        <v>PremiumSS4</v>
      </c>
      <c r="D237" s="7" t="str">
        <f t="shared" si="16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IFERROR(VLOOKUP(B237,input_560100!L:R,7,FALSE),VLOOKUP(tables_560100!C237,input_560100!A:H,8,FALSE))</f>
        <v>29376</v>
      </c>
      <c r="P237" s="46">
        <f t="shared" ca="1" si="14"/>
        <v>9.0000000001102805E-4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input_560100!A$2</f>
        <v>560100</v>
      </c>
      <c r="B238" s="5">
        <v>603</v>
      </c>
      <c r="C238" s="7" t="str">
        <f t="shared" si="15"/>
        <v>PremiumSS5</v>
      </c>
      <c r="D238" s="7" t="str">
        <f t="shared" si="16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IFERROR(VLOOKUP(B238,input_560100!L:R,7,FALSE),VLOOKUP(tables_560100!C238,input_560100!A:H,8,FALSE))</f>
        <v>5184</v>
      </c>
      <c r="P238" s="46">
        <f t="shared" ca="1" si="14"/>
        <v>1.5882352941371083E-4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input_560100!A$2</f>
        <v>560100</v>
      </c>
      <c r="B239" s="5">
        <v>604</v>
      </c>
      <c r="C239" s="7" t="str">
        <f t="shared" si="15"/>
        <v>Premium3</v>
      </c>
      <c r="D239" s="7" t="str">
        <f t="shared" si="16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IFERROR(VLOOKUP(B239,input_560100!L:R,7,FALSE),VLOOKUP(tables_560100!C239,input_560100!A:H,8,FALSE))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input_560100!A$2</f>
        <v>560100</v>
      </c>
      <c r="B240" s="5">
        <v>605</v>
      </c>
      <c r="C240" s="7" t="str">
        <f t="shared" si="15"/>
        <v>Premium4</v>
      </c>
      <c r="D240" s="7" t="str">
        <f t="shared" si="16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IFERROR(VLOOKUP(B240,input_560100!L:R,7,FALSE),VLOOKUP(tables_560100!C240,input_560100!A:H,8,FALSE))</f>
        <v>262990</v>
      </c>
      <c r="P240" s="46">
        <f t="shared" ca="1" si="14"/>
        <v>8.0572916667653958E-3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input_560100!A$2</f>
        <v>560100</v>
      </c>
      <c r="B241" s="5">
        <v>606</v>
      </c>
      <c r="C241" s="7" t="str">
        <f t="shared" si="15"/>
        <v>Premium5</v>
      </c>
      <c r="D241" s="7" t="str">
        <f t="shared" si="16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IFERROR(VLOOKUP(B241,input_560100!L:R,7,FALSE),VLOOKUP(tables_560100!C241,input_560100!A:H,8,FALSE))</f>
        <v>28273.615379999999</v>
      </c>
      <c r="P241" s="46">
        <f t="shared" ca="1" si="14"/>
        <v>8.6622596140767296E-4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input_560100!A$2</f>
        <v>560100</v>
      </c>
      <c r="B242" s="5">
        <v>658</v>
      </c>
      <c r="C242" s="7" t="str">
        <f t="shared" si="15"/>
        <v>PremiumSS4</v>
      </c>
      <c r="D242" s="7" t="str">
        <f t="shared" si="16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IFERROR(VLOOKUP(B242,input_560100!L:R,7,FALSE),VLOOKUP(tables_560100!C242,input_560100!A:H,8,FALSE))</f>
        <v>29376</v>
      </c>
      <c r="P242" s="46">
        <f t="shared" ca="1" si="14"/>
        <v>9.0000000001102805E-4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input_560100!A$2</f>
        <v>560100</v>
      </c>
      <c r="B243" s="5">
        <v>659</v>
      </c>
      <c r="C243" s="7" t="str">
        <f t="shared" si="15"/>
        <v>PremiumSS5</v>
      </c>
      <c r="D243" s="7" t="str">
        <f t="shared" si="16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IFERROR(VLOOKUP(B243,input_560100!L:R,7,FALSE),VLOOKUP(tables_560100!C243,input_560100!A:H,8,FALSE))</f>
        <v>5184</v>
      </c>
      <c r="P243" s="46">
        <f t="shared" ca="1" si="14"/>
        <v>1.5882352941371083E-4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input_560100!A$2</f>
        <v>560100</v>
      </c>
      <c r="B244" s="5">
        <v>660</v>
      </c>
      <c r="C244" s="7" t="str">
        <f t="shared" si="15"/>
        <v>PremiumSS4</v>
      </c>
      <c r="D244" s="7" t="str">
        <f t="shared" si="16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IFERROR(VLOOKUP(B244,input_560100!L:R,7,FALSE),VLOOKUP(tables_560100!C244,input_560100!A:H,8,FALSE))</f>
        <v>29376</v>
      </c>
      <c r="P244" s="46">
        <f t="shared" ca="1" si="14"/>
        <v>9.0000000001102805E-4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input_560100!A$2</f>
        <v>560100</v>
      </c>
      <c r="B245" s="5">
        <v>661</v>
      </c>
      <c r="C245" s="7" t="str">
        <f t="shared" si="15"/>
        <v>PremiumSS5</v>
      </c>
      <c r="D245" s="7" t="str">
        <f t="shared" si="16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IFERROR(VLOOKUP(B245,input_560100!L:R,7,FALSE),VLOOKUP(tables_560100!C245,input_560100!A:H,8,FALSE))</f>
        <v>5184</v>
      </c>
      <c r="P245" s="46">
        <f t="shared" ca="1" si="14"/>
        <v>1.5882352941371083E-4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input_560100!A$2</f>
        <v>560100</v>
      </c>
      <c r="B246" s="5">
        <v>662</v>
      </c>
      <c r="C246" s="7" t="str">
        <f t="shared" si="15"/>
        <v>Premium3</v>
      </c>
      <c r="D246" s="7" t="str">
        <f t="shared" si="16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IFERROR(VLOOKUP(B246,input_560100!L:R,7,FALSE),VLOOKUP(tables_560100!C246,input_560100!A:H,8,FALSE))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input_560100!A$2</f>
        <v>560100</v>
      </c>
      <c r="B247" s="5">
        <v>663</v>
      </c>
      <c r="C247" s="7" t="str">
        <f t="shared" si="15"/>
        <v>Premium4</v>
      </c>
      <c r="D247" s="7" t="str">
        <f t="shared" si="16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IFERROR(VLOOKUP(B247,input_560100!L:R,7,FALSE),VLOOKUP(tables_560100!C247,input_560100!A:H,8,FALSE))</f>
        <v>262990</v>
      </c>
      <c r="P247" s="46">
        <f t="shared" ca="1" si="14"/>
        <v>8.0572916667653958E-3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input_560100!A$2</f>
        <v>560100</v>
      </c>
      <c r="B248" s="5">
        <v>664</v>
      </c>
      <c r="C248" s="7" t="str">
        <f t="shared" si="15"/>
        <v>Premium5</v>
      </c>
      <c r="D248" s="7" t="str">
        <f t="shared" si="16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IFERROR(VLOOKUP(B248,input_560100!L:R,7,FALSE),VLOOKUP(tables_560100!C248,input_560100!A:H,8,FALSE))</f>
        <v>28273.615379999999</v>
      </c>
      <c r="P248" s="46">
        <f t="shared" ca="1" si="14"/>
        <v>8.6622596140767296E-4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input_560100!A$2</f>
        <v>560100</v>
      </c>
      <c r="B249" s="5">
        <v>665</v>
      </c>
      <c r="C249" s="7" t="str">
        <f t="shared" si="15"/>
        <v>Premium3</v>
      </c>
      <c r="D249" s="7" t="str">
        <f t="shared" si="16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IFERROR(VLOOKUP(B249,input_560100!L:R,7,FALSE),VLOOKUP(tables_560100!C249,input_560100!A:H,8,FALSE))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input_560100!A$2</f>
        <v>560100</v>
      </c>
      <c r="B250" s="5">
        <v>666</v>
      </c>
      <c r="C250" s="7" t="str">
        <f t="shared" si="15"/>
        <v>Premium4</v>
      </c>
      <c r="D250" s="7" t="str">
        <f t="shared" si="16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IFERROR(VLOOKUP(B250,input_560100!L:R,7,FALSE),VLOOKUP(tables_560100!C250,input_560100!A:H,8,FALSE))</f>
        <v>262990</v>
      </c>
      <c r="P250" s="46">
        <f t="shared" ca="1" si="14"/>
        <v>8.0572916667653958E-3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input_560100!A$2</f>
        <v>560100</v>
      </c>
      <c r="B251" s="5">
        <v>667</v>
      </c>
      <c r="C251" s="7" t="str">
        <f t="shared" si="15"/>
        <v>Premium5</v>
      </c>
      <c r="D251" s="7" t="str">
        <f t="shared" si="16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IFERROR(VLOOKUP(B251,input_560100!L:R,7,FALSE),VLOOKUP(tables_560100!C251,input_560100!A:H,8,FALSE))</f>
        <v>28273.615379999999</v>
      </c>
      <c r="P251" s="46">
        <f t="shared" ca="1" si="14"/>
        <v>8.6622596140767296E-4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input_560100!A$2</f>
        <v>560100</v>
      </c>
      <c r="B252" s="5">
        <v>668</v>
      </c>
      <c r="C252" s="7" t="str">
        <f t="shared" si="15"/>
        <v>Premium3</v>
      </c>
      <c r="D252" s="7" t="str">
        <f t="shared" si="16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IFERROR(VLOOKUP(B252,input_560100!L:R,7,FALSE),VLOOKUP(tables_560100!C252,input_560100!A:H,8,FALSE))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input_560100!A$2</f>
        <v>560100</v>
      </c>
      <c r="B253" s="5">
        <v>669</v>
      </c>
      <c r="C253" s="7" t="str">
        <f t="shared" si="15"/>
        <v>Premium4</v>
      </c>
      <c r="D253" s="7" t="str">
        <f t="shared" si="16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IFERROR(VLOOKUP(B253,input_560100!L:R,7,FALSE),VLOOKUP(tables_560100!C253,input_560100!A:H,8,FALSE))</f>
        <v>262990</v>
      </c>
      <c r="P253" s="46">
        <f t="shared" ca="1" si="14"/>
        <v>8.0572916667653958E-3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input_560100!A$2</f>
        <v>560100</v>
      </c>
      <c r="B254" s="5">
        <v>670</v>
      </c>
      <c r="C254" s="7" t="str">
        <f t="shared" si="15"/>
        <v>Premium5</v>
      </c>
      <c r="D254" s="7" t="str">
        <f t="shared" si="16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IFERROR(VLOOKUP(B254,input_560100!L:R,7,FALSE),VLOOKUP(tables_560100!C254,input_560100!A:H,8,FALSE))</f>
        <v>28273.615379999999</v>
      </c>
      <c r="P254" s="46">
        <f t="shared" ca="1" si="14"/>
        <v>8.6622596140767296E-4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input_560100!A$2</f>
        <v>560100</v>
      </c>
      <c r="B255" s="5">
        <v>671</v>
      </c>
      <c r="C255" s="7" t="str">
        <f t="shared" si="15"/>
        <v>Premium3</v>
      </c>
      <c r="D255" s="7" t="str">
        <f t="shared" si="16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IFERROR(VLOOKUP(B255,input_560100!L:R,7,FALSE),VLOOKUP(tables_560100!C255,input_560100!A:H,8,FALSE))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input_560100!A$2</f>
        <v>560100</v>
      </c>
      <c r="B256" s="5">
        <v>672</v>
      </c>
      <c r="C256" s="7" t="str">
        <f t="shared" si="15"/>
        <v>Premium4</v>
      </c>
      <c r="D256" s="7" t="str">
        <f t="shared" si="16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IFERROR(VLOOKUP(B256,input_560100!L:R,7,FALSE),VLOOKUP(tables_560100!C256,input_560100!A:H,8,FALSE))</f>
        <v>262990</v>
      </c>
      <c r="P256" s="46">
        <f t="shared" ca="1" si="14"/>
        <v>8.0572916667653958E-3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input_560100!A$2</f>
        <v>560100</v>
      </c>
      <c r="B257" s="5">
        <v>673</v>
      </c>
      <c r="C257" s="7" t="str">
        <f t="shared" si="15"/>
        <v>Premium5</v>
      </c>
      <c r="D257" s="7" t="str">
        <f t="shared" si="16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IFERROR(VLOOKUP(B257,input_560100!L:R,7,FALSE),VLOOKUP(tables_560100!C257,input_560100!A:H,8,FALSE))</f>
        <v>28273.615379999999</v>
      </c>
      <c r="P257" s="46">
        <f t="shared" ca="1" si="14"/>
        <v>8.6622596140767296E-4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input_560100!A$2</f>
        <v>560100</v>
      </c>
      <c r="B258" s="5">
        <v>674</v>
      </c>
      <c r="C258" s="7" t="str">
        <f t="shared" si="15"/>
        <v>PremiumSS4</v>
      </c>
      <c r="D258" s="7" t="str">
        <f t="shared" si="16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IFERROR(VLOOKUP(B258,input_560100!L:R,7,FALSE),VLOOKUP(tables_560100!C258,input_560100!A:H,8,FALSE))</f>
        <v>29376</v>
      </c>
      <c r="P258" s="46">
        <f t="shared" ref="P258:P321" ca="1" si="17">O258/SUM(O:O)</f>
        <v>9.0000000001102805E-4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input_560100!A$2</f>
        <v>560100</v>
      </c>
      <c r="B259" s="5">
        <v>675</v>
      </c>
      <c r="C259" s="7" t="str">
        <f t="shared" si="15"/>
        <v>PremiumSS5</v>
      </c>
      <c r="D259" s="7" t="str">
        <f t="shared" si="16"/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IFERROR(VLOOKUP(B259,input_560100!L:R,7,FALSE),VLOOKUP(tables_560100!C259,input_560100!A:H,8,FALSE))</f>
        <v>5184</v>
      </c>
      <c r="P259" s="46">
        <f t="shared" ca="1" si="17"/>
        <v>1.5882352941371083E-4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input_560100!A$2</f>
        <v>560100</v>
      </c>
      <c r="B260" s="5">
        <v>676</v>
      </c>
      <c r="C260" s="7" t="str">
        <f t="shared" si="15"/>
        <v>PremiumSS4</v>
      </c>
      <c r="D260" s="7" t="str">
        <f t="shared" si="16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IFERROR(VLOOKUP(B260,input_560100!L:R,7,FALSE),VLOOKUP(tables_560100!C260,input_560100!A:H,8,FALSE))</f>
        <v>29376</v>
      </c>
      <c r="P260" s="46">
        <f t="shared" ca="1" si="17"/>
        <v>9.0000000001102805E-4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input_560100!A$2</f>
        <v>560100</v>
      </c>
      <c r="B261" s="5">
        <v>677</v>
      </c>
      <c r="C261" s="7" t="str">
        <f t="shared" si="15"/>
        <v>PremiumSS5</v>
      </c>
      <c r="D261" s="7" t="str">
        <f t="shared" si="16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IFERROR(VLOOKUP(B261,input_560100!L:R,7,FALSE),VLOOKUP(tables_560100!C261,input_560100!A:H,8,FALSE))</f>
        <v>5184</v>
      </c>
      <c r="P261" s="46">
        <f t="shared" ca="1" si="17"/>
        <v>1.5882352941371083E-4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input_560100!A$2</f>
        <v>560100</v>
      </c>
      <c r="B262" s="5">
        <v>728</v>
      </c>
      <c r="C262" s="7" t="str">
        <f t="shared" si="15"/>
        <v>Premium4R3less</v>
      </c>
      <c r="D262" s="7" t="str">
        <f t="shared" si="16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IFERROR(VLOOKUP(B262,input_560100!L:R,7,FALSE),VLOOKUP(tables_560100!C262,input_560100!A:H,8,FALSE))</f>
        <v>249067</v>
      </c>
      <c r="P262" s="46">
        <f t="shared" ca="1" si="17"/>
        <v>7.6307291667601692E-3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input_560100!A$2</f>
        <v>560100</v>
      </c>
      <c r="B263" s="5">
        <v>729</v>
      </c>
      <c r="C263" s="7" t="str">
        <f t="shared" si="15"/>
        <v>Premium5R3less</v>
      </c>
      <c r="D263" s="7" t="str">
        <f t="shared" si="16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IFERROR(VLOOKUP(B263,input_560100!L:R,7,FALSE),VLOOKUP(tables_560100!C263,input_560100!A:H,8,FALSE))</f>
        <v>46410</v>
      </c>
      <c r="P263" s="46">
        <f t="shared" ca="1" si="17"/>
        <v>1.4218750000174229E-3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input_560100!A$2</f>
        <v>560100</v>
      </c>
      <c r="B264" s="5">
        <v>730</v>
      </c>
      <c r="C264" s="7" t="str">
        <f t="shared" si="15"/>
        <v>Premium4R3less</v>
      </c>
      <c r="D264" s="7" t="str">
        <f t="shared" si="16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IFERROR(VLOOKUP(B264,input_560100!L:R,7,FALSE),VLOOKUP(tables_560100!C264,input_560100!A:H,8,FALSE))</f>
        <v>249067</v>
      </c>
      <c r="P264" s="46">
        <f t="shared" ca="1" si="17"/>
        <v>7.6307291667601692E-3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input_560100!A$2</f>
        <v>560100</v>
      </c>
      <c r="B265" s="5">
        <v>731</v>
      </c>
      <c r="C265" s="7" t="str">
        <f t="shared" si="15"/>
        <v>Premium5R3less</v>
      </c>
      <c r="D265" s="7" t="str">
        <f t="shared" si="16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IFERROR(VLOOKUP(B265,input_560100!L:R,7,FALSE),VLOOKUP(tables_560100!C265,input_560100!A:H,8,FALSE))</f>
        <v>46410</v>
      </c>
      <c r="P265" s="46">
        <f t="shared" ca="1" si="17"/>
        <v>1.4218750000174229E-3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input_560100!A$2</f>
        <v>560100</v>
      </c>
      <c r="B266" s="5">
        <v>732</v>
      </c>
      <c r="C266" s="7" t="str">
        <f t="shared" ref="C266:C329" si="18">D266&amp;J266&amp;E266&amp;F266&amp;G266</f>
        <v>PremiumSS5R5only</v>
      </c>
      <c r="D266" s="7" t="str">
        <f t="shared" ref="D266:D329" si="19">IF(OR(I266="PremiumSS",I266="PremiumSSw"),"PremiumSS",IF(I266="PremiumSSS",I266,IF(I266="PremiumW",IF(J266=5,"premium",I266),"Premium")))</f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IFERROR(VLOOKUP(B266,input_560100!L:R,7,FALSE),VLOOKUP(tables_560100!C266,input_560100!A:H,8,FALSE))</f>
        <v>33643.636359999997</v>
      </c>
      <c r="P266" s="46">
        <f t="shared" ca="1" si="17"/>
        <v>1.0307486630028262E-3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input_560100!A$2</f>
        <v>560100</v>
      </c>
      <c r="B267" s="5">
        <v>734</v>
      </c>
      <c r="C267" s="7" t="str">
        <f t="shared" si="18"/>
        <v>PremiumSS5R5only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IFERROR(VLOOKUP(B267,input_560100!L:R,7,FALSE),VLOOKUP(tables_560100!C267,input_560100!A:H,8,FALSE))</f>
        <v>33643.636359999997</v>
      </c>
      <c r="P267" s="46">
        <f t="shared" ca="1" si="17"/>
        <v>1.0307486630028262E-3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input_560100!A$2</f>
        <v>560100</v>
      </c>
      <c r="B268" s="5">
        <v>742</v>
      </c>
      <c r="C268" s="7" t="str">
        <f t="shared" si="18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IFERROR(VLOOKUP(B268,input_560100!L:R,7,FALSE),VLOOKUP(tables_560100!C268,input_560100!A:H,8,FALSE))</f>
        <v>33643.636359999997</v>
      </c>
      <c r="P268" s="46">
        <f t="shared" ca="1" si="17"/>
        <v>1.0307486630028262E-3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input_560100!A$2</f>
        <v>560100</v>
      </c>
      <c r="B269" s="5">
        <v>744</v>
      </c>
      <c r="C269" s="7" t="str">
        <f t="shared" si="18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IFERROR(VLOOKUP(B269,input_560100!L:R,7,FALSE),VLOOKUP(tables_560100!C269,input_560100!A:H,8,FALSE))</f>
        <v>33643.636359999997</v>
      </c>
      <c r="P269" s="46">
        <f t="shared" ca="1" si="17"/>
        <v>1.0307486630028262E-3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input_560100!A$2</f>
        <v>560100</v>
      </c>
      <c r="B270" s="5">
        <v>746</v>
      </c>
      <c r="C270" s="7" t="str">
        <f t="shared" si="18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IFERROR(VLOOKUP(B270,input_560100!L:R,7,FALSE),VLOOKUP(tables_560100!C270,input_560100!A:H,8,FALSE))</f>
        <v>249067</v>
      </c>
      <c r="P270" s="46">
        <f t="shared" ca="1" si="17"/>
        <v>7.6307291667601692E-3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input_560100!A$2</f>
        <v>560100</v>
      </c>
      <c r="B271" s="5">
        <v>747</v>
      </c>
      <c r="C271" s="7" t="str">
        <f t="shared" si="18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IFERROR(VLOOKUP(B271,input_560100!L:R,7,FALSE),VLOOKUP(tables_560100!C271,input_560100!A:H,8,FALSE))</f>
        <v>46410</v>
      </c>
      <c r="P271" s="46">
        <f t="shared" ca="1" si="17"/>
        <v>1.4218750000174229E-3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input_560100!A$2</f>
        <v>560100</v>
      </c>
      <c r="B272" s="5">
        <v>748</v>
      </c>
      <c r="C272" s="7" t="str">
        <f t="shared" si="18"/>
        <v>Premium4R3less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IFERROR(VLOOKUP(B272,input_560100!L:R,7,FALSE),VLOOKUP(tables_560100!C272,input_560100!A:H,8,FALSE))</f>
        <v>249067</v>
      </c>
      <c r="P272" s="46">
        <f t="shared" ca="1" si="17"/>
        <v>7.6307291667601692E-3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input_560100!A$2</f>
        <v>560100</v>
      </c>
      <c r="B273" s="5">
        <v>749</v>
      </c>
      <c r="C273" s="7" t="str">
        <f t="shared" si="18"/>
        <v>Premium5R3less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IFERROR(VLOOKUP(B273,input_560100!L:R,7,FALSE),VLOOKUP(tables_560100!C273,input_560100!A:H,8,FALSE))</f>
        <v>46410</v>
      </c>
      <c r="P273" s="46">
        <f t="shared" ca="1" si="17"/>
        <v>1.4218750000174229E-3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input_560100!A$2</f>
        <v>560100</v>
      </c>
      <c r="B274" s="5">
        <v>770</v>
      </c>
      <c r="C274" s="7" t="str">
        <f t="shared" si="18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IFERROR(VLOOKUP(B274,input_560100!L:R,7,FALSE),VLOOKUP(tables_560100!C274,input_560100!A:H,8,FALSE))</f>
        <v>29376</v>
      </c>
      <c r="P274" s="46">
        <f t="shared" ca="1" si="17"/>
        <v>9.0000000001102805E-4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input_560100!A$2</f>
        <v>560100</v>
      </c>
      <c r="B275" s="5">
        <v>771</v>
      </c>
      <c r="C275" s="7" t="str">
        <f t="shared" si="18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IFERROR(VLOOKUP(B275,input_560100!L:R,7,FALSE),VLOOKUP(tables_560100!C275,input_560100!A:H,8,FALSE))</f>
        <v>5184</v>
      </c>
      <c r="P275" s="46">
        <f t="shared" ca="1" si="17"/>
        <v>1.5882352941371083E-4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input_560100!A$2</f>
        <v>560100</v>
      </c>
      <c r="B276" s="5">
        <v>772</v>
      </c>
      <c r="C276" s="7" t="str">
        <f t="shared" si="18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IFERROR(VLOOKUP(B276,input_560100!L:R,7,FALSE),VLOOKUP(tables_560100!C276,input_560100!A:H,8,FALSE))</f>
        <v>29376</v>
      </c>
      <c r="P276" s="46">
        <f t="shared" ca="1" si="17"/>
        <v>9.0000000001102805E-4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input_560100!A$2</f>
        <v>560100</v>
      </c>
      <c r="B277" s="5">
        <v>773</v>
      </c>
      <c r="C277" s="7" t="str">
        <f t="shared" si="18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IFERROR(VLOOKUP(B277,input_560100!L:R,7,FALSE),VLOOKUP(tables_560100!C277,input_560100!A:H,8,FALSE))</f>
        <v>5184</v>
      </c>
      <c r="P277" s="46">
        <f t="shared" ca="1" si="17"/>
        <v>1.5882352941371083E-4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input_560100!A$2</f>
        <v>560100</v>
      </c>
      <c r="B278" s="5">
        <v>774</v>
      </c>
      <c r="C278" s="7" t="str">
        <f t="shared" si="18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IFERROR(VLOOKUP(B278,input_560100!L:R,7,FALSE),VLOOKUP(tables_560100!C278,input_560100!A:H,8,FALSE))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input_560100!A$2</f>
        <v>560100</v>
      </c>
      <c r="B279" s="5">
        <v>775</v>
      </c>
      <c r="C279" s="7" t="str">
        <f t="shared" si="18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IFERROR(VLOOKUP(B279,input_560100!L:R,7,FALSE),VLOOKUP(tables_560100!C279,input_560100!A:H,8,FALSE))</f>
        <v>262990</v>
      </c>
      <c r="P279" s="46">
        <f t="shared" ca="1" si="17"/>
        <v>8.0572916667653958E-3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input_560100!A$2</f>
        <v>560100</v>
      </c>
      <c r="B280" s="5">
        <v>776</v>
      </c>
      <c r="C280" s="7" t="str">
        <f t="shared" si="18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IFERROR(VLOOKUP(B280,input_560100!L:R,7,FALSE),VLOOKUP(tables_560100!C280,input_560100!A:H,8,FALSE))</f>
        <v>28273.615379999999</v>
      </c>
      <c r="P280" s="46">
        <f t="shared" ca="1" si="17"/>
        <v>8.6622596140767296E-4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input_560100!A$2</f>
        <v>560100</v>
      </c>
      <c r="B281" s="5">
        <v>777</v>
      </c>
      <c r="C281" s="7" t="str">
        <f t="shared" si="18"/>
        <v>Premium3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IFERROR(VLOOKUP(B281,input_560100!L:R,7,FALSE),VLOOKUP(tables_560100!C281,input_560100!A:H,8,FALSE))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input_560100!A$2</f>
        <v>560100</v>
      </c>
      <c r="B282" s="5">
        <v>778</v>
      </c>
      <c r="C282" s="7" t="str">
        <f t="shared" si="18"/>
        <v>Premium4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IFERROR(VLOOKUP(B282,input_560100!L:R,7,FALSE),VLOOKUP(tables_560100!C282,input_560100!A:H,8,FALSE))</f>
        <v>262990</v>
      </c>
      <c r="P282" s="46">
        <f t="shared" ca="1" si="17"/>
        <v>8.0572916667653958E-3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input_560100!A$2</f>
        <v>560100</v>
      </c>
      <c r="B283" s="5">
        <v>779</v>
      </c>
      <c r="C283" s="7" t="str">
        <f t="shared" si="18"/>
        <v>Premium5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IFERROR(VLOOKUP(B283,input_560100!L:R,7,FALSE),VLOOKUP(tables_560100!C283,input_560100!A:H,8,FALSE))</f>
        <v>28273.615379999999</v>
      </c>
      <c r="P283" s="46">
        <f t="shared" ca="1" si="17"/>
        <v>8.6622596140767296E-4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input_560100!A$2</f>
        <v>560100</v>
      </c>
      <c r="B284" s="5">
        <v>848</v>
      </c>
      <c r="C284" s="7" t="str">
        <f t="shared" si="18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IFERROR(VLOOKUP(B284,input_560100!L:R,7,FALSE),VLOOKUP(tables_560100!C284,input_560100!A:H,8,FALSE))</f>
        <v>33643.636359999997</v>
      </c>
      <c r="P284" s="46">
        <f t="shared" ca="1" si="17"/>
        <v>1.0307486630028262E-3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input_560100!A$2</f>
        <v>560100</v>
      </c>
      <c r="B285" s="5">
        <v>850</v>
      </c>
      <c r="C285" s="7" t="str">
        <f t="shared" si="18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IFERROR(VLOOKUP(B285,input_560100!L:R,7,FALSE),VLOOKUP(tables_560100!C285,input_560100!A:H,8,FALSE))</f>
        <v>33643.636359999997</v>
      </c>
      <c r="P285" s="46">
        <f t="shared" ca="1" si="17"/>
        <v>1.0307486630028262E-3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input_560100!A$2</f>
        <v>560100</v>
      </c>
      <c r="B286" s="5">
        <v>852</v>
      </c>
      <c r="C286" s="7" t="str">
        <f t="shared" si="18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IFERROR(VLOOKUP(B286,input_560100!L:R,7,FALSE),VLOOKUP(tables_560100!C286,input_560100!A:H,8,FALSE))</f>
        <v>249067</v>
      </c>
      <c r="P286" s="46">
        <f t="shared" ca="1" si="17"/>
        <v>7.6307291667601692E-3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input_560100!A$2</f>
        <v>560100</v>
      </c>
      <c r="B287" s="5">
        <v>853</v>
      </c>
      <c r="C287" s="7" t="str">
        <f t="shared" si="18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IFERROR(VLOOKUP(B287,input_560100!L:R,7,FALSE),VLOOKUP(tables_560100!C287,input_560100!A:H,8,FALSE))</f>
        <v>46410</v>
      </c>
      <c r="P287" s="46">
        <f t="shared" ca="1" si="17"/>
        <v>1.4218750000174229E-3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input_560100!A$2</f>
        <v>560100</v>
      </c>
      <c r="B288" s="5">
        <v>854</v>
      </c>
      <c r="C288" s="7" t="str">
        <f t="shared" si="18"/>
        <v>Premium4R3less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IFERROR(VLOOKUP(B288,input_560100!L:R,7,FALSE),VLOOKUP(tables_560100!C288,input_560100!A:H,8,FALSE))</f>
        <v>249067</v>
      </c>
      <c r="P288" s="46">
        <f t="shared" ca="1" si="17"/>
        <v>7.6307291667601692E-3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input_560100!A$2</f>
        <v>560100</v>
      </c>
      <c r="B289" s="5">
        <v>855</v>
      </c>
      <c r="C289" s="7" t="str">
        <f t="shared" si="18"/>
        <v>Premium5R3less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IFERROR(VLOOKUP(B289,input_560100!L:R,7,FALSE),VLOOKUP(tables_560100!C289,input_560100!A:H,8,FALSE))</f>
        <v>46410</v>
      </c>
      <c r="P289" s="46">
        <f t="shared" ca="1" si="17"/>
        <v>1.4218750000174229E-3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input_560100!A$2</f>
        <v>560100</v>
      </c>
      <c r="B290" s="5">
        <v>862</v>
      </c>
      <c r="C290" s="7" t="str">
        <f t="shared" si="18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IFERROR(VLOOKUP(B290,input_560100!L:R,7,FALSE),VLOOKUP(tables_560100!C290,input_560100!A:H,8,FALSE))</f>
        <v>249067</v>
      </c>
      <c r="P290" s="46">
        <f t="shared" ca="1" si="17"/>
        <v>7.6307291667601692E-3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input_560100!A$2</f>
        <v>560100</v>
      </c>
      <c r="B291" s="5">
        <v>863</v>
      </c>
      <c r="C291" s="7" t="str">
        <f t="shared" si="18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IFERROR(VLOOKUP(B291,input_560100!L:R,7,FALSE),VLOOKUP(tables_560100!C291,input_560100!A:H,8,FALSE))</f>
        <v>46410</v>
      </c>
      <c r="P291" s="46">
        <f t="shared" ca="1" si="17"/>
        <v>1.4218750000174229E-3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input_560100!A$2</f>
        <v>560100</v>
      </c>
      <c r="B292" s="5">
        <v>864</v>
      </c>
      <c r="C292" s="7" t="str">
        <f t="shared" si="18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IFERROR(VLOOKUP(B292,input_560100!L:R,7,FALSE),VLOOKUP(tables_560100!C292,input_560100!A:H,8,FALSE))</f>
        <v>249067</v>
      </c>
      <c r="P292" s="46">
        <f t="shared" ca="1" si="17"/>
        <v>7.6307291667601692E-3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input_560100!A$2</f>
        <v>560100</v>
      </c>
      <c r="B293" s="5">
        <v>865</v>
      </c>
      <c r="C293" s="7" t="str">
        <f t="shared" si="18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IFERROR(VLOOKUP(B293,input_560100!L:R,7,FALSE),VLOOKUP(tables_560100!C293,input_560100!A:H,8,FALSE))</f>
        <v>46410</v>
      </c>
      <c r="P293" s="46">
        <f t="shared" ca="1" si="17"/>
        <v>1.4218750000174229E-3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input_560100!A$2</f>
        <v>560100</v>
      </c>
      <c r="B294" s="5">
        <v>866</v>
      </c>
      <c r="C294" s="7" t="str">
        <f t="shared" si="18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IFERROR(VLOOKUP(B294,input_560100!L:R,7,FALSE),VLOOKUP(tables_560100!C294,input_560100!A:H,8,FALSE))</f>
        <v>33643.636359999997</v>
      </c>
      <c r="P294" s="46">
        <f t="shared" ca="1" si="17"/>
        <v>1.0307486630028262E-3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input_560100!A$2</f>
        <v>560100</v>
      </c>
      <c r="B295" s="5">
        <v>868</v>
      </c>
      <c r="C295" s="7" t="str">
        <f t="shared" si="18"/>
        <v>PremiumSS5R5only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IFERROR(VLOOKUP(B295,input_560100!L:R,7,FALSE),VLOOKUP(tables_560100!C295,input_560100!A:H,8,FALSE))</f>
        <v>33643.636359999997</v>
      </c>
      <c r="P295" s="46">
        <f t="shared" ca="1" si="17"/>
        <v>1.0307486630028262E-3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input_560100!A$2</f>
        <v>560100</v>
      </c>
      <c r="B296" s="5">
        <v>937</v>
      </c>
      <c r="C296" s="7" t="str">
        <f t="shared" si="18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IFERROR(VLOOKUP(B296,input_560100!L:R,7,FALSE),VLOOKUP(tables_560100!C296,input_560100!A:H,8,FALSE))</f>
        <v>33643.636359999997</v>
      </c>
      <c r="P296" s="46">
        <f t="shared" ca="1" si="17"/>
        <v>1.0307486630028262E-3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input_560100!A$2</f>
        <v>560100</v>
      </c>
      <c r="B297" s="5">
        <v>939</v>
      </c>
      <c r="C297" s="7" t="str">
        <f t="shared" si="18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IFERROR(VLOOKUP(B297,input_560100!L:R,7,FALSE),VLOOKUP(tables_560100!C297,input_560100!A:H,8,FALSE))</f>
        <v>249067</v>
      </c>
      <c r="P297" s="46">
        <f t="shared" ca="1" si="17"/>
        <v>7.6307291667601692E-3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input_560100!A$2</f>
        <v>560100</v>
      </c>
      <c r="B298" s="5">
        <v>940</v>
      </c>
      <c r="C298" s="7" t="str">
        <f t="shared" si="18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IFERROR(VLOOKUP(B298,input_560100!L:R,7,FALSE),VLOOKUP(tables_560100!C298,input_560100!A:H,8,FALSE))</f>
        <v>46410</v>
      </c>
      <c r="P298" s="46">
        <f t="shared" ca="1" si="17"/>
        <v>1.4218750000174229E-3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input_560100!A$2</f>
        <v>560100</v>
      </c>
      <c r="B299" s="5">
        <v>941</v>
      </c>
      <c r="C299" s="7" t="str">
        <f t="shared" si="18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IFERROR(VLOOKUP(B299,input_560100!L:R,7,FALSE),VLOOKUP(tables_560100!C299,input_560100!A:H,8,FALSE))</f>
        <v>33643.636359999997</v>
      </c>
      <c r="P299" s="46">
        <f t="shared" ca="1" si="17"/>
        <v>1.0307486630028262E-3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input_560100!A$2</f>
        <v>560100</v>
      </c>
      <c r="B300" s="5">
        <v>943</v>
      </c>
      <c r="C300" s="7" t="str">
        <f t="shared" si="18"/>
        <v>PremiumSS5R5only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IFERROR(VLOOKUP(B300,input_560100!L:R,7,FALSE),VLOOKUP(tables_560100!C300,input_560100!A:H,8,FALSE))</f>
        <v>33643.636359999997</v>
      </c>
      <c r="P300" s="46">
        <f t="shared" ca="1" si="17"/>
        <v>1.0307486630028262E-3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input_560100!A$2</f>
        <v>560100</v>
      </c>
      <c r="B301" s="5">
        <v>1012</v>
      </c>
      <c r="C301" s="7" t="str">
        <f t="shared" si="18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IFERROR(VLOOKUP(B301,input_560100!L:R,7,FALSE),VLOOKUP(tables_560100!C301,input_560100!A:H,8,FALSE))</f>
        <v>33643.636359999997</v>
      </c>
      <c r="P301" s="46">
        <f t="shared" ca="1" si="17"/>
        <v>1.0307486630028262E-3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input_560100!A$2</f>
        <v>560100</v>
      </c>
      <c r="B302" s="5">
        <v>1014</v>
      </c>
      <c r="C302" s="7" t="str">
        <f t="shared" si="18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IFERROR(VLOOKUP(B302,input_560100!L:R,7,FALSE),VLOOKUP(tables_560100!C302,input_560100!A:H,8,FALSE))</f>
        <v>33643.636359999997</v>
      </c>
      <c r="P302" s="46">
        <f t="shared" ca="1" si="17"/>
        <v>1.0307486630028262E-3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input_560100!A$2</f>
        <v>560100</v>
      </c>
      <c r="B303" s="5">
        <v>1016</v>
      </c>
      <c r="C303" s="7" t="str">
        <f t="shared" si="18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IFERROR(VLOOKUP(B303,input_560100!L:R,7,FALSE),VLOOKUP(tables_560100!C303,input_560100!A:H,8,FALSE))</f>
        <v>249067</v>
      </c>
      <c r="P303" s="46">
        <f t="shared" ca="1" si="17"/>
        <v>7.6307291667601692E-3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input_560100!A$2</f>
        <v>560100</v>
      </c>
      <c r="B304" s="5">
        <v>1017</v>
      </c>
      <c r="C304" s="7" t="str">
        <f t="shared" si="18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IFERROR(VLOOKUP(B304,input_560100!L:R,7,FALSE),VLOOKUP(tables_560100!C304,input_560100!A:H,8,FALSE))</f>
        <v>46410</v>
      </c>
      <c r="P304" s="46">
        <f t="shared" ca="1" si="17"/>
        <v>1.4218750000174229E-3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input_560100!A$2</f>
        <v>560100</v>
      </c>
      <c r="B305" s="5">
        <v>1018</v>
      </c>
      <c r="C305" s="7" t="str">
        <f t="shared" si="18"/>
        <v>PremiumSS5R5only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IFERROR(VLOOKUP(B305,input_560100!L:R,7,FALSE),VLOOKUP(tables_560100!C305,input_560100!A:H,8,FALSE))</f>
        <v>33643.636359999997</v>
      </c>
      <c r="P305" s="46">
        <f t="shared" ca="1" si="17"/>
        <v>1.0307486630028262E-3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input_560100!A$2</f>
        <v>560100</v>
      </c>
      <c r="B306" s="5">
        <v>1026</v>
      </c>
      <c r="C306" s="7" t="str">
        <f t="shared" si="18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IFERROR(VLOOKUP(B306,input_560100!L:R,7,FALSE),VLOOKUP(tables_560100!C306,input_560100!A:H,8,FALSE))</f>
        <v>249067</v>
      </c>
      <c r="P306" s="46">
        <f t="shared" ca="1" si="17"/>
        <v>7.6307291667601692E-3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input_560100!A$2</f>
        <v>560100</v>
      </c>
      <c r="B307" s="5">
        <v>1027</v>
      </c>
      <c r="C307" s="7" t="str">
        <f t="shared" si="18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IFERROR(VLOOKUP(B307,input_560100!L:R,7,FALSE),VLOOKUP(tables_560100!C307,input_560100!A:H,8,FALSE))</f>
        <v>46410</v>
      </c>
      <c r="P307" s="46">
        <f t="shared" ca="1" si="17"/>
        <v>1.4218750000174229E-3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input_560100!A$2</f>
        <v>560100</v>
      </c>
      <c r="B308" s="5">
        <v>1028</v>
      </c>
      <c r="C308" s="7" t="str">
        <f t="shared" si="18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IFERROR(VLOOKUP(B308,input_560100!L:R,7,FALSE),VLOOKUP(tables_560100!C308,input_560100!A:H,8,FALSE))</f>
        <v>33643.636359999997</v>
      </c>
      <c r="P308" s="46">
        <f t="shared" ca="1" si="17"/>
        <v>1.0307486630028262E-3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input_560100!A$2</f>
        <v>560100</v>
      </c>
      <c r="B309" s="5">
        <v>1031</v>
      </c>
      <c r="C309" s="7" t="str">
        <f t="shared" si="18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IFERROR(VLOOKUP(B309,input_560100!L:R,7,FALSE),VLOOKUP(tables_560100!C309,input_560100!A:H,8,FALSE))</f>
        <v>33643.636359999997</v>
      </c>
      <c r="P309" s="46">
        <f t="shared" ca="1" si="17"/>
        <v>1.0307486630028262E-3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input_560100!A$2</f>
        <v>560100</v>
      </c>
      <c r="B310" s="5">
        <v>1033</v>
      </c>
      <c r="C310" s="7" t="str">
        <f t="shared" si="18"/>
        <v>PremiumSS5R5only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IFERROR(VLOOKUP(B310,input_560100!L:R,7,FALSE),VLOOKUP(tables_560100!C310,input_560100!A:H,8,FALSE))</f>
        <v>33643.636359999997</v>
      </c>
      <c r="P310" s="46">
        <f t="shared" ca="1" si="17"/>
        <v>1.0307486630028262E-3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input_560100!A$2</f>
        <v>560100</v>
      </c>
      <c r="B311" s="5">
        <v>1067</v>
      </c>
      <c r="C311" s="7" t="str">
        <f t="shared" si="18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IFERROR(VLOOKUP(B311,input_560100!L:R,7,FALSE),VLOOKUP(tables_560100!C311,input_560100!A:H,8,FALSE))</f>
        <v>249067</v>
      </c>
      <c r="P311" s="46">
        <f t="shared" ca="1" si="17"/>
        <v>7.6307291667601692E-3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input_560100!A$2</f>
        <v>560100</v>
      </c>
      <c r="B312" s="5">
        <v>1068</v>
      </c>
      <c r="C312" s="7" t="str">
        <f t="shared" si="18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IFERROR(VLOOKUP(B312,input_560100!L:R,7,FALSE),VLOOKUP(tables_560100!C312,input_560100!A:H,8,FALSE))</f>
        <v>46410</v>
      </c>
      <c r="P312" s="46">
        <f t="shared" ca="1" si="17"/>
        <v>1.4218750000174229E-3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input_560100!A$2</f>
        <v>560100</v>
      </c>
      <c r="B313" s="5">
        <v>1069</v>
      </c>
      <c r="C313" s="7" t="str">
        <f t="shared" si="18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IFERROR(VLOOKUP(B313,input_560100!L:R,7,FALSE),VLOOKUP(tables_560100!C313,input_560100!A:H,8,FALSE))</f>
        <v>33643.636359999997</v>
      </c>
      <c r="P313" s="46">
        <f t="shared" ca="1" si="17"/>
        <v>1.0307486630028262E-3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input_560100!A$2</f>
        <v>560100</v>
      </c>
      <c r="B314" s="5">
        <v>1072</v>
      </c>
      <c r="C314" s="7" t="str">
        <f t="shared" si="18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IFERROR(VLOOKUP(B314,input_560100!L:R,7,FALSE),VLOOKUP(tables_560100!C314,input_560100!A:H,8,FALSE))</f>
        <v>33643.636359999997</v>
      </c>
      <c r="P314" s="46">
        <f t="shared" ca="1" si="17"/>
        <v>1.0307486630028262E-3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input_560100!A$2</f>
        <v>560100</v>
      </c>
      <c r="B315" s="5">
        <v>1074</v>
      </c>
      <c r="C315" s="7" t="str">
        <f t="shared" si="18"/>
        <v>PremiumSS5R5only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IFERROR(VLOOKUP(B315,input_560100!L:R,7,FALSE),VLOOKUP(tables_560100!C315,input_560100!A:H,8,FALSE))</f>
        <v>33643.636359999997</v>
      </c>
      <c r="P315" s="46">
        <f t="shared" ca="1" si="17"/>
        <v>1.0307486630028262E-3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input_560100!A$2</f>
        <v>560100</v>
      </c>
      <c r="B316" s="5">
        <v>1100</v>
      </c>
      <c r="C316" s="7" t="str">
        <f t="shared" si="18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IFERROR(VLOOKUP(B316,input_560100!L:R,7,FALSE),VLOOKUP(tables_560100!C316,input_560100!A:H,8,FALSE))</f>
        <v>33643.636359999997</v>
      </c>
      <c r="P316" s="46">
        <f t="shared" ca="1" si="17"/>
        <v>1.0307486630028262E-3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input_560100!A$2</f>
        <v>560100</v>
      </c>
      <c r="B317" s="5">
        <v>1102</v>
      </c>
      <c r="C317" s="7" t="str">
        <f t="shared" si="18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IFERROR(VLOOKUP(B317,input_560100!L:R,7,FALSE),VLOOKUP(tables_560100!C317,input_560100!A:H,8,FALSE))</f>
        <v>33643.636359999997</v>
      </c>
      <c r="P317" s="46">
        <f t="shared" ca="1" si="17"/>
        <v>1.0307486630028262E-3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input_560100!A$2</f>
        <v>560100</v>
      </c>
      <c r="B318" s="5">
        <v>1104</v>
      </c>
      <c r="C318" s="7" t="str">
        <f t="shared" si="18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IFERROR(VLOOKUP(B318,input_560100!L:R,7,FALSE),VLOOKUP(tables_560100!C318,input_560100!A:H,8,FALSE))</f>
        <v>249067</v>
      </c>
      <c r="P318" s="46">
        <f t="shared" ca="1" si="17"/>
        <v>7.6307291667601692E-3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input_560100!A$2</f>
        <v>560100</v>
      </c>
      <c r="B319" s="5">
        <v>1105</v>
      </c>
      <c r="C319" s="7" t="str">
        <f t="shared" si="18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IFERROR(VLOOKUP(B319,input_560100!L:R,7,FALSE),VLOOKUP(tables_560100!C319,input_560100!A:H,8,FALSE))</f>
        <v>46410</v>
      </c>
      <c r="P319" s="46">
        <f t="shared" ca="1" si="17"/>
        <v>1.4218750000174229E-3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input_560100!A$2</f>
        <v>560100</v>
      </c>
      <c r="B320" s="5">
        <v>1106</v>
      </c>
      <c r="C320" s="7" t="str">
        <f t="shared" si="18"/>
        <v>PremiumSS5R5only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IFERROR(VLOOKUP(B320,input_560100!L:R,7,FALSE),VLOOKUP(tables_560100!C320,input_560100!A:H,8,FALSE))</f>
        <v>33643.636359999997</v>
      </c>
      <c r="P320" s="46">
        <f t="shared" ca="1" si="17"/>
        <v>1.0307486630028262E-3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input_560100!A$2</f>
        <v>560100</v>
      </c>
      <c r="B321" s="5">
        <v>1137</v>
      </c>
      <c r="C321" s="7" t="str">
        <f t="shared" si="18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IFERROR(VLOOKUP(B321,input_560100!L:R,7,FALSE),VLOOKUP(tables_560100!C321,input_560100!A:H,8,FALSE))</f>
        <v>33643.636359999997</v>
      </c>
      <c r="P321" s="46">
        <f t="shared" ca="1" si="17"/>
        <v>1.0307486630028262E-3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input_560100!A$2</f>
        <v>560100</v>
      </c>
      <c r="B322" s="5">
        <v>1139</v>
      </c>
      <c r="C322" s="7" t="str">
        <f t="shared" si="18"/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IFERROR(VLOOKUP(B322,input_560100!L:R,7,FALSE),VLOOKUP(tables_560100!C322,input_560100!A:H,8,FALSE))</f>
        <v>33643.636359999997</v>
      </c>
      <c r="P322" s="46">
        <f t="shared" ref="P322:P359" ca="1" si="20">O322/SUM(O:O)</f>
        <v>1.0307486630028262E-3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input_560100!A$2</f>
        <v>560100</v>
      </c>
      <c r="B323" s="5">
        <v>1141</v>
      </c>
      <c r="C323" s="7" t="str">
        <f t="shared" si="18"/>
        <v>PremiumSS5R5only</v>
      </c>
      <c r="D323" s="7" t="str">
        <f t="shared" si="19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IFERROR(VLOOKUP(B323,input_560100!L:R,7,FALSE),VLOOKUP(tables_560100!C323,input_560100!A:H,8,FALSE))</f>
        <v>33643.636359999997</v>
      </c>
      <c r="P323" s="46">
        <f t="shared" ca="1" si="20"/>
        <v>1.0307486630028262E-3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input_560100!A$2</f>
        <v>560100</v>
      </c>
      <c r="B324" s="5">
        <v>1143</v>
      </c>
      <c r="C324" s="7" t="str">
        <f t="shared" si="18"/>
        <v>Premium4R3less</v>
      </c>
      <c r="D324" s="7" t="str">
        <f t="shared" si="1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IFERROR(VLOOKUP(B324,input_560100!L:R,7,FALSE),VLOOKUP(tables_560100!C324,input_560100!A:H,8,FALSE))</f>
        <v>249067</v>
      </c>
      <c r="P324" s="46">
        <f t="shared" ca="1" si="20"/>
        <v>7.6307291667601692E-3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input_560100!A$2</f>
        <v>560100</v>
      </c>
      <c r="B325" s="5">
        <v>1144</v>
      </c>
      <c r="C325" s="7" t="str">
        <f t="shared" si="18"/>
        <v>Premium5R3less</v>
      </c>
      <c r="D325" s="7" t="str">
        <f t="shared" si="1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IFERROR(VLOOKUP(B325,input_560100!L:R,7,FALSE),VLOOKUP(tables_560100!C325,input_560100!A:H,8,FALSE))</f>
        <v>46410</v>
      </c>
      <c r="P325" s="46">
        <f t="shared" ca="1" si="20"/>
        <v>1.4218750000174229E-3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input_560100!A$2</f>
        <v>560100</v>
      </c>
      <c r="B326" s="5">
        <v>1151</v>
      </c>
      <c r="C326" s="7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IFERROR(VLOOKUP(B326,input_560100!L:R,7,FALSE),VLOOKUP(tables_560100!C326,input_560100!A:H,8,FALSE))</f>
        <v>249067</v>
      </c>
      <c r="P326" s="46">
        <f t="shared" ca="1" si="20"/>
        <v>7.6307291667601692E-3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input_560100!A$2</f>
        <v>560100</v>
      </c>
      <c r="B327" s="5">
        <v>1152</v>
      </c>
      <c r="C327" s="7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IFERROR(VLOOKUP(B327,input_560100!L:R,7,FALSE),VLOOKUP(tables_560100!C327,input_560100!A:H,8,FALSE))</f>
        <v>46410</v>
      </c>
      <c r="P327" s="46">
        <f t="shared" ca="1" si="20"/>
        <v>1.4218750000174229E-3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input_560100!A$2</f>
        <v>560100</v>
      </c>
      <c r="B328" s="5">
        <v>1153</v>
      </c>
      <c r="C328" s="7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IFERROR(VLOOKUP(B328,input_560100!L:R,7,FALSE),VLOOKUP(tables_560100!C328,input_560100!A:H,8,FALSE))</f>
        <v>33643.636359999997</v>
      </c>
      <c r="P328" s="46">
        <f t="shared" ca="1" si="20"/>
        <v>1.0307486630028262E-3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input_560100!A$2</f>
        <v>560100</v>
      </c>
      <c r="B329" s="5">
        <v>1155</v>
      </c>
      <c r="C329" s="7" t="str">
        <f t="shared" si="18"/>
        <v>PremiumSS5R5only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IFERROR(VLOOKUP(B329,input_560100!L:R,7,FALSE),VLOOKUP(tables_560100!C329,input_560100!A:H,8,FALSE))</f>
        <v>33643.636359999997</v>
      </c>
      <c r="P329" s="46">
        <f t="shared" ca="1" si="20"/>
        <v>1.0307486630028262E-3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input_560100!A$2</f>
        <v>560100</v>
      </c>
      <c r="B330" s="5">
        <v>1157</v>
      </c>
      <c r="C330" s="7" t="str">
        <f t="shared" ref="C330:C355" si="21">D330&amp;J330&amp;E330&amp;F330&amp;G330</f>
        <v>PremiumSS5R5only</v>
      </c>
      <c r="D330" s="7" t="str">
        <f t="shared" ref="D330:D355" si="22">IF(OR(I330="PremiumSS",I330="PremiumSSw"),"PremiumSS",IF(I330="PremiumSSS",I330,IF(I330="PremiumW",IF(J330=5,"premium",I330),"Premium")))</f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IFERROR(VLOOKUP(B330,input_560100!L:R,7,FALSE),VLOOKUP(tables_560100!C330,input_560100!A:H,8,FALSE))</f>
        <v>33643.636359999997</v>
      </c>
      <c r="P330" s="46">
        <f t="shared" ca="1" si="20"/>
        <v>1.0307486630028262E-3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input_560100!A$2</f>
        <v>560100</v>
      </c>
      <c r="B331" s="5">
        <v>1214</v>
      </c>
      <c r="C331" s="7" t="str">
        <f t="shared" si="21"/>
        <v>PremiumSS5R5only</v>
      </c>
      <c r="D331" s="7" t="str">
        <f t="shared" si="22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IFERROR(VLOOKUP(B331,input_560100!L:R,7,FALSE),VLOOKUP(tables_560100!C331,input_560100!A:H,8,FALSE))</f>
        <v>33643.636359999997</v>
      </c>
      <c r="P331" s="46">
        <f t="shared" ca="1" si="20"/>
        <v>1.0307486630028262E-3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input_560100!A$2</f>
        <v>560100</v>
      </c>
      <c r="B332" s="5">
        <v>1212</v>
      </c>
      <c r="C332" s="7" t="str">
        <f t="shared" si="21"/>
        <v>PremiumSS5R5only</v>
      </c>
      <c r="D332" s="7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IFERROR(VLOOKUP(B332,input_560100!L:R,7,FALSE),VLOOKUP(tables_560100!C332,input_560100!A:H,8,FALSE))</f>
        <v>33643.636359999997</v>
      </c>
      <c r="P332" s="46">
        <f t="shared" ca="1" si="20"/>
        <v>1.0307486630028262E-3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input_560100!A$2</f>
        <v>560100</v>
      </c>
      <c r="B333" s="5">
        <v>1208</v>
      </c>
      <c r="C333" s="7" t="str">
        <f t="shared" si="21"/>
        <v>PremiumSS5R5only</v>
      </c>
      <c r="D333" s="7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IFERROR(VLOOKUP(B333,input_560100!L:R,7,FALSE),VLOOKUP(tables_560100!C333,input_560100!A:H,8,FALSE))</f>
        <v>33643.636359999997</v>
      </c>
      <c r="P333" s="46">
        <f t="shared" ca="1" si="20"/>
        <v>1.0307486630028262E-3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input_560100!A$2</f>
        <v>560100</v>
      </c>
      <c r="B334" s="5">
        <v>1210</v>
      </c>
      <c r="C334" s="7" t="str">
        <f t="shared" si="21"/>
        <v>Premium4R3less</v>
      </c>
      <c r="D334" s="7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IFERROR(VLOOKUP(B334,input_560100!L:R,7,FALSE),VLOOKUP(tables_560100!C334,input_560100!A:H,8,FALSE))</f>
        <v>249067</v>
      </c>
      <c r="P334" s="46">
        <f t="shared" ca="1" si="20"/>
        <v>7.6307291667601692E-3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input_560100!A$2</f>
        <v>560100</v>
      </c>
      <c r="B335" s="5">
        <v>1211</v>
      </c>
      <c r="C335" s="7" t="str">
        <f t="shared" si="21"/>
        <v>Premium5R3less</v>
      </c>
      <c r="D335" s="7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IFERROR(VLOOKUP(B335,input_560100!L:R,7,FALSE),VLOOKUP(tables_560100!C335,input_560100!A:H,8,FALSE))</f>
        <v>46410</v>
      </c>
      <c r="P335" s="46">
        <f t="shared" ca="1" si="20"/>
        <v>1.4218750000174229E-3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input_560100!A$2</f>
        <v>560100</v>
      </c>
      <c r="B336" s="5">
        <v>1224</v>
      </c>
      <c r="C336" s="7" t="str">
        <f t="shared" si="21"/>
        <v>Premium4R3less</v>
      </c>
      <c r="D336" s="7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IFERROR(VLOOKUP(B336,input_560100!L:R,7,FALSE),VLOOKUP(tables_560100!C336,input_560100!A:H,8,FALSE))</f>
        <v>249067</v>
      </c>
      <c r="P336" s="46">
        <f t="shared" ca="1" si="20"/>
        <v>7.6307291667601692E-3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input_560100!A$2</f>
        <v>560100</v>
      </c>
      <c r="B337" s="5">
        <v>1225</v>
      </c>
      <c r="C337" s="7" t="str">
        <f t="shared" si="21"/>
        <v>Premium5R3less</v>
      </c>
      <c r="D337" s="7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IFERROR(VLOOKUP(B337,input_560100!L:R,7,FALSE),VLOOKUP(tables_560100!C337,input_560100!A:H,8,FALSE))</f>
        <v>46410</v>
      </c>
      <c r="P337" s="46">
        <f t="shared" ca="1" si="20"/>
        <v>1.4218750000174229E-3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input_560100!A$2</f>
        <v>560100</v>
      </c>
      <c r="B338" s="5">
        <v>1226</v>
      </c>
      <c r="C338" s="7" t="str">
        <f t="shared" si="21"/>
        <v>PremiumSS5R5only</v>
      </c>
      <c r="D338" s="7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IFERROR(VLOOKUP(B338,input_560100!L:R,7,FALSE),VLOOKUP(tables_560100!C338,input_560100!A:H,8,FALSE))</f>
        <v>33643.636359999997</v>
      </c>
      <c r="P338" s="46">
        <f t="shared" ca="1" si="20"/>
        <v>1.0307486630028262E-3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input_560100!A$2</f>
        <v>560100</v>
      </c>
      <c r="B339" s="5">
        <v>1228</v>
      </c>
      <c r="C339" s="7" t="str">
        <f t="shared" si="21"/>
        <v>PremiumSS5R5only</v>
      </c>
      <c r="D339" s="7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IFERROR(VLOOKUP(B339,input_560100!L:R,7,FALSE),VLOOKUP(tables_560100!C339,input_560100!A:H,8,FALSE))</f>
        <v>33643.636359999997</v>
      </c>
      <c r="P339" s="46">
        <f t="shared" ca="1" si="20"/>
        <v>1.0307486630028262E-3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input_560100!A$2</f>
        <v>560100</v>
      </c>
      <c r="B340" s="5">
        <v>1230</v>
      </c>
      <c r="C340" s="7" t="str">
        <f t="shared" si="21"/>
        <v>PremiumSS5R5only</v>
      </c>
      <c r="D340" s="7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IFERROR(VLOOKUP(B340,input_560100!L:R,7,FALSE),VLOOKUP(tables_560100!C340,input_560100!A:H,8,FALSE))</f>
        <v>33643.636359999997</v>
      </c>
      <c r="P340" s="46">
        <f t="shared" ca="1" si="20"/>
        <v>1.0307486630028262E-3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input_560100!A$2</f>
        <v>560100</v>
      </c>
      <c r="B341" s="5">
        <v>1250</v>
      </c>
      <c r="C341" s="7" t="str">
        <f t="shared" si="21"/>
        <v>PremiumSS5R5only</v>
      </c>
      <c r="D341" s="7" t="str">
        <f t="shared" si="22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IFERROR(VLOOKUP(B341,input_560100!L:R,7,FALSE),VLOOKUP(tables_560100!C341,input_560100!A:H,8,FALSE))</f>
        <v>33643.636359999997</v>
      </c>
      <c r="P341" s="46">
        <f t="shared" ca="1" si="20"/>
        <v>1.0307486630028262E-3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input_560100!A$2</f>
        <v>560100</v>
      </c>
      <c r="B342" s="5">
        <v>1248</v>
      </c>
      <c r="C342" s="7" t="str">
        <f t="shared" si="21"/>
        <v>Premium4R3less</v>
      </c>
      <c r="D342" s="7" t="str">
        <f t="shared" si="22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IFERROR(VLOOKUP(B342,input_560100!L:R,7,FALSE),VLOOKUP(tables_560100!C342,input_560100!A:H,8,FALSE))</f>
        <v>249067</v>
      </c>
      <c r="P342" s="46">
        <f t="shared" ca="1" si="20"/>
        <v>7.6307291667601692E-3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input_560100!A$2</f>
        <v>560100</v>
      </c>
      <c r="B343" s="5">
        <v>1249</v>
      </c>
      <c r="C343" s="7" t="str">
        <f t="shared" si="21"/>
        <v>Premium5R3less</v>
      </c>
      <c r="D343" s="7" t="str">
        <f t="shared" si="22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IFERROR(VLOOKUP(B343,input_560100!L:R,7,FALSE),VLOOKUP(tables_560100!C343,input_560100!A:H,8,FALSE))</f>
        <v>46410</v>
      </c>
      <c r="P343" s="46">
        <f t="shared" ca="1" si="20"/>
        <v>1.4218750000174229E-3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input_560100!A$2</f>
        <v>560100</v>
      </c>
      <c r="B344" s="5">
        <v>1246</v>
      </c>
      <c r="C344" s="7" t="str">
        <f t="shared" si="21"/>
        <v>PremiumSS5R5only</v>
      </c>
      <c r="D344" s="7" t="str">
        <f t="shared" si="22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IFERROR(VLOOKUP(B344,input_560100!L:R,7,FALSE),VLOOKUP(tables_560100!C344,input_560100!A:H,8,FALSE))</f>
        <v>33643.636359999997</v>
      </c>
      <c r="P344" s="46">
        <f t="shared" ca="1" si="20"/>
        <v>1.0307486630028262E-3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input_560100!A$2</f>
        <v>560100</v>
      </c>
      <c r="B345" s="5">
        <v>1244</v>
      </c>
      <c r="C345" s="7" t="str">
        <f t="shared" si="21"/>
        <v>PremiumSS5R5only</v>
      </c>
      <c r="D345" s="7" t="str">
        <f t="shared" si="22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IFERROR(VLOOKUP(B345,input_560100!L:R,7,FALSE),VLOOKUP(tables_560100!C345,input_560100!A:H,8,FALSE))</f>
        <v>33643.636359999997</v>
      </c>
      <c r="P345" s="46">
        <f t="shared" ca="1" si="20"/>
        <v>1.0307486630028262E-3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input_560100!A$2</f>
        <v>560100</v>
      </c>
      <c r="B346" s="5">
        <v>1260</v>
      </c>
      <c r="C346" s="7" t="str">
        <f t="shared" si="21"/>
        <v>PremiumSS5R5only</v>
      </c>
      <c r="D346" s="7" t="str">
        <f t="shared" si="22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IFERROR(VLOOKUP(B346,input_560100!L:R,7,FALSE),VLOOKUP(tables_560100!C346,input_560100!A:H,8,FALSE))</f>
        <v>33643.636359999997</v>
      </c>
      <c r="P346" s="46">
        <f t="shared" ca="1" si="20"/>
        <v>1.0307486630028262E-3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input_560100!A$2</f>
        <v>560100</v>
      </c>
      <c r="B347" s="5">
        <v>1262</v>
      </c>
      <c r="C347" s="7" t="str">
        <f t="shared" si="21"/>
        <v>PremiumSS5R5only</v>
      </c>
      <c r="D347" s="7" t="str">
        <f t="shared" si="22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IFERROR(VLOOKUP(B347,input_560100!L:R,7,FALSE),VLOOKUP(tables_560100!C347,input_560100!A:H,8,FALSE))</f>
        <v>33643.636359999997</v>
      </c>
      <c r="P347" s="46">
        <f t="shared" ca="1" si="20"/>
        <v>1.0307486630028262E-3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input_560100!A$2</f>
        <v>560100</v>
      </c>
      <c r="B348" s="5">
        <v>1264</v>
      </c>
      <c r="C348" s="7" t="str">
        <f t="shared" si="21"/>
        <v>PremiumSS5R5only</v>
      </c>
      <c r="D348" s="7" t="str">
        <f t="shared" si="2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IFERROR(VLOOKUP(B348,input_560100!L:R,7,FALSE),VLOOKUP(tables_560100!C348,input_560100!A:H,8,FALSE))</f>
        <v>33643.636359999997</v>
      </c>
      <c r="P348" s="46">
        <f t="shared" ca="1" si="20"/>
        <v>1.0307486630028262E-3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input_560100!A$2</f>
        <v>560100</v>
      </c>
      <c r="B349" s="5">
        <v>1266</v>
      </c>
      <c r="C349" s="7" t="str">
        <f t="shared" si="21"/>
        <v>Premium4R3less</v>
      </c>
      <c r="D349" s="7" t="str">
        <f t="shared" si="2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IFERROR(VLOOKUP(B349,input_560100!L:R,7,FALSE),VLOOKUP(tables_560100!C349,input_560100!A:H,8,FALSE))</f>
        <v>249067</v>
      </c>
      <c r="P349" s="46">
        <f t="shared" ca="1" si="20"/>
        <v>7.6307291667601692E-3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input_560100!A$2</f>
        <v>560100</v>
      </c>
      <c r="B350" s="5">
        <v>1267</v>
      </c>
      <c r="C350" s="7" t="str">
        <f t="shared" si="21"/>
        <v>Premium5R3less</v>
      </c>
      <c r="D350" s="7" t="str">
        <f t="shared" si="2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IFERROR(VLOOKUP(B350,input_560100!L:R,7,FALSE),VLOOKUP(tables_560100!C350,input_560100!A:H,8,FALSE))</f>
        <v>46410</v>
      </c>
      <c r="P350" s="46">
        <f t="shared" ca="1" si="20"/>
        <v>1.4218750000174229E-3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input_560100!A$2</f>
        <v>560100</v>
      </c>
      <c r="B351" s="5">
        <v>1332</v>
      </c>
      <c r="C351" s="7" t="str">
        <f t="shared" si="21"/>
        <v>PremiumSS5R5only</v>
      </c>
      <c r="D351" s="7" t="str">
        <f t="shared" si="22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IFERROR(VLOOKUP(B351,input_560100!L:R,7,FALSE),VLOOKUP(tables_560100!C351,input_560100!A:H,8,FALSE))</f>
        <v>33643.636359999997</v>
      </c>
      <c r="P351" s="46">
        <f t="shared" ca="1" si="20"/>
        <v>1.0307486630028262E-3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input_560100!A$2</f>
        <v>560100</v>
      </c>
      <c r="B352" s="5">
        <v>1336</v>
      </c>
      <c r="C352" s="7" t="str">
        <f t="shared" si="21"/>
        <v>PremiumSS5R5only</v>
      </c>
      <c r="D352" s="7" t="str">
        <f t="shared" si="2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IFERROR(VLOOKUP(B352,input_560100!L:R,7,FALSE),VLOOKUP(tables_560100!C352,input_560100!A:H,8,FALSE))</f>
        <v>33643.636359999997</v>
      </c>
      <c r="P352" s="46">
        <f t="shared" ca="1" si="20"/>
        <v>1.0307486630028262E-3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input_560100!A$2</f>
        <v>560100</v>
      </c>
      <c r="B353" s="5">
        <v>1338</v>
      </c>
      <c r="C353" s="7" t="str">
        <f t="shared" si="21"/>
        <v>PremiumSS5R5only</v>
      </c>
      <c r="D353" s="7" t="str">
        <f t="shared" si="2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IFERROR(VLOOKUP(B353,input_560100!L:R,7,FALSE),VLOOKUP(tables_560100!C353,input_560100!A:H,8,FALSE))</f>
        <v>33643.636359999997</v>
      </c>
      <c r="P353" s="46">
        <f t="shared" ca="1" si="20"/>
        <v>1.0307486630028262E-3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input_560100!A$2</f>
        <v>560100</v>
      </c>
      <c r="B354" s="5">
        <v>1334</v>
      </c>
      <c r="C354" s="7" t="str">
        <f t="shared" si="21"/>
        <v>Premium4R3less</v>
      </c>
      <c r="D354" s="7" t="str">
        <f t="shared" si="2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IFERROR(VLOOKUP(B354,input_560100!L:R,7,FALSE),VLOOKUP(tables_560100!C354,input_560100!A:H,8,FALSE))</f>
        <v>249067</v>
      </c>
      <c r="P354" s="46">
        <f t="shared" ca="1" si="20"/>
        <v>7.6307291667601692E-3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input_560100!A$2</f>
        <v>560100</v>
      </c>
      <c r="B355" s="5">
        <v>1335</v>
      </c>
      <c r="C355" s="7" t="str">
        <f t="shared" si="21"/>
        <v>Premium5R3less</v>
      </c>
      <c r="D355" s="7" t="str">
        <f t="shared" si="2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IFERROR(VLOOKUP(B355,input_560100!L:R,7,FALSE),VLOOKUP(tables_560100!C355,input_560100!A:H,8,FALSE))</f>
        <v>46410</v>
      </c>
      <c r="P355" s="46">
        <f t="shared" ca="1" si="20"/>
        <v>1.4218750000174229E-3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input_560100!A$2</f>
        <v>560100</v>
      </c>
      <c r="B356" s="96">
        <v>1452</v>
      </c>
      <c r="C356" s="7" t="str">
        <f t="shared" ref="C356:C359" si="23">D356&amp;J356&amp;E356&amp;F356&amp;G356</f>
        <v>PremiumSSS5R3less</v>
      </c>
      <c r="D356" s="7" t="str">
        <f t="shared" ref="D356:D359" si="24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メルセンヌ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hp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>IFERROR(VLOOKUP(B356,input_560100!L:R,7,FALSE),VLOOKUP(tables_560100!C356,input_560100!A:H,8,FALSE))</f>
        <v>163200</v>
      </c>
      <c r="P356" s="46">
        <f t="shared" ca="1" si="20"/>
        <v>5.0000000000612671E-3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input_560100!A$2</f>
        <v>560100</v>
      </c>
      <c r="B357" s="96">
        <v>1090</v>
      </c>
      <c r="C357" s="7" t="str">
        <f t="shared" si="23"/>
        <v>PremiumSSS5R3less</v>
      </c>
      <c r="D357" s="7" t="str">
        <f t="shared" si="24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ラプラス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attack</v>
      </c>
      <c r="M357" s="7" t="str">
        <f>VLOOKUP(B357,[1]characters!$A:$M,13,FALSE)</f>
        <v>academia</v>
      </c>
      <c r="N357" s="7" t="str">
        <f>VLOOKUP(B357,[1]characters!$A:$G,7,FALSE)</f>
        <v>不明</v>
      </c>
      <c r="O357" s="45">
        <f>IFERROR(VLOOKUP(B357,input_560100!L:R,7,FALSE),VLOOKUP(tables_560100!C357,input_560100!A:H,8,FALSE))</f>
        <v>163200</v>
      </c>
      <c r="P357" s="46">
        <f t="shared" ca="1" si="20"/>
        <v>5.0000000000612671E-3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input_560100!A$2</f>
        <v>560100</v>
      </c>
      <c r="B358" s="96">
        <v>410</v>
      </c>
      <c r="C358" s="7" t="str">
        <f t="shared" si="23"/>
        <v>PremiumSSS4R3less</v>
      </c>
      <c r="D358" s="7" t="str">
        <f t="shared" si="24"/>
        <v>PremiumSSS</v>
      </c>
      <c r="E358" s="7" t="str">
        <f>IF(COUNTIF('R6追加前'!A:A,B358)=0,IF(OR(I358="PremiumSS",I358="PremiumSSw"),"R5only","R3less"),"")</f>
        <v>R3less</v>
      </c>
      <c r="F358" s="7" t="str">
        <f>IF(COUNTIF('R6開放'!A:A,B358)&gt;0,"R6release","")</f>
        <v/>
      </c>
      <c r="G358" s="7"/>
      <c r="H358" s="7" t="str">
        <f>VLOOKUP(B358,[1]characters!$A:$C,3,FALSE)</f>
        <v>ファラデー</v>
      </c>
      <c r="I358" s="7" t="str">
        <f>VLOOKUP(B358,[1]characters!$A:$J,10,FALSE)</f>
        <v>PremiumSSS</v>
      </c>
      <c r="J358" s="7">
        <f>VLOOKUP(B358,[1]characters!$A:$I,9,FALSE)</f>
        <v>4</v>
      </c>
      <c r="K358" s="7" t="str">
        <f>VLOOKUP(B358,[1]characters!$A:$H,8,FALSE)</f>
        <v>yellow</v>
      </c>
      <c r="L358" s="7" t="str">
        <f>VLOOKUP(B358,[1]characters!$A:$K,11,FALSE)</f>
        <v>balance</v>
      </c>
      <c r="M358" s="7" t="str">
        <f>VLOOKUP(B358,[1]characters!$A:$M,13,FALSE)</f>
        <v>human</v>
      </c>
      <c r="N358" s="7" t="str">
        <f>VLOOKUP(B358,[1]characters!$A:$G,7,FALSE)</f>
        <v>女性</v>
      </c>
      <c r="O358" s="45">
        <f>IFERROR(VLOOKUP(B358,input_560100!L:R,7,FALSE),VLOOKUP(tables_560100!C358,input_560100!A:H,8,FALSE))</f>
        <v>81600</v>
      </c>
      <c r="P358" s="46">
        <f t="shared" ca="1" si="20"/>
        <v>2.5000000000306335E-3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input_560100!A$2</f>
        <v>560100</v>
      </c>
      <c r="B359" s="96">
        <v>411</v>
      </c>
      <c r="C359" s="7" t="str">
        <f t="shared" si="23"/>
        <v>PremiumSSS5R3less</v>
      </c>
      <c r="D359" s="7" t="str">
        <f t="shared" si="24"/>
        <v>PremiumSSS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電隷の始祖 ファラデー</v>
      </c>
      <c r="I359" s="7" t="str">
        <f>VLOOKUP(B359,[1]characters!$A:$J,10,FALSE)</f>
        <v>PremiumSSS</v>
      </c>
      <c r="J359" s="7">
        <f>VLOOKUP(B359,[1]characters!$A:$I,9,FALSE)</f>
        <v>5</v>
      </c>
      <c r="K359" s="7" t="str">
        <f>VLOOKUP(B359,[1]characters!$A:$H,8,FALSE)</f>
        <v>yellow</v>
      </c>
      <c r="L359" s="7" t="str">
        <f>VLOOKUP(B359,[1]characters!$A:$K,11,FALSE)</f>
        <v>balance</v>
      </c>
      <c r="M359" s="7" t="str">
        <f>VLOOKUP(B359,[1]characters!$A:$M,13,FALSE)</f>
        <v>human</v>
      </c>
      <c r="N359" s="7" t="str">
        <f>VLOOKUP(B359,[1]characters!$A:$G,7,FALSE)</f>
        <v>女性</v>
      </c>
      <c r="O359" s="45">
        <f>IFERROR(VLOOKUP(B359,input_560100!L:R,7,FALSE),VLOOKUP(tables_560100!C359,input_560100!A:H,8,FALSE))</f>
        <v>81600</v>
      </c>
      <c r="P359" s="46">
        <f t="shared" ca="1" si="20"/>
        <v>2.5000000000306335E-3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</sheetData>
  <autoFilter ref="A1:V359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Y158"/>
  <sheetViews>
    <sheetView showGridLines="0" zoomScale="75" zoomScaleNormal="75" zoomScalePageLayoutView="75" workbookViewId="0">
      <pane ySplit="1" topLeftCell="A126" activePane="bottomLeft" state="frozen"/>
      <selection activeCell="D34" sqref="D34"/>
      <selection pane="bottomLeft" activeCell="Y2" sqref="Y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 t="str">
        <f ca="1">input_560100!A$2</f>
        <v>560100</v>
      </c>
      <c r="B2" s="6">
        <v>168</v>
      </c>
      <c r="C2" s="7" t="str">
        <f t="shared" ref="C2:C37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VLOOKUP(D2,$W$2:$Y$4,3,FALSE)</f>
        <v>19656</v>
      </c>
      <c r="P2" s="46">
        <f t="shared" ref="P2:P43" si="1">O2/SUM(O:O)</f>
        <v>1.1097560975609756E-2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W2" s="1" t="s">
        <v>254</v>
      </c>
      <c r="X2" s="1">
        <f>COUNTIF(D:D,"Premium")</f>
        <v>82</v>
      </c>
      <c r="Y2" s="1">
        <f>X5/X2*0.91</f>
        <v>19656</v>
      </c>
    </row>
    <row r="3" spans="1:25" ht="21" customHeight="1" x14ac:dyDescent="0.15">
      <c r="A3" s="2" t="str">
        <f ca="1">input_560100!A$2</f>
        <v>560100</v>
      </c>
      <c r="B3" s="6">
        <v>171</v>
      </c>
      <c r="C3" s="7" t="str">
        <f t="shared" si="0"/>
        <v>Premium5R6release</v>
      </c>
      <c r="D3" s="7" t="str">
        <f t="shared" ref="D3:D37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>VLOOKUP(D3,$W$2:$Y$4,3,FALSE)</f>
        <v>19656</v>
      </c>
      <c r="P3" s="46">
        <f t="shared" si="1"/>
        <v>1.1097560975609756E-2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W3" s="1" t="s">
        <v>255</v>
      </c>
      <c r="X3" s="1">
        <f>COUNTIF(D:D,"PremiumSS")</f>
        <v>72</v>
      </c>
      <c r="Y3" s="1">
        <f>X5/X3*0.075</f>
        <v>1845</v>
      </c>
    </row>
    <row r="4" spans="1:25" ht="21" customHeight="1" x14ac:dyDescent="0.15">
      <c r="A4" s="2" t="str">
        <f ca="1">input_560100!A$2</f>
        <v>560100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>VLOOKUP(D4,$W$2:$Y$4,3,FALSE)</f>
        <v>19656</v>
      </c>
      <c r="P4" s="46">
        <f t="shared" si="1"/>
        <v>1.1097560975609756E-2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W4" s="1" t="s">
        <v>250</v>
      </c>
      <c r="X4" s="1">
        <f>COUNTIF(D:D,"PremiumSSS")</f>
        <v>3</v>
      </c>
      <c r="Y4" s="1">
        <f>X5/X4*0.015</f>
        <v>8856</v>
      </c>
    </row>
    <row r="5" spans="1:25" ht="21" customHeight="1" x14ac:dyDescent="0.15">
      <c r="A5" s="2" t="str">
        <f ca="1">input_560100!A$2</f>
        <v>560100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ref="O3:O66" si="3">VLOOKUP(D5,$W$2:$Y$4,3,FALSE)</f>
        <v>19656</v>
      </c>
      <c r="P5" s="46">
        <f t="shared" si="1"/>
        <v>1.1097560975609756E-2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X5" s="1">
        <f>X2*X3*X4*100</f>
        <v>1771200</v>
      </c>
    </row>
    <row r="6" spans="1:25" ht="21" customHeight="1" x14ac:dyDescent="0.15">
      <c r="A6" s="2" t="str">
        <f ca="1">input_560100!A$2</f>
        <v>560100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3"/>
        <v>19656</v>
      </c>
      <c r="P6" s="46">
        <f t="shared" si="1"/>
        <v>1.1097560975609756E-2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 t="str">
        <f ca="1">input_560100!A$2</f>
        <v>560100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3"/>
        <v>19656</v>
      </c>
      <c r="P7" s="46">
        <f t="shared" si="1"/>
        <v>1.1097560975609756E-2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 t="str">
        <f ca="1">input_560100!A$2</f>
        <v>560100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3"/>
        <v>19656</v>
      </c>
      <c r="P8" s="46">
        <f t="shared" si="1"/>
        <v>1.1097560975609756E-2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 t="str">
        <f ca="1">input_560100!A$2</f>
        <v>560100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3"/>
        <v>19656</v>
      </c>
      <c r="P9" s="46">
        <f t="shared" si="1"/>
        <v>1.1097560975609756E-2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 t="str">
        <f ca="1">input_560100!A$2</f>
        <v>560100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19656</v>
      </c>
      <c r="P10" s="46">
        <f t="shared" si="1"/>
        <v>1.1097560975609756E-2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 t="str">
        <f ca="1">input_560100!A$2</f>
        <v>560100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19656</v>
      </c>
      <c r="P11" s="46">
        <f t="shared" si="1"/>
        <v>1.1097560975609756E-2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 t="str">
        <f ca="1">input_560100!A$2</f>
        <v>560100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19656</v>
      </c>
      <c r="P12" s="46">
        <f t="shared" si="1"/>
        <v>1.1097560975609756E-2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 t="str">
        <f ca="1">input_560100!A$2</f>
        <v>560100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3"/>
        <v>19656</v>
      </c>
      <c r="P13" s="46">
        <f t="shared" si="1"/>
        <v>1.1097560975609756E-2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 t="str">
        <f ca="1">input_560100!A$2</f>
        <v>560100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3"/>
        <v>19656</v>
      </c>
      <c r="P14" s="46">
        <f t="shared" si="1"/>
        <v>1.1097560975609756E-2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 t="str">
        <f ca="1">input_560100!A$2</f>
        <v>560100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3"/>
        <v>19656</v>
      </c>
      <c r="P15" s="46">
        <f t="shared" si="1"/>
        <v>1.1097560975609756E-2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 t="str">
        <f ca="1">input_560100!A$2</f>
        <v>560100</v>
      </c>
      <c r="B16" s="10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3"/>
        <v>19656</v>
      </c>
      <c r="P16" s="46">
        <f t="shared" si="1"/>
        <v>1.1097560975609756E-2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input_560100!A$2</f>
        <v>560100</v>
      </c>
      <c r="B17" s="11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3"/>
        <v>19656</v>
      </c>
      <c r="P17" s="46">
        <f t="shared" si="1"/>
        <v>1.1097560975609756E-2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input_560100!A$2</f>
        <v>560100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3"/>
        <v>19656</v>
      </c>
      <c r="P18" s="46">
        <f t="shared" si="1"/>
        <v>1.1097560975609756E-2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input_560100!A$2</f>
        <v>560100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3"/>
        <v>19656</v>
      </c>
      <c r="P19" s="46">
        <f t="shared" si="1"/>
        <v>1.1097560975609756E-2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input_560100!A$2</f>
        <v>560100</v>
      </c>
      <c r="B20" s="10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3"/>
        <v>19656</v>
      </c>
      <c r="P20" s="46">
        <f t="shared" si="1"/>
        <v>1.1097560975609756E-2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input_560100!A$2</f>
        <v>560100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3"/>
        <v>19656</v>
      </c>
      <c r="P21" s="46">
        <f t="shared" si="1"/>
        <v>1.1097560975609756E-2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input_560100!A$2</f>
        <v>560100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3"/>
        <v>19656</v>
      </c>
      <c r="P22" s="46">
        <f t="shared" si="1"/>
        <v>1.1097560975609756E-2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input_560100!A$2</f>
        <v>560100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3"/>
        <v>19656</v>
      </c>
      <c r="P23" s="46">
        <f t="shared" si="1"/>
        <v>1.1097560975609756E-2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input_560100!A$2</f>
        <v>560100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19656</v>
      </c>
      <c r="P24" s="46">
        <f t="shared" si="1"/>
        <v>1.1097560975609756E-2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input_560100!A$2</f>
        <v>560100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3"/>
        <v>19656</v>
      </c>
      <c r="P25" s="46">
        <f t="shared" si="1"/>
        <v>1.1097560975609756E-2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input_560100!A$2</f>
        <v>560100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3"/>
        <v>19656</v>
      </c>
      <c r="P26" s="46">
        <f t="shared" si="1"/>
        <v>1.1097560975609756E-2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input_560100!A$2</f>
        <v>560100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3"/>
        <v>19656</v>
      </c>
      <c r="P27" s="46">
        <f t="shared" si="1"/>
        <v>1.1097560975609756E-2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input_560100!A$2</f>
        <v>560100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3"/>
        <v>19656</v>
      </c>
      <c r="P28" s="46">
        <f t="shared" si="1"/>
        <v>1.1097560975609756E-2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input_560100!A$2</f>
        <v>560100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3"/>
        <v>19656</v>
      </c>
      <c r="P29" s="46">
        <f t="shared" si="1"/>
        <v>1.1097560975609756E-2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input_560100!A$2</f>
        <v>560100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3"/>
        <v>19656</v>
      </c>
      <c r="P30" s="46">
        <f t="shared" si="1"/>
        <v>1.1097560975609756E-2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input_560100!A$2</f>
        <v>560100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3"/>
        <v>19656</v>
      </c>
      <c r="P31" s="46">
        <f t="shared" si="1"/>
        <v>1.1097560975609756E-2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input_560100!A$2</f>
        <v>560100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3"/>
        <v>19656</v>
      </c>
      <c r="P32" s="46">
        <f t="shared" si="1"/>
        <v>1.1097560975609756E-2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input_560100!A$2</f>
        <v>560100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3"/>
        <v>19656</v>
      </c>
      <c r="P33" s="46">
        <f t="shared" si="1"/>
        <v>1.1097560975609756E-2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input_560100!A$2</f>
        <v>560100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3"/>
        <v>1845</v>
      </c>
      <c r="P34" s="46">
        <f t="shared" si="1"/>
        <v>1.0416666666666667E-3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input_560100!A$2</f>
        <v>560100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3"/>
        <v>1845</v>
      </c>
      <c r="P35" s="46">
        <f t="shared" si="1"/>
        <v>1.0416666666666667E-3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input_560100!A$2</f>
        <v>560100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3"/>
        <v>1845</v>
      </c>
      <c r="P36" s="46">
        <f t="shared" si="1"/>
        <v>1.0416666666666667E-3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input_560100!A$2</f>
        <v>560100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3"/>
        <v>1845</v>
      </c>
      <c r="P37" s="46">
        <f t="shared" si="1"/>
        <v>1.0416666666666667E-3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input_560100!A$2</f>
        <v>560100</v>
      </c>
      <c r="B38" s="60">
        <v>382</v>
      </c>
      <c r="C38" s="7" t="str">
        <f t="shared" ref="C38:C43" si="4">D38&amp;J38&amp;E38&amp;F38&amp;G38</f>
        <v>Premium5</v>
      </c>
      <c r="D38" s="7" t="str">
        <f t="shared" ref="D38:D43" si="5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3"/>
        <v>19656</v>
      </c>
      <c r="P38" s="46">
        <f t="shared" si="1"/>
        <v>1.1097560975609756E-2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input_560100!A$2</f>
        <v>560100</v>
      </c>
      <c r="B39" s="60">
        <v>384</v>
      </c>
      <c r="C39" s="7" t="str">
        <f t="shared" si="4"/>
        <v>PremiumSS5</v>
      </c>
      <c r="D39" s="7" t="str">
        <f t="shared" si="5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3"/>
        <v>1845</v>
      </c>
      <c r="P39" s="46">
        <f t="shared" si="1"/>
        <v>1.0416666666666667E-3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input_560100!A$2</f>
        <v>560100</v>
      </c>
      <c r="B40" s="60">
        <v>386</v>
      </c>
      <c r="C40" s="7" t="str">
        <f t="shared" si="4"/>
        <v>PremiumSS5</v>
      </c>
      <c r="D40" s="7" t="str">
        <f t="shared" si="5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3"/>
        <v>1845</v>
      </c>
      <c r="P40" s="46">
        <f t="shared" si="1"/>
        <v>1.0416666666666667E-3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input_560100!A$2</f>
        <v>560100</v>
      </c>
      <c r="B41" s="60">
        <v>389</v>
      </c>
      <c r="C41" s="7" t="str">
        <f t="shared" si="4"/>
        <v>Premium5</v>
      </c>
      <c r="D41" s="7" t="str">
        <f t="shared" si="5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3"/>
        <v>19656</v>
      </c>
      <c r="P41" s="46">
        <f t="shared" si="1"/>
        <v>1.1097560975609756E-2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input_560100!A$2</f>
        <v>560100</v>
      </c>
      <c r="B42" s="60">
        <v>391</v>
      </c>
      <c r="C42" s="7" t="str">
        <f t="shared" si="4"/>
        <v>PremiumSS5</v>
      </c>
      <c r="D42" s="7" t="str">
        <f t="shared" si="5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3"/>
        <v>1845</v>
      </c>
      <c r="P42" s="46">
        <f t="shared" si="1"/>
        <v>1.0416666666666667E-3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input_560100!A$2</f>
        <v>560100</v>
      </c>
      <c r="B43" s="90">
        <v>394</v>
      </c>
      <c r="C43" s="7" t="str">
        <f t="shared" si="4"/>
        <v>Premium5</v>
      </c>
      <c r="D43" s="7" t="str">
        <f t="shared" si="5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3"/>
        <v>19656</v>
      </c>
      <c r="P43" s="46">
        <f t="shared" si="1"/>
        <v>1.1097560975609756E-2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input_560100!A$2</f>
        <v>560100</v>
      </c>
      <c r="B44" s="1">
        <v>397</v>
      </c>
      <c r="C44" s="7" t="str">
        <f t="shared" ref="C44:C107" si="6">D44&amp;J44&amp;E44&amp;F44&amp;G44</f>
        <v>Premium5</v>
      </c>
      <c r="D44" s="7" t="str">
        <f t="shared" ref="D44:D107" si="7">IF(OR(I44="PremiumSS",I44="PremiumSSw"),"PremiumSS",IF(I44="PremiumSSS",I44,IF(I44="PremiumW",IF(J44=5,"premium",I44),"Premium")))</f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3"/>
        <v>19656</v>
      </c>
      <c r="P44" s="46">
        <f t="shared" ref="P44:P107" si="8">O44/SUM(O:O)</f>
        <v>1.1097560975609756E-2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input_560100!A$2</f>
        <v>560100</v>
      </c>
      <c r="B45" s="1">
        <v>399</v>
      </c>
      <c r="C45" s="7" t="str">
        <f t="shared" si="6"/>
        <v>PremiumSS5</v>
      </c>
      <c r="D45" s="7" t="str">
        <f t="shared" si="7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3"/>
        <v>1845</v>
      </c>
      <c r="P45" s="46">
        <f t="shared" si="8"/>
        <v>1.0416666666666667E-3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input_560100!A$2</f>
        <v>560100</v>
      </c>
      <c r="B46" s="1">
        <v>402</v>
      </c>
      <c r="C46" s="7" t="str">
        <f t="shared" si="6"/>
        <v>Premium5</v>
      </c>
      <c r="D46" s="7" t="str">
        <f t="shared" si="7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3"/>
        <v>19656</v>
      </c>
      <c r="P46" s="46">
        <f t="shared" si="8"/>
        <v>1.1097560975609756E-2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input_560100!A$2</f>
        <v>560100</v>
      </c>
      <c r="B47" s="1">
        <v>404</v>
      </c>
      <c r="C47" s="7" t="str">
        <f t="shared" si="6"/>
        <v>PremiumSS5</v>
      </c>
      <c r="D47" s="7" t="str">
        <f t="shared" si="7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3"/>
        <v>1845</v>
      </c>
      <c r="P47" s="46">
        <f t="shared" si="8"/>
        <v>1.0416666666666667E-3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input_560100!A$2</f>
        <v>560100</v>
      </c>
      <c r="B48" s="1">
        <v>407</v>
      </c>
      <c r="C48" s="7" t="str">
        <f t="shared" si="6"/>
        <v>Premium5</v>
      </c>
      <c r="D48" s="7" t="str">
        <f t="shared" si="7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3"/>
        <v>19656</v>
      </c>
      <c r="P48" s="46">
        <f t="shared" si="8"/>
        <v>1.1097560975609756E-2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input_560100!A$2</f>
        <v>560100</v>
      </c>
      <c r="B49" s="1">
        <v>409</v>
      </c>
      <c r="C49" s="7" t="str">
        <f t="shared" si="6"/>
        <v>PremiumSS5</v>
      </c>
      <c r="D49" s="7" t="str">
        <f t="shared" si="7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3"/>
        <v>1845</v>
      </c>
      <c r="P49" s="46">
        <f t="shared" si="8"/>
        <v>1.0416666666666667E-3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input_560100!A$2</f>
        <v>560100</v>
      </c>
      <c r="B50" s="1">
        <v>435</v>
      </c>
      <c r="C50" s="7" t="str">
        <f t="shared" si="6"/>
        <v>PremiumSS5</v>
      </c>
      <c r="D50" s="7" t="str">
        <f t="shared" si="7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3"/>
        <v>1845</v>
      </c>
      <c r="P50" s="46">
        <f t="shared" si="8"/>
        <v>1.0416666666666667E-3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input_560100!A$2</f>
        <v>560100</v>
      </c>
      <c r="B51" s="1">
        <v>438</v>
      </c>
      <c r="C51" s="7" t="str">
        <f t="shared" si="6"/>
        <v>Premium5</v>
      </c>
      <c r="D51" s="7" t="str">
        <f t="shared" si="7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>VLOOKUP(D51,$W$2:$Y$4,3,FALSE)</f>
        <v>19656</v>
      </c>
      <c r="P51" s="46">
        <f t="shared" si="8"/>
        <v>1.1097560975609756E-2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input_560100!A$2</f>
        <v>560100</v>
      </c>
      <c r="B52" s="1">
        <v>441</v>
      </c>
      <c r="C52" s="7" t="str">
        <f t="shared" si="6"/>
        <v>Premium5</v>
      </c>
      <c r="D52" s="7" t="str">
        <f t="shared" si="7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3"/>
        <v>19656</v>
      </c>
      <c r="P52" s="46">
        <f t="shared" si="8"/>
        <v>1.1097560975609756E-2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input_560100!A$2</f>
        <v>560100</v>
      </c>
      <c r="B53" s="1">
        <v>443</v>
      </c>
      <c r="C53" s="7" t="str">
        <f t="shared" si="6"/>
        <v>PremiumSS5</v>
      </c>
      <c r="D53" s="7" t="str">
        <f t="shared" si="7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3"/>
        <v>1845</v>
      </c>
      <c r="P53" s="46">
        <f t="shared" si="8"/>
        <v>1.0416666666666667E-3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input_560100!A$2</f>
        <v>560100</v>
      </c>
      <c r="B54" s="1">
        <v>464</v>
      </c>
      <c r="C54" s="7" t="str">
        <f t="shared" si="6"/>
        <v>Premium5</v>
      </c>
      <c r="D54" s="7" t="str">
        <f t="shared" si="7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3"/>
        <v>19656</v>
      </c>
      <c r="P54" s="46">
        <f t="shared" si="8"/>
        <v>1.1097560975609756E-2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input_560100!A$2</f>
        <v>560100</v>
      </c>
      <c r="B55" s="1">
        <v>466</v>
      </c>
      <c r="C55" s="7" t="str">
        <f t="shared" si="6"/>
        <v>PremiumSS5</v>
      </c>
      <c r="D55" s="7" t="str">
        <f t="shared" si="7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3"/>
        <v>1845</v>
      </c>
      <c r="P55" s="46">
        <f t="shared" si="8"/>
        <v>1.0416666666666667E-3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input_560100!A$2</f>
        <v>560100</v>
      </c>
      <c r="B56" s="1">
        <v>468</v>
      </c>
      <c r="C56" s="7" t="str">
        <f t="shared" si="6"/>
        <v>PremiumSS5</v>
      </c>
      <c r="D56" s="7" t="str">
        <f t="shared" si="7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3"/>
        <v>1845</v>
      </c>
      <c r="P56" s="46">
        <f t="shared" si="8"/>
        <v>1.0416666666666667E-3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input_560100!A$2</f>
        <v>560100</v>
      </c>
      <c r="B57" s="1">
        <v>471</v>
      </c>
      <c r="C57" s="7" t="str">
        <f t="shared" si="6"/>
        <v>Premium5</v>
      </c>
      <c r="D57" s="7" t="str">
        <f t="shared" si="7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3"/>
        <v>19656</v>
      </c>
      <c r="P57" s="46">
        <f t="shared" si="8"/>
        <v>1.1097560975609756E-2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input_560100!A$2</f>
        <v>560100</v>
      </c>
      <c r="B58" s="1">
        <v>475</v>
      </c>
      <c r="C58" s="7" t="str">
        <f t="shared" si="6"/>
        <v>PremiumSS5</v>
      </c>
      <c r="D58" s="7" t="str">
        <f t="shared" si="7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3"/>
        <v>1845</v>
      </c>
      <c r="P58" s="46">
        <f t="shared" si="8"/>
        <v>1.0416666666666667E-3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input_560100!A$2</f>
        <v>560100</v>
      </c>
      <c r="B59" s="1">
        <v>478</v>
      </c>
      <c r="C59" s="7" t="str">
        <f t="shared" si="6"/>
        <v>Premium5</v>
      </c>
      <c r="D59" s="7" t="str">
        <f t="shared" si="7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3"/>
        <v>19656</v>
      </c>
      <c r="P59" s="46">
        <f t="shared" si="8"/>
        <v>1.1097560975609756E-2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input_560100!A$2</f>
        <v>560100</v>
      </c>
      <c r="B60" s="1">
        <v>480</v>
      </c>
      <c r="C60" s="7" t="str">
        <f t="shared" si="6"/>
        <v>PremiumSS5</v>
      </c>
      <c r="D60" s="7" t="str">
        <f t="shared" si="7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3"/>
        <v>1845</v>
      </c>
      <c r="P60" s="46">
        <f t="shared" si="8"/>
        <v>1.0416666666666667E-3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input_560100!A$2</f>
        <v>560100</v>
      </c>
      <c r="B61" s="1">
        <v>483</v>
      </c>
      <c r="C61" s="7" t="str">
        <f t="shared" si="6"/>
        <v>Premium5</v>
      </c>
      <c r="D61" s="7" t="str">
        <f t="shared" si="7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3"/>
        <v>19656</v>
      </c>
      <c r="P61" s="46">
        <f t="shared" si="8"/>
        <v>1.1097560975609756E-2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input_560100!A$2</f>
        <v>560100</v>
      </c>
      <c r="B62" s="1">
        <v>493</v>
      </c>
      <c r="C62" s="7" t="str">
        <f t="shared" si="6"/>
        <v>PremiumSS5</v>
      </c>
      <c r="D62" s="7" t="str">
        <f t="shared" si="7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3"/>
        <v>1845</v>
      </c>
      <c r="P62" s="46">
        <f t="shared" si="8"/>
        <v>1.0416666666666667E-3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input_560100!A$2</f>
        <v>560100</v>
      </c>
      <c r="B63" s="1">
        <v>495</v>
      </c>
      <c r="C63" s="7" t="str">
        <f t="shared" si="6"/>
        <v>PremiumSS5</v>
      </c>
      <c r="D63" s="7" t="str">
        <f t="shared" si="7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3"/>
        <v>1845</v>
      </c>
      <c r="P63" s="46">
        <f t="shared" si="8"/>
        <v>1.0416666666666667E-3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input_560100!A$2</f>
        <v>560100</v>
      </c>
      <c r="B64" s="1">
        <v>498</v>
      </c>
      <c r="C64" s="7" t="str">
        <f t="shared" si="6"/>
        <v>Premium5</v>
      </c>
      <c r="D64" s="7" t="str">
        <f t="shared" si="7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3"/>
        <v>19656</v>
      </c>
      <c r="P64" s="46">
        <f t="shared" si="8"/>
        <v>1.1097560975609756E-2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input_560100!A$2</f>
        <v>560100</v>
      </c>
      <c r="B65" s="1">
        <v>500</v>
      </c>
      <c r="C65" s="7" t="str">
        <f t="shared" si="6"/>
        <v>PremiumSS5</v>
      </c>
      <c r="D65" s="7" t="str">
        <f t="shared" si="7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3"/>
        <v>1845</v>
      </c>
      <c r="P65" s="46">
        <f t="shared" si="8"/>
        <v>1.0416666666666667E-3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input_560100!A$2</f>
        <v>560100</v>
      </c>
      <c r="B66" s="1">
        <v>560</v>
      </c>
      <c r="C66" s="7" t="str">
        <f t="shared" si="6"/>
        <v>premium5R3less</v>
      </c>
      <c r="D66" s="7" t="str">
        <f t="shared" si="7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3"/>
        <v>19656</v>
      </c>
      <c r="P66" s="46">
        <f t="shared" si="8"/>
        <v>1.1097560975609756E-2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input_560100!A$2</f>
        <v>560100</v>
      </c>
      <c r="B67" s="1">
        <v>561</v>
      </c>
      <c r="C67" s="7" t="str">
        <f t="shared" si="6"/>
        <v>premium5R3less</v>
      </c>
      <c r="D67" s="7" t="str">
        <f t="shared" si="7"/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71" si="9">VLOOKUP(D67,$W$2:$Y$4,3,FALSE)</f>
        <v>19656</v>
      </c>
      <c r="P67" s="46">
        <f t="shared" si="8"/>
        <v>1.1097560975609756E-2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input_560100!A$2</f>
        <v>560100</v>
      </c>
      <c r="B68" s="1">
        <v>562</v>
      </c>
      <c r="C68" s="7" t="str">
        <f t="shared" si="6"/>
        <v>premium5R3less</v>
      </c>
      <c r="D68" s="7" t="str">
        <f t="shared" si="7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9"/>
        <v>19656</v>
      </c>
      <c r="P68" s="46">
        <f t="shared" si="8"/>
        <v>1.1097560975609756E-2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input_560100!A$2</f>
        <v>560100</v>
      </c>
      <c r="B69" s="1">
        <v>563</v>
      </c>
      <c r="C69" s="7" t="str">
        <f t="shared" si="6"/>
        <v>premium5R3less</v>
      </c>
      <c r="D69" s="7" t="str">
        <f t="shared" si="7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9"/>
        <v>19656</v>
      </c>
      <c r="P69" s="46">
        <f t="shared" si="8"/>
        <v>1.1097560975609756E-2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input_560100!A$2</f>
        <v>560100</v>
      </c>
      <c r="B70" s="1">
        <v>566</v>
      </c>
      <c r="C70" s="7" t="str">
        <f t="shared" si="6"/>
        <v>premium5R3less</v>
      </c>
      <c r="D70" s="7" t="str">
        <f t="shared" si="7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9"/>
        <v>19656</v>
      </c>
      <c r="P70" s="46">
        <f t="shared" si="8"/>
        <v>1.1097560975609756E-2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input_560100!A$2</f>
        <v>560100</v>
      </c>
      <c r="B71" s="1">
        <v>567</v>
      </c>
      <c r="C71" s="7" t="str">
        <f t="shared" si="6"/>
        <v>premium5R3less</v>
      </c>
      <c r="D71" s="7" t="str">
        <f t="shared" si="7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9"/>
        <v>19656</v>
      </c>
      <c r="P71" s="46">
        <f t="shared" si="8"/>
        <v>1.1097560975609756E-2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input_560100!A$2</f>
        <v>560100</v>
      </c>
      <c r="B72" s="1">
        <v>587</v>
      </c>
      <c r="C72" s="7" t="str">
        <f t="shared" si="6"/>
        <v>PremiumSS5</v>
      </c>
      <c r="D72" s="7" t="str">
        <f t="shared" si="7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>VLOOKUP(D72,$W$2:$Y$4,3,FALSE)</f>
        <v>1845</v>
      </c>
      <c r="P72" s="46">
        <f t="shared" si="8"/>
        <v>1.0416666666666667E-3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input_560100!A$2</f>
        <v>560100</v>
      </c>
      <c r="B73" s="1">
        <v>590</v>
      </c>
      <c r="C73" s="7" t="str">
        <f t="shared" si="6"/>
        <v>Premium5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ref="O73:O99" si="10">VLOOKUP(D73,$W$2:$Y$4,3,FALSE)</f>
        <v>19656</v>
      </c>
      <c r="P73" s="46">
        <f t="shared" si="8"/>
        <v>1.1097560975609756E-2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input_560100!A$2</f>
        <v>560100</v>
      </c>
      <c r="B74" s="1">
        <v>593</v>
      </c>
      <c r="C74" s="7" t="str">
        <f t="shared" si="6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10"/>
        <v>19656</v>
      </c>
      <c r="P74" s="46">
        <f t="shared" si="8"/>
        <v>1.1097560975609756E-2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input_560100!A$2</f>
        <v>560100</v>
      </c>
      <c r="B75" s="1">
        <v>595</v>
      </c>
      <c r="C75" s="7" t="str">
        <f t="shared" si="6"/>
        <v>PremiumSS5</v>
      </c>
      <c r="D75" s="7" t="str">
        <f t="shared" si="7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10"/>
        <v>1845</v>
      </c>
      <c r="P75" s="46">
        <f t="shared" si="8"/>
        <v>1.0416666666666667E-3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input_560100!A$2</f>
        <v>560100</v>
      </c>
      <c r="B76" s="1">
        <v>598</v>
      </c>
      <c r="C76" s="7" t="str">
        <f t="shared" si="6"/>
        <v>Premium5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10"/>
        <v>19656</v>
      </c>
      <c r="P76" s="46">
        <f t="shared" si="8"/>
        <v>1.1097560975609756E-2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input_560100!A$2</f>
        <v>560100</v>
      </c>
      <c r="B77" s="1">
        <v>601</v>
      </c>
      <c r="C77" s="7" t="str">
        <f t="shared" si="6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10"/>
        <v>19656</v>
      </c>
      <c r="P77" s="46">
        <f t="shared" si="8"/>
        <v>1.1097560975609756E-2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input_560100!A$2</f>
        <v>560100</v>
      </c>
      <c r="B78" s="1">
        <v>603</v>
      </c>
      <c r="C78" s="7" t="str">
        <f t="shared" si="6"/>
        <v>PremiumSS5</v>
      </c>
      <c r="D78" s="7" t="str">
        <f t="shared" si="7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10"/>
        <v>1845</v>
      </c>
      <c r="P78" s="46">
        <f t="shared" si="8"/>
        <v>1.0416666666666667E-3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input_560100!A$2</f>
        <v>560100</v>
      </c>
      <c r="B79" s="1">
        <v>606</v>
      </c>
      <c r="C79" s="7" t="str">
        <f t="shared" si="6"/>
        <v>Premium5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10"/>
        <v>19656</v>
      </c>
      <c r="P79" s="46">
        <f t="shared" si="8"/>
        <v>1.1097560975609756E-2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input_560100!A$2</f>
        <v>560100</v>
      </c>
      <c r="B80" s="1">
        <v>659</v>
      </c>
      <c r="C80" s="7" t="str">
        <f t="shared" si="6"/>
        <v>PremiumSS5</v>
      </c>
      <c r="D80" s="7" t="str">
        <f t="shared" si="7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10"/>
        <v>1845</v>
      </c>
      <c r="P80" s="46">
        <f t="shared" si="8"/>
        <v>1.0416666666666667E-3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input_560100!A$2</f>
        <v>560100</v>
      </c>
      <c r="B81" s="1">
        <v>661</v>
      </c>
      <c r="C81" s="7" t="str">
        <f t="shared" si="6"/>
        <v>PremiumSS5</v>
      </c>
      <c r="D81" s="7" t="str">
        <f t="shared" si="7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10"/>
        <v>1845</v>
      </c>
      <c r="P81" s="46">
        <f t="shared" si="8"/>
        <v>1.0416666666666667E-3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input_560100!A$2</f>
        <v>560100</v>
      </c>
      <c r="B82" s="1">
        <v>664</v>
      </c>
      <c r="C82" s="7" t="str">
        <f t="shared" si="6"/>
        <v>Premium5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10"/>
        <v>19656</v>
      </c>
      <c r="P82" s="46">
        <f t="shared" si="8"/>
        <v>1.1097560975609756E-2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input_560100!A$2</f>
        <v>560100</v>
      </c>
      <c r="B83" s="1">
        <v>667</v>
      </c>
      <c r="C83" s="7" t="str">
        <f t="shared" si="6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10"/>
        <v>19656</v>
      </c>
      <c r="P83" s="46">
        <f t="shared" si="8"/>
        <v>1.1097560975609756E-2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input_560100!A$2</f>
        <v>560100</v>
      </c>
      <c r="B84" s="1">
        <v>670</v>
      </c>
      <c r="C84" s="7" t="str">
        <f t="shared" si="6"/>
        <v>Premium5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10"/>
        <v>19656</v>
      </c>
      <c r="P84" s="46">
        <f t="shared" si="8"/>
        <v>1.1097560975609756E-2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input_560100!A$2</f>
        <v>560100</v>
      </c>
      <c r="B85" s="1">
        <v>673</v>
      </c>
      <c r="C85" s="7" t="str">
        <f t="shared" si="6"/>
        <v>Premium5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10"/>
        <v>19656</v>
      </c>
      <c r="P85" s="46">
        <f t="shared" si="8"/>
        <v>1.1097560975609756E-2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input_560100!A$2</f>
        <v>560100</v>
      </c>
      <c r="B86" s="1">
        <v>675</v>
      </c>
      <c r="C86" s="7" t="str">
        <f t="shared" si="6"/>
        <v>PremiumSS5</v>
      </c>
      <c r="D86" s="7" t="str">
        <f t="shared" si="7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10"/>
        <v>1845</v>
      </c>
      <c r="P86" s="46">
        <f t="shared" si="8"/>
        <v>1.0416666666666667E-3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input_560100!A$2</f>
        <v>560100</v>
      </c>
      <c r="B87" s="1">
        <v>677</v>
      </c>
      <c r="C87" s="7" t="str">
        <f t="shared" si="6"/>
        <v>PremiumSS5</v>
      </c>
      <c r="D87" s="7" t="str">
        <f t="shared" si="7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10"/>
        <v>1845</v>
      </c>
      <c r="P87" s="46">
        <f t="shared" si="8"/>
        <v>1.0416666666666667E-3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input_560100!A$2</f>
        <v>560100</v>
      </c>
      <c r="B88" s="1">
        <v>729</v>
      </c>
      <c r="C88" s="7" t="str">
        <f t="shared" si="6"/>
        <v>Premium5R3less</v>
      </c>
      <c r="D88" s="7" t="str">
        <f t="shared" si="7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10"/>
        <v>19656</v>
      </c>
      <c r="P88" s="46">
        <f t="shared" si="8"/>
        <v>1.1097560975609756E-2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input_560100!A$2</f>
        <v>560100</v>
      </c>
      <c r="B89" s="1">
        <v>731</v>
      </c>
      <c r="C89" s="7" t="str">
        <f t="shared" si="6"/>
        <v>Premium5R3less</v>
      </c>
      <c r="D89" s="7" t="str">
        <f t="shared" si="7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10"/>
        <v>19656</v>
      </c>
      <c r="P89" s="46">
        <f t="shared" si="8"/>
        <v>1.1097560975609756E-2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input_560100!A$2</f>
        <v>560100</v>
      </c>
      <c r="B90" s="1">
        <v>732</v>
      </c>
      <c r="C90" s="7" t="str">
        <f t="shared" si="6"/>
        <v>PremiumSS5R5only</v>
      </c>
      <c r="D90" s="7" t="str">
        <f t="shared" si="7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10"/>
        <v>1845</v>
      </c>
      <c r="P90" s="46">
        <f t="shared" si="8"/>
        <v>1.0416666666666667E-3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input_560100!A$2</f>
        <v>560100</v>
      </c>
      <c r="B91" s="1">
        <v>734</v>
      </c>
      <c r="C91" s="7" t="str">
        <f t="shared" si="6"/>
        <v>PremiumSS5R5only</v>
      </c>
      <c r="D91" s="7" t="str">
        <f t="shared" si="7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10"/>
        <v>1845</v>
      </c>
      <c r="P91" s="46">
        <f t="shared" si="8"/>
        <v>1.0416666666666667E-3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input_560100!A$2</f>
        <v>560100</v>
      </c>
      <c r="B92" s="1">
        <v>742</v>
      </c>
      <c r="C92" s="7" t="str">
        <f t="shared" si="6"/>
        <v>PremiumSS5R5only</v>
      </c>
      <c r="D92" s="7" t="str">
        <f t="shared" si="7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10"/>
        <v>1845</v>
      </c>
      <c r="P92" s="46">
        <f t="shared" si="8"/>
        <v>1.0416666666666667E-3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input_560100!A$2</f>
        <v>560100</v>
      </c>
      <c r="B93" s="1">
        <v>744</v>
      </c>
      <c r="C93" s="7" t="str">
        <f t="shared" si="6"/>
        <v>PremiumSS5R5only</v>
      </c>
      <c r="D93" s="7" t="str">
        <f t="shared" si="7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10"/>
        <v>1845</v>
      </c>
      <c r="P93" s="46">
        <f t="shared" si="8"/>
        <v>1.0416666666666667E-3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input_560100!A$2</f>
        <v>560100</v>
      </c>
      <c r="B94" s="1">
        <v>747</v>
      </c>
      <c r="C94" s="7" t="str">
        <f t="shared" si="6"/>
        <v>Premium5R3less</v>
      </c>
      <c r="D94" s="7" t="str">
        <f t="shared" si="7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10"/>
        <v>19656</v>
      </c>
      <c r="P94" s="46">
        <f t="shared" si="8"/>
        <v>1.1097560975609756E-2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input_560100!A$2</f>
        <v>560100</v>
      </c>
      <c r="B95" s="1">
        <v>749</v>
      </c>
      <c r="C95" s="7" t="str">
        <f t="shared" si="6"/>
        <v>Premium5R3less</v>
      </c>
      <c r="D95" s="7" t="str">
        <f t="shared" si="7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10"/>
        <v>19656</v>
      </c>
      <c r="P95" s="46">
        <f t="shared" si="8"/>
        <v>1.1097560975609756E-2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input_560100!A$2</f>
        <v>560100</v>
      </c>
      <c r="B96" s="1">
        <v>771</v>
      </c>
      <c r="C96" s="7" t="str">
        <f t="shared" si="6"/>
        <v>PremiumSS5</v>
      </c>
      <c r="D96" s="7" t="str">
        <f t="shared" si="7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10"/>
        <v>1845</v>
      </c>
      <c r="P96" s="46">
        <f t="shared" si="8"/>
        <v>1.0416666666666667E-3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input_560100!A$2</f>
        <v>560100</v>
      </c>
      <c r="B97" s="1">
        <v>773</v>
      </c>
      <c r="C97" s="7" t="str">
        <f t="shared" si="6"/>
        <v>PremiumSS5</v>
      </c>
      <c r="D97" s="7" t="str">
        <f t="shared" si="7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10"/>
        <v>1845</v>
      </c>
      <c r="P97" s="46">
        <f t="shared" si="8"/>
        <v>1.0416666666666667E-3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input_560100!A$2</f>
        <v>560100</v>
      </c>
      <c r="B98" s="1">
        <v>776</v>
      </c>
      <c r="C98" s="7" t="str">
        <f t="shared" si="6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10"/>
        <v>19656</v>
      </c>
      <c r="P98" s="46">
        <f t="shared" si="8"/>
        <v>1.1097560975609756E-2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input_560100!A$2</f>
        <v>560100</v>
      </c>
      <c r="B99" s="1">
        <v>779</v>
      </c>
      <c r="C99" s="7" t="str">
        <f t="shared" si="6"/>
        <v>Premium5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10"/>
        <v>19656</v>
      </c>
      <c r="P99" s="46">
        <f t="shared" si="8"/>
        <v>1.1097560975609756E-2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input_560100!A$2</f>
        <v>560100</v>
      </c>
      <c r="B100" s="1">
        <v>848</v>
      </c>
      <c r="C100" s="7" t="str">
        <f t="shared" si="6"/>
        <v>PremiumSS5R5only</v>
      </c>
      <c r="D100" s="7" t="str">
        <f t="shared" si="7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>VLOOKUP(D100,$W$2:$Y$4,3,FALSE)</f>
        <v>1845</v>
      </c>
      <c r="P100" s="46">
        <f t="shared" si="8"/>
        <v>1.0416666666666667E-3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input_560100!A$2</f>
        <v>560100</v>
      </c>
      <c r="B101" s="1">
        <v>850</v>
      </c>
      <c r="C101" s="7" t="str">
        <f t="shared" si="6"/>
        <v>PremiumSS5R5only</v>
      </c>
      <c r="D101" s="7" t="str">
        <f t="shared" si="7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ref="O101:O117" si="11">VLOOKUP(D101,$W$2:$Y$4,3,FALSE)</f>
        <v>1845</v>
      </c>
      <c r="P101" s="46">
        <f t="shared" si="8"/>
        <v>1.0416666666666667E-3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input_560100!A$2</f>
        <v>560100</v>
      </c>
      <c r="B102" s="1">
        <v>853</v>
      </c>
      <c r="C102" s="7" t="str">
        <f t="shared" si="6"/>
        <v>Premium5R3less</v>
      </c>
      <c r="D102" s="7" t="str">
        <f t="shared" si="7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11"/>
        <v>19656</v>
      </c>
      <c r="P102" s="46">
        <f t="shared" si="8"/>
        <v>1.1097560975609756E-2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input_560100!A$2</f>
        <v>560100</v>
      </c>
      <c r="B103" s="1">
        <v>855</v>
      </c>
      <c r="C103" s="7" t="str">
        <f t="shared" si="6"/>
        <v>Premium5R3less</v>
      </c>
      <c r="D103" s="7" t="str">
        <f t="shared" si="7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11"/>
        <v>19656</v>
      </c>
      <c r="P103" s="46">
        <f t="shared" si="8"/>
        <v>1.1097560975609756E-2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input_560100!A$2</f>
        <v>560100</v>
      </c>
      <c r="B104" s="1">
        <v>863</v>
      </c>
      <c r="C104" s="7" t="str">
        <f t="shared" si="6"/>
        <v>Premium5R3less</v>
      </c>
      <c r="D104" s="7" t="str">
        <f t="shared" si="7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11"/>
        <v>19656</v>
      </c>
      <c r="P104" s="46">
        <f t="shared" si="8"/>
        <v>1.1097560975609756E-2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input_560100!A$2</f>
        <v>560100</v>
      </c>
      <c r="B105" s="1">
        <v>865</v>
      </c>
      <c r="C105" s="7" t="str">
        <f t="shared" si="6"/>
        <v>Premium5R3less</v>
      </c>
      <c r="D105" s="7" t="str">
        <f t="shared" si="7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11"/>
        <v>19656</v>
      </c>
      <c r="P105" s="46">
        <f t="shared" si="8"/>
        <v>1.1097560975609756E-2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input_560100!A$2</f>
        <v>560100</v>
      </c>
      <c r="B106" s="1">
        <v>866</v>
      </c>
      <c r="C106" s="7" t="str">
        <f t="shared" si="6"/>
        <v>PremiumSS5R5only</v>
      </c>
      <c r="D106" s="7" t="str">
        <f t="shared" si="7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11"/>
        <v>1845</v>
      </c>
      <c r="P106" s="46">
        <f t="shared" si="8"/>
        <v>1.0416666666666667E-3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input_560100!A$2</f>
        <v>560100</v>
      </c>
      <c r="B107" s="1">
        <v>868</v>
      </c>
      <c r="C107" s="7" t="str">
        <f t="shared" si="6"/>
        <v>PremiumSS5R5only</v>
      </c>
      <c r="D107" s="7" t="str">
        <f t="shared" si="7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11"/>
        <v>1845</v>
      </c>
      <c r="P107" s="46">
        <f t="shared" si="8"/>
        <v>1.0416666666666667E-3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input_560100!A$2</f>
        <v>560100</v>
      </c>
      <c r="B108" s="1">
        <v>937</v>
      </c>
      <c r="C108" s="7" t="str">
        <f t="shared" ref="C108:C158" si="12">D108&amp;J108&amp;E108&amp;F108&amp;G108</f>
        <v>PremiumSS5R5only</v>
      </c>
      <c r="D108" s="7" t="str">
        <f t="shared" ref="D108:D158" si="13">IF(OR(I108="PremiumSS",I108="PremiumSSw"),"PremiumSS",IF(I108="PremiumSSS",I108,IF(I108="PremiumW",IF(J108=5,"premium",I108),"Premium")))</f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11"/>
        <v>1845</v>
      </c>
      <c r="P108" s="46">
        <f t="shared" ref="P108:P158" si="14">O108/SUM(O:O)</f>
        <v>1.0416666666666667E-3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input_560100!A$2</f>
        <v>560100</v>
      </c>
      <c r="B109" s="1">
        <v>940</v>
      </c>
      <c r="C109" s="7" t="str">
        <f t="shared" si="12"/>
        <v>Premium5R3less</v>
      </c>
      <c r="D109" s="7" t="str">
        <f t="shared" si="13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11"/>
        <v>19656</v>
      </c>
      <c r="P109" s="46">
        <f t="shared" si="14"/>
        <v>1.1097560975609756E-2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input_560100!A$2</f>
        <v>560100</v>
      </c>
      <c r="B110" s="1">
        <v>941</v>
      </c>
      <c r="C110" s="7" t="str">
        <f t="shared" si="12"/>
        <v>PremiumSS5R5only</v>
      </c>
      <c r="D110" s="7" t="str">
        <f t="shared" si="13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11"/>
        <v>1845</v>
      </c>
      <c r="P110" s="46">
        <f t="shared" si="14"/>
        <v>1.0416666666666667E-3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input_560100!A$2</f>
        <v>560100</v>
      </c>
      <c r="B111" s="1">
        <v>943</v>
      </c>
      <c r="C111" s="7" t="str">
        <f t="shared" si="12"/>
        <v>PremiumSS5R5only</v>
      </c>
      <c r="D111" s="7" t="str">
        <f t="shared" si="13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11"/>
        <v>1845</v>
      </c>
      <c r="P111" s="46">
        <f t="shared" si="14"/>
        <v>1.0416666666666667E-3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input_560100!A$2</f>
        <v>560100</v>
      </c>
      <c r="B112" s="1">
        <v>1012</v>
      </c>
      <c r="C112" s="7" t="str">
        <f t="shared" si="12"/>
        <v>PremiumSS5R5only</v>
      </c>
      <c r="D112" s="7" t="str">
        <f t="shared" si="13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11"/>
        <v>1845</v>
      </c>
      <c r="P112" s="46">
        <f t="shared" si="14"/>
        <v>1.0416666666666667E-3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input_560100!A$2</f>
        <v>560100</v>
      </c>
      <c r="B113" s="1">
        <v>1014</v>
      </c>
      <c r="C113" s="7" t="str">
        <f t="shared" si="12"/>
        <v>PremiumSS5R5only</v>
      </c>
      <c r="D113" s="7" t="str">
        <f t="shared" si="13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11"/>
        <v>1845</v>
      </c>
      <c r="P113" s="46">
        <f t="shared" si="14"/>
        <v>1.0416666666666667E-3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input_560100!A$2</f>
        <v>560100</v>
      </c>
      <c r="B114" s="1">
        <v>1017</v>
      </c>
      <c r="C114" s="7" t="str">
        <f t="shared" si="12"/>
        <v>Premium5R3less</v>
      </c>
      <c r="D114" s="7" t="str">
        <f t="shared" si="13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11"/>
        <v>19656</v>
      </c>
      <c r="P114" s="46">
        <f t="shared" si="14"/>
        <v>1.1097560975609756E-2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input_560100!A$2</f>
        <v>560100</v>
      </c>
      <c r="B115" s="1">
        <v>1018</v>
      </c>
      <c r="C115" s="7" t="str">
        <f t="shared" si="12"/>
        <v>PremiumSS5R5only</v>
      </c>
      <c r="D115" s="7" t="str">
        <f t="shared" si="13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11"/>
        <v>1845</v>
      </c>
      <c r="P115" s="46">
        <f t="shared" si="14"/>
        <v>1.0416666666666667E-3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input_560100!A$2</f>
        <v>560100</v>
      </c>
      <c r="B116" s="1">
        <v>1027</v>
      </c>
      <c r="C116" s="7" t="str">
        <f t="shared" si="12"/>
        <v>Premium5R3less</v>
      </c>
      <c r="D116" s="7" t="str">
        <f t="shared" si="13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11"/>
        <v>19656</v>
      </c>
      <c r="P116" s="46">
        <f t="shared" si="14"/>
        <v>1.1097560975609756E-2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input_560100!A$2</f>
        <v>560100</v>
      </c>
      <c r="B117" s="1">
        <v>1028</v>
      </c>
      <c r="C117" s="7" t="str">
        <f t="shared" si="12"/>
        <v>PremiumSS5R5only</v>
      </c>
      <c r="D117" s="7" t="str">
        <f t="shared" si="13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11"/>
        <v>1845</v>
      </c>
      <c r="P117" s="46">
        <f t="shared" si="14"/>
        <v>1.0416666666666667E-3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input_560100!A$2</f>
        <v>560100</v>
      </c>
      <c r="B118" s="1">
        <v>1031</v>
      </c>
      <c r="C118" s="7" t="str">
        <f t="shared" si="12"/>
        <v>PremiumSS5R5only</v>
      </c>
      <c r="D118" s="7" t="str">
        <f t="shared" si="13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>VLOOKUP(D118,$W$2:$Y$4,3,FALSE)</f>
        <v>1845</v>
      </c>
      <c r="P118" s="46">
        <f t="shared" si="14"/>
        <v>1.0416666666666667E-3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input_560100!A$2</f>
        <v>560100</v>
      </c>
      <c r="B119" s="1">
        <v>1033</v>
      </c>
      <c r="C119" s="7" t="str">
        <f t="shared" si="12"/>
        <v>PremiumSS5R5only</v>
      </c>
      <c r="D119" s="7" t="str">
        <f t="shared" si="13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ref="O119:O148" si="15">VLOOKUP(D119,$W$2:$Y$4,3,FALSE)</f>
        <v>1845</v>
      </c>
      <c r="P119" s="46">
        <f t="shared" si="14"/>
        <v>1.0416666666666667E-3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input_560100!A$2</f>
        <v>560100</v>
      </c>
      <c r="B120" s="1">
        <v>1068</v>
      </c>
      <c r="C120" s="7" t="str">
        <f t="shared" si="12"/>
        <v>Premium5R3less</v>
      </c>
      <c r="D120" s="7" t="str">
        <f t="shared" si="13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15"/>
        <v>19656</v>
      </c>
      <c r="P120" s="46">
        <f t="shared" si="14"/>
        <v>1.1097560975609756E-2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input_560100!A$2</f>
        <v>560100</v>
      </c>
      <c r="B121" s="1">
        <v>1069</v>
      </c>
      <c r="C121" s="7" t="str">
        <f t="shared" si="12"/>
        <v>PremiumSS5R5only</v>
      </c>
      <c r="D121" s="7" t="str">
        <f t="shared" si="13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15"/>
        <v>1845</v>
      </c>
      <c r="P121" s="46">
        <f t="shared" si="14"/>
        <v>1.0416666666666667E-3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input_560100!A$2</f>
        <v>560100</v>
      </c>
      <c r="B122" s="1">
        <v>1072</v>
      </c>
      <c r="C122" s="7" t="str">
        <f t="shared" si="12"/>
        <v>PremiumSS5R5only</v>
      </c>
      <c r="D122" s="7" t="str">
        <f t="shared" si="13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15"/>
        <v>1845</v>
      </c>
      <c r="P122" s="46">
        <f t="shared" si="14"/>
        <v>1.0416666666666667E-3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input_560100!A$2</f>
        <v>560100</v>
      </c>
      <c r="B123" s="1">
        <v>1074</v>
      </c>
      <c r="C123" s="7" t="str">
        <f t="shared" si="12"/>
        <v>PremiumSS5R5only</v>
      </c>
      <c r="D123" s="7" t="str">
        <f t="shared" si="13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15"/>
        <v>1845</v>
      </c>
      <c r="P123" s="46">
        <f t="shared" si="14"/>
        <v>1.0416666666666667E-3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input_560100!A$2</f>
        <v>560100</v>
      </c>
      <c r="B124" s="1">
        <v>1100</v>
      </c>
      <c r="C124" s="7" t="str">
        <f t="shared" si="12"/>
        <v>PremiumSS5R5only</v>
      </c>
      <c r="D124" s="7" t="str">
        <f t="shared" si="13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15"/>
        <v>1845</v>
      </c>
      <c r="P124" s="46">
        <f t="shared" si="14"/>
        <v>1.0416666666666667E-3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input_560100!A$2</f>
        <v>560100</v>
      </c>
      <c r="B125" s="1">
        <v>1102</v>
      </c>
      <c r="C125" s="7" t="str">
        <f t="shared" si="12"/>
        <v>PremiumSS5R5only</v>
      </c>
      <c r="D125" s="7" t="str">
        <f t="shared" si="13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15"/>
        <v>1845</v>
      </c>
      <c r="P125" s="46">
        <f t="shared" si="14"/>
        <v>1.0416666666666667E-3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input_560100!A$2</f>
        <v>560100</v>
      </c>
      <c r="B126" s="1">
        <v>1105</v>
      </c>
      <c r="C126" s="7" t="str">
        <f t="shared" si="12"/>
        <v>Premium5R3less</v>
      </c>
      <c r="D126" s="7" t="str">
        <f t="shared" si="13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15"/>
        <v>19656</v>
      </c>
      <c r="P126" s="46">
        <f t="shared" si="14"/>
        <v>1.1097560975609756E-2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input_560100!A$2</f>
        <v>560100</v>
      </c>
      <c r="B127" s="1">
        <v>1106</v>
      </c>
      <c r="C127" s="7" t="str">
        <f t="shared" si="12"/>
        <v>PremiumSS5R5only</v>
      </c>
      <c r="D127" s="7" t="str">
        <f t="shared" si="13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15"/>
        <v>1845</v>
      </c>
      <c r="P127" s="46">
        <f t="shared" si="14"/>
        <v>1.0416666666666667E-3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input_560100!A$2</f>
        <v>560100</v>
      </c>
      <c r="B128" s="1">
        <v>1137</v>
      </c>
      <c r="C128" s="7" t="str">
        <f t="shared" si="12"/>
        <v>PremiumSS5R5only</v>
      </c>
      <c r="D128" s="7" t="str">
        <f t="shared" si="13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15"/>
        <v>1845</v>
      </c>
      <c r="P128" s="46">
        <f t="shared" si="14"/>
        <v>1.0416666666666667E-3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input_560100!A$2</f>
        <v>560100</v>
      </c>
      <c r="B129" s="1">
        <v>1139</v>
      </c>
      <c r="C129" s="7" t="str">
        <f t="shared" si="12"/>
        <v>PremiumSS5R5only</v>
      </c>
      <c r="D129" s="7" t="str">
        <f t="shared" si="13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15"/>
        <v>1845</v>
      </c>
      <c r="P129" s="46">
        <f t="shared" si="14"/>
        <v>1.0416666666666667E-3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input_560100!A$2</f>
        <v>560100</v>
      </c>
      <c r="B130" s="1">
        <v>1141</v>
      </c>
      <c r="C130" s="7" t="str">
        <f t="shared" si="12"/>
        <v>PremiumSS5R5only</v>
      </c>
      <c r="D130" s="7" t="str">
        <f t="shared" si="13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15"/>
        <v>1845</v>
      </c>
      <c r="P130" s="46">
        <f t="shared" si="14"/>
        <v>1.0416666666666667E-3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input_560100!A$2</f>
        <v>560100</v>
      </c>
      <c r="B131" s="1">
        <v>1144</v>
      </c>
      <c r="C131" s="7" t="str">
        <f t="shared" si="12"/>
        <v>Premium5R3less</v>
      </c>
      <c r="D131" s="7" t="str">
        <f t="shared" si="13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si="15"/>
        <v>19656</v>
      </c>
      <c r="P131" s="46">
        <f t="shared" si="14"/>
        <v>1.1097560975609756E-2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input_560100!A$2</f>
        <v>560100</v>
      </c>
      <c r="B132" s="1">
        <v>1152</v>
      </c>
      <c r="C132" s="7" t="str">
        <f t="shared" si="12"/>
        <v>Premium5R3less</v>
      </c>
      <c r="D132" s="7" t="str">
        <f t="shared" si="13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5"/>
        <v>19656</v>
      </c>
      <c r="P132" s="46">
        <f t="shared" si="14"/>
        <v>1.1097560975609756E-2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input_560100!A$2</f>
        <v>560100</v>
      </c>
      <c r="B133" s="1">
        <v>1153</v>
      </c>
      <c r="C133" s="7" t="str">
        <f t="shared" si="12"/>
        <v>PremiumSS5R5only</v>
      </c>
      <c r="D133" s="7" t="str">
        <f t="shared" si="13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5"/>
        <v>1845</v>
      </c>
      <c r="P133" s="46">
        <f t="shared" si="14"/>
        <v>1.0416666666666667E-3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input_560100!A$2</f>
        <v>560100</v>
      </c>
      <c r="B134" s="1">
        <v>1155</v>
      </c>
      <c r="C134" s="7" t="str">
        <f t="shared" si="12"/>
        <v>PremiumSS5R5only</v>
      </c>
      <c r="D134" s="7" t="str">
        <f t="shared" si="13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5"/>
        <v>1845</v>
      </c>
      <c r="P134" s="46">
        <f t="shared" si="14"/>
        <v>1.0416666666666667E-3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input_560100!A$2</f>
        <v>560100</v>
      </c>
      <c r="B135" s="1">
        <v>1157</v>
      </c>
      <c r="C135" s="7" t="str">
        <f t="shared" si="12"/>
        <v>PremiumSS5R5only</v>
      </c>
      <c r="D135" s="7" t="str">
        <f t="shared" si="13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5"/>
        <v>1845</v>
      </c>
      <c r="P135" s="46">
        <f t="shared" si="14"/>
        <v>1.0416666666666667E-3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input_560100!A$2</f>
        <v>560100</v>
      </c>
      <c r="B136" s="1">
        <v>1214</v>
      </c>
      <c r="C136" s="7" t="str">
        <f t="shared" si="12"/>
        <v>PremiumSS5R5only</v>
      </c>
      <c r="D136" s="7" t="str">
        <f t="shared" si="13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5"/>
        <v>1845</v>
      </c>
      <c r="P136" s="46">
        <f t="shared" si="14"/>
        <v>1.0416666666666667E-3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input_560100!A$2</f>
        <v>560100</v>
      </c>
      <c r="B137" s="1">
        <v>1212</v>
      </c>
      <c r="C137" s="7" t="str">
        <f t="shared" si="12"/>
        <v>PremiumSS5R5only</v>
      </c>
      <c r="D137" s="7" t="str">
        <f t="shared" si="13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5"/>
        <v>1845</v>
      </c>
      <c r="P137" s="46">
        <f t="shared" si="14"/>
        <v>1.0416666666666667E-3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input_560100!A$2</f>
        <v>560100</v>
      </c>
      <c r="B138" s="1">
        <v>1208</v>
      </c>
      <c r="C138" s="7" t="str">
        <f t="shared" si="12"/>
        <v>PremiumSS5R5only</v>
      </c>
      <c r="D138" s="7" t="str">
        <f t="shared" si="13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5"/>
        <v>1845</v>
      </c>
      <c r="P138" s="46">
        <f t="shared" si="14"/>
        <v>1.0416666666666667E-3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input_560100!A$2</f>
        <v>560100</v>
      </c>
      <c r="B139" s="1">
        <v>1211</v>
      </c>
      <c r="C139" s="7" t="str">
        <f t="shared" si="12"/>
        <v>Premium5R3less</v>
      </c>
      <c r="D139" s="7" t="str">
        <f t="shared" si="13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5"/>
        <v>19656</v>
      </c>
      <c r="P139" s="46">
        <f t="shared" si="14"/>
        <v>1.1097560975609756E-2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input_560100!A$2</f>
        <v>560100</v>
      </c>
      <c r="B140" s="1">
        <v>1225</v>
      </c>
      <c r="C140" s="7" t="str">
        <f t="shared" si="12"/>
        <v>Premium5R3less</v>
      </c>
      <c r="D140" s="7" t="str">
        <f t="shared" si="13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5"/>
        <v>19656</v>
      </c>
      <c r="P140" s="46">
        <f t="shared" si="14"/>
        <v>1.1097560975609756E-2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input_560100!A$2</f>
        <v>560100</v>
      </c>
      <c r="B141" s="1">
        <v>1226</v>
      </c>
      <c r="C141" s="7" t="str">
        <f t="shared" si="12"/>
        <v>PremiumSS5R5only</v>
      </c>
      <c r="D141" s="7" t="str">
        <f t="shared" si="13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5"/>
        <v>1845</v>
      </c>
      <c r="P141" s="46">
        <f t="shared" si="14"/>
        <v>1.0416666666666667E-3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input_560100!A$2</f>
        <v>560100</v>
      </c>
      <c r="B142" s="1">
        <v>1228</v>
      </c>
      <c r="C142" s="7" t="str">
        <f t="shared" si="12"/>
        <v>PremiumSS5R5only</v>
      </c>
      <c r="D142" s="7" t="str">
        <f t="shared" si="13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5"/>
        <v>1845</v>
      </c>
      <c r="P142" s="46">
        <f t="shared" si="14"/>
        <v>1.0416666666666667E-3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input_560100!A$2</f>
        <v>560100</v>
      </c>
      <c r="B143" s="1">
        <v>1230</v>
      </c>
      <c r="C143" s="7" t="str">
        <f t="shared" si="12"/>
        <v>PremiumSS5R5only</v>
      </c>
      <c r="D143" s="7" t="str">
        <f t="shared" si="13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5"/>
        <v>1845</v>
      </c>
      <c r="P143" s="46">
        <f t="shared" si="14"/>
        <v>1.0416666666666667E-3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input_560100!A$2</f>
        <v>560100</v>
      </c>
      <c r="B144" s="1">
        <v>1250</v>
      </c>
      <c r="C144" s="7" t="str">
        <f t="shared" si="12"/>
        <v>PremiumSS5R5only</v>
      </c>
      <c r="D144" s="7" t="str">
        <f t="shared" si="13"/>
        <v>PremiumSS</v>
      </c>
      <c r="E144" s="7" t="str">
        <f>IF(COUNTIF('R6追加前'!A:A,B144)=0,IF(OR(I144="PremiumSS",I144="PremiumSSw"),"R5only","R3less"),"")</f>
        <v>R5only</v>
      </c>
      <c r="F144" s="7" t="str">
        <f>IF(COUNTIF('R6開放'!A:A,B144)&gt;0,"R6release","")</f>
        <v/>
      </c>
      <c r="G144" s="7"/>
      <c r="H144" s="7" t="str">
        <f>VLOOKUP(B144,[1]characters!$A:$C,3,FALSE)</f>
        <v>真田幸村</v>
      </c>
      <c r="I144" s="7" t="str">
        <f>VLOOKUP(B144,[1]characters!$A:$J,10,FALSE)</f>
        <v>PremiumSSw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attack</v>
      </c>
      <c r="M144" s="7" t="str">
        <f>VLOOKUP(B144,[1]characters!$A:$M,13,FALSE)</f>
        <v>human</v>
      </c>
      <c r="N144" s="7">
        <f>VLOOKUP(B144,[1]characters!$A:$G,7,FALSE)</f>
        <v>0</v>
      </c>
      <c r="O144" s="45">
        <f t="shared" si="15"/>
        <v>1845</v>
      </c>
      <c r="P144" s="46">
        <f t="shared" si="14"/>
        <v>1.0416666666666667E-3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input_560100!A$2</f>
        <v>560100</v>
      </c>
      <c r="B145" s="1">
        <v>1249</v>
      </c>
      <c r="C145" s="7" t="str">
        <f t="shared" si="12"/>
        <v>Premium5R3less</v>
      </c>
      <c r="D145" s="7" t="str">
        <f t="shared" si="13"/>
        <v>Premium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君臨する姐御様 寧々</v>
      </c>
      <c r="I145" s="7" t="str">
        <f>VLOOKUP(B145,[1]characters!$A:$J,10,FALSE)</f>
        <v>PremiumS</v>
      </c>
      <c r="J145" s="7">
        <f>VLOOKUP(B145,[1]characters!$A:$I,9,FALSE)</f>
        <v>5</v>
      </c>
      <c r="K145" s="7" t="str">
        <f>VLOOKUP(B145,[1]characters!$A:$H,8,FALSE)</f>
        <v>blue</v>
      </c>
      <c r="L145" s="7" t="str">
        <f>VLOOKUP(B145,[1]characters!$A:$K,11,FALSE)</f>
        <v>heal</v>
      </c>
      <c r="M145" s="7" t="str">
        <f>VLOOKUP(B145,[1]characters!$A:$M,13,FALSE)</f>
        <v>human</v>
      </c>
      <c r="N145" s="7">
        <f>VLOOKUP(B145,[1]characters!$A:$G,7,FALSE)</f>
        <v>0</v>
      </c>
      <c r="O145" s="45">
        <f t="shared" si="15"/>
        <v>19656</v>
      </c>
      <c r="P145" s="46">
        <f t="shared" si="14"/>
        <v>1.1097560975609756E-2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input_560100!A$2</f>
        <v>560100</v>
      </c>
      <c r="B146" s="1">
        <v>1246</v>
      </c>
      <c r="C146" s="7" t="str">
        <f t="shared" si="12"/>
        <v>PremiumSS5R5only</v>
      </c>
      <c r="D146" s="7" t="str">
        <f t="shared" si="13"/>
        <v>PremiumSS</v>
      </c>
      <c r="E146" s="7" t="str">
        <f>IF(COUNTIF('R6追加前'!A:A,B146)=0,IF(OR(I146="PremiumSS",I146="PremiumSSw"),"R5only","R3less"),"")</f>
        <v>R5only</v>
      </c>
      <c r="F146" s="7" t="str">
        <f>IF(COUNTIF('R6開放'!A:A,B146)&gt;0,"R6release","")</f>
        <v/>
      </c>
      <c r="G146" s="7"/>
      <c r="H146" s="7" t="str">
        <f>VLOOKUP(B146,[1]characters!$A:$C,3,FALSE)</f>
        <v>望月千代女</v>
      </c>
      <c r="I146" s="7" t="str">
        <f>VLOOKUP(B146,[1]characters!$A:$J,10,FALSE)</f>
        <v>PremiumSS</v>
      </c>
      <c r="J146" s="7">
        <f>VLOOKUP(B146,[1]characters!$A:$I,9,FALSE)</f>
        <v>5</v>
      </c>
      <c r="K146" s="7" t="str">
        <f>VLOOKUP(B146,[1]characters!$A:$H,8,FALSE)</f>
        <v>green</v>
      </c>
      <c r="L146" s="7" t="str">
        <f>VLOOKUP(B146,[1]characters!$A:$K,11,FALSE)</f>
        <v>heal</v>
      </c>
      <c r="M146" s="7" t="str">
        <f>VLOOKUP(B146,[1]characters!$A:$M,13,FALSE)</f>
        <v>human</v>
      </c>
      <c r="N146" s="7">
        <f>VLOOKUP(B146,[1]characters!$A:$G,7,FALSE)</f>
        <v>0</v>
      </c>
      <c r="O146" s="45">
        <f t="shared" si="15"/>
        <v>1845</v>
      </c>
      <c r="P146" s="46">
        <f t="shared" si="14"/>
        <v>1.0416666666666667E-3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input_560100!A$2</f>
        <v>560100</v>
      </c>
      <c r="B147" s="1">
        <v>1244</v>
      </c>
      <c r="C147" s="7" t="str">
        <f t="shared" si="12"/>
        <v>PremiumSS5R5only</v>
      </c>
      <c r="D147" s="7" t="str">
        <f t="shared" si="13"/>
        <v>PremiumSS</v>
      </c>
      <c r="E147" s="7" t="str">
        <f>IF(COUNTIF('R6追加前'!A:A,B147)=0,IF(OR(I147="PremiumSS",I147="PremiumSSw"),"R5only","R3less"),"")</f>
        <v>R5only</v>
      </c>
      <c r="F147" s="7" t="str">
        <f>IF(COUNTIF('R6開放'!A:A,B147)&gt;0,"R6release","")</f>
        <v/>
      </c>
      <c r="G147" s="7"/>
      <c r="H147" s="7" t="str">
        <f>VLOOKUP(B147,[1]characters!$A:$C,3,FALSE)</f>
        <v>猿飛佐助</v>
      </c>
      <c r="I147" s="7" t="str">
        <f>VLOOKUP(B147,[1]characters!$A:$J,10,FALSE)</f>
        <v>PremiumSS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attack</v>
      </c>
      <c r="M147" s="7" t="str">
        <f>VLOOKUP(B147,[1]characters!$A:$M,13,FALSE)</f>
        <v>human</v>
      </c>
      <c r="N147" s="7">
        <f>VLOOKUP(B147,[1]characters!$A:$G,7,FALSE)</f>
        <v>0</v>
      </c>
      <c r="O147" s="45">
        <f t="shared" si="15"/>
        <v>1845</v>
      </c>
      <c r="P147" s="46">
        <f t="shared" si="14"/>
        <v>1.0416666666666667E-3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input_560100!A$2</f>
        <v>560100</v>
      </c>
      <c r="B148" s="1">
        <v>1260</v>
      </c>
      <c r="C148" s="7" t="str">
        <f t="shared" si="12"/>
        <v>PremiumSS5R5only</v>
      </c>
      <c r="D148" s="7" t="str">
        <f t="shared" si="13"/>
        <v>PremiumSS</v>
      </c>
      <c r="E148" s="7" t="str">
        <f>IF(COUNTIF('R6追加前'!A:A,B148)=0,IF(OR(I148="PremiumSS",I148="PremiumSSw"),"R5only","R3less"),"")</f>
        <v>R5only</v>
      </c>
      <c r="F148" s="7" t="str">
        <f>IF(COUNTIF('R6開放'!A:A,B148)&gt;0,"R6release","")</f>
        <v/>
      </c>
      <c r="G148" s="7"/>
      <c r="H148" s="7" t="str">
        <f>VLOOKUP(B148,[1]characters!$A:$C,3,FALSE)</f>
        <v>トール</v>
      </c>
      <c r="I148" s="7" t="str">
        <f>VLOOKUP(B148,[1]characters!$A:$J,10,FALSE)</f>
        <v>PremiumSS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balance</v>
      </c>
      <c r="M148" s="7" t="str">
        <f>VLOOKUP(B148,[1]characters!$A:$M,13,FALSE)</f>
        <v>god</v>
      </c>
      <c r="N148" s="7">
        <f>VLOOKUP(B148,[1]characters!$A:$G,7,FALSE)</f>
        <v>0</v>
      </c>
      <c r="O148" s="45">
        <f t="shared" si="15"/>
        <v>1845</v>
      </c>
      <c r="P148" s="46">
        <f t="shared" si="14"/>
        <v>1.0416666666666667E-3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input_560100!A$2</f>
        <v>560100</v>
      </c>
      <c r="B149" s="1">
        <v>1262</v>
      </c>
      <c r="C149" s="7" t="str">
        <f t="shared" si="12"/>
        <v>PremiumSS5R5only</v>
      </c>
      <c r="D149" s="7" t="str">
        <f t="shared" si="13"/>
        <v>PremiumSS</v>
      </c>
      <c r="E149" s="7" t="str">
        <f>IF(COUNTIF('R6追加前'!A:A,B149)=0,IF(OR(I149="PremiumSS",I149="PremiumSSw"),"R5only","R3less"),"")</f>
        <v>R5only</v>
      </c>
      <c r="F149" s="7" t="str">
        <f>IF(COUNTIF('R6開放'!A:A,B149)&gt;0,"R6release","")</f>
        <v/>
      </c>
      <c r="G149" s="7"/>
      <c r="H149" s="7" t="str">
        <f>VLOOKUP(B149,[1]characters!$A:$C,3,FALSE)</f>
        <v>イズン</v>
      </c>
      <c r="I149" s="7" t="str">
        <f>VLOOKUP(B149,[1]characters!$A:$J,10,FALSE)</f>
        <v>PremiumSSw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heal</v>
      </c>
      <c r="M149" s="7" t="str">
        <f>VLOOKUP(B149,[1]characters!$A:$M,13,FALSE)</f>
        <v>god</v>
      </c>
      <c r="N149" s="7">
        <f>VLOOKUP(B149,[1]characters!$A:$G,7,FALSE)</f>
        <v>0</v>
      </c>
      <c r="O149" s="45">
        <f>VLOOKUP(D149,$W$2:$Y$4,3,FALSE)</f>
        <v>1845</v>
      </c>
      <c r="P149" s="46">
        <f t="shared" si="14"/>
        <v>1.0416666666666667E-3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input_560100!A$2</f>
        <v>560100</v>
      </c>
      <c r="B150" s="1">
        <v>1264</v>
      </c>
      <c r="C150" s="7" t="str">
        <f t="shared" si="12"/>
        <v>PremiumSS5R5only</v>
      </c>
      <c r="D150" s="7" t="str">
        <f t="shared" si="13"/>
        <v>PremiumSS</v>
      </c>
      <c r="E150" s="7" t="str">
        <f>IF(COUNTIF('R6追加前'!A:A,B150)=0,IF(OR(I150="PremiumSS",I150="PremiumSSw"),"R5only","R3less"),"")</f>
        <v>R5only</v>
      </c>
      <c r="F150" s="7" t="str">
        <f>IF(COUNTIF('R6開放'!A:A,B150)&gt;0,"R6release","")</f>
        <v/>
      </c>
      <c r="G150" s="7"/>
      <c r="H150" s="7" t="str">
        <f>VLOOKUP(B150,[1]characters!$A:$C,3,FALSE)</f>
        <v>ウルズ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blue</v>
      </c>
      <c r="L150" s="7" t="str">
        <f>VLOOKUP(B150,[1]characters!$A:$K,11,FALSE)</f>
        <v>heal</v>
      </c>
      <c r="M150" s="7" t="str">
        <f>VLOOKUP(B150,[1]characters!$A:$M,13,FALSE)</f>
        <v>god</v>
      </c>
      <c r="N150" s="7">
        <f>VLOOKUP(B150,[1]characters!$A:$G,7,FALSE)</f>
        <v>0</v>
      </c>
      <c r="O150" s="45">
        <f t="shared" ref="O150:O158" si="16">VLOOKUP(D150,$W$2:$Y$4,3,FALSE)</f>
        <v>1845</v>
      </c>
      <c r="P150" s="46">
        <f t="shared" si="14"/>
        <v>1.0416666666666667E-3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input_560100!A$2</f>
        <v>560100</v>
      </c>
      <c r="B151" s="1">
        <v>1267</v>
      </c>
      <c r="C151" s="7" t="str">
        <f t="shared" si="12"/>
        <v>Premium5R3less</v>
      </c>
      <c r="D151" s="7" t="str">
        <f t="shared" si="13"/>
        <v>Premium</v>
      </c>
      <c r="E151" s="7" t="str">
        <f>IF(COUNTIF('R6追加前'!A:A,B151)=0,IF(OR(I151="PremiumSS",I151="PremiumSSw"),"R5only","R3less"),"")</f>
        <v>R3less</v>
      </c>
      <c r="F151" s="7" t="str">
        <f>IF(COUNTIF('R6開放'!A:A,B151)&gt;0,"R6release","")</f>
        <v/>
      </c>
      <c r="G151" s="7"/>
      <c r="H151" s="7" t="str">
        <f>VLOOKUP(B151,[1]characters!$A:$C,3,FALSE)</f>
        <v>不遜の冥番犬 ガルム</v>
      </c>
      <c r="I151" s="7" t="str">
        <f>VLOOKUP(B151,[1]characters!$A:$J,10,FALSE)</f>
        <v>PremiumS</v>
      </c>
      <c r="J151" s="7">
        <f>VLOOKUP(B151,[1]characters!$A:$I,9,FALSE)</f>
        <v>5</v>
      </c>
      <c r="K151" s="7" t="str">
        <f>VLOOKUP(B151,[1]characters!$A:$H,8,FALSE)</f>
        <v>yellow</v>
      </c>
      <c r="L151" s="7" t="str">
        <f>VLOOKUP(B151,[1]characters!$A:$K,11,FALSE)</f>
        <v>hp</v>
      </c>
      <c r="M151" s="7" t="str">
        <f>VLOOKUP(B151,[1]characters!$A:$M,13,FALSE)</f>
        <v>god</v>
      </c>
      <c r="N151" s="7">
        <f>VLOOKUP(B151,[1]characters!$A:$G,7,FALSE)</f>
        <v>0</v>
      </c>
      <c r="O151" s="45">
        <f t="shared" si="16"/>
        <v>19656</v>
      </c>
      <c r="P151" s="46">
        <f t="shared" si="14"/>
        <v>1.1097560975609756E-2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input_560100!A$2</f>
        <v>560100</v>
      </c>
      <c r="B152" s="1">
        <v>1332</v>
      </c>
      <c r="C152" s="7" t="str">
        <f t="shared" si="12"/>
        <v>PremiumSS5R5only</v>
      </c>
      <c r="D152" s="7" t="str">
        <f t="shared" si="13"/>
        <v>PremiumSS</v>
      </c>
      <c r="E152" s="7" t="str">
        <f>IF(COUNTIF('R6追加前'!A:A,B152)=0,IF(OR(I152="PremiumSS",I152="PremiumSSw"),"R5only","R3less"),"")</f>
        <v>R5only</v>
      </c>
      <c r="F152" s="7" t="str">
        <f>IF(COUNTIF('R6開放'!A:A,B152)&gt;0,"R6release","")</f>
        <v/>
      </c>
      <c r="G152" s="7"/>
      <c r="H152" s="7" t="str">
        <f>VLOOKUP(B152,[1]characters!$A:$C,3,FALSE)</f>
        <v>クシナダヒメ</v>
      </c>
      <c r="I152" s="7" t="str">
        <f>VLOOKUP(B152,[1]characters!$A:$J,10,FALSE)</f>
        <v>PremiumSSw</v>
      </c>
      <c r="J152" s="7">
        <f>VLOOKUP(B152,[1]characters!$A:$I,9,FALSE)</f>
        <v>5</v>
      </c>
      <c r="K152" s="7" t="str">
        <f>VLOOKUP(B152,[1]characters!$A:$H,8,FALSE)</f>
        <v>red</v>
      </c>
      <c r="L152" s="7" t="str">
        <f>VLOOKUP(B152,[1]characters!$A:$K,11,FALSE)</f>
        <v>hp</v>
      </c>
      <c r="M152" s="7" t="str">
        <f>VLOOKUP(B152,[1]characters!$A:$M,13,FALSE)</f>
        <v>god</v>
      </c>
      <c r="N152" s="7">
        <f>VLOOKUP(B152,[1]characters!$A:$G,7,FALSE)</f>
        <v>0</v>
      </c>
      <c r="O152" s="45">
        <f t="shared" si="16"/>
        <v>1845</v>
      </c>
      <c r="P152" s="46">
        <f t="shared" si="14"/>
        <v>1.0416666666666667E-3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input_560100!A$2</f>
        <v>560100</v>
      </c>
      <c r="B153" s="1">
        <v>1336</v>
      </c>
      <c r="C153" s="7" t="str">
        <f t="shared" si="12"/>
        <v>PremiumSS5R5only</v>
      </c>
      <c r="D153" s="7" t="str">
        <f t="shared" si="13"/>
        <v>PremiumSS</v>
      </c>
      <c r="E153" s="7" t="str">
        <f>IF(COUNTIF('R6追加前'!A:A,B153)=0,IF(OR(I153="PremiumSS",I153="PremiumSSw"),"R5only","R3less"),"")</f>
        <v>R5only</v>
      </c>
      <c r="F153" s="7" t="str">
        <f>IF(COUNTIF('R6開放'!A:A,B153)&gt;0,"R6release","")</f>
        <v/>
      </c>
      <c r="G153" s="7"/>
      <c r="H153" s="7" t="str">
        <f>VLOOKUP(B153,[1]characters!$A:$C,3,FALSE)</f>
        <v>イザナギ</v>
      </c>
      <c r="I153" s="7" t="str">
        <f>VLOOKUP(B153,[1]characters!$A:$J,10,FALSE)</f>
        <v>PremiumSS</v>
      </c>
      <c r="J153" s="7">
        <f>VLOOKUP(B153,[1]characters!$A:$I,9,FALSE)</f>
        <v>5</v>
      </c>
      <c r="K153" s="7" t="str">
        <f>VLOOKUP(B153,[1]characters!$A:$H,8,FALSE)</f>
        <v>blue</v>
      </c>
      <c r="L153" s="7" t="str">
        <f>VLOOKUP(B153,[1]characters!$A:$K,11,FALSE)</f>
        <v>technical</v>
      </c>
      <c r="M153" s="7" t="str">
        <f>VLOOKUP(B153,[1]characters!$A:$M,13,FALSE)</f>
        <v>god</v>
      </c>
      <c r="N153" s="7">
        <f>VLOOKUP(B153,[1]characters!$A:$G,7,FALSE)</f>
        <v>0</v>
      </c>
      <c r="O153" s="45">
        <f t="shared" si="16"/>
        <v>1845</v>
      </c>
      <c r="P153" s="46">
        <f t="shared" si="14"/>
        <v>1.0416666666666667E-3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input_560100!A$2</f>
        <v>560100</v>
      </c>
      <c r="B154" s="1">
        <v>1338</v>
      </c>
      <c r="C154" s="7" t="str">
        <f t="shared" si="12"/>
        <v>PremiumSS5R5only</v>
      </c>
      <c r="D154" s="7" t="str">
        <f t="shared" si="13"/>
        <v>PremiumSS</v>
      </c>
      <c r="E154" s="7" t="str">
        <f>IF(COUNTIF('R6追加前'!A:A,B154)=0,IF(OR(I154="PremiumSS",I154="PremiumSSw"),"R5only","R3less"),"")</f>
        <v>R5only</v>
      </c>
      <c r="F154" s="7" t="str">
        <f>IF(COUNTIF('R6開放'!A:A,B154)&gt;0,"R6release","")</f>
        <v/>
      </c>
      <c r="G154" s="7"/>
      <c r="H154" s="7" t="str">
        <f>VLOOKUP(B154,[1]characters!$A:$C,3,FALSE)</f>
        <v>アメノウズメ</v>
      </c>
      <c r="I154" s="7" t="str">
        <f>VLOOKUP(B154,[1]characters!$A:$J,10,FALSE)</f>
        <v>PremiumSS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attack</v>
      </c>
      <c r="M154" s="7" t="str">
        <f>VLOOKUP(B154,[1]characters!$A:$M,13,FALSE)</f>
        <v>god</v>
      </c>
      <c r="N154" s="7">
        <f>VLOOKUP(B154,[1]characters!$A:$G,7,FALSE)</f>
        <v>0</v>
      </c>
      <c r="O154" s="45">
        <f t="shared" si="16"/>
        <v>1845</v>
      </c>
      <c r="P154" s="46">
        <f t="shared" si="14"/>
        <v>1.0416666666666667E-3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input_560100!A$2</f>
        <v>560100</v>
      </c>
      <c r="B155" s="1">
        <v>1335</v>
      </c>
      <c r="C155" s="7" t="str">
        <f t="shared" si="12"/>
        <v>Premium5R3less</v>
      </c>
      <c r="D155" s="7" t="str">
        <f t="shared" si="13"/>
        <v>Premium</v>
      </c>
      <c r="E155" s="7" t="str">
        <f>IF(COUNTIF('R6追加前'!A:A,B155)=0,IF(OR(I155="PremiumSS",I155="PremiumSSw"),"R5only","R3less"),"")</f>
        <v>R3less</v>
      </c>
      <c r="F155" s="7" t="str">
        <f>IF(COUNTIF('R6開放'!A:A,B155)&gt;0,"R6release","")</f>
        <v/>
      </c>
      <c r="G155" s="7"/>
      <c r="H155" s="7" t="str">
        <f>VLOOKUP(B155,[1]characters!$A:$C,3,FALSE)</f>
        <v>霊司の神憑 タマヨリヒメ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green</v>
      </c>
      <c r="L155" s="7" t="str">
        <f>VLOOKUP(B155,[1]characters!$A:$K,11,FALSE)</f>
        <v>heal</v>
      </c>
      <c r="M155" s="7" t="str">
        <f>VLOOKUP(B155,[1]characters!$A:$M,13,FALSE)</f>
        <v>god</v>
      </c>
      <c r="N155" s="7">
        <f>VLOOKUP(B155,[1]characters!$A:$G,7,FALSE)</f>
        <v>0</v>
      </c>
      <c r="O155" s="45">
        <f t="shared" si="16"/>
        <v>19656</v>
      </c>
      <c r="P155" s="46">
        <f t="shared" si="14"/>
        <v>1.1097560975609756E-2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input_560100!A$2</f>
        <v>560100</v>
      </c>
      <c r="B156" s="1">
        <v>1452</v>
      </c>
      <c r="C156" s="7" t="str">
        <f t="shared" si="12"/>
        <v>PremiumSSS5R3less</v>
      </c>
      <c r="D156" s="7" t="str">
        <f t="shared" si="13"/>
        <v>PremiumSSS</v>
      </c>
      <c r="E156" s="7" t="str">
        <f>IF(COUNTIF('R6追加前'!A:A,B156)=0,IF(OR(I156="PremiumSS",I156="PremiumSSw"),"R5only","R3less"),"")</f>
        <v>R3less</v>
      </c>
      <c r="F156" s="7" t="str">
        <f>IF(COUNTIF('R6開放'!A:A,B156)&gt;0,"R6release","")</f>
        <v/>
      </c>
      <c r="G156" s="7"/>
      <c r="H156" s="7" t="str">
        <f>VLOOKUP(B156,[1]characters!$A:$C,3,FALSE)</f>
        <v>メルセンヌ</v>
      </c>
      <c r="I156" s="7" t="str">
        <f>VLOOKUP(B156,[1]characters!$A:$J,10,FALSE)</f>
        <v>PremiumSSS</v>
      </c>
      <c r="J156" s="7">
        <f>VLOOKUP(B156,[1]characters!$A:$I,9,FALSE)</f>
        <v>5</v>
      </c>
      <c r="K156" s="7" t="str">
        <f>VLOOKUP(B156,[1]characters!$A:$H,8,FALSE)</f>
        <v>yellow</v>
      </c>
      <c r="L156" s="7" t="str">
        <f>VLOOKUP(B156,[1]characters!$A:$K,11,FALSE)</f>
        <v>hp</v>
      </c>
      <c r="M156" s="7" t="str">
        <f>VLOOKUP(B156,[1]characters!$A:$M,13,FALSE)</f>
        <v>academia</v>
      </c>
      <c r="N156" s="7" t="str">
        <f>VLOOKUP(B156,[1]characters!$A:$G,7,FALSE)</f>
        <v>不明</v>
      </c>
      <c r="O156" s="45">
        <f t="shared" si="16"/>
        <v>8856</v>
      </c>
      <c r="P156" s="46">
        <f>O156/SUM(O:O)</f>
        <v>5.0000000000000001E-3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input_560100!A$2</f>
        <v>560100</v>
      </c>
      <c r="B157" s="1">
        <v>1090</v>
      </c>
      <c r="C157" s="7" t="str">
        <f t="shared" si="12"/>
        <v>PremiumSSS5R3less</v>
      </c>
      <c r="D157" s="7" t="str">
        <f t="shared" si="13"/>
        <v>PremiumSSS</v>
      </c>
      <c r="E157" s="7" t="str">
        <f>IF(COUNTIF('R6追加前'!A:A,B157)=0,IF(OR(I157="PremiumSS",I157="PremiumSSw"),"R5only","R3less"),"")</f>
        <v>R3less</v>
      </c>
      <c r="F157" s="7" t="str">
        <f>IF(COUNTIF('R6開放'!A:A,B157)&gt;0,"R6release","")</f>
        <v/>
      </c>
      <c r="G157" s="7"/>
      <c r="H157" s="7" t="str">
        <f>VLOOKUP(B157,[1]characters!$A:$C,3,FALSE)</f>
        <v>ラプラス</v>
      </c>
      <c r="I157" s="7" t="str">
        <f>VLOOKUP(B157,[1]characters!$A:$J,10,FALSE)</f>
        <v>PremiumSSS</v>
      </c>
      <c r="J157" s="7">
        <f>VLOOKUP(B157,[1]characters!$A:$I,9,FALSE)</f>
        <v>5</v>
      </c>
      <c r="K157" s="7" t="str">
        <f>VLOOKUP(B157,[1]characters!$A:$H,8,FALSE)</f>
        <v>yellow</v>
      </c>
      <c r="L157" s="7" t="str">
        <f>VLOOKUP(B157,[1]characters!$A:$K,11,FALSE)</f>
        <v>attack</v>
      </c>
      <c r="M157" s="7" t="str">
        <f>VLOOKUP(B157,[1]characters!$A:$M,13,FALSE)</f>
        <v>academia</v>
      </c>
      <c r="N157" s="7" t="str">
        <f>VLOOKUP(B157,[1]characters!$A:$G,7,FALSE)</f>
        <v>不明</v>
      </c>
      <c r="O157" s="45">
        <f t="shared" si="16"/>
        <v>8856</v>
      </c>
      <c r="P157" s="46">
        <f>O157/SUM(O:O)</f>
        <v>5.0000000000000001E-3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input_560100!A$2</f>
        <v>560100</v>
      </c>
      <c r="B158" s="1">
        <v>411</v>
      </c>
      <c r="C158" s="7" t="str">
        <f t="shared" si="12"/>
        <v>PremiumSSS5R3less</v>
      </c>
      <c r="D158" s="7" t="str">
        <f t="shared" si="13"/>
        <v>PremiumSSS</v>
      </c>
      <c r="E158" s="7" t="str">
        <f>IF(COUNTIF('R6追加前'!A:A,B158)=0,IF(OR(I158="PremiumSS",I158="PremiumSSw"),"R5only","R3less"),"")</f>
        <v>R3less</v>
      </c>
      <c r="F158" s="7" t="str">
        <f>IF(COUNTIF('R6開放'!A:A,B158)&gt;0,"R6release","")</f>
        <v/>
      </c>
      <c r="G158" s="7"/>
      <c r="H158" s="7" t="str">
        <f>VLOOKUP(B158,[1]characters!$A:$C,3,FALSE)</f>
        <v>電隷の始祖 ファラデー</v>
      </c>
      <c r="I158" s="7" t="str">
        <f>VLOOKUP(B158,[1]characters!$A:$J,10,FALSE)</f>
        <v>PremiumSSS</v>
      </c>
      <c r="J158" s="7">
        <f>VLOOKUP(B158,[1]characters!$A:$I,9,FALSE)</f>
        <v>5</v>
      </c>
      <c r="K158" s="7" t="str">
        <f>VLOOKUP(B158,[1]characters!$A:$H,8,FALSE)</f>
        <v>yellow</v>
      </c>
      <c r="L158" s="7" t="str">
        <f>VLOOKUP(B158,[1]characters!$A:$K,11,FALSE)</f>
        <v>balance</v>
      </c>
      <c r="M158" s="7" t="str">
        <f>VLOOKUP(B158,[1]characters!$A:$M,13,FALSE)</f>
        <v>human</v>
      </c>
      <c r="N158" s="7" t="str">
        <f>VLOOKUP(B158,[1]characters!$A:$G,7,FALSE)</f>
        <v>女性</v>
      </c>
      <c r="O158" s="45">
        <f t="shared" si="16"/>
        <v>8856</v>
      </c>
      <c r="P158" s="46">
        <f>O158/SUM(O:O)</f>
        <v>5.0000000000000001E-3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</sheetData>
  <autoFilter ref="A1:V158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input_560100</vt:lpstr>
      <vt:lpstr>tables_560100</vt:lpstr>
      <vt:lpstr>tables_settle_560100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2017-03-22T10:58:38Z</dcterms:modified>
</cp:coreProperties>
</file>