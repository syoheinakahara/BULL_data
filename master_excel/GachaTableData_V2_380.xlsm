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460" yWindow="460" windowWidth="25140" windowHeight="15540" tabRatio="943" activeTab="5"/>
  </bookViews>
  <sheets>
    <sheet name="確率の考え方" sheetId="110" r:id="rId1"/>
    <sheet name="Sheet1" sheetId="107" r:id="rId2"/>
    <sheet name="output" sheetId="103" r:id="rId3"/>
    <sheet name="input_380010" sheetId="157" r:id="rId4"/>
    <sheet name="input_380011" sheetId="159" r:id="rId5"/>
    <sheet name="tables_380010" sheetId="158" r:id="rId6"/>
    <sheet name="tables_380011" sheetId="160" r:id="rId7"/>
    <sheet name="input_380100" sheetId="153" r:id="rId8"/>
    <sheet name="tables_380100" sheetId="154" r:id="rId9"/>
    <sheet name="tables_settle_378100" sheetId="156" r:id="rId10"/>
    <sheet name="gacha_bonus_tables" sheetId="98" r:id="rId11"/>
    <sheet name="R6追加前" sheetId="111" r:id="rId12"/>
    <sheet name="R6開放" sheetId="112" r:id="rId13"/>
  </sheets>
  <externalReferences>
    <externalReference r:id="rId14"/>
  </externalReferences>
  <definedNames>
    <definedName name="_xlnm._FilterDatabase" localSheetId="10" hidden="1">gacha_bonus_tables!$A$1:$F$1</definedName>
    <definedName name="_xlnm._FilterDatabase" localSheetId="5" hidden="1">tables_380010!$A$1:$V$299</definedName>
    <definedName name="_xlnm._FilterDatabase" localSheetId="6" hidden="1">tables_380011!$A$1:$V$299</definedName>
    <definedName name="_xlnm._FilterDatabase" localSheetId="8" hidden="1">tables_380100!$A$1:$V$294</definedName>
    <definedName name="_xlnm._FilterDatabase" localSheetId="9" hidden="1">tables_settle_378100!$A$1:$V$6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60" l="1"/>
  <c r="D2" i="160"/>
  <c r="J2" i="160"/>
  <c r="E2" i="160"/>
  <c r="C2" i="160"/>
  <c r="I3" i="160"/>
  <c r="D3" i="160"/>
  <c r="J3" i="160"/>
  <c r="E3" i="160"/>
  <c r="C3" i="160"/>
  <c r="I4" i="160"/>
  <c r="D4" i="160"/>
  <c r="J4" i="160"/>
  <c r="E4" i="160"/>
  <c r="C4" i="160"/>
  <c r="I5" i="160"/>
  <c r="D5" i="160"/>
  <c r="J5" i="160"/>
  <c r="E5" i="160"/>
  <c r="C5" i="160"/>
  <c r="I6" i="160"/>
  <c r="D6" i="160"/>
  <c r="J6" i="160"/>
  <c r="E6" i="160"/>
  <c r="C6" i="160"/>
  <c r="I7" i="160"/>
  <c r="D7" i="160"/>
  <c r="J7" i="160"/>
  <c r="E7" i="160"/>
  <c r="C7" i="160"/>
  <c r="I8" i="160"/>
  <c r="D8" i="160"/>
  <c r="J8" i="160"/>
  <c r="E8" i="160"/>
  <c r="C8" i="160"/>
  <c r="I9" i="160"/>
  <c r="D9" i="160"/>
  <c r="J9" i="160"/>
  <c r="E9" i="160"/>
  <c r="C9" i="160"/>
  <c r="I10" i="160"/>
  <c r="D10" i="160"/>
  <c r="J10" i="160"/>
  <c r="E10" i="160"/>
  <c r="C10" i="160"/>
  <c r="I11" i="160"/>
  <c r="D11" i="160"/>
  <c r="J11" i="160"/>
  <c r="E11" i="160"/>
  <c r="C11" i="160"/>
  <c r="I12" i="160"/>
  <c r="D12" i="160"/>
  <c r="J12" i="160"/>
  <c r="E12" i="160"/>
  <c r="C12" i="160"/>
  <c r="I13" i="160"/>
  <c r="D13" i="160"/>
  <c r="J13" i="160"/>
  <c r="E13" i="160"/>
  <c r="C13" i="160"/>
  <c r="I14" i="160"/>
  <c r="D14" i="160"/>
  <c r="J14" i="160"/>
  <c r="E14" i="160"/>
  <c r="C14" i="160"/>
  <c r="I15" i="160"/>
  <c r="D15" i="160"/>
  <c r="J15" i="160"/>
  <c r="E15" i="160"/>
  <c r="C15" i="160"/>
  <c r="I16" i="160"/>
  <c r="D16" i="160"/>
  <c r="J16" i="160"/>
  <c r="E16" i="160"/>
  <c r="C16" i="160"/>
  <c r="I17" i="160"/>
  <c r="D17" i="160"/>
  <c r="J17" i="160"/>
  <c r="E17" i="160"/>
  <c r="C17" i="160"/>
  <c r="I18" i="160"/>
  <c r="D18" i="160"/>
  <c r="J18" i="160"/>
  <c r="E18" i="160"/>
  <c r="C18" i="160"/>
  <c r="I19" i="160"/>
  <c r="D19" i="160"/>
  <c r="J19" i="160"/>
  <c r="E19" i="160"/>
  <c r="C19" i="160"/>
  <c r="I20" i="160"/>
  <c r="D20" i="160"/>
  <c r="J20" i="160"/>
  <c r="E20" i="160"/>
  <c r="C20" i="160"/>
  <c r="I21" i="160"/>
  <c r="D21" i="160"/>
  <c r="J21" i="160"/>
  <c r="E21" i="160"/>
  <c r="C21" i="160"/>
  <c r="I22" i="160"/>
  <c r="D22" i="160"/>
  <c r="J22" i="160"/>
  <c r="E22" i="160"/>
  <c r="C22" i="160"/>
  <c r="I23" i="160"/>
  <c r="D23" i="160"/>
  <c r="J23" i="160"/>
  <c r="E23" i="160"/>
  <c r="C23" i="160"/>
  <c r="I24" i="160"/>
  <c r="D24" i="160"/>
  <c r="J24" i="160"/>
  <c r="E24" i="160"/>
  <c r="C24" i="160"/>
  <c r="I25" i="160"/>
  <c r="D25" i="160"/>
  <c r="J25" i="160"/>
  <c r="E25" i="160"/>
  <c r="C25" i="160"/>
  <c r="I26" i="160"/>
  <c r="D26" i="160"/>
  <c r="J26" i="160"/>
  <c r="E26" i="160"/>
  <c r="C26" i="160"/>
  <c r="I27" i="160"/>
  <c r="D27" i="160"/>
  <c r="J27" i="160"/>
  <c r="E27" i="160"/>
  <c r="C27" i="160"/>
  <c r="I28" i="160"/>
  <c r="D28" i="160"/>
  <c r="J28" i="160"/>
  <c r="E28" i="160"/>
  <c r="C28" i="160"/>
  <c r="I29" i="160"/>
  <c r="D29" i="160"/>
  <c r="J29" i="160"/>
  <c r="E29" i="160"/>
  <c r="C29" i="160"/>
  <c r="I30" i="160"/>
  <c r="D30" i="160"/>
  <c r="J30" i="160"/>
  <c r="E30" i="160"/>
  <c r="C30" i="160"/>
  <c r="I31" i="160"/>
  <c r="D31" i="160"/>
  <c r="J31" i="160"/>
  <c r="E31" i="160"/>
  <c r="C31" i="160"/>
  <c r="I32" i="160"/>
  <c r="D32" i="160"/>
  <c r="J32" i="160"/>
  <c r="E32" i="160"/>
  <c r="C32" i="160"/>
  <c r="I33" i="160"/>
  <c r="D33" i="160"/>
  <c r="J33" i="160"/>
  <c r="E33" i="160"/>
  <c r="C33" i="160"/>
  <c r="I34" i="160"/>
  <c r="D34" i="160"/>
  <c r="J34" i="160"/>
  <c r="E34" i="160"/>
  <c r="C34" i="160"/>
  <c r="I35" i="160"/>
  <c r="D35" i="160"/>
  <c r="J35" i="160"/>
  <c r="E35" i="160"/>
  <c r="C35" i="160"/>
  <c r="I36" i="160"/>
  <c r="D36" i="160"/>
  <c r="J36" i="160"/>
  <c r="E36" i="160"/>
  <c r="C36" i="160"/>
  <c r="I37" i="160"/>
  <c r="D37" i="160"/>
  <c r="J37" i="160"/>
  <c r="E37" i="160"/>
  <c r="C37" i="160"/>
  <c r="I38" i="160"/>
  <c r="D38" i="160"/>
  <c r="J38" i="160"/>
  <c r="E38" i="160"/>
  <c r="C38" i="160"/>
  <c r="I39" i="160"/>
  <c r="D39" i="160"/>
  <c r="J39" i="160"/>
  <c r="E39" i="160"/>
  <c r="C39" i="160"/>
  <c r="I40" i="160"/>
  <c r="D40" i="160"/>
  <c r="J40" i="160"/>
  <c r="E40" i="160"/>
  <c r="C40" i="160"/>
  <c r="I41" i="160"/>
  <c r="D41" i="160"/>
  <c r="J41" i="160"/>
  <c r="E41" i="160"/>
  <c r="C41" i="160"/>
  <c r="I42" i="160"/>
  <c r="D42" i="160"/>
  <c r="J42" i="160"/>
  <c r="E42" i="160"/>
  <c r="C42" i="160"/>
  <c r="I43" i="160"/>
  <c r="D43" i="160"/>
  <c r="J43" i="160"/>
  <c r="E43" i="160"/>
  <c r="C43" i="160"/>
  <c r="I44" i="160"/>
  <c r="D44" i="160"/>
  <c r="J44" i="160"/>
  <c r="E44" i="160"/>
  <c r="C44" i="160"/>
  <c r="I45" i="160"/>
  <c r="D45" i="160"/>
  <c r="J45" i="160"/>
  <c r="E45" i="160"/>
  <c r="C45" i="160"/>
  <c r="I46" i="160"/>
  <c r="D46" i="160"/>
  <c r="J46" i="160"/>
  <c r="E46" i="160"/>
  <c r="C46" i="160"/>
  <c r="I47" i="160"/>
  <c r="D47" i="160"/>
  <c r="J47" i="160"/>
  <c r="E47" i="160"/>
  <c r="C47" i="160"/>
  <c r="I48" i="160"/>
  <c r="D48" i="160"/>
  <c r="J48" i="160"/>
  <c r="E48" i="160"/>
  <c r="C48" i="160"/>
  <c r="I49" i="160"/>
  <c r="D49" i="160"/>
  <c r="J49" i="160"/>
  <c r="E49" i="160"/>
  <c r="C49" i="160"/>
  <c r="I50" i="160"/>
  <c r="D50" i="160"/>
  <c r="J50" i="160"/>
  <c r="E50" i="160"/>
  <c r="C50" i="160"/>
  <c r="I51" i="160"/>
  <c r="D51" i="160"/>
  <c r="J51" i="160"/>
  <c r="E51" i="160"/>
  <c r="C51" i="160"/>
  <c r="I52" i="160"/>
  <c r="D52" i="160"/>
  <c r="J52" i="160"/>
  <c r="E52" i="160"/>
  <c r="C52" i="160"/>
  <c r="I53" i="160"/>
  <c r="D53" i="160"/>
  <c r="J53" i="160"/>
  <c r="E53" i="160"/>
  <c r="C53" i="160"/>
  <c r="I54" i="160"/>
  <c r="D54" i="160"/>
  <c r="J54" i="160"/>
  <c r="E54" i="160"/>
  <c r="C54" i="160"/>
  <c r="I55" i="160"/>
  <c r="D55" i="160"/>
  <c r="J55" i="160"/>
  <c r="E55" i="160"/>
  <c r="C55" i="160"/>
  <c r="I56" i="160"/>
  <c r="D56" i="160"/>
  <c r="J56" i="160"/>
  <c r="E56" i="160"/>
  <c r="C56" i="160"/>
  <c r="I57" i="160"/>
  <c r="D57" i="160"/>
  <c r="J57" i="160"/>
  <c r="E57" i="160"/>
  <c r="C57" i="160"/>
  <c r="I58" i="160"/>
  <c r="D58" i="160"/>
  <c r="J58" i="160"/>
  <c r="E58" i="160"/>
  <c r="C58" i="160"/>
  <c r="I59" i="160"/>
  <c r="D59" i="160"/>
  <c r="J59" i="160"/>
  <c r="E59" i="160"/>
  <c r="C59" i="160"/>
  <c r="I60" i="160"/>
  <c r="D60" i="160"/>
  <c r="J60" i="160"/>
  <c r="E60" i="160"/>
  <c r="C60" i="160"/>
  <c r="I61" i="160"/>
  <c r="D61" i="160"/>
  <c r="J61" i="160"/>
  <c r="E61" i="160"/>
  <c r="C61" i="160"/>
  <c r="I62" i="160"/>
  <c r="D62" i="160"/>
  <c r="J62" i="160"/>
  <c r="E62" i="160"/>
  <c r="C62" i="160"/>
  <c r="I63" i="160"/>
  <c r="D63" i="160"/>
  <c r="J63" i="160"/>
  <c r="E63" i="160"/>
  <c r="C63" i="160"/>
  <c r="I64" i="160"/>
  <c r="D64" i="160"/>
  <c r="J64" i="160"/>
  <c r="E64" i="160"/>
  <c r="C64" i="160"/>
  <c r="I65" i="160"/>
  <c r="D65" i="160"/>
  <c r="J65" i="160"/>
  <c r="E65" i="160"/>
  <c r="C65" i="160"/>
  <c r="I66" i="160"/>
  <c r="D66" i="160"/>
  <c r="J66" i="160"/>
  <c r="E66" i="160"/>
  <c r="C66" i="160"/>
  <c r="I67" i="160"/>
  <c r="D67" i="160"/>
  <c r="J67" i="160"/>
  <c r="E67" i="160"/>
  <c r="C67" i="160"/>
  <c r="I68" i="160"/>
  <c r="D68" i="160"/>
  <c r="J68" i="160"/>
  <c r="E68" i="160"/>
  <c r="C68" i="160"/>
  <c r="I69" i="160"/>
  <c r="D69" i="160"/>
  <c r="J69" i="160"/>
  <c r="E69" i="160"/>
  <c r="C69" i="160"/>
  <c r="I70" i="160"/>
  <c r="D70" i="160"/>
  <c r="J70" i="160"/>
  <c r="E70" i="160"/>
  <c r="C70" i="160"/>
  <c r="I71" i="160"/>
  <c r="D71" i="160"/>
  <c r="J71" i="160"/>
  <c r="E71" i="160"/>
  <c r="C71" i="160"/>
  <c r="I72" i="160"/>
  <c r="D72" i="160"/>
  <c r="J72" i="160"/>
  <c r="E72" i="160"/>
  <c r="C72" i="160"/>
  <c r="I73" i="160"/>
  <c r="D73" i="160"/>
  <c r="J73" i="160"/>
  <c r="E73" i="160"/>
  <c r="C73" i="160"/>
  <c r="I74" i="160"/>
  <c r="D74" i="160"/>
  <c r="J74" i="160"/>
  <c r="E74" i="160"/>
  <c r="C74" i="160"/>
  <c r="I75" i="160"/>
  <c r="D75" i="160"/>
  <c r="J75" i="160"/>
  <c r="E75" i="160"/>
  <c r="C75" i="160"/>
  <c r="I76" i="160"/>
  <c r="D76" i="160"/>
  <c r="J76" i="160"/>
  <c r="E76" i="160"/>
  <c r="C76" i="160"/>
  <c r="I77" i="160"/>
  <c r="D77" i="160"/>
  <c r="J77" i="160"/>
  <c r="E77" i="160"/>
  <c r="C77" i="160"/>
  <c r="I78" i="160"/>
  <c r="D78" i="160"/>
  <c r="J78" i="160"/>
  <c r="E78" i="160"/>
  <c r="C78" i="160"/>
  <c r="I79" i="160"/>
  <c r="D79" i="160"/>
  <c r="J79" i="160"/>
  <c r="E79" i="160"/>
  <c r="C79" i="160"/>
  <c r="I80" i="160"/>
  <c r="D80" i="160"/>
  <c r="J80" i="160"/>
  <c r="E80" i="160"/>
  <c r="C80" i="160"/>
  <c r="I81" i="160"/>
  <c r="D81" i="160"/>
  <c r="J81" i="160"/>
  <c r="E81" i="160"/>
  <c r="C81" i="160"/>
  <c r="I82" i="160"/>
  <c r="D82" i="160"/>
  <c r="J82" i="160"/>
  <c r="E82" i="160"/>
  <c r="C82" i="160"/>
  <c r="I83" i="160"/>
  <c r="D83" i="160"/>
  <c r="J83" i="160"/>
  <c r="E83" i="160"/>
  <c r="C83" i="160"/>
  <c r="I84" i="160"/>
  <c r="D84" i="160"/>
  <c r="J84" i="160"/>
  <c r="E84" i="160"/>
  <c r="C84" i="160"/>
  <c r="I85" i="160"/>
  <c r="D85" i="160"/>
  <c r="J85" i="160"/>
  <c r="E85" i="160"/>
  <c r="C85" i="160"/>
  <c r="I86" i="160"/>
  <c r="D86" i="160"/>
  <c r="J86" i="160"/>
  <c r="E86" i="160"/>
  <c r="C86" i="160"/>
  <c r="I87" i="160"/>
  <c r="D87" i="160"/>
  <c r="J87" i="160"/>
  <c r="E87" i="160"/>
  <c r="C87" i="160"/>
  <c r="I88" i="160"/>
  <c r="D88" i="160"/>
  <c r="J88" i="160"/>
  <c r="E88" i="160"/>
  <c r="C88" i="160"/>
  <c r="I89" i="160"/>
  <c r="D89" i="160"/>
  <c r="J89" i="160"/>
  <c r="E89" i="160"/>
  <c r="C89" i="160"/>
  <c r="I90" i="160"/>
  <c r="D90" i="160"/>
  <c r="J90" i="160"/>
  <c r="E90" i="160"/>
  <c r="C90" i="160"/>
  <c r="I91" i="160"/>
  <c r="D91" i="160"/>
  <c r="J91" i="160"/>
  <c r="E91" i="160"/>
  <c r="C91" i="160"/>
  <c r="I92" i="160"/>
  <c r="D92" i="160"/>
  <c r="J92" i="160"/>
  <c r="E92" i="160"/>
  <c r="C92" i="160"/>
  <c r="I93" i="160"/>
  <c r="D93" i="160"/>
  <c r="J93" i="160"/>
  <c r="E93" i="160"/>
  <c r="C93" i="160"/>
  <c r="I94" i="160"/>
  <c r="D94" i="160"/>
  <c r="J94" i="160"/>
  <c r="E94" i="160"/>
  <c r="C94" i="160"/>
  <c r="I95" i="160"/>
  <c r="D95" i="160"/>
  <c r="J95" i="160"/>
  <c r="E95" i="160"/>
  <c r="C95" i="160"/>
  <c r="I96" i="160"/>
  <c r="D96" i="160"/>
  <c r="J96" i="160"/>
  <c r="E96" i="160"/>
  <c r="C96" i="160"/>
  <c r="I97" i="160"/>
  <c r="D97" i="160"/>
  <c r="J97" i="160"/>
  <c r="E97" i="160"/>
  <c r="C97" i="160"/>
  <c r="I98" i="160"/>
  <c r="D98" i="160"/>
  <c r="J98" i="160"/>
  <c r="E98" i="160"/>
  <c r="C98" i="160"/>
  <c r="I99" i="160"/>
  <c r="D99" i="160"/>
  <c r="J99" i="160"/>
  <c r="E99" i="160"/>
  <c r="C99" i="160"/>
  <c r="I100" i="160"/>
  <c r="D100" i="160"/>
  <c r="J100" i="160"/>
  <c r="E100" i="160"/>
  <c r="C100" i="160"/>
  <c r="I101" i="160"/>
  <c r="D101" i="160"/>
  <c r="J101" i="160"/>
  <c r="E101" i="160"/>
  <c r="C101" i="160"/>
  <c r="I102" i="160"/>
  <c r="D102" i="160"/>
  <c r="J102" i="160"/>
  <c r="E102" i="160"/>
  <c r="C102" i="160"/>
  <c r="I103" i="160"/>
  <c r="D103" i="160"/>
  <c r="J103" i="160"/>
  <c r="E103" i="160"/>
  <c r="C103" i="160"/>
  <c r="I104" i="160"/>
  <c r="D104" i="160"/>
  <c r="J104" i="160"/>
  <c r="E104" i="160"/>
  <c r="C104" i="160"/>
  <c r="I105" i="160"/>
  <c r="D105" i="160"/>
  <c r="J105" i="160"/>
  <c r="E105" i="160"/>
  <c r="C105" i="160"/>
  <c r="I106" i="160"/>
  <c r="D106" i="160"/>
  <c r="J106" i="160"/>
  <c r="E106" i="160"/>
  <c r="C106" i="160"/>
  <c r="I107" i="160"/>
  <c r="D107" i="160"/>
  <c r="J107" i="160"/>
  <c r="E107" i="160"/>
  <c r="C107" i="160"/>
  <c r="I108" i="160"/>
  <c r="D108" i="160"/>
  <c r="J108" i="160"/>
  <c r="E108" i="160"/>
  <c r="C108" i="160"/>
  <c r="I109" i="160"/>
  <c r="D109" i="160"/>
  <c r="J109" i="160"/>
  <c r="E109" i="160"/>
  <c r="C109" i="160"/>
  <c r="I110" i="160"/>
  <c r="D110" i="160"/>
  <c r="J110" i="160"/>
  <c r="E110" i="160"/>
  <c r="C110" i="160"/>
  <c r="I111" i="160"/>
  <c r="D111" i="160"/>
  <c r="J111" i="160"/>
  <c r="E111" i="160"/>
  <c r="C111" i="160"/>
  <c r="I112" i="160"/>
  <c r="D112" i="160"/>
  <c r="J112" i="160"/>
  <c r="E112" i="160"/>
  <c r="C112" i="160"/>
  <c r="I113" i="160"/>
  <c r="D113" i="160"/>
  <c r="J113" i="160"/>
  <c r="E113" i="160"/>
  <c r="C113" i="160"/>
  <c r="I114" i="160"/>
  <c r="D114" i="160"/>
  <c r="J114" i="160"/>
  <c r="E114" i="160"/>
  <c r="C114" i="160"/>
  <c r="I115" i="160"/>
  <c r="D115" i="160"/>
  <c r="J115" i="160"/>
  <c r="E115" i="160"/>
  <c r="C115" i="160"/>
  <c r="I116" i="160"/>
  <c r="D116" i="160"/>
  <c r="J116" i="160"/>
  <c r="E116" i="160"/>
  <c r="C116" i="160"/>
  <c r="I117" i="160"/>
  <c r="D117" i="160"/>
  <c r="J117" i="160"/>
  <c r="E117" i="160"/>
  <c r="C117" i="160"/>
  <c r="I118" i="160"/>
  <c r="D118" i="160"/>
  <c r="J118" i="160"/>
  <c r="E118" i="160"/>
  <c r="C118" i="160"/>
  <c r="I119" i="160"/>
  <c r="D119" i="160"/>
  <c r="J119" i="160"/>
  <c r="E119" i="160"/>
  <c r="C119" i="160"/>
  <c r="I120" i="160"/>
  <c r="D120" i="160"/>
  <c r="J120" i="160"/>
  <c r="E120" i="160"/>
  <c r="C120" i="160"/>
  <c r="I121" i="160"/>
  <c r="D121" i="160"/>
  <c r="J121" i="160"/>
  <c r="E121" i="160"/>
  <c r="C121" i="160"/>
  <c r="I122" i="160"/>
  <c r="D122" i="160"/>
  <c r="J122" i="160"/>
  <c r="E122" i="160"/>
  <c r="C122" i="160"/>
  <c r="I123" i="160"/>
  <c r="D123" i="160"/>
  <c r="J123" i="160"/>
  <c r="E123" i="160"/>
  <c r="C123" i="160"/>
  <c r="I124" i="160"/>
  <c r="D124" i="160"/>
  <c r="J124" i="160"/>
  <c r="E124" i="160"/>
  <c r="C124" i="160"/>
  <c r="I125" i="160"/>
  <c r="D125" i="160"/>
  <c r="J125" i="160"/>
  <c r="E125" i="160"/>
  <c r="C125" i="160"/>
  <c r="I126" i="160"/>
  <c r="D126" i="160"/>
  <c r="J126" i="160"/>
  <c r="E126" i="160"/>
  <c r="C126" i="160"/>
  <c r="I127" i="160"/>
  <c r="D127" i="160"/>
  <c r="J127" i="160"/>
  <c r="E127" i="160"/>
  <c r="C127" i="160"/>
  <c r="I128" i="160"/>
  <c r="D128" i="160"/>
  <c r="J128" i="160"/>
  <c r="E128" i="160"/>
  <c r="C128" i="160"/>
  <c r="I129" i="160"/>
  <c r="D129" i="160"/>
  <c r="J129" i="160"/>
  <c r="E129" i="160"/>
  <c r="C129" i="160"/>
  <c r="I130" i="160"/>
  <c r="D130" i="160"/>
  <c r="J130" i="160"/>
  <c r="E130" i="160"/>
  <c r="C130" i="160"/>
  <c r="I131" i="160"/>
  <c r="D131" i="160"/>
  <c r="J131" i="160"/>
  <c r="E131" i="160"/>
  <c r="C131" i="160"/>
  <c r="I132" i="160"/>
  <c r="D132" i="160"/>
  <c r="J132" i="160"/>
  <c r="E132" i="160"/>
  <c r="C132" i="160"/>
  <c r="I133" i="160"/>
  <c r="D133" i="160"/>
  <c r="J133" i="160"/>
  <c r="E133" i="160"/>
  <c r="C133" i="160"/>
  <c r="I134" i="160"/>
  <c r="D134" i="160"/>
  <c r="J134" i="160"/>
  <c r="E134" i="160"/>
  <c r="C134" i="160"/>
  <c r="I135" i="160"/>
  <c r="D135" i="160"/>
  <c r="J135" i="160"/>
  <c r="E135" i="160"/>
  <c r="C135" i="160"/>
  <c r="I136" i="160"/>
  <c r="D136" i="160"/>
  <c r="J136" i="160"/>
  <c r="E136" i="160"/>
  <c r="C136" i="160"/>
  <c r="I137" i="160"/>
  <c r="D137" i="160"/>
  <c r="J137" i="160"/>
  <c r="E137" i="160"/>
  <c r="C137" i="160"/>
  <c r="I138" i="160"/>
  <c r="D138" i="160"/>
  <c r="J138" i="160"/>
  <c r="E138" i="160"/>
  <c r="C138" i="160"/>
  <c r="I139" i="160"/>
  <c r="D139" i="160"/>
  <c r="J139" i="160"/>
  <c r="E139" i="160"/>
  <c r="C139" i="160"/>
  <c r="I140" i="160"/>
  <c r="D140" i="160"/>
  <c r="J140" i="160"/>
  <c r="E140" i="160"/>
  <c r="C140" i="160"/>
  <c r="I141" i="160"/>
  <c r="D141" i="160"/>
  <c r="J141" i="160"/>
  <c r="E141" i="160"/>
  <c r="C141" i="160"/>
  <c r="I142" i="160"/>
  <c r="D142" i="160"/>
  <c r="J142" i="160"/>
  <c r="E142" i="160"/>
  <c r="C142" i="160"/>
  <c r="I143" i="160"/>
  <c r="D143" i="160"/>
  <c r="J143" i="160"/>
  <c r="E143" i="160"/>
  <c r="C143" i="160"/>
  <c r="I144" i="160"/>
  <c r="D144" i="160"/>
  <c r="J144" i="160"/>
  <c r="E144" i="160"/>
  <c r="C144" i="160"/>
  <c r="I145" i="160"/>
  <c r="D145" i="160"/>
  <c r="J145" i="160"/>
  <c r="E145" i="160"/>
  <c r="C145" i="160"/>
  <c r="I146" i="160"/>
  <c r="D146" i="160"/>
  <c r="J146" i="160"/>
  <c r="E146" i="160"/>
  <c r="C146" i="160"/>
  <c r="I147" i="160"/>
  <c r="D147" i="160"/>
  <c r="J147" i="160"/>
  <c r="E147" i="160"/>
  <c r="C147" i="160"/>
  <c r="I148" i="160"/>
  <c r="D148" i="160"/>
  <c r="J148" i="160"/>
  <c r="E148" i="160"/>
  <c r="C148" i="160"/>
  <c r="I149" i="160"/>
  <c r="D149" i="160"/>
  <c r="J149" i="160"/>
  <c r="E149" i="160"/>
  <c r="C149" i="160"/>
  <c r="I150" i="160"/>
  <c r="D150" i="160"/>
  <c r="J150" i="160"/>
  <c r="E150" i="160"/>
  <c r="C150" i="160"/>
  <c r="I151" i="160"/>
  <c r="D151" i="160"/>
  <c r="J151" i="160"/>
  <c r="E151" i="160"/>
  <c r="C151" i="160"/>
  <c r="I152" i="160"/>
  <c r="D152" i="160"/>
  <c r="J152" i="160"/>
  <c r="E152" i="160"/>
  <c r="C152" i="160"/>
  <c r="I153" i="160"/>
  <c r="D153" i="160"/>
  <c r="J153" i="160"/>
  <c r="E153" i="160"/>
  <c r="C153" i="160"/>
  <c r="I154" i="160"/>
  <c r="D154" i="160"/>
  <c r="J154" i="160"/>
  <c r="E154" i="160"/>
  <c r="C154" i="160"/>
  <c r="I155" i="160"/>
  <c r="D155" i="160"/>
  <c r="J155" i="160"/>
  <c r="E155" i="160"/>
  <c r="C155" i="160"/>
  <c r="I156" i="160"/>
  <c r="D156" i="160"/>
  <c r="J156" i="160"/>
  <c r="E156" i="160"/>
  <c r="C156" i="160"/>
  <c r="I157" i="160"/>
  <c r="D157" i="160"/>
  <c r="J157" i="160"/>
  <c r="E157" i="160"/>
  <c r="C157" i="160"/>
  <c r="I158" i="160"/>
  <c r="D158" i="160"/>
  <c r="J158" i="160"/>
  <c r="E158" i="160"/>
  <c r="C158" i="160"/>
  <c r="I159" i="160"/>
  <c r="D159" i="160"/>
  <c r="J159" i="160"/>
  <c r="E159" i="160"/>
  <c r="C159" i="160"/>
  <c r="I160" i="160"/>
  <c r="D160" i="160"/>
  <c r="J160" i="160"/>
  <c r="E160" i="160"/>
  <c r="C160" i="160"/>
  <c r="I161" i="160"/>
  <c r="D161" i="160"/>
  <c r="J161" i="160"/>
  <c r="E161" i="160"/>
  <c r="C161" i="160"/>
  <c r="I162" i="160"/>
  <c r="D162" i="160"/>
  <c r="J162" i="160"/>
  <c r="E162" i="160"/>
  <c r="C162" i="160"/>
  <c r="I163" i="160"/>
  <c r="D163" i="160"/>
  <c r="J163" i="160"/>
  <c r="E163" i="160"/>
  <c r="C163" i="160"/>
  <c r="I164" i="160"/>
  <c r="D164" i="160"/>
  <c r="J164" i="160"/>
  <c r="E164" i="160"/>
  <c r="C164" i="160"/>
  <c r="I165" i="160"/>
  <c r="D165" i="160"/>
  <c r="J165" i="160"/>
  <c r="E165" i="160"/>
  <c r="C165" i="160"/>
  <c r="I166" i="160"/>
  <c r="D166" i="160"/>
  <c r="J166" i="160"/>
  <c r="E166" i="160"/>
  <c r="C166" i="160"/>
  <c r="I167" i="160"/>
  <c r="D167" i="160"/>
  <c r="J167" i="160"/>
  <c r="E167" i="160"/>
  <c r="C167" i="160"/>
  <c r="I168" i="160"/>
  <c r="D168" i="160"/>
  <c r="J168" i="160"/>
  <c r="E168" i="160"/>
  <c r="C168" i="160"/>
  <c r="I169" i="160"/>
  <c r="D169" i="160"/>
  <c r="J169" i="160"/>
  <c r="E169" i="160"/>
  <c r="C169" i="160"/>
  <c r="I170" i="160"/>
  <c r="D170" i="160"/>
  <c r="J170" i="160"/>
  <c r="E170" i="160"/>
  <c r="C170" i="160"/>
  <c r="I171" i="160"/>
  <c r="D171" i="160"/>
  <c r="J171" i="160"/>
  <c r="E171" i="160"/>
  <c r="C171" i="160"/>
  <c r="I172" i="160"/>
  <c r="D172" i="160"/>
  <c r="J172" i="160"/>
  <c r="E172" i="160"/>
  <c r="C172" i="160"/>
  <c r="I173" i="160"/>
  <c r="D173" i="160"/>
  <c r="J173" i="160"/>
  <c r="E173" i="160"/>
  <c r="C173" i="160"/>
  <c r="I174" i="160"/>
  <c r="D174" i="160"/>
  <c r="J174" i="160"/>
  <c r="E174" i="160"/>
  <c r="C174" i="160"/>
  <c r="I175" i="160"/>
  <c r="D175" i="160"/>
  <c r="J175" i="160"/>
  <c r="E175" i="160"/>
  <c r="C175" i="160"/>
  <c r="I176" i="160"/>
  <c r="D176" i="160"/>
  <c r="J176" i="160"/>
  <c r="E176" i="160"/>
  <c r="C176" i="160"/>
  <c r="I177" i="160"/>
  <c r="D177" i="160"/>
  <c r="J177" i="160"/>
  <c r="E177" i="160"/>
  <c r="C177" i="160"/>
  <c r="I178" i="160"/>
  <c r="D178" i="160"/>
  <c r="J178" i="160"/>
  <c r="E178" i="160"/>
  <c r="C178" i="160"/>
  <c r="I179" i="160"/>
  <c r="D179" i="160"/>
  <c r="J179" i="160"/>
  <c r="E179" i="160"/>
  <c r="C179" i="160"/>
  <c r="I180" i="160"/>
  <c r="D180" i="160"/>
  <c r="J180" i="160"/>
  <c r="E180" i="160"/>
  <c r="C180" i="160"/>
  <c r="I181" i="160"/>
  <c r="D181" i="160"/>
  <c r="J181" i="160"/>
  <c r="E181" i="160"/>
  <c r="C181" i="160"/>
  <c r="I182" i="160"/>
  <c r="D182" i="160"/>
  <c r="J182" i="160"/>
  <c r="E182" i="160"/>
  <c r="C182" i="160"/>
  <c r="I183" i="160"/>
  <c r="D183" i="160"/>
  <c r="J183" i="160"/>
  <c r="E183" i="160"/>
  <c r="C183" i="160"/>
  <c r="I184" i="160"/>
  <c r="D184" i="160"/>
  <c r="J184" i="160"/>
  <c r="E184" i="160"/>
  <c r="C184" i="160"/>
  <c r="I185" i="160"/>
  <c r="D185" i="160"/>
  <c r="J185" i="160"/>
  <c r="E185" i="160"/>
  <c r="C185" i="160"/>
  <c r="I186" i="160"/>
  <c r="D186" i="160"/>
  <c r="J186" i="160"/>
  <c r="E186" i="160"/>
  <c r="C186" i="160"/>
  <c r="I187" i="160"/>
  <c r="D187" i="160"/>
  <c r="J187" i="160"/>
  <c r="E187" i="160"/>
  <c r="C187" i="160"/>
  <c r="I188" i="160"/>
  <c r="D188" i="160"/>
  <c r="J188" i="160"/>
  <c r="E188" i="160"/>
  <c r="C188" i="160"/>
  <c r="I189" i="160"/>
  <c r="D189" i="160"/>
  <c r="J189" i="160"/>
  <c r="E189" i="160"/>
  <c r="C189" i="160"/>
  <c r="I190" i="160"/>
  <c r="D190" i="160"/>
  <c r="J190" i="160"/>
  <c r="E190" i="160"/>
  <c r="C190" i="160"/>
  <c r="I191" i="160"/>
  <c r="D191" i="160"/>
  <c r="J191" i="160"/>
  <c r="E191" i="160"/>
  <c r="C191" i="160"/>
  <c r="I192" i="160"/>
  <c r="D192" i="160"/>
  <c r="J192" i="160"/>
  <c r="E192" i="160"/>
  <c r="C192" i="160"/>
  <c r="I193" i="160"/>
  <c r="D193" i="160"/>
  <c r="J193" i="160"/>
  <c r="E193" i="160"/>
  <c r="C193" i="160"/>
  <c r="I194" i="160"/>
  <c r="D194" i="160"/>
  <c r="J194" i="160"/>
  <c r="E194" i="160"/>
  <c r="C194" i="160"/>
  <c r="I195" i="160"/>
  <c r="D195" i="160"/>
  <c r="J195" i="160"/>
  <c r="E195" i="160"/>
  <c r="C195" i="160"/>
  <c r="I196" i="160"/>
  <c r="D196" i="160"/>
  <c r="J196" i="160"/>
  <c r="E196" i="160"/>
  <c r="C196" i="160"/>
  <c r="I197" i="160"/>
  <c r="D197" i="160"/>
  <c r="J197" i="160"/>
  <c r="E197" i="160"/>
  <c r="C197" i="160"/>
  <c r="I198" i="160"/>
  <c r="D198" i="160"/>
  <c r="J198" i="160"/>
  <c r="E198" i="160"/>
  <c r="C198" i="160"/>
  <c r="I199" i="160"/>
  <c r="D199" i="160"/>
  <c r="J199" i="160"/>
  <c r="E199" i="160"/>
  <c r="C199" i="160"/>
  <c r="I200" i="160"/>
  <c r="D200" i="160"/>
  <c r="J200" i="160"/>
  <c r="E200" i="160"/>
  <c r="C200" i="160"/>
  <c r="I201" i="160"/>
  <c r="D201" i="160"/>
  <c r="J201" i="160"/>
  <c r="E201" i="160"/>
  <c r="C201" i="160"/>
  <c r="I202" i="160"/>
  <c r="D202" i="160"/>
  <c r="J202" i="160"/>
  <c r="E202" i="160"/>
  <c r="C202" i="160"/>
  <c r="I203" i="160"/>
  <c r="D203" i="160"/>
  <c r="J203" i="160"/>
  <c r="E203" i="160"/>
  <c r="C203" i="160"/>
  <c r="I204" i="160"/>
  <c r="D204" i="160"/>
  <c r="J204" i="160"/>
  <c r="E204" i="160"/>
  <c r="C204" i="160"/>
  <c r="I205" i="160"/>
  <c r="D205" i="160"/>
  <c r="J205" i="160"/>
  <c r="E205" i="160"/>
  <c r="C205" i="160"/>
  <c r="I206" i="160"/>
  <c r="D206" i="160"/>
  <c r="J206" i="160"/>
  <c r="E206" i="160"/>
  <c r="C206" i="160"/>
  <c r="I207" i="160"/>
  <c r="D207" i="160"/>
  <c r="J207" i="160"/>
  <c r="E207" i="160"/>
  <c r="C207" i="160"/>
  <c r="I208" i="160"/>
  <c r="D208" i="160"/>
  <c r="J208" i="160"/>
  <c r="E208" i="160"/>
  <c r="C208" i="160"/>
  <c r="I209" i="160"/>
  <c r="D209" i="160"/>
  <c r="J209" i="160"/>
  <c r="E209" i="160"/>
  <c r="C209" i="160"/>
  <c r="I210" i="160"/>
  <c r="D210" i="160"/>
  <c r="J210" i="160"/>
  <c r="E210" i="160"/>
  <c r="C210" i="160"/>
  <c r="I211" i="160"/>
  <c r="D211" i="160"/>
  <c r="J211" i="160"/>
  <c r="E211" i="160"/>
  <c r="C211" i="160"/>
  <c r="I212" i="160"/>
  <c r="D212" i="160"/>
  <c r="J212" i="160"/>
  <c r="E212" i="160"/>
  <c r="C212" i="160"/>
  <c r="I213" i="160"/>
  <c r="D213" i="160"/>
  <c r="J213" i="160"/>
  <c r="E213" i="160"/>
  <c r="C213" i="160"/>
  <c r="I214" i="160"/>
  <c r="D214" i="160"/>
  <c r="J214" i="160"/>
  <c r="E214" i="160"/>
  <c r="C214" i="160"/>
  <c r="I215" i="160"/>
  <c r="D215" i="160"/>
  <c r="J215" i="160"/>
  <c r="E215" i="160"/>
  <c r="C215" i="160"/>
  <c r="I216" i="160"/>
  <c r="D216" i="160"/>
  <c r="J216" i="160"/>
  <c r="E216" i="160"/>
  <c r="C216" i="160"/>
  <c r="I217" i="160"/>
  <c r="D217" i="160"/>
  <c r="J217" i="160"/>
  <c r="E217" i="160"/>
  <c r="C217" i="160"/>
  <c r="I218" i="160"/>
  <c r="D218" i="160"/>
  <c r="J218" i="160"/>
  <c r="E218" i="160"/>
  <c r="C218" i="160"/>
  <c r="I219" i="160"/>
  <c r="D219" i="160"/>
  <c r="J219" i="160"/>
  <c r="E219" i="160"/>
  <c r="C219" i="160"/>
  <c r="I220" i="160"/>
  <c r="D220" i="160"/>
  <c r="J220" i="160"/>
  <c r="E220" i="160"/>
  <c r="C220" i="160"/>
  <c r="I221" i="160"/>
  <c r="D221" i="160"/>
  <c r="J221" i="160"/>
  <c r="E221" i="160"/>
  <c r="C221" i="160"/>
  <c r="I222" i="160"/>
  <c r="D222" i="160"/>
  <c r="J222" i="160"/>
  <c r="E222" i="160"/>
  <c r="C222" i="160"/>
  <c r="I223" i="160"/>
  <c r="D223" i="160"/>
  <c r="J223" i="160"/>
  <c r="E223" i="160"/>
  <c r="C223" i="160"/>
  <c r="I224" i="160"/>
  <c r="D224" i="160"/>
  <c r="J224" i="160"/>
  <c r="E224" i="160"/>
  <c r="C224" i="160"/>
  <c r="I225" i="160"/>
  <c r="D225" i="160"/>
  <c r="J225" i="160"/>
  <c r="E225" i="160"/>
  <c r="C225" i="160"/>
  <c r="I226" i="160"/>
  <c r="D226" i="160"/>
  <c r="J226" i="160"/>
  <c r="E226" i="160"/>
  <c r="C226" i="160"/>
  <c r="I227" i="160"/>
  <c r="D227" i="160"/>
  <c r="J227" i="160"/>
  <c r="E227" i="160"/>
  <c r="C227" i="160"/>
  <c r="I228" i="160"/>
  <c r="D228" i="160"/>
  <c r="J228" i="160"/>
  <c r="E228" i="160"/>
  <c r="C228" i="160"/>
  <c r="I229" i="160"/>
  <c r="D229" i="160"/>
  <c r="J229" i="160"/>
  <c r="E229" i="160"/>
  <c r="C229" i="160"/>
  <c r="I230" i="160"/>
  <c r="D230" i="160"/>
  <c r="J230" i="160"/>
  <c r="E230" i="160"/>
  <c r="C230" i="160"/>
  <c r="I231" i="160"/>
  <c r="D231" i="160"/>
  <c r="J231" i="160"/>
  <c r="E231" i="160"/>
  <c r="C231" i="160"/>
  <c r="I232" i="160"/>
  <c r="D232" i="160"/>
  <c r="J232" i="160"/>
  <c r="E232" i="160"/>
  <c r="C232" i="160"/>
  <c r="I233" i="160"/>
  <c r="D233" i="160"/>
  <c r="J233" i="160"/>
  <c r="E233" i="160"/>
  <c r="C233" i="160"/>
  <c r="I234" i="160"/>
  <c r="D234" i="160"/>
  <c r="J234" i="160"/>
  <c r="E234" i="160"/>
  <c r="C234" i="160"/>
  <c r="I235" i="160"/>
  <c r="D235" i="160"/>
  <c r="J235" i="160"/>
  <c r="E235" i="160"/>
  <c r="C235" i="160"/>
  <c r="I236" i="160"/>
  <c r="D236" i="160"/>
  <c r="J236" i="160"/>
  <c r="E236" i="160"/>
  <c r="C236" i="160"/>
  <c r="I237" i="160"/>
  <c r="D237" i="160"/>
  <c r="J237" i="160"/>
  <c r="E237" i="160"/>
  <c r="C237" i="160"/>
  <c r="I238" i="160"/>
  <c r="D238" i="160"/>
  <c r="J238" i="160"/>
  <c r="E238" i="160"/>
  <c r="C238" i="160"/>
  <c r="I239" i="160"/>
  <c r="D239" i="160"/>
  <c r="J239" i="160"/>
  <c r="E239" i="160"/>
  <c r="C239" i="160"/>
  <c r="I240" i="160"/>
  <c r="D240" i="160"/>
  <c r="J240" i="160"/>
  <c r="E240" i="160"/>
  <c r="C240" i="160"/>
  <c r="I241" i="160"/>
  <c r="D241" i="160"/>
  <c r="J241" i="160"/>
  <c r="E241" i="160"/>
  <c r="C241" i="160"/>
  <c r="I242" i="160"/>
  <c r="D242" i="160"/>
  <c r="J242" i="160"/>
  <c r="E242" i="160"/>
  <c r="C242" i="160"/>
  <c r="I243" i="160"/>
  <c r="D243" i="160"/>
  <c r="J243" i="160"/>
  <c r="E243" i="160"/>
  <c r="C243" i="160"/>
  <c r="I244" i="160"/>
  <c r="D244" i="160"/>
  <c r="J244" i="160"/>
  <c r="E244" i="160"/>
  <c r="C244" i="160"/>
  <c r="I245" i="160"/>
  <c r="D245" i="160"/>
  <c r="J245" i="160"/>
  <c r="E245" i="160"/>
  <c r="C245" i="160"/>
  <c r="I246" i="160"/>
  <c r="D246" i="160"/>
  <c r="J246" i="160"/>
  <c r="E246" i="160"/>
  <c r="C246" i="160"/>
  <c r="I247" i="160"/>
  <c r="D247" i="160"/>
  <c r="J247" i="160"/>
  <c r="E247" i="160"/>
  <c r="C247" i="160"/>
  <c r="I248" i="160"/>
  <c r="D248" i="160"/>
  <c r="J248" i="160"/>
  <c r="E248" i="160"/>
  <c r="C248" i="160"/>
  <c r="I249" i="160"/>
  <c r="D249" i="160"/>
  <c r="J249" i="160"/>
  <c r="E249" i="160"/>
  <c r="C249" i="160"/>
  <c r="I250" i="160"/>
  <c r="D250" i="160"/>
  <c r="J250" i="160"/>
  <c r="E250" i="160"/>
  <c r="C250" i="160"/>
  <c r="I251" i="160"/>
  <c r="D251" i="160"/>
  <c r="J251" i="160"/>
  <c r="E251" i="160"/>
  <c r="C251" i="160"/>
  <c r="I252" i="160"/>
  <c r="D252" i="160"/>
  <c r="J252" i="160"/>
  <c r="E252" i="160"/>
  <c r="C252" i="160"/>
  <c r="I253" i="160"/>
  <c r="D253" i="160"/>
  <c r="J253" i="160"/>
  <c r="E253" i="160"/>
  <c r="C253" i="160"/>
  <c r="I254" i="160"/>
  <c r="D254" i="160"/>
  <c r="J254" i="160"/>
  <c r="E254" i="160"/>
  <c r="C254" i="160"/>
  <c r="I255" i="160"/>
  <c r="D255" i="160"/>
  <c r="J255" i="160"/>
  <c r="E255" i="160"/>
  <c r="C255" i="160"/>
  <c r="I256" i="160"/>
  <c r="D256" i="160"/>
  <c r="J256" i="160"/>
  <c r="E256" i="160"/>
  <c r="C256" i="160"/>
  <c r="I257" i="160"/>
  <c r="D257" i="160"/>
  <c r="J257" i="160"/>
  <c r="E257" i="160"/>
  <c r="C257" i="160"/>
  <c r="I258" i="160"/>
  <c r="D258" i="160"/>
  <c r="J258" i="160"/>
  <c r="E258" i="160"/>
  <c r="C258" i="160"/>
  <c r="I259" i="160"/>
  <c r="D259" i="160"/>
  <c r="J259" i="160"/>
  <c r="E259" i="160"/>
  <c r="C259" i="160"/>
  <c r="I260" i="160"/>
  <c r="D260" i="160"/>
  <c r="J260" i="160"/>
  <c r="E260" i="160"/>
  <c r="C260" i="160"/>
  <c r="I261" i="160"/>
  <c r="D261" i="160"/>
  <c r="J261" i="160"/>
  <c r="E261" i="160"/>
  <c r="C261" i="160"/>
  <c r="I262" i="160"/>
  <c r="D262" i="160"/>
  <c r="J262" i="160"/>
  <c r="E262" i="160"/>
  <c r="C262" i="160"/>
  <c r="I263" i="160"/>
  <c r="D263" i="160"/>
  <c r="J263" i="160"/>
  <c r="E263" i="160"/>
  <c r="C263" i="160"/>
  <c r="I264" i="160"/>
  <c r="D264" i="160"/>
  <c r="J264" i="160"/>
  <c r="E264" i="160"/>
  <c r="C264" i="160"/>
  <c r="I265" i="160"/>
  <c r="D265" i="160"/>
  <c r="J265" i="160"/>
  <c r="E265" i="160"/>
  <c r="C265" i="160"/>
  <c r="I266" i="160"/>
  <c r="D266" i="160"/>
  <c r="J266" i="160"/>
  <c r="E266" i="160"/>
  <c r="C266" i="160"/>
  <c r="I267" i="160"/>
  <c r="D267" i="160"/>
  <c r="J267" i="160"/>
  <c r="E267" i="160"/>
  <c r="C267" i="160"/>
  <c r="I268" i="160"/>
  <c r="D268" i="160"/>
  <c r="J268" i="160"/>
  <c r="E268" i="160"/>
  <c r="C268" i="160"/>
  <c r="I269" i="160"/>
  <c r="D269" i="160"/>
  <c r="J269" i="160"/>
  <c r="E269" i="160"/>
  <c r="C269" i="160"/>
  <c r="I270" i="160"/>
  <c r="D270" i="160"/>
  <c r="J270" i="160"/>
  <c r="E270" i="160"/>
  <c r="C270" i="160"/>
  <c r="I271" i="160"/>
  <c r="D271" i="160"/>
  <c r="J271" i="160"/>
  <c r="E271" i="160"/>
  <c r="C271" i="160"/>
  <c r="I272" i="160"/>
  <c r="D272" i="160"/>
  <c r="J272" i="160"/>
  <c r="E272" i="160"/>
  <c r="C272" i="160"/>
  <c r="I273" i="160"/>
  <c r="D273" i="160"/>
  <c r="J273" i="160"/>
  <c r="E273" i="160"/>
  <c r="C273" i="160"/>
  <c r="I274" i="160"/>
  <c r="D274" i="160"/>
  <c r="J274" i="160"/>
  <c r="E274" i="160"/>
  <c r="C274" i="160"/>
  <c r="I275" i="160"/>
  <c r="D275" i="160"/>
  <c r="J275" i="160"/>
  <c r="E275" i="160"/>
  <c r="C275" i="160"/>
  <c r="I276" i="160"/>
  <c r="D276" i="160"/>
  <c r="J276" i="160"/>
  <c r="E276" i="160"/>
  <c r="C276" i="160"/>
  <c r="I277" i="160"/>
  <c r="D277" i="160"/>
  <c r="J277" i="160"/>
  <c r="E277" i="160"/>
  <c r="C277" i="160"/>
  <c r="I278" i="160"/>
  <c r="D278" i="160"/>
  <c r="J278" i="160"/>
  <c r="E278" i="160"/>
  <c r="C278" i="160"/>
  <c r="I279" i="160"/>
  <c r="D279" i="160"/>
  <c r="J279" i="160"/>
  <c r="E279" i="160"/>
  <c r="C279" i="160"/>
  <c r="I280" i="160"/>
  <c r="D280" i="160"/>
  <c r="J280" i="160"/>
  <c r="E280" i="160"/>
  <c r="C280" i="160"/>
  <c r="I281" i="160"/>
  <c r="D281" i="160"/>
  <c r="J281" i="160"/>
  <c r="E281" i="160"/>
  <c r="C281" i="160"/>
  <c r="I282" i="160"/>
  <c r="D282" i="160"/>
  <c r="J282" i="160"/>
  <c r="E282" i="160"/>
  <c r="C282" i="160"/>
  <c r="I283" i="160"/>
  <c r="D283" i="160"/>
  <c r="J283" i="160"/>
  <c r="E283" i="160"/>
  <c r="C283" i="160"/>
  <c r="I284" i="160"/>
  <c r="D284" i="160"/>
  <c r="J284" i="160"/>
  <c r="E284" i="160"/>
  <c r="C284" i="160"/>
  <c r="I285" i="160"/>
  <c r="D285" i="160"/>
  <c r="J285" i="160"/>
  <c r="E285" i="160"/>
  <c r="C285" i="160"/>
  <c r="I286" i="160"/>
  <c r="D286" i="160"/>
  <c r="J286" i="160"/>
  <c r="E286" i="160"/>
  <c r="C286" i="160"/>
  <c r="I287" i="160"/>
  <c r="D287" i="160"/>
  <c r="J287" i="160"/>
  <c r="E287" i="160"/>
  <c r="C287" i="160"/>
  <c r="I288" i="160"/>
  <c r="D288" i="160"/>
  <c r="J288" i="160"/>
  <c r="E288" i="160"/>
  <c r="C288" i="160"/>
  <c r="I289" i="160"/>
  <c r="D289" i="160"/>
  <c r="J289" i="160"/>
  <c r="E289" i="160"/>
  <c r="C289" i="160"/>
  <c r="I290" i="160"/>
  <c r="D290" i="160"/>
  <c r="J290" i="160"/>
  <c r="E290" i="160"/>
  <c r="C290" i="160"/>
  <c r="I291" i="160"/>
  <c r="D291" i="160"/>
  <c r="J291" i="160"/>
  <c r="E291" i="160"/>
  <c r="C291" i="160"/>
  <c r="I292" i="160"/>
  <c r="D292" i="160"/>
  <c r="J292" i="160"/>
  <c r="E292" i="160"/>
  <c r="C292" i="160"/>
  <c r="I293" i="160"/>
  <c r="D293" i="160"/>
  <c r="J293" i="160"/>
  <c r="E293" i="160"/>
  <c r="C293" i="160"/>
  <c r="I294" i="160"/>
  <c r="D294" i="160"/>
  <c r="J294" i="160"/>
  <c r="E294" i="160"/>
  <c r="C294" i="160"/>
  <c r="I295" i="160"/>
  <c r="D295" i="160"/>
  <c r="J295" i="160"/>
  <c r="E295" i="160"/>
  <c r="C295" i="160"/>
  <c r="I296" i="160"/>
  <c r="D296" i="160"/>
  <c r="J296" i="160"/>
  <c r="E296" i="160"/>
  <c r="C296" i="160"/>
  <c r="I297" i="160"/>
  <c r="D297" i="160"/>
  <c r="J297" i="160"/>
  <c r="E297" i="160"/>
  <c r="C297" i="160"/>
  <c r="I298" i="160"/>
  <c r="D298" i="160"/>
  <c r="J298" i="160"/>
  <c r="E298" i="160"/>
  <c r="C298" i="160"/>
  <c r="I299" i="160"/>
  <c r="D299" i="160"/>
  <c r="J299" i="160"/>
  <c r="E299" i="160"/>
  <c r="C299" i="160"/>
  <c r="F5" i="159"/>
  <c r="E5" i="159"/>
  <c r="Q3" i="159"/>
  <c r="Q4" i="159"/>
  <c r="Q5" i="159"/>
  <c r="Q6" i="159"/>
  <c r="Q7" i="159"/>
  <c r="Q8" i="159"/>
  <c r="Q9" i="159"/>
  <c r="Q10" i="159"/>
  <c r="Q11" i="159"/>
  <c r="Q12" i="159"/>
  <c r="Q13" i="159"/>
  <c r="Q14" i="159"/>
  <c r="Q15" i="159"/>
  <c r="Q16" i="159"/>
  <c r="Q17" i="159"/>
  <c r="Q18" i="159"/>
  <c r="Q19" i="159"/>
  <c r="Q20" i="159"/>
  <c r="E26" i="159"/>
  <c r="B26" i="159"/>
  <c r="E25" i="159"/>
  <c r="B25" i="159"/>
  <c r="E24" i="159"/>
  <c r="B24" i="159"/>
  <c r="F6" i="159"/>
  <c r="I2" i="154"/>
  <c r="D2" i="154"/>
  <c r="J2" i="154"/>
  <c r="E2" i="154"/>
  <c r="C2" i="154"/>
  <c r="I3" i="154"/>
  <c r="D3" i="154"/>
  <c r="J3" i="154"/>
  <c r="E3" i="154"/>
  <c r="C3" i="154"/>
  <c r="I4" i="154"/>
  <c r="D4" i="154"/>
  <c r="J4" i="154"/>
  <c r="E4" i="154"/>
  <c r="C4" i="154"/>
  <c r="I5" i="154"/>
  <c r="D5" i="154"/>
  <c r="J5" i="154"/>
  <c r="E5" i="154"/>
  <c r="C5" i="154"/>
  <c r="I6" i="154"/>
  <c r="D6" i="154"/>
  <c r="J6" i="154"/>
  <c r="E6" i="154"/>
  <c r="C6" i="154"/>
  <c r="I7" i="154"/>
  <c r="D7" i="154"/>
  <c r="J7" i="154"/>
  <c r="E7" i="154"/>
  <c r="C7" i="154"/>
  <c r="I8" i="154"/>
  <c r="D8" i="154"/>
  <c r="J8" i="154"/>
  <c r="E8" i="154"/>
  <c r="C8" i="154"/>
  <c r="I9" i="154"/>
  <c r="D9" i="154"/>
  <c r="J9" i="154"/>
  <c r="E9" i="154"/>
  <c r="C9" i="154"/>
  <c r="I10" i="154"/>
  <c r="D10" i="154"/>
  <c r="J10" i="154"/>
  <c r="E10" i="154"/>
  <c r="C10" i="154"/>
  <c r="I11" i="154"/>
  <c r="D11" i="154"/>
  <c r="J11" i="154"/>
  <c r="E11" i="154"/>
  <c r="C11" i="154"/>
  <c r="I12" i="154"/>
  <c r="D12" i="154"/>
  <c r="J12" i="154"/>
  <c r="E12" i="154"/>
  <c r="C12" i="154"/>
  <c r="I13" i="154"/>
  <c r="D13" i="154"/>
  <c r="J13" i="154"/>
  <c r="E13" i="154"/>
  <c r="C13" i="154"/>
  <c r="I14" i="154"/>
  <c r="D14" i="154"/>
  <c r="J14" i="154"/>
  <c r="E14" i="154"/>
  <c r="C14" i="154"/>
  <c r="I15" i="154"/>
  <c r="D15" i="154"/>
  <c r="J15" i="154"/>
  <c r="E15" i="154"/>
  <c r="C15" i="154"/>
  <c r="I16" i="154"/>
  <c r="D16" i="154"/>
  <c r="J16" i="154"/>
  <c r="E16" i="154"/>
  <c r="C16" i="154"/>
  <c r="I17" i="154"/>
  <c r="D17" i="154"/>
  <c r="J17" i="154"/>
  <c r="E17" i="154"/>
  <c r="C17" i="154"/>
  <c r="I18" i="154"/>
  <c r="D18" i="154"/>
  <c r="J18" i="154"/>
  <c r="E18" i="154"/>
  <c r="C18" i="154"/>
  <c r="I19" i="154"/>
  <c r="D19" i="154"/>
  <c r="J19" i="154"/>
  <c r="E19" i="154"/>
  <c r="C19" i="154"/>
  <c r="I20" i="154"/>
  <c r="D20" i="154"/>
  <c r="J20" i="154"/>
  <c r="E20" i="154"/>
  <c r="C20" i="154"/>
  <c r="I21" i="154"/>
  <c r="D21" i="154"/>
  <c r="J21" i="154"/>
  <c r="E21" i="154"/>
  <c r="C21" i="154"/>
  <c r="I22" i="154"/>
  <c r="D22" i="154"/>
  <c r="J22" i="154"/>
  <c r="E22" i="154"/>
  <c r="C22" i="154"/>
  <c r="I23" i="154"/>
  <c r="D23" i="154"/>
  <c r="J23" i="154"/>
  <c r="E23" i="154"/>
  <c r="C23" i="154"/>
  <c r="I24" i="154"/>
  <c r="D24" i="154"/>
  <c r="J24" i="154"/>
  <c r="E24" i="154"/>
  <c r="C24" i="154"/>
  <c r="I25" i="154"/>
  <c r="D25" i="154"/>
  <c r="J25" i="154"/>
  <c r="E25" i="154"/>
  <c r="C25" i="154"/>
  <c r="I26" i="154"/>
  <c r="D26" i="154"/>
  <c r="J26" i="154"/>
  <c r="E26" i="154"/>
  <c r="C26" i="154"/>
  <c r="I27" i="154"/>
  <c r="D27" i="154"/>
  <c r="J27" i="154"/>
  <c r="E27" i="154"/>
  <c r="C27" i="154"/>
  <c r="I28" i="154"/>
  <c r="D28" i="154"/>
  <c r="J28" i="154"/>
  <c r="E28" i="154"/>
  <c r="C28" i="154"/>
  <c r="I29" i="154"/>
  <c r="D29" i="154"/>
  <c r="J29" i="154"/>
  <c r="E29" i="154"/>
  <c r="C29" i="154"/>
  <c r="I30" i="154"/>
  <c r="D30" i="154"/>
  <c r="J30" i="154"/>
  <c r="E30" i="154"/>
  <c r="C30" i="154"/>
  <c r="I31" i="154"/>
  <c r="D31" i="154"/>
  <c r="J31" i="154"/>
  <c r="E31" i="154"/>
  <c r="C31" i="154"/>
  <c r="I32" i="154"/>
  <c r="D32" i="154"/>
  <c r="J32" i="154"/>
  <c r="E32" i="154"/>
  <c r="C32" i="154"/>
  <c r="I33" i="154"/>
  <c r="D33" i="154"/>
  <c r="J33" i="154"/>
  <c r="E33" i="154"/>
  <c r="C33" i="154"/>
  <c r="I34" i="154"/>
  <c r="D34" i="154"/>
  <c r="J34" i="154"/>
  <c r="E34" i="154"/>
  <c r="C34" i="154"/>
  <c r="I35" i="154"/>
  <c r="D35" i="154"/>
  <c r="J35" i="154"/>
  <c r="E35" i="154"/>
  <c r="C35" i="154"/>
  <c r="I36" i="154"/>
  <c r="D36" i="154"/>
  <c r="J36" i="154"/>
  <c r="E36" i="154"/>
  <c r="C36" i="154"/>
  <c r="I37" i="154"/>
  <c r="D37" i="154"/>
  <c r="J37" i="154"/>
  <c r="E37" i="154"/>
  <c r="C37" i="154"/>
  <c r="I38" i="154"/>
  <c r="D38" i="154"/>
  <c r="J38" i="154"/>
  <c r="E38" i="154"/>
  <c r="C38" i="154"/>
  <c r="I39" i="154"/>
  <c r="D39" i="154"/>
  <c r="J39" i="154"/>
  <c r="E39" i="154"/>
  <c r="C39" i="154"/>
  <c r="I40" i="154"/>
  <c r="D40" i="154"/>
  <c r="J40" i="154"/>
  <c r="E40" i="154"/>
  <c r="C40" i="154"/>
  <c r="I41" i="154"/>
  <c r="D41" i="154"/>
  <c r="J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D215" i="154"/>
  <c r="J215" i="154"/>
  <c r="E215" i="154"/>
  <c r="C215" i="154"/>
  <c r="I216" i="154"/>
  <c r="D216" i="154"/>
  <c r="J216" i="154"/>
  <c r="E216" i="154"/>
  <c r="C216" i="154"/>
  <c r="I217" i="154"/>
  <c r="D217" i="154"/>
  <c r="J217" i="154"/>
  <c r="E217" i="154"/>
  <c r="C217" i="154"/>
  <c r="I218" i="154"/>
  <c r="D218" i="154"/>
  <c r="J218" i="154"/>
  <c r="E218" i="154"/>
  <c r="C218" i="154"/>
  <c r="I219" i="154"/>
  <c r="D219" i="154"/>
  <c r="J219" i="154"/>
  <c r="E219" i="154"/>
  <c r="C219" i="154"/>
  <c r="I220" i="154"/>
  <c r="D220" i="154"/>
  <c r="J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F5" i="153"/>
  <c r="F6" i="153"/>
  <c r="C3" i="103"/>
  <c r="E3" i="103"/>
  <c r="F299" i="160"/>
  <c r="A2" i="159"/>
  <c r="F2" i="160"/>
  <c r="F3" i="160"/>
  <c r="F4" i="160"/>
  <c r="F5" i="160"/>
  <c r="F6" i="160"/>
  <c r="F7" i="160"/>
  <c r="F8" i="160"/>
  <c r="F9" i="160"/>
  <c r="F10" i="160"/>
  <c r="F11" i="160"/>
  <c r="F12" i="160"/>
  <c r="F13" i="160"/>
  <c r="F14" i="160"/>
  <c r="F15" i="160"/>
  <c r="F16" i="160"/>
  <c r="F17" i="160"/>
  <c r="F18" i="160"/>
  <c r="F19" i="160"/>
  <c r="F20" i="160"/>
  <c r="F21" i="160"/>
  <c r="F22" i="160"/>
  <c r="F23" i="160"/>
  <c r="F24" i="160"/>
  <c r="F25" i="160"/>
  <c r="F26" i="160"/>
  <c r="F27" i="160"/>
  <c r="F28" i="160"/>
  <c r="F29" i="160"/>
  <c r="F30" i="160"/>
  <c r="F31" i="160"/>
  <c r="F32" i="160"/>
  <c r="F33" i="160"/>
  <c r="F34" i="160"/>
  <c r="F35" i="160"/>
  <c r="F36" i="160"/>
  <c r="F37" i="160"/>
  <c r="F38" i="160"/>
  <c r="F39" i="160"/>
  <c r="F40" i="160"/>
  <c r="F41" i="160"/>
  <c r="F42" i="160"/>
  <c r="F43" i="160"/>
  <c r="F44" i="160"/>
  <c r="F45" i="160"/>
  <c r="F46" i="160"/>
  <c r="F47" i="160"/>
  <c r="F48" i="160"/>
  <c r="F49" i="160"/>
  <c r="F50" i="160"/>
  <c r="F51" i="160"/>
  <c r="F52" i="160"/>
  <c r="F53" i="160"/>
  <c r="F54" i="160"/>
  <c r="F55" i="160"/>
  <c r="F56" i="160"/>
  <c r="F57" i="160"/>
  <c r="F58" i="160"/>
  <c r="F59" i="160"/>
  <c r="F60" i="160"/>
  <c r="F61" i="160"/>
  <c r="F62" i="160"/>
  <c r="F63" i="160"/>
  <c r="F64" i="160"/>
  <c r="F65" i="160"/>
  <c r="F66" i="160"/>
  <c r="F67" i="160"/>
  <c r="F68" i="160"/>
  <c r="F69" i="160"/>
  <c r="F70" i="160"/>
  <c r="F71" i="160"/>
  <c r="F72" i="160"/>
  <c r="F73" i="160"/>
  <c r="F74" i="160"/>
  <c r="F75" i="160"/>
  <c r="F76" i="160"/>
  <c r="F77" i="160"/>
  <c r="F78" i="160"/>
  <c r="F79" i="160"/>
  <c r="F80" i="160"/>
  <c r="F81" i="160"/>
  <c r="F82" i="160"/>
  <c r="F83" i="160"/>
  <c r="F84" i="160"/>
  <c r="F85" i="160"/>
  <c r="F86" i="160"/>
  <c r="F87" i="160"/>
  <c r="F88" i="160"/>
  <c r="F89" i="160"/>
  <c r="F90" i="160"/>
  <c r="F91" i="160"/>
  <c r="F92" i="160"/>
  <c r="F93" i="160"/>
  <c r="F94" i="160"/>
  <c r="F95" i="160"/>
  <c r="F96" i="160"/>
  <c r="F97" i="160"/>
  <c r="F98" i="160"/>
  <c r="F99" i="160"/>
  <c r="F100" i="160"/>
  <c r="F101" i="160"/>
  <c r="F102" i="160"/>
  <c r="F103" i="160"/>
  <c r="F104" i="160"/>
  <c r="F105" i="160"/>
  <c r="F106" i="160"/>
  <c r="F107" i="160"/>
  <c r="F108" i="160"/>
  <c r="F109" i="160"/>
  <c r="F110" i="160"/>
  <c r="F111" i="160"/>
  <c r="F112" i="160"/>
  <c r="F113" i="160"/>
  <c r="F114" i="160"/>
  <c r="F115" i="160"/>
  <c r="F116" i="160"/>
  <c r="F117" i="160"/>
  <c r="F118" i="160"/>
  <c r="F119" i="160"/>
  <c r="F120" i="160"/>
  <c r="F121" i="160"/>
  <c r="F122" i="160"/>
  <c r="F123" i="160"/>
  <c r="F124" i="160"/>
  <c r="F125" i="160"/>
  <c r="F126" i="160"/>
  <c r="F127" i="160"/>
  <c r="F128" i="160"/>
  <c r="F129" i="160"/>
  <c r="F130" i="160"/>
  <c r="F131" i="160"/>
  <c r="F132" i="160"/>
  <c r="F133" i="160"/>
  <c r="F134" i="160"/>
  <c r="F135" i="160"/>
  <c r="F136" i="160"/>
  <c r="F137" i="160"/>
  <c r="F138" i="160"/>
  <c r="F139" i="160"/>
  <c r="F140" i="160"/>
  <c r="F141" i="160"/>
  <c r="F142" i="160"/>
  <c r="F143" i="160"/>
  <c r="F144" i="160"/>
  <c r="F145" i="160"/>
  <c r="F146" i="160"/>
  <c r="F147" i="160"/>
  <c r="F148" i="160"/>
  <c r="F149" i="160"/>
  <c r="F150" i="160"/>
  <c r="F151" i="160"/>
  <c r="F152" i="160"/>
  <c r="F153" i="160"/>
  <c r="F154" i="160"/>
  <c r="F155" i="160"/>
  <c r="F156" i="160"/>
  <c r="F157" i="160"/>
  <c r="F158" i="160"/>
  <c r="F159" i="160"/>
  <c r="F160" i="160"/>
  <c r="F161" i="160"/>
  <c r="F162" i="160"/>
  <c r="F163" i="160"/>
  <c r="F164" i="160"/>
  <c r="F165" i="160"/>
  <c r="F166" i="160"/>
  <c r="F167" i="160"/>
  <c r="F168" i="160"/>
  <c r="F169" i="160"/>
  <c r="F170" i="160"/>
  <c r="F171" i="160"/>
  <c r="F172" i="160"/>
  <c r="F173" i="160"/>
  <c r="F174" i="160"/>
  <c r="F175" i="160"/>
  <c r="F176" i="160"/>
  <c r="F177" i="160"/>
  <c r="F178" i="160"/>
  <c r="F179" i="160"/>
  <c r="F180" i="160"/>
  <c r="F181" i="160"/>
  <c r="F182" i="160"/>
  <c r="F183" i="160"/>
  <c r="F184" i="160"/>
  <c r="F185" i="160"/>
  <c r="F186" i="160"/>
  <c r="F187" i="160"/>
  <c r="F188" i="160"/>
  <c r="F189" i="160"/>
  <c r="F190" i="160"/>
  <c r="F191" i="160"/>
  <c r="F192" i="160"/>
  <c r="F193" i="160"/>
  <c r="F194" i="160"/>
  <c r="F195" i="160"/>
  <c r="F196" i="160"/>
  <c r="F197" i="160"/>
  <c r="F198" i="160"/>
  <c r="F199" i="160"/>
  <c r="F200" i="160"/>
  <c r="F201" i="160"/>
  <c r="F202" i="160"/>
  <c r="F203" i="160"/>
  <c r="F204" i="160"/>
  <c r="F205" i="160"/>
  <c r="F206" i="160"/>
  <c r="F207" i="160"/>
  <c r="F208" i="160"/>
  <c r="F209" i="160"/>
  <c r="F210" i="160"/>
  <c r="F211" i="160"/>
  <c r="F212" i="160"/>
  <c r="F213" i="160"/>
  <c r="F214" i="160"/>
  <c r="F215" i="160"/>
  <c r="F216" i="160"/>
  <c r="F217" i="160"/>
  <c r="F218" i="160"/>
  <c r="F219" i="160"/>
  <c r="F220" i="160"/>
  <c r="F221" i="160"/>
  <c r="F222" i="160"/>
  <c r="F223" i="160"/>
  <c r="F224" i="160"/>
  <c r="F225" i="160"/>
  <c r="F226" i="160"/>
  <c r="F227" i="160"/>
  <c r="F228" i="160"/>
  <c r="F229" i="160"/>
  <c r="F230" i="160"/>
  <c r="F231" i="160"/>
  <c r="F232" i="160"/>
  <c r="F233" i="160"/>
  <c r="F234" i="160"/>
  <c r="F235" i="160"/>
  <c r="F236" i="160"/>
  <c r="F237" i="160"/>
  <c r="F238" i="160"/>
  <c r="F239" i="160"/>
  <c r="F240" i="160"/>
  <c r="F241" i="160"/>
  <c r="F242" i="160"/>
  <c r="F243" i="160"/>
  <c r="F244" i="160"/>
  <c r="F245" i="160"/>
  <c r="F246" i="160"/>
  <c r="F247" i="160"/>
  <c r="F248" i="160"/>
  <c r="F249" i="160"/>
  <c r="F250" i="160"/>
  <c r="F251" i="160"/>
  <c r="F252" i="160"/>
  <c r="F253" i="160"/>
  <c r="F254" i="160"/>
  <c r="F255" i="160"/>
  <c r="F256" i="160"/>
  <c r="F257" i="160"/>
  <c r="F258" i="160"/>
  <c r="F259" i="160"/>
  <c r="F260" i="160"/>
  <c r="F261" i="160"/>
  <c r="F262" i="160"/>
  <c r="F263" i="160"/>
  <c r="F264" i="160"/>
  <c r="F265" i="160"/>
  <c r="F266" i="160"/>
  <c r="F267" i="160"/>
  <c r="F268" i="160"/>
  <c r="F269" i="160"/>
  <c r="F270" i="160"/>
  <c r="F271" i="160"/>
  <c r="F272" i="160"/>
  <c r="F273" i="160"/>
  <c r="F274" i="160"/>
  <c r="F275" i="160"/>
  <c r="F276" i="160"/>
  <c r="F277" i="160"/>
  <c r="F278" i="160"/>
  <c r="F279" i="160"/>
  <c r="F280" i="160"/>
  <c r="F281" i="160"/>
  <c r="F282" i="160"/>
  <c r="F283" i="160"/>
  <c r="F284" i="160"/>
  <c r="F285" i="160"/>
  <c r="F286" i="160"/>
  <c r="F287" i="160"/>
  <c r="F288" i="160"/>
  <c r="F289" i="160"/>
  <c r="F290" i="160"/>
  <c r="F291" i="160"/>
  <c r="F292" i="160"/>
  <c r="F293" i="160"/>
  <c r="F294" i="160"/>
  <c r="F295" i="160"/>
  <c r="F296" i="160"/>
  <c r="F297" i="160"/>
  <c r="F298" i="160"/>
  <c r="A36" i="159"/>
  <c r="E29" i="159"/>
  <c r="B29" i="159"/>
  <c r="G29" i="159"/>
  <c r="H29" i="159"/>
  <c r="O299" i="160"/>
  <c r="B5" i="159"/>
  <c r="B10" i="159"/>
  <c r="E6" i="159"/>
  <c r="E19" i="159"/>
  <c r="B19" i="159"/>
  <c r="B17" i="159"/>
  <c r="G17" i="159"/>
  <c r="E17" i="159"/>
  <c r="H17" i="159"/>
  <c r="O2" i="160"/>
  <c r="E18" i="159"/>
  <c r="B18" i="159"/>
  <c r="G18" i="159"/>
  <c r="H18" i="159"/>
  <c r="O3" i="160"/>
  <c r="O4" i="160"/>
  <c r="O5" i="160"/>
  <c r="O6" i="160"/>
  <c r="O7" i="160"/>
  <c r="O8" i="160"/>
  <c r="O9" i="160"/>
  <c r="O10" i="160"/>
  <c r="O11" i="160"/>
  <c r="O12" i="160"/>
  <c r="O13" i="160"/>
  <c r="O14" i="160"/>
  <c r="O15" i="160"/>
  <c r="O16" i="160"/>
  <c r="O17" i="160"/>
  <c r="O18" i="160"/>
  <c r="O19" i="160"/>
  <c r="O20" i="160"/>
  <c r="O21" i="160"/>
  <c r="O22" i="160"/>
  <c r="O23" i="160"/>
  <c r="O24" i="160"/>
  <c r="O25" i="160"/>
  <c r="O26" i="160"/>
  <c r="O27" i="160"/>
  <c r="O28" i="160"/>
  <c r="O29" i="160"/>
  <c r="O30" i="160"/>
  <c r="O31" i="160"/>
  <c r="O32" i="160"/>
  <c r="O33" i="160"/>
  <c r="O34" i="160"/>
  <c r="O35" i="160"/>
  <c r="O36" i="160"/>
  <c r="O37" i="160"/>
  <c r="O38" i="160"/>
  <c r="O39" i="160"/>
  <c r="O40" i="160"/>
  <c r="O41" i="160"/>
  <c r="G24" i="159"/>
  <c r="H24" i="159"/>
  <c r="O42" i="160"/>
  <c r="B6" i="159"/>
  <c r="G25" i="159"/>
  <c r="H25" i="159"/>
  <c r="O43" i="160"/>
  <c r="G26" i="159"/>
  <c r="H26" i="159"/>
  <c r="O44" i="160"/>
  <c r="O45" i="160"/>
  <c r="O46" i="160"/>
  <c r="O47" i="160"/>
  <c r="O48" i="160"/>
  <c r="O49" i="160"/>
  <c r="O50" i="160"/>
  <c r="G19" i="159"/>
  <c r="H19" i="159"/>
  <c r="O51" i="160"/>
  <c r="E20" i="159"/>
  <c r="B20" i="159"/>
  <c r="G20" i="159"/>
  <c r="H20" i="159"/>
  <c r="O52" i="160"/>
  <c r="E21" i="159"/>
  <c r="B21" i="159"/>
  <c r="G21" i="159"/>
  <c r="H21" i="159"/>
  <c r="O53" i="160"/>
  <c r="O54" i="160"/>
  <c r="O55" i="160"/>
  <c r="O56" i="160"/>
  <c r="O57" i="160"/>
  <c r="O58" i="160"/>
  <c r="O59" i="160"/>
  <c r="O60" i="160"/>
  <c r="O61" i="160"/>
  <c r="O62" i="160"/>
  <c r="O63" i="160"/>
  <c r="O64" i="160"/>
  <c r="O65" i="160"/>
  <c r="O66" i="160"/>
  <c r="O67" i="160"/>
  <c r="O68" i="160"/>
  <c r="O69" i="160"/>
  <c r="O70" i="160"/>
  <c r="O71" i="160"/>
  <c r="O72" i="160"/>
  <c r="O73" i="160"/>
  <c r="O74" i="160"/>
  <c r="O75" i="160"/>
  <c r="O76" i="160"/>
  <c r="O77" i="160"/>
  <c r="O78" i="160"/>
  <c r="O79" i="160"/>
  <c r="O80" i="160"/>
  <c r="O81" i="160"/>
  <c r="O82" i="160"/>
  <c r="O83" i="160"/>
  <c r="O84" i="160"/>
  <c r="O85" i="160"/>
  <c r="O86" i="160"/>
  <c r="O87" i="160"/>
  <c r="O88" i="160"/>
  <c r="O89" i="160"/>
  <c r="O90" i="160"/>
  <c r="O91" i="160"/>
  <c r="O92" i="160"/>
  <c r="O93" i="160"/>
  <c r="O94" i="160"/>
  <c r="O95" i="160"/>
  <c r="O96" i="160"/>
  <c r="O97" i="160"/>
  <c r="O98" i="160"/>
  <c r="O99" i="160"/>
  <c r="O100" i="160"/>
  <c r="O101" i="160"/>
  <c r="O102" i="160"/>
  <c r="O103" i="160"/>
  <c r="O104" i="160"/>
  <c r="O105" i="160"/>
  <c r="O106" i="160"/>
  <c r="O107" i="160"/>
  <c r="O108" i="160"/>
  <c r="O109" i="160"/>
  <c r="O110" i="160"/>
  <c r="O111" i="160"/>
  <c r="O112" i="160"/>
  <c r="O113" i="160"/>
  <c r="O114" i="160"/>
  <c r="O115" i="160"/>
  <c r="O116" i="160"/>
  <c r="O117" i="160"/>
  <c r="O118" i="160"/>
  <c r="O119" i="160"/>
  <c r="O120" i="160"/>
  <c r="O121" i="160"/>
  <c r="O122" i="160"/>
  <c r="O123" i="160"/>
  <c r="O124" i="160"/>
  <c r="O125" i="160"/>
  <c r="O126" i="160"/>
  <c r="O127" i="160"/>
  <c r="O128" i="160"/>
  <c r="O129" i="160"/>
  <c r="O130" i="160"/>
  <c r="O131" i="160"/>
  <c r="O132" i="160"/>
  <c r="O133" i="160"/>
  <c r="O134" i="160"/>
  <c r="O135" i="160"/>
  <c r="O136" i="160"/>
  <c r="O137" i="160"/>
  <c r="E27" i="159"/>
  <c r="B27" i="159"/>
  <c r="G27" i="159"/>
  <c r="H27" i="159"/>
  <c r="O138" i="160"/>
  <c r="E28" i="159"/>
  <c r="B28" i="159"/>
  <c r="G28" i="159"/>
  <c r="H28" i="159"/>
  <c r="O139" i="160"/>
  <c r="O140" i="160"/>
  <c r="O141" i="160"/>
  <c r="O142" i="160"/>
  <c r="O143" i="160"/>
  <c r="O144" i="160"/>
  <c r="O145" i="160"/>
  <c r="O146" i="160"/>
  <c r="O147" i="160"/>
  <c r="O148" i="160"/>
  <c r="O149" i="160"/>
  <c r="O150" i="160"/>
  <c r="O151" i="160"/>
  <c r="O152" i="160"/>
  <c r="O153" i="160"/>
  <c r="O154" i="160"/>
  <c r="O155" i="160"/>
  <c r="O156" i="160"/>
  <c r="O157" i="160"/>
  <c r="O158" i="160"/>
  <c r="O159" i="160"/>
  <c r="O160" i="160"/>
  <c r="O161" i="160"/>
  <c r="O162" i="160"/>
  <c r="O163" i="160"/>
  <c r="O164" i="160"/>
  <c r="O165" i="160"/>
  <c r="O166" i="160"/>
  <c r="O167" i="160"/>
  <c r="O168" i="160"/>
  <c r="O169" i="160"/>
  <c r="O170" i="160"/>
  <c r="O171" i="160"/>
  <c r="O172" i="160"/>
  <c r="O173" i="160"/>
  <c r="O174" i="160"/>
  <c r="O175" i="160"/>
  <c r="O176" i="160"/>
  <c r="O177" i="160"/>
  <c r="O178" i="160"/>
  <c r="O179" i="160"/>
  <c r="O180" i="160"/>
  <c r="O181" i="160"/>
  <c r="O182" i="160"/>
  <c r="O183" i="160"/>
  <c r="O184" i="160"/>
  <c r="O185" i="160"/>
  <c r="O186" i="160"/>
  <c r="O187" i="160"/>
  <c r="O188" i="160"/>
  <c r="O189" i="160"/>
  <c r="O190" i="160"/>
  <c r="O191" i="160"/>
  <c r="O192" i="160"/>
  <c r="O193" i="160"/>
  <c r="O194" i="160"/>
  <c r="O195" i="160"/>
  <c r="O196" i="160"/>
  <c r="O197" i="160"/>
  <c r="O198" i="160"/>
  <c r="O199" i="160"/>
  <c r="O200" i="160"/>
  <c r="O201" i="160"/>
  <c r="O202" i="160"/>
  <c r="O203" i="160"/>
  <c r="O204" i="160"/>
  <c r="O205" i="160"/>
  <c r="O206" i="160"/>
  <c r="O207" i="160"/>
  <c r="O208" i="160"/>
  <c r="O209" i="160"/>
  <c r="O210" i="160"/>
  <c r="O211" i="160"/>
  <c r="O212" i="160"/>
  <c r="O213" i="160"/>
  <c r="O214" i="160"/>
  <c r="O215" i="160"/>
  <c r="O216" i="160"/>
  <c r="O217" i="160"/>
  <c r="O218" i="160"/>
  <c r="O219" i="160"/>
  <c r="O220" i="160"/>
  <c r="O221" i="160"/>
  <c r="O222" i="160"/>
  <c r="O223" i="160"/>
  <c r="O224" i="160"/>
  <c r="O225" i="160"/>
  <c r="O226" i="160"/>
  <c r="O227" i="160"/>
  <c r="O228" i="160"/>
  <c r="O229" i="160"/>
  <c r="O230" i="160"/>
  <c r="O231" i="160"/>
  <c r="O232" i="160"/>
  <c r="O233" i="160"/>
  <c r="O234" i="160"/>
  <c r="O235" i="160"/>
  <c r="O236" i="160"/>
  <c r="O237" i="160"/>
  <c r="O238" i="160"/>
  <c r="O239" i="160"/>
  <c r="O240" i="160"/>
  <c r="O241" i="160"/>
  <c r="O242" i="160"/>
  <c r="O243" i="160"/>
  <c r="O244" i="160"/>
  <c r="O245" i="160"/>
  <c r="O246" i="160"/>
  <c r="O247" i="160"/>
  <c r="O248" i="160"/>
  <c r="O249" i="160"/>
  <c r="O250" i="160"/>
  <c r="O251" i="160"/>
  <c r="O252" i="160"/>
  <c r="O253" i="160"/>
  <c r="O254" i="160"/>
  <c r="O255" i="160"/>
  <c r="E22" i="159"/>
  <c r="B23" i="159"/>
  <c r="B22" i="159"/>
  <c r="G22" i="159"/>
  <c r="H22" i="159"/>
  <c r="O256" i="160"/>
  <c r="G23" i="159"/>
  <c r="E23" i="159"/>
  <c r="H23" i="159"/>
  <c r="O257" i="160"/>
  <c r="O258" i="160"/>
  <c r="O259" i="160"/>
  <c r="O260" i="160"/>
  <c r="O261" i="160"/>
  <c r="O262" i="160"/>
  <c r="O263" i="160"/>
  <c r="O264" i="160"/>
  <c r="O265" i="160"/>
  <c r="O266" i="160"/>
  <c r="O267" i="160"/>
  <c r="O268" i="160"/>
  <c r="O269" i="160"/>
  <c r="O270" i="160"/>
  <c r="O271" i="160"/>
  <c r="O272" i="160"/>
  <c r="O273" i="160"/>
  <c r="O274" i="160"/>
  <c r="O275" i="160"/>
  <c r="O276" i="160"/>
  <c r="O277" i="160"/>
  <c r="O278" i="160"/>
  <c r="O279" i="160"/>
  <c r="O280" i="160"/>
  <c r="O281" i="160"/>
  <c r="O282" i="160"/>
  <c r="O283" i="160"/>
  <c r="O284" i="160"/>
  <c r="O285" i="160"/>
  <c r="O286" i="160"/>
  <c r="O287" i="160"/>
  <c r="O288" i="160"/>
  <c r="O289" i="160"/>
  <c r="O290" i="160"/>
  <c r="O291" i="160"/>
  <c r="O292" i="160"/>
  <c r="O293" i="160"/>
  <c r="O294" i="160"/>
  <c r="O295" i="160"/>
  <c r="O296" i="160"/>
  <c r="O297" i="160"/>
  <c r="O298" i="160"/>
  <c r="P299" i="160"/>
  <c r="N299" i="160"/>
  <c r="M299" i="160"/>
  <c r="L299" i="160"/>
  <c r="K299" i="160"/>
  <c r="H299" i="160"/>
  <c r="A299" i="160"/>
  <c r="P298" i="160"/>
  <c r="N298" i="160"/>
  <c r="M298" i="160"/>
  <c r="L298" i="160"/>
  <c r="K298" i="160"/>
  <c r="H298" i="160"/>
  <c r="A298" i="160"/>
  <c r="P297" i="160"/>
  <c r="N297" i="160"/>
  <c r="M297" i="160"/>
  <c r="L297" i="160"/>
  <c r="K297" i="160"/>
  <c r="H297" i="160"/>
  <c r="A297" i="160"/>
  <c r="P296" i="160"/>
  <c r="N296" i="160"/>
  <c r="M296" i="160"/>
  <c r="L296" i="160"/>
  <c r="K296" i="160"/>
  <c r="H296" i="160"/>
  <c r="A296" i="160"/>
  <c r="P295" i="160"/>
  <c r="N295" i="160"/>
  <c r="M295" i="160"/>
  <c r="L295" i="160"/>
  <c r="K295" i="160"/>
  <c r="H295" i="160"/>
  <c r="A295" i="160"/>
  <c r="P294" i="160"/>
  <c r="N294" i="160"/>
  <c r="M294" i="160"/>
  <c r="L294" i="160"/>
  <c r="K294" i="160"/>
  <c r="H294" i="160"/>
  <c r="A294" i="160"/>
  <c r="P293" i="160"/>
  <c r="N293" i="160"/>
  <c r="M293" i="160"/>
  <c r="L293" i="160"/>
  <c r="K293" i="160"/>
  <c r="H293" i="160"/>
  <c r="A293" i="160"/>
  <c r="P292" i="160"/>
  <c r="N292" i="160"/>
  <c r="M292" i="160"/>
  <c r="L292" i="160"/>
  <c r="K292" i="160"/>
  <c r="H292" i="160"/>
  <c r="A292" i="160"/>
  <c r="P291" i="160"/>
  <c r="N291" i="160"/>
  <c r="M291" i="160"/>
  <c r="L291" i="160"/>
  <c r="K291" i="160"/>
  <c r="H291" i="160"/>
  <c r="A291" i="160"/>
  <c r="P290" i="160"/>
  <c r="N290" i="160"/>
  <c r="M290" i="160"/>
  <c r="L290" i="160"/>
  <c r="K290" i="160"/>
  <c r="H290" i="160"/>
  <c r="A290" i="160"/>
  <c r="P289" i="160"/>
  <c r="N289" i="160"/>
  <c r="M289" i="160"/>
  <c r="L289" i="160"/>
  <c r="K289" i="160"/>
  <c r="H289" i="160"/>
  <c r="A289" i="160"/>
  <c r="P288" i="160"/>
  <c r="N288" i="160"/>
  <c r="M288" i="160"/>
  <c r="L288" i="160"/>
  <c r="K288" i="160"/>
  <c r="H288" i="160"/>
  <c r="A288" i="160"/>
  <c r="P287" i="160"/>
  <c r="N287" i="160"/>
  <c r="M287" i="160"/>
  <c r="L287" i="160"/>
  <c r="K287" i="160"/>
  <c r="H287" i="160"/>
  <c r="A287" i="160"/>
  <c r="P286" i="160"/>
  <c r="N286" i="160"/>
  <c r="M286" i="160"/>
  <c r="L286" i="160"/>
  <c r="K286" i="160"/>
  <c r="H286" i="160"/>
  <c r="A286" i="160"/>
  <c r="P285" i="160"/>
  <c r="N285" i="160"/>
  <c r="M285" i="160"/>
  <c r="L285" i="160"/>
  <c r="K285" i="160"/>
  <c r="H285" i="160"/>
  <c r="A285" i="160"/>
  <c r="P284" i="160"/>
  <c r="N284" i="160"/>
  <c r="M284" i="160"/>
  <c r="L284" i="160"/>
  <c r="K284" i="160"/>
  <c r="H284" i="160"/>
  <c r="A284" i="160"/>
  <c r="P283" i="160"/>
  <c r="N283" i="160"/>
  <c r="M283" i="160"/>
  <c r="L283" i="160"/>
  <c r="K283" i="160"/>
  <c r="H283" i="160"/>
  <c r="A283" i="160"/>
  <c r="P282" i="160"/>
  <c r="N282" i="160"/>
  <c r="M282" i="160"/>
  <c r="L282" i="160"/>
  <c r="K282" i="160"/>
  <c r="H282" i="160"/>
  <c r="A282" i="160"/>
  <c r="P281" i="160"/>
  <c r="N281" i="160"/>
  <c r="M281" i="160"/>
  <c r="L281" i="160"/>
  <c r="K281" i="160"/>
  <c r="H281" i="160"/>
  <c r="A281" i="160"/>
  <c r="P280" i="160"/>
  <c r="N280" i="160"/>
  <c r="M280" i="160"/>
  <c r="L280" i="160"/>
  <c r="K280" i="160"/>
  <c r="H280" i="160"/>
  <c r="A280" i="160"/>
  <c r="P279" i="160"/>
  <c r="N279" i="160"/>
  <c r="M279" i="160"/>
  <c r="L279" i="160"/>
  <c r="K279" i="160"/>
  <c r="H279" i="160"/>
  <c r="A279" i="160"/>
  <c r="P278" i="160"/>
  <c r="N278" i="160"/>
  <c r="M278" i="160"/>
  <c r="L278" i="160"/>
  <c r="K278" i="160"/>
  <c r="H278" i="160"/>
  <c r="A278" i="160"/>
  <c r="P277" i="160"/>
  <c r="N277" i="160"/>
  <c r="M277" i="160"/>
  <c r="L277" i="160"/>
  <c r="K277" i="160"/>
  <c r="H277" i="160"/>
  <c r="A277" i="160"/>
  <c r="P276" i="160"/>
  <c r="N276" i="160"/>
  <c r="M276" i="160"/>
  <c r="L276" i="160"/>
  <c r="K276" i="160"/>
  <c r="H276" i="160"/>
  <c r="A276" i="160"/>
  <c r="P275" i="160"/>
  <c r="N275" i="160"/>
  <c r="M275" i="160"/>
  <c r="L275" i="160"/>
  <c r="K275" i="160"/>
  <c r="H275" i="160"/>
  <c r="A275" i="160"/>
  <c r="P274" i="160"/>
  <c r="N274" i="160"/>
  <c r="M274" i="160"/>
  <c r="L274" i="160"/>
  <c r="K274" i="160"/>
  <c r="H274" i="160"/>
  <c r="A274" i="160"/>
  <c r="P273" i="160"/>
  <c r="N273" i="160"/>
  <c r="M273" i="160"/>
  <c r="L273" i="160"/>
  <c r="K273" i="160"/>
  <c r="H273" i="160"/>
  <c r="A273" i="160"/>
  <c r="P272" i="160"/>
  <c r="N272" i="160"/>
  <c r="M272" i="160"/>
  <c r="L272" i="160"/>
  <c r="K272" i="160"/>
  <c r="H272" i="160"/>
  <c r="A272" i="160"/>
  <c r="P271" i="160"/>
  <c r="N271" i="160"/>
  <c r="M271" i="160"/>
  <c r="L271" i="160"/>
  <c r="K271" i="160"/>
  <c r="H271" i="160"/>
  <c r="A271" i="160"/>
  <c r="P270" i="160"/>
  <c r="N270" i="160"/>
  <c r="M270" i="160"/>
  <c r="L270" i="160"/>
  <c r="K270" i="160"/>
  <c r="H270" i="160"/>
  <c r="A270" i="160"/>
  <c r="P269" i="160"/>
  <c r="N269" i="160"/>
  <c r="M269" i="160"/>
  <c r="L269" i="160"/>
  <c r="K269" i="160"/>
  <c r="H269" i="160"/>
  <c r="A269" i="160"/>
  <c r="P268" i="160"/>
  <c r="N268" i="160"/>
  <c r="M268" i="160"/>
  <c r="L268" i="160"/>
  <c r="K268" i="160"/>
  <c r="H268" i="160"/>
  <c r="A268" i="160"/>
  <c r="P267" i="160"/>
  <c r="N267" i="160"/>
  <c r="M267" i="160"/>
  <c r="L267" i="160"/>
  <c r="K267" i="160"/>
  <c r="H267" i="160"/>
  <c r="A267" i="160"/>
  <c r="P266" i="160"/>
  <c r="N266" i="160"/>
  <c r="M266" i="160"/>
  <c r="L266" i="160"/>
  <c r="K266" i="160"/>
  <c r="H266" i="160"/>
  <c r="A266" i="160"/>
  <c r="P265" i="160"/>
  <c r="N265" i="160"/>
  <c r="M265" i="160"/>
  <c r="L265" i="160"/>
  <c r="K265" i="160"/>
  <c r="H265" i="160"/>
  <c r="A265" i="160"/>
  <c r="P264" i="160"/>
  <c r="N264" i="160"/>
  <c r="M264" i="160"/>
  <c r="L264" i="160"/>
  <c r="K264" i="160"/>
  <c r="H264" i="160"/>
  <c r="A264" i="160"/>
  <c r="P263" i="160"/>
  <c r="N263" i="160"/>
  <c r="M263" i="160"/>
  <c r="L263" i="160"/>
  <c r="K263" i="160"/>
  <c r="H263" i="160"/>
  <c r="A263" i="160"/>
  <c r="P262" i="160"/>
  <c r="N262" i="160"/>
  <c r="M262" i="160"/>
  <c r="L262" i="160"/>
  <c r="K262" i="160"/>
  <c r="H262" i="160"/>
  <c r="A262" i="160"/>
  <c r="P261" i="160"/>
  <c r="N261" i="160"/>
  <c r="M261" i="160"/>
  <c r="L261" i="160"/>
  <c r="K261" i="160"/>
  <c r="H261" i="160"/>
  <c r="A261" i="160"/>
  <c r="P260" i="160"/>
  <c r="N260" i="160"/>
  <c r="M260" i="160"/>
  <c r="L260" i="160"/>
  <c r="K260" i="160"/>
  <c r="H260" i="160"/>
  <c r="A260" i="160"/>
  <c r="P259" i="160"/>
  <c r="N259" i="160"/>
  <c r="M259" i="160"/>
  <c r="L259" i="160"/>
  <c r="K259" i="160"/>
  <c r="H259" i="160"/>
  <c r="A259" i="160"/>
  <c r="P258" i="160"/>
  <c r="N258" i="160"/>
  <c r="M258" i="160"/>
  <c r="L258" i="160"/>
  <c r="K258" i="160"/>
  <c r="H258" i="160"/>
  <c r="A258" i="160"/>
  <c r="P257" i="160"/>
  <c r="N257" i="160"/>
  <c r="M257" i="160"/>
  <c r="L257" i="160"/>
  <c r="K257" i="160"/>
  <c r="H257" i="160"/>
  <c r="A257" i="160"/>
  <c r="P256" i="160"/>
  <c r="N256" i="160"/>
  <c r="M256" i="160"/>
  <c r="L256" i="160"/>
  <c r="K256" i="160"/>
  <c r="H256" i="160"/>
  <c r="A256" i="160"/>
  <c r="P255" i="160"/>
  <c r="N255" i="160"/>
  <c r="M255" i="160"/>
  <c r="L255" i="160"/>
  <c r="K255" i="160"/>
  <c r="H255" i="160"/>
  <c r="A255" i="160"/>
  <c r="P254" i="160"/>
  <c r="N254" i="160"/>
  <c r="M254" i="160"/>
  <c r="L254" i="160"/>
  <c r="K254" i="160"/>
  <c r="H254" i="160"/>
  <c r="A254" i="160"/>
  <c r="P253" i="160"/>
  <c r="N253" i="160"/>
  <c r="M253" i="160"/>
  <c r="L253" i="160"/>
  <c r="K253" i="160"/>
  <c r="H253" i="160"/>
  <c r="A253" i="160"/>
  <c r="P252" i="160"/>
  <c r="N252" i="160"/>
  <c r="M252" i="160"/>
  <c r="L252" i="160"/>
  <c r="K252" i="160"/>
  <c r="H252" i="160"/>
  <c r="A252" i="160"/>
  <c r="P251" i="160"/>
  <c r="N251" i="160"/>
  <c r="M251" i="160"/>
  <c r="L251" i="160"/>
  <c r="K251" i="160"/>
  <c r="H251" i="160"/>
  <c r="A251" i="160"/>
  <c r="P250" i="160"/>
  <c r="N250" i="160"/>
  <c r="M250" i="160"/>
  <c r="L250" i="160"/>
  <c r="K250" i="160"/>
  <c r="H250" i="160"/>
  <c r="A250" i="160"/>
  <c r="P249" i="160"/>
  <c r="N249" i="160"/>
  <c r="M249" i="160"/>
  <c r="L249" i="160"/>
  <c r="K249" i="160"/>
  <c r="H249" i="160"/>
  <c r="A249" i="160"/>
  <c r="P248" i="160"/>
  <c r="N248" i="160"/>
  <c r="M248" i="160"/>
  <c r="L248" i="160"/>
  <c r="K248" i="160"/>
  <c r="H248" i="160"/>
  <c r="A248" i="160"/>
  <c r="P247" i="160"/>
  <c r="N247" i="160"/>
  <c r="M247" i="160"/>
  <c r="L247" i="160"/>
  <c r="K247" i="160"/>
  <c r="H247" i="160"/>
  <c r="A247" i="160"/>
  <c r="P246" i="160"/>
  <c r="N246" i="160"/>
  <c r="M246" i="160"/>
  <c r="L246" i="160"/>
  <c r="K246" i="160"/>
  <c r="H246" i="160"/>
  <c r="A246" i="160"/>
  <c r="P245" i="160"/>
  <c r="N245" i="160"/>
  <c r="M245" i="160"/>
  <c r="L245" i="160"/>
  <c r="K245" i="160"/>
  <c r="H245" i="160"/>
  <c r="A245" i="160"/>
  <c r="P244" i="160"/>
  <c r="N244" i="160"/>
  <c r="M244" i="160"/>
  <c r="L244" i="160"/>
  <c r="K244" i="160"/>
  <c r="H244" i="160"/>
  <c r="A244" i="160"/>
  <c r="P243" i="160"/>
  <c r="N243" i="160"/>
  <c r="M243" i="160"/>
  <c r="L243" i="160"/>
  <c r="K243" i="160"/>
  <c r="H243" i="160"/>
  <c r="A243" i="160"/>
  <c r="P242" i="160"/>
  <c r="N242" i="160"/>
  <c r="M242" i="160"/>
  <c r="L242" i="160"/>
  <c r="K242" i="160"/>
  <c r="H242" i="160"/>
  <c r="A242" i="160"/>
  <c r="P241" i="160"/>
  <c r="N241" i="160"/>
  <c r="M241" i="160"/>
  <c r="L241" i="160"/>
  <c r="K241" i="160"/>
  <c r="H241" i="160"/>
  <c r="A241" i="160"/>
  <c r="P240" i="160"/>
  <c r="N240" i="160"/>
  <c r="M240" i="160"/>
  <c r="L240" i="160"/>
  <c r="K240" i="160"/>
  <c r="H240" i="160"/>
  <c r="A240" i="160"/>
  <c r="P239" i="160"/>
  <c r="N239" i="160"/>
  <c r="M239" i="160"/>
  <c r="L239" i="160"/>
  <c r="K239" i="160"/>
  <c r="H239" i="160"/>
  <c r="A239" i="160"/>
  <c r="P238" i="160"/>
  <c r="N238" i="160"/>
  <c r="M238" i="160"/>
  <c r="L238" i="160"/>
  <c r="K238" i="160"/>
  <c r="H238" i="160"/>
  <c r="A238" i="160"/>
  <c r="P237" i="160"/>
  <c r="N237" i="160"/>
  <c r="M237" i="160"/>
  <c r="L237" i="160"/>
  <c r="K237" i="160"/>
  <c r="H237" i="160"/>
  <c r="A237" i="160"/>
  <c r="P236" i="160"/>
  <c r="N236" i="160"/>
  <c r="M236" i="160"/>
  <c r="L236" i="160"/>
  <c r="K236" i="160"/>
  <c r="H236" i="160"/>
  <c r="A236" i="160"/>
  <c r="P235" i="160"/>
  <c r="N235" i="160"/>
  <c r="M235" i="160"/>
  <c r="L235" i="160"/>
  <c r="K235" i="160"/>
  <c r="H235" i="160"/>
  <c r="A235" i="160"/>
  <c r="P234" i="160"/>
  <c r="N234" i="160"/>
  <c r="M234" i="160"/>
  <c r="L234" i="160"/>
  <c r="K234" i="160"/>
  <c r="H234" i="160"/>
  <c r="A234" i="160"/>
  <c r="P233" i="160"/>
  <c r="N233" i="160"/>
  <c r="M233" i="160"/>
  <c r="L233" i="160"/>
  <c r="K233" i="160"/>
  <c r="H233" i="160"/>
  <c r="A233" i="160"/>
  <c r="P232" i="160"/>
  <c r="N232" i="160"/>
  <c r="M232" i="160"/>
  <c r="L232" i="160"/>
  <c r="K232" i="160"/>
  <c r="H232" i="160"/>
  <c r="A232" i="160"/>
  <c r="P231" i="160"/>
  <c r="N231" i="160"/>
  <c r="M231" i="160"/>
  <c r="L231" i="160"/>
  <c r="K231" i="160"/>
  <c r="H231" i="160"/>
  <c r="A231" i="160"/>
  <c r="P230" i="160"/>
  <c r="N230" i="160"/>
  <c r="M230" i="160"/>
  <c r="L230" i="160"/>
  <c r="K230" i="160"/>
  <c r="H230" i="160"/>
  <c r="A230" i="160"/>
  <c r="P229" i="160"/>
  <c r="N229" i="160"/>
  <c r="M229" i="160"/>
  <c r="L229" i="160"/>
  <c r="K229" i="160"/>
  <c r="H229" i="160"/>
  <c r="A229" i="160"/>
  <c r="P228" i="160"/>
  <c r="N228" i="160"/>
  <c r="M228" i="160"/>
  <c r="L228" i="160"/>
  <c r="K228" i="160"/>
  <c r="H228" i="160"/>
  <c r="A228" i="160"/>
  <c r="P227" i="160"/>
  <c r="N227" i="160"/>
  <c r="M227" i="160"/>
  <c r="L227" i="160"/>
  <c r="K227" i="160"/>
  <c r="H227" i="160"/>
  <c r="A227" i="160"/>
  <c r="P226" i="160"/>
  <c r="N226" i="160"/>
  <c r="M226" i="160"/>
  <c r="L226" i="160"/>
  <c r="K226" i="160"/>
  <c r="H226" i="160"/>
  <c r="A226" i="160"/>
  <c r="P225" i="160"/>
  <c r="N225" i="160"/>
  <c r="M225" i="160"/>
  <c r="L225" i="160"/>
  <c r="K225" i="160"/>
  <c r="H225" i="160"/>
  <c r="A225" i="160"/>
  <c r="P224" i="160"/>
  <c r="N224" i="160"/>
  <c r="M224" i="160"/>
  <c r="L224" i="160"/>
  <c r="K224" i="160"/>
  <c r="H224" i="160"/>
  <c r="A224" i="160"/>
  <c r="P223" i="160"/>
  <c r="N223" i="160"/>
  <c r="M223" i="160"/>
  <c r="L223" i="160"/>
  <c r="K223" i="160"/>
  <c r="H223" i="160"/>
  <c r="A223" i="160"/>
  <c r="P222" i="160"/>
  <c r="N222" i="160"/>
  <c r="M222" i="160"/>
  <c r="L222" i="160"/>
  <c r="K222" i="160"/>
  <c r="H222" i="160"/>
  <c r="A222" i="160"/>
  <c r="P221" i="160"/>
  <c r="N221" i="160"/>
  <c r="M221" i="160"/>
  <c r="L221" i="160"/>
  <c r="K221" i="160"/>
  <c r="H221" i="160"/>
  <c r="A221" i="160"/>
  <c r="P220" i="160"/>
  <c r="N220" i="160"/>
  <c r="M220" i="160"/>
  <c r="L220" i="160"/>
  <c r="K220" i="160"/>
  <c r="H220" i="160"/>
  <c r="A220" i="160"/>
  <c r="P219" i="160"/>
  <c r="N219" i="160"/>
  <c r="M219" i="160"/>
  <c r="L219" i="160"/>
  <c r="K219" i="160"/>
  <c r="H219" i="160"/>
  <c r="A219" i="160"/>
  <c r="P218" i="160"/>
  <c r="N218" i="160"/>
  <c r="M218" i="160"/>
  <c r="L218" i="160"/>
  <c r="K218" i="160"/>
  <c r="H218" i="160"/>
  <c r="A218" i="160"/>
  <c r="P217" i="160"/>
  <c r="N217" i="160"/>
  <c r="M217" i="160"/>
  <c r="L217" i="160"/>
  <c r="K217" i="160"/>
  <c r="H217" i="160"/>
  <c r="A217" i="160"/>
  <c r="P216" i="160"/>
  <c r="N216" i="160"/>
  <c r="M216" i="160"/>
  <c r="L216" i="160"/>
  <c r="K216" i="160"/>
  <c r="H216" i="160"/>
  <c r="A216" i="160"/>
  <c r="P215" i="160"/>
  <c r="N215" i="160"/>
  <c r="M215" i="160"/>
  <c r="L215" i="160"/>
  <c r="K215" i="160"/>
  <c r="H215" i="160"/>
  <c r="A215" i="160"/>
  <c r="P214" i="160"/>
  <c r="N214" i="160"/>
  <c r="M214" i="160"/>
  <c r="L214" i="160"/>
  <c r="K214" i="160"/>
  <c r="H214" i="160"/>
  <c r="A214" i="160"/>
  <c r="P213" i="160"/>
  <c r="N213" i="160"/>
  <c r="M213" i="160"/>
  <c r="L213" i="160"/>
  <c r="K213" i="160"/>
  <c r="H213" i="160"/>
  <c r="A213" i="160"/>
  <c r="P212" i="160"/>
  <c r="N212" i="160"/>
  <c r="M212" i="160"/>
  <c r="L212" i="160"/>
  <c r="K212" i="160"/>
  <c r="H212" i="160"/>
  <c r="A212" i="160"/>
  <c r="P211" i="160"/>
  <c r="N211" i="160"/>
  <c r="M211" i="160"/>
  <c r="L211" i="160"/>
  <c r="K211" i="160"/>
  <c r="H211" i="160"/>
  <c r="A211" i="160"/>
  <c r="P210" i="160"/>
  <c r="N210" i="160"/>
  <c r="M210" i="160"/>
  <c r="L210" i="160"/>
  <c r="K210" i="160"/>
  <c r="H210" i="160"/>
  <c r="A210" i="160"/>
  <c r="P209" i="160"/>
  <c r="N209" i="160"/>
  <c r="M209" i="160"/>
  <c r="L209" i="160"/>
  <c r="K209" i="160"/>
  <c r="H209" i="160"/>
  <c r="A209" i="160"/>
  <c r="P208" i="160"/>
  <c r="N208" i="160"/>
  <c r="M208" i="160"/>
  <c r="L208" i="160"/>
  <c r="K208" i="160"/>
  <c r="H208" i="160"/>
  <c r="A208" i="160"/>
  <c r="P207" i="160"/>
  <c r="N207" i="160"/>
  <c r="M207" i="160"/>
  <c r="L207" i="160"/>
  <c r="K207" i="160"/>
  <c r="H207" i="160"/>
  <c r="A207" i="160"/>
  <c r="P206" i="160"/>
  <c r="N206" i="160"/>
  <c r="M206" i="160"/>
  <c r="L206" i="160"/>
  <c r="K206" i="160"/>
  <c r="H206" i="160"/>
  <c r="A206" i="160"/>
  <c r="P205" i="160"/>
  <c r="N205" i="160"/>
  <c r="M205" i="160"/>
  <c r="L205" i="160"/>
  <c r="K205" i="160"/>
  <c r="H205" i="160"/>
  <c r="A205" i="160"/>
  <c r="P204" i="160"/>
  <c r="N204" i="160"/>
  <c r="M204" i="160"/>
  <c r="L204" i="160"/>
  <c r="K204" i="160"/>
  <c r="H204" i="160"/>
  <c r="A204" i="160"/>
  <c r="P203" i="160"/>
  <c r="N203" i="160"/>
  <c r="M203" i="160"/>
  <c r="L203" i="160"/>
  <c r="K203" i="160"/>
  <c r="H203" i="160"/>
  <c r="A203" i="160"/>
  <c r="P202" i="160"/>
  <c r="N202" i="160"/>
  <c r="M202" i="160"/>
  <c r="L202" i="160"/>
  <c r="K202" i="160"/>
  <c r="H202" i="160"/>
  <c r="A202" i="160"/>
  <c r="P201" i="160"/>
  <c r="N201" i="160"/>
  <c r="M201" i="160"/>
  <c r="L201" i="160"/>
  <c r="K201" i="160"/>
  <c r="H201" i="160"/>
  <c r="A201" i="160"/>
  <c r="P200" i="160"/>
  <c r="N200" i="160"/>
  <c r="M200" i="160"/>
  <c r="L200" i="160"/>
  <c r="K200" i="160"/>
  <c r="H200" i="160"/>
  <c r="A200" i="160"/>
  <c r="P199" i="160"/>
  <c r="N199" i="160"/>
  <c r="M199" i="160"/>
  <c r="L199" i="160"/>
  <c r="K199" i="160"/>
  <c r="H199" i="160"/>
  <c r="A199" i="160"/>
  <c r="P198" i="160"/>
  <c r="N198" i="160"/>
  <c r="M198" i="160"/>
  <c r="L198" i="160"/>
  <c r="K198" i="160"/>
  <c r="H198" i="160"/>
  <c r="A198" i="160"/>
  <c r="P197" i="160"/>
  <c r="N197" i="160"/>
  <c r="M197" i="160"/>
  <c r="L197" i="160"/>
  <c r="K197" i="160"/>
  <c r="H197" i="160"/>
  <c r="A197" i="160"/>
  <c r="P196" i="160"/>
  <c r="N196" i="160"/>
  <c r="M196" i="160"/>
  <c r="L196" i="160"/>
  <c r="K196" i="160"/>
  <c r="H196" i="160"/>
  <c r="A196" i="160"/>
  <c r="P195" i="160"/>
  <c r="N195" i="160"/>
  <c r="M195" i="160"/>
  <c r="L195" i="160"/>
  <c r="K195" i="160"/>
  <c r="H195" i="160"/>
  <c r="A195" i="160"/>
  <c r="P194" i="160"/>
  <c r="N194" i="160"/>
  <c r="M194" i="160"/>
  <c r="L194" i="160"/>
  <c r="K194" i="160"/>
  <c r="H194" i="160"/>
  <c r="A194" i="160"/>
  <c r="P193" i="160"/>
  <c r="N193" i="160"/>
  <c r="M193" i="160"/>
  <c r="L193" i="160"/>
  <c r="K193" i="160"/>
  <c r="H193" i="160"/>
  <c r="A193" i="160"/>
  <c r="P192" i="160"/>
  <c r="N192" i="160"/>
  <c r="M192" i="160"/>
  <c r="L192" i="160"/>
  <c r="K192" i="160"/>
  <c r="H192" i="160"/>
  <c r="A192" i="160"/>
  <c r="P191" i="160"/>
  <c r="N191" i="160"/>
  <c r="M191" i="160"/>
  <c r="L191" i="160"/>
  <c r="K191" i="160"/>
  <c r="H191" i="160"/>
  <c r="A191" i="160"/>
  <c r="P190" i="160"/>
  <c r="N190" i="160"/>
  <c r="M190" i="160"/>
  <c r="L190" i="160"/>
  <c r="K190" i="160"/>
  <c r="H190" i="160"/>
  <c r="A190" i="160"/>
  <c r="P189" i="160"/>
  <c r="N189" i="160"/>
  <c r="M189" i="160"/>
  <c r="L189" i="160"/>
  <c r="K189" i="160"/>
  <c r="H189" i="160"/>
  <c r="A189" i="160"/>
  <c r="P188" i="160"/>
  <c r="N188" i="160"/>
  <c r="M188" i="160"/>
  <c r="L188" i="160"/>
  <c r="K188" i="160"/>
  <c r="H188" i="160"/>
  <c r="A188" i="160"/>
  <c r="P187" i="160"/>
  <c r="N187" i="160"/>
  <c r="M187" i="160"/>
  <c r="L187" i="160"/>
  <c r="K187" i="160"/>
  <c r="H187" i="160"/>
  <c r="A187" i="160"/>
  <c r="P186" i="160"/>
  <c r="N186" i="160"/>
  <c r="M186" i="160"/>
  <c r="L186" i="160"/>
  <c r="K186" i="160"/>
  <c r="H186" i="160"/>
  <c r="A186" i="160"/>
  <c r="P185" i="160"/>
  <c r="N185" i="160"/>
  <c r="M185" i="160"/>
  <c r="L185" i="160"/>
  <c r="K185" i="160"/>
  <c r="H185" i="160"/>
  <c r="A185" i="160"/>
  <c r="P184" i="160"/>
  <c r="N184" i="160"/>
  <c r="M184" i="160"/>
  <c r="L184" i="160"/>
  <c r="K184" i="160"/>
  <c r="H184" i="160"/>
  <c r="A184" i="160"/>
  <c r="P183" i="160"/>
  <c r="N183" i="160"/>
  <c r="M183" i="160"/>
  <c r="L183" i="160"/>
  <c r="K183" i="160"/>
  <c r="H183" i="160"/>
  <c r="A183" i="160"/>
  <c r="P182" i="160"/>
  <c r="N182" i="160"/>
  <c r="M182" i="160"/>
  <c r="L182" i="160"/>
  <c r="K182" i="160"/>
  <c r="H182" i="160"/>
  <c r="A182" i="160"/>
  <c r="P181" i="160"/>
  <c r="N181" i="160"/>
  <c r="M181" i="160"/>
  <c r="L181" i="160"/>
  <c r="K181" i="160"/>
  <c r="H181" i="160"/>
  <c r="A181" i="160"/>
  <c r="P180" i="160"/>
  <c r="N180" i="160"/>
  <c r="M180" i="160"/>
  <c r="L180" i="160"/>
  <c r="K180" i="160"/>
  <c r="H180" i="160"/>
  <c r="A180" i="160"/>
  <c r="P179" i="160"/>
  <c r="N179" i="160"/>
  <c r="M179" i="160"/>
  <c r="L179" i="160"/>
  <c r="K179" i="160"/>
  <c r="H179" i="160"/>
  <c r="A179" i="160"/>
  <c r="P178" i="160"/>
  <c r="N178" i="160"/>
  <c r="M178" i="160"/>
  <c r="L178" i="160"/>
  <c r="K178" i="160"/>
  <c r="H178" i="160"/>
  <c r="A178" i="160"/>
  <c r="P177" i="160"/>
  <c r="N177" i="160"/>
  <c r="M177" i="160"/>
  <c r="L177" i="160"/>
  <c r="K177" i="160"/>
  <c r="H177" i="160"/>
  <c r="A177" i="160"/>
  <c r="P176" i="160"/>
  <c r="N176" i="160"/>
  <c r="M176" i="160"/>
  <c r="L176" i="160"/>
  <c r="K176" i="160"/>
  <c r="H176" i="160"/>
  <c r="A176" i="160"/>
  <c r="P175" i="160"/>
  <c r="N175" i="160"/>
  <c r="M175" i="160"/>
  <c r="L175" i="160"/>
  <c r="K175" i="160"/>
  <c r="H175" i="160"/>
  <c r="A175" i="160"/>
  <c r="P174" i="160"/>
  <c r="N174" i="160"/>
  <c r="M174" i="160"/>
  <c r="L174" i="160"/>
  <c r="K174" i="160"/>
  <c r="H174" i="160"/>
  <c r="A174" i="160"/>
  <c r="P173" i="160"/>
  <c r="N173" i="160"/>
  <c r="M173" i="160"/>
  <c r="L173" i="160"/>
  <c r="K173" i="160"/>
  <c r="H173" i="160"/>
  <c r="A173" i="160"/>
  <c r="P172" i="160"/>
  <c r="N172" i="160"/>
  <c r="M172" i="160"/>
  <c r="L172" i="160"/>
  <c r="K172" i="160"/>
  <c r="H172" i="160"/>
  <c r="A172" i="160"/>
  <c r="P171" i="160"/>
  <c r="N171" i="160"/>
  <c r="M171" i="160"/>
  <c r="L171" i="160"/>
  <c r="K171" i="160"/>
  <c r="H171" i="160"/>
  <c r="A171" i="160"/>
  <c r="P170" i="160"/>
  <c r="N170" i="160"/>
  <c r="M170" i="160"/>
  <c r="L170" i="160"/>
  <c r="K170" i="160"/>
  <c r="H170" i="160"/>
  <c r="A170" i="160"/>
  <c r="P169" i="160"/>
  <c r="N169" i="160"/>
  <c r="M169" i="160"/>
  <c r="L169" i="160"/>
  <c r="K169" i="160"/>
  <c r="H169" i="160"/>
  <c r="A169" i="160"/>
  <c r="P168" i="160"/>
  <c r="N168" i="160"/>
  <c r="M168" i="160"/>
  <c r="L168" i="160"/>
  <c r="K168" i="160"/>
  <c r="H168" i="160"/>
  <c r="A168" i="160"/>
  <c r="P167" i="160"/>
  <c r="N167" i="160"/>
  <c r="M167" i="160"/>
  <c r="L167" i="160"/>
  <c r="K167" i="160"/>
  <c r="H167" i="160"/>
  <c r="A167" i="160"/>
  <c r="P166" i="160"/>
  <c r="N166" i="160"/>
  <c r="M166" i="160"/>
  <c r="L166" i="160"/>
  <c r="K166" i="160"/>
  <c r="H166" i="160"/>
  <c r="A166" i="160"/>
  <c r="P165" i="160"/>
  <c r="N165" i="160"/>
  <c r="M165" i="160"/>
  <c r="L165" i="160"/>
  <c r="K165" i="160"/>
  <c r="H165" i="160"/>
  <c r="A165" i="160"/>
  <c r="P164" i="160"/>
  <c r="N164" i="160"/>
  <c r="M164" i="160"/>
  <c r="L164" i="160"/>
  <c r="K164" i="160"/>
  <c r="H164" i="160"/>
  <c r="A164" i="160"/>
  <c r="P163" i="160"/>
  <c r="N163" i="160"/>
  <c r="M163" i="160"/>
  <c r="L163" i="160"/>
  <c r="K163" i="160"/>
  <c r="H163" i="160"/>
  <c r="A163" i="160"/>
  <c r="P162" i="160"/>
  <c r="N162" i="160"/>
  <c r="M162" i="160"/>
  <c r="L162" i="160"/>
  <c r="K162" i="160"/>
  <c r="H162" i="160"/>
  <c r="A162" i="160"/>
  <c r="P161" i="160"/>
  <c r="N161" i="160"/>
  <c r="M161" i="160"/>
  <c r="L161" i="160"/>
  <c r="K161" i="160"/>
  <c r="H161" i="160"/>
  <c r="A161" i="160"/>
  <c r="P160" i="160"/>
  <c r="N160" i="160"/>
  <c r="M160" i="160"/>
  <c r="L160" i="160"/>
  <c r="K160" i="160"/>
  <c r="H160" i="160"/>
  <c r="A160" i="160"/>
  <c r="P159" i="160"/>
  <c r="N159" i="160"/>
  <c r="M159" i="160"/>
  <c r="L159" i="160"/>
  <c r="K159" i="160"/>
  <c r="H159" i="160"/>
  <c r="A159" i="160"/>
  <c r="P158" i="160"/>
  <c r="N158" i="160"/>
  <c r="M158" i="160"/>
  <c r="L158" i="160"/>
  <c r="K158" i="160"/>
  <c r="H158" i="160"/>
  <c r="A158" i="160"/>
  <c r="P157" i="160"/>
  <c r="N157" i="160"/>
  <c r="M157" i="160"/>
  <c r="L157" i="160"/>
  <c r="K157" i="160"/>
  <c r="H157" i="160"/>
  <c r="A157" i="160"/>
  <c r="P156" i="160"/>
  <c r="N156" i="160"/>
  <c r="M156" i="160"/>
  <c r="L156" i="160"/>
  <c r="K156" i="160"/>
  <c r="H156" i="160"/>
  <c r="A156" i="160"/>
  <c r="P155" i="160"/>
  <c r="N155" i="160"/>
  <c r="M155" i="160"/>
  <c r="L155" i="160"/>
  <c r="K155" i="160"/>
  <c r="H155" i="160"/>
  <c r="A155" i="160"/>
  <c r="P154" i="160"/>
  <c r="N154" i="160"/>
  <c r="M154" i="160"/>
  <c r="L154" i="160"/>
  <c r="K154" i="160"/>
  <c r="H154" i="160"/>
  <c r="A154" i="160"/>
  <c r="P153" i="160"/>
  <c r="N153" i="160"/>
  <c r="M153" i="160"/>
  <c r="L153" i="160"/>
  <c r="K153" i="160"/>
  <c r="H153" i="160"/>
  <c r="A153" i="160"/>
  <c r="P152" i="160"/>
  <c r="N152" i="160"/>
  <c r="M152" i="160"/>
  <c r="L152" i="160"/>
  <c r="K152" i="160"/>
  <c r="H152" i="160"/>
  <c r="A152" i="160"/>
  <c r="P151" i="160"/>
  <c r="N151" i="160"/>
  <c r="M151" i="160"/>
  <c r="L151" i="160"/>
  <c r="K151" i="160"/>
  <c r="H151" i="160"/>
  <c r="A151" i="160"/>
  <c r="P150" i="160"/>
  <c r="N150" i="160"/>
  <c r="M150" i="160"/>
  <c r="L150" i="160"/>
  <c r="K150" i="160"/>
  <c r="H150" i="160"/>
  <c r="A150" i="160"/>
  <c r="P149" i="160"/>
  <c r="N149" i="160"/>
  <c r="M149" i="160"/>
  <c r="L149" i="160"/>
  <c r="K149" i="160"/>
  <c r="H149" i="160"/>
  <c r="A149" i="160"/>
  <c r="P148" i="160"/>
  <c r="N148" i="160"/>
  <c r="M148" i="160"/>
  <c r="L148" i="160"/>
  <c r="K148" i="160"/>
  <c r="H148" i="160"/>
  <c r="A148" i="160"/>
  <c r="P147" i="160"/>
  <c r="N147" i="160"/>
  <c r="M147" i="160"/>
  <c r="L147" i="160"/>
  <c r="K147" i="160"/>
  <c r="H147" i="160"/>
  <c r="A147" i="160"/>
  <c r="P146" i="160"/>
  <c r="N146" i="160"/>
  <c r="M146" i="160"/>
  <c r="L146" i="160"/>
  <c r="K146" i="160"/>
  <c r="H146" i="160"/>
  <c r="A146" i="160"/>
  <c r="P145" i="160"/>
  <c r="N145" i="160"/>
  <c r="M145" i="160"/>
  <c r="L145" i="160"/>
  <c r="K145" i="160"/>
  <c r="H145" i="160"/>
  <c r="A145" i="160"/>
  <c r="P144" i="160"/>
  <c r="N144" i="160"/>
  <c r="M144" i="160"/>
  <c r="L144" i="160"/>
  <c r="K144" i="160"/>
  <c r="H144" i="160"/>
  <c r="A144" i="160"/>
  <c r="P143" i="160"/>
  <c r="N143" i="160"/>
  <c r="M143" i="160"/>
  <c r="L143" i="160"/>
  <c r="K143" i="160"/>
  <c r="H143" i="160"/>
  <c r="A143" i="160"/>
  <c r="P142" i="160"/>
  <c r="N142" i="160"/>
  <c r="M142" i="160"/>
  <c r="L142" i="160"/>
  <c r="K142" i="160"/>
  <c r="H142" i="160"/>
  <c r="A142" i="160"/>
  <c r="P141" i="160"/>
  <c r="N141" i="160"/>
  <c r="M141" i="160"/>
  <c r="L141" i="160"/>
  <c r="K141" i="160"/>
  <c r="H141" i="160"/>
  <c r="A141" i="160"/>
  <c r="P140" i="160"/>
  <c r="N140" i="160"/>
  <c r="M140" i="160"/>
  <c r="L140" i="160"/>
  <c r="K140" i="160"/>
  <c r="H140" i="160"/>
  <c r="A140" i="160"/>
  <c r="P139" i="160"/>
  <c r="N139" i="160"/>
  <c r="M139" i="160"/>
  <c r="L139" i="160"/>
  <c r="K139" i="160"/>
  <c r="H139" i="160"/>
  <c r="A139" i="160"/>
  <c r="P138" i="160"/>
  <c r="N138" i="160"/>
  <c r="M138" i="160"/>
  <c r="L138" i="160"/>
  <c r="K138" i="160"/>
  <c r="H138" i="160"/>
  <c r="A138" i="160"/>
  <c r="P137" i="160"/>
  <c r="N137" i="160"/>
  <c r="M137" i="160"/>
  <c r="L137" i="160"/>
  <c r="K137" i="160"/>
  <c r="H137" i="160"/>
  <c r="A137" i="160"/>
  <c r="P136" i="160"/>
  <c r="N136" i="160"/>
  <c r="M136" i="160"/>
  <c r="L136" i="160"/>
  <c r="K136" i="160"/>
  <c r="H136" i="160"/>
  <c r="A136" i="160"/>
  <c r="P135" i="160"/>
  <c r="N135" i="160"/>
  <c r="M135" i="160"/>
  <c r="L135" i="160"/>
  <c r="K135" i="160"/>
  <c r="H135" i="160"/>
  <c r="A135" i="160"/>
  <c r="P134" i="160"/>
  <c r="N134" i="160"/>
  <c r="M134" i="160"/>
  <c r="L134" i="160"/>
  <c r="K134" i="160"/>
  <c r="H134" i="160"/>
  <c r="A134" i="160"/>
  <c r="P133" i="160"/>
  <c r="N133" i="160"/>
  <c r="M133" i="160"/>
  <c r="L133" i="160"/>
  <c r="K133" i="160"/>
  <c r="H133" i="160"/>
  <c r="A133" i="160"/>
  <c r="P132" i="160"/>
  <c r="N132" i="160"/>
  <c r="M132" i="160"/>
  <c r="L132" i="160"/>
  <c r="K132" i="160"/>
  <c r="H132" i="160"/>
  <c r="A132" i="160"/>
  <c r="P131" i="160"/>
  <c r="N131" i="160"/>
  <c r="M131" i="160"/>
  <c r="L131" i="160"/>
  <c r="K131" i="160"/>
  <c r="H131" i="160"/>
  <c r="A131" i="160"/>
  <c r="P130" i="160"/>
  <c r="N130" i="160"/>
  <c r="M130" i="160"/>
  <c r="L130" i="160"/>
  <c r="K130" i="160"/>
  <c r="H130" i="160"/>
  <c r="A130" i="160"/>
  <c r="P129" i="160"/>
  <c r="N129" i="160"/>
  <c r="M129" i="160"/>
  <c r="L129" i="160"/>
  <c r="K129" i="160"/>
  <c r="H129" i="160"/>
  <c r="A129" i="160"/>
  <c r="P128" i="160"/>
  <c r="N128" i="160"/>
  <c r="M128" i="160"/>
  <c r="L128" i="160"/>
  <c r="K128" i="160"/>
  <c r="H128" i="160"/>
  <c r="A128" i="160"/>
  <c r="P127" i="160"/>
  <c r="N127" i="160"/>
  <c r="M127" i="160"/>
  <c r="L127" i="160"/>
  <c r="K127" i="160"/>
  <c r="H127" i="160"/>
  <c r="A127" i="160"/>
  <c r="P126" i="160"/>
  <c r="N126" i="160"/>
  <c r="M126" i="160"/>
  <c r="L126" i="160"/>
  <c r="K126" i="160"/>
  <c r="H126" i="160"/>
  <c r="A126" i="160"/>
  <c r="P125" i="160"/>
  <c r="N125" i="160"/>
  <c r="M125" i="160"/>
  <c r="L125" i="160"/>
  <c r="K125" i="160"/>
  <c r="H125" i="160"/>
  <c r="A125" i="160"/>
  <c r="P124" i="160"/>
  <c r="N124" i="160"/>
  <c r="M124" i="160"/>
  <c r="L124" i="160"/>
  <c r="K124" i="160"/>
  <c r="H124" i="160"/>
  <c r="A124" i="160"/>
  <c r="P123" i="160"/>
  <c r="N123" i="160"/>
  <c r="M123" i="160"/>
  <c r="L123" i="160"/>
  <c r="K123" i="160"/>
  <c r="H123" i="160"/>
  <c r="A123" i="160"/>
  <c r="P122" i="160"/>
  <c r="N122" i="160"/>
  <c r="M122" i="160"/>
  <c r="L122" i="160"/>
  <c r="K122" i="160"/>
  <c r="H122" i="160"/>
  <c r="A122" i="160"/>
  <c r="P121" i="160"/>
  <c r="N121" i="160"/>
  <c r="M121" i="160"/>
  <c r="L121" i="160"/>
  <c r="K121" i="160"/>
  <c r="H121" i="160"/>
  <c r="A121" i="160"/>
  <c r="P120" i="160"/>
  <c r="N120" i="160"/>
  <c r="M120" i="160"/>
  <c r="L120" i="160"/>
  <c r="K120" i="160"/>
  <c r="H120" i="160"/>
  <c r="A120" i="160"/>
  <c r="P119" i="160"/>
  <c r="N119" i="160"/>
  <c r="M119" i="160"/>
  <c r="L119" i="160"/>
  <c r="K119" i="160"/>
  <c r="H119" i="160"/>
  <c r="A119" i="160"/>
  <c r="P118" i="160"/>
  <c r="N118" i="160"/>
  <c r="M118" i="160"/>
  <c r="L118" i="160"/>
  <c r="K118" i="160"/>
  <c r="H118" i="160"/>
  <c r="A118" i="160"/>
  <c r="P117" i="160"/>
  <c r="N117" i="160"/>
  <c r="M117" i="160"/>
  <c r="L117" i="160"/>
  <c r="K117" i="160"/>
  <c r="H117" i="160"/>
  <c r="A117" i="160"/>
  <c r="P116" i="160"/>
  <c r="N116" i="160"/>
  <c r="M116" i="160"/>
  <c r="L116" i="160"/>
  <c r="K116" i="160"/>
  <c r="H116" i="160"/>
  <c r="A116" i="160"/>
  <c r="P115" i="160"/>
  <c r="N115" i="160"/>
  <c r="M115" i="160"/>
  <c r="L115" i="160"/>
  <c r="K115" i="160"/>
  <c r="H115" i="160"/>
  <c r="A115" i="160"/>
  <c r="P114" i="160"/>
  <c r="N114" i="160"/>
  <c r="M114" i="160"/>
  <c r="L114" i="160"/>
  <c r="K114" i="160"/>
  <c r="H114" i="160"/>
  <c r="A114" i="160"/>
  <c r="P113" i="160"/>
  <c r="N113" i="160"/>
  <c r="M113" i="160"/>
  <c r="L113" i="160"/>
  <c r="K113" i="160"/>
  <c r="H113" i="160"/>
  <c r="A113" i="160"/>
  <c r="P112" i="160"/>
  <c r="N112" i="160"/>
  <c r="M112" i="160"/>
  <c r="L112" i="160"/>
  <c r="K112" i="160"/>
  <c r="H112" i="160"/>
  <c r="A112" i="160"/>
  <c r="P111" i="160"/>
  <c r="N111" i="160"/>
  <c r="M111" i="160"/>
  <c r="L111" i="160"/>
  <c r="K111" i="160"/>
  <c r="H111" i="160"/>
  <c r="A111" i="160"/>
  <c r="P110" i="160"/>
  <c r="N110" i="160"/>
  <c r="M110" i="160"/>
  <c r="L110" i="160"/>
  <c r="K110" i="160"/>
  <c r="H110" i="160"/>
  <c r="A110" i="160"/>
  <c r="P109" i="160"/>
  <c r="N109" i="160"/>
  <c r="M109" i="160"/>
  <c r="L109" i="160"/>
  <c r="K109" i="160"/>
  <c r="H109" i="160"/>
  <c r="A109" i="160"/>
  <c r="P108" i="160"/>
  <c r="N108" i="160"/>
  <c r="M108" i="160"/>
  <c r="L108" i="160"/>
  <c r="K108" i="160"/>
  <c r="H108" i="160"/>
  <c r="A108" i="160"/>
  <c r="P107" i="160"/>
  <c r="N107" i="160"/>
  <c r="M107" i="160"/>
  <c r="L107" i="160"/>
  <c r="K107" i="160"/>
  <c r="H107" i="160"/>
  <c r="A107" i="160"/>
  <c r="P106" i="160"/>
  <c r="N106" i="160"/>
  <c r="M106" i="160"/>
  <c r="L106" i="160"/>
  <c r="K106" i="160"/>
  <c r="H106" i="160"/>
  <c r="A106" i="160"/>
  <c r="P105" i="160"/>
  <c r="N105" i="160"/>
  <c r="M105" i="160"/>
  <c r="L105" i="160"/>
  <c r="K105" i="160"/>
  <c r="H105" i="160"/>
  <c r="A105" i="160"/>
  <c r="P104" i="160"/>
  <c r="N104" i="160"/>
  <c r="M104" i="160"/>
  <c r="L104" i="160"/>
  <c r="K104" i="160"/>
  <c r="H104" i="160"/>
  <c r="A104" i="160"/>
  <c r="P103" i="160"/>
  <c r="N103" i="160"/>
  <c r="M103" i="160"/>
  <c r="L103" i="160"/>
  <c r="K103" i="160"/>
  <c r="H103" i="160"/>
  <c r="A103" i="160"/>
  <c r="P102" i="160"/>
  <c r="N102" i="160"/>
  <c r="M102" i="160"/>
  <c r="L102" i="160"/>
  <c r="K102" i="160"/>
  <c r="H102" i="160"/>
  <c r="A102" i="160"/>
  <c r="P101" i="160"/>
  <c r="N101" i="160"/>
  <c r="M101" i="160"/>
  <c r="L101" i="160"/>
  <c r="K101" i="160"/>
  <c r="H101" i="160"/>
  <c r="A101" i="160"/>
  <c r="P100" i="160"/>
  <c r="N100" i="160"/>
  <c r="M100" i="160"/>
  <c r="L100" i="160"/>
  <c r="K100" i="160"/>
  <c r="H100" i="160"/>
  <c r="A100" i="160"/>
  <c r="P99" i="160"/>
  <c r="N99" i="160"/>
  <c r="M99" i="160"/>
  <c r="L99" i="160"/>
  <c r="K99" i="160"/>
  <c r="H99" i="160"/>
  <c r="A99" i="160"/>
  <c r="P98" i="160"/>
  <c r="N98" i="160"/>
  <c r="M98" i="160"/>
  <c r="L98" i="160"/>
  <c r="K98" i="160"/>
  <c r="H98" i="160"/>
  <c r="A98" i="160"/>
  <c r="P97" i="160"/>
  <c r="N97" i="160"/>
  <c r="M97" i="160"/>
  <c r="L97" i="160"/>
  <c r="K97" i="160"/>
  <c r="H97" i="160"/>
  <c r="A97" i="160"/>
  <c r="P96" i="160"/>
  <c r="N96" i="160"/>
  <c r="M96" i="160"/>
  <c r="L96" i="160"/>
  <c r="K96" i="160"/>
  <c r="H96" i="160"/>
  <c r="A96" i="160"/>
  <c r="P95" i="160"/>
  <c r="N95" i="160"/>
  <c r="M95" i="160"/>
  <c r="L95" i="160"/>
  <c r="K95" i="160"/>
  <c r="H95" i="160"/>
  <c r="A95" i="160"/>
  <c r="P94" i="160"/>
  <c r="N94" i="160"/>
  <c r="M94" i="160"/>
  <c r="L94" i="160"/>
  <c r="K94" i="160"/>
  <c r="H94" i="160"/>
  <c r="A94" i="160"/>
  <c r="P93" i="160"/>
  <c r="N93" i="160"/>
  <c r="M93" i="160"/>
  <c r="L93" i="160"/>
  <c r="K93" i="160"/>
  <c r="H93" i="160"/>
  <c r="A93" i="160"/>
  <c r="P92" i="160"/>
  <c r="N92" i="160"/>
  <c r="M92" i="160"/>
  <c r="L92" i="160"/>
  <c r="K92" i="160"/>
  <c r="H92" i="160"/>
  <c r="A92" i="160"/>
  <c r="P91" i="160"/>
  <c r="N91" i="160"/>
  <c r="M91" i="160"/>
  <c r="L91" i="160"/>
  <c r="K91" i="160"/>
  <c r="H91" i="160"/>
  <c r="A91" i="160"/>
  <c r="P90" i="160"/>
  <c r="N90" i="160"/>
  <c r="M90" i="160"/>
  <c r="L90" i="160"/>
  <c r="K90" i="160"/>
  <c r="H90" i="160"/>
  <c r="A90" i="160"/>
  <c r="P89" i="160"/>
  <c r="N89" i="160"/>
  <c r="M89" i="160"/>
  <c r="L89" i="160"/>
  <c r="K89" i="160"/>
  <c r="H89" i="160"/>
  <c r="A89" i="160"/>
  <c r="P88" i="160"/>
  <c r="N88" i="160"/>
  <c r="M88" i="160"/>
  <c r="L88" i="160"/>
  <c r="K88" i="160"/>
  <c r="H88" i="160"/>
  <c r="A88" i="160"/>
  <c r="P87" i="160"/>
  <c r="N87" i="160"/>
  <c r="M87" i="160"/>
  <c r="L87" i="160"/>
  <c r="K87" i="160"/>
  <c r="H87" i="160"/>
  <c r="A87" i="160"/>
  <c r="P86" i="160"/>
  <c r="N86" i="160"/>
  <c r="M86" i="160"/>
  <c r="L86" i="160"/>
  <c r="K86" i="160"/>
  <c r="H86" i="160"/>
  <c r="A86" i="160"/>
  <c r="P85" i="160"/>
  <c r="N85" i="160"/>
  <c r="M85" i="160"/>
  <c r="L85" i="160"/>
  <c r="K85" i="160"/>
  <c r="H85" i="160"/>
  <c r="A85" i="160"/>
  <c r="P84" i="160"/>
  <c r="N84" i="160"/>
  <c r="M84" i="160"/>
  <c r="L84" i="160"/>
  <c r="K84" i="160"/>
  <c r="H84" i="160"/>
  <c r="A84" i="160"/>
  <c r="P83" i="160"/>
  <c r="N83" i="160"/>
  <c r="M83" i="160"/>
  <c r="L83" i="160"/>
  <c r="K83" i="160"/>
  <c r="H83" i="160"/>
  <c r="A83" i="160"/>
  <c r="P82" i="160"/>
  <c r="N82" i="160"/>
  <c r="M82" i="160"/>
  <c r="L82" i="160"/>
  <c r="K82" i="160"/>
  <c r="H82" i="160"/>
  <c r="A82" i="160"/>
  <c r="P81" i="160"/>
  <c r="N81" i="160"/>
  <c r="M81" i="160"/>
  <c r="L81" i="160"/>
  <c r="K81" i="160"/>
  <c r="H81" i="160"/>
  <c r="A81" i="160"/>
  <c r="P80" i="160"/>
  <c r="N80" i="160"/>
  <c r="M80" i="160"/>
  <c r="L80" i="160"/>
  <c r="K80" i="160"/>
  <c r="H80" i="160"/>
  <c r="A80" i="160"/>
  <c r="P79" i="160"/>
  <c r="N79" i="160"/>
  <c r="M79" i="160"/>
  <c r="L79" i="160"/>
  <c r="K79" i="160"/>
  <c r="H79" i="160"/>
  <c r="A79" i="160"/>
  <c r="P78" i="160"/>
  <c r="N78" i="160"/>
  <c r="M78" i="160"/>
  <c r="L78" i="160"/>
  <c r="K78" i="160"/>
  <c r="H78" i="160"/>
  <c r="A78" i="160"/>
  <c r="P77" i="160"/>
  <c r="N77" i="160"/>
  <c r="M77" i="160"/>
  <c r="L77" i="160"/>
  <c r="K77" i="160"/>
  <c r="H77" i="160"/>
  <c r="A77" i="160"/>
  <c r="P76" i="160"/>
  <c r="N76" i="160"/>
  <c r="M76" i="160"/>
  <c r="L76" i="160"/>
  <c r="K76" i="160"/>
  <c r="H76" i="160"/>
  <c r="A76" i="160"/>
  <c r="P75" i="160"/>
  <c r="N75" i="160"/>
  <c r="M75" i="160"/>
  <c r="L75" i="160"/>
  <c r="K75" i="160"/>
  <c r="H75" i="160"/>
  <c r="A75" i="160"/>
  <c r="P74" i="160"/>
  <c r="N74" i="160"/>
  <c r="M74" i="160"/>
  <c r="L74" i="160"/>
  <c r="K74" i="160"/>
  <c r="H74" i="160"/>
  <c r="A74" i="160"/>
  <c r="P73" i="160"/>
  <c r="N73" i="160"/>
  <c r="M73" i="160"/>
  <c r="L73" i="160"/>
  <c r="K73" i="160"/>
  <c r="H73" i="160"/>
  <c r="A73" i="160"/>
  <c r="P72" i="160"/>
  <c r="N72" i="160"/>
  <c r="M72" i="160"/>
  <c r="L72" i="160"/>
  <c r="K72" i="160"/>
  <c r="H72" i="160"/>
  <c r="A72" i="160"/>
  <c r="P71" i="160"/>
  <c r="N71" i="160"/>
  <c r="M71" i="160"/>
  <c r="L71" i="160"/>
  <c r="K71" i="160"/>
  <c r="H71" i="160"/>
  <c r="A71" i="160"/>
  <c r="P70" i="160"/>
  <c r="N70" i="160"/>
  <c r="M70" i="160"/>
  <c r="L70" i="160"/>
  <c r="K70" i="160"/>
  <c r="H70" i="160"/>
  <c r="A70" i="160"/>
  <c r="P69" i="160"/>
  <c r="N69" i="160"/>
  <c r="M69" i="160"/>
  <c r="L69" i="160"/>
  <c r="K69" i="160"/>
  <c r="H69" i="160"/>
  <c r="A69" i="160"/>
  <c r="P68" i="160"/>
  <c r="N68" i="160"/>
  <c r="M68" i="160"/>
  <c r="L68" i="160"/>
  <c r="K68" i="160"/>
  <c r="H68" i="160"/>
  <c r="A68" i="160"/>
  <c r="P67" i="160"/>
  <c r="N67" i="160"/>
  <c r="M67" i="160"/>
  <c r="L67" i="160"/>
  <c r="K67" i="160"/>
  <c r="H67" i="160"/>
  <c r="A67" i="160"/>
  <c r="P66" i="160"/>
  <c r="N66" i="160"/>
  <c r="M66" i="160"/>
  <c r="L66" i="160"/>
  <c r="K66" i="160"/>
  <c r="H66" i="160"/>
  <c r="A66" i="160"/>
  <c r="P65" i="160"/>
  <c r="N65" i="160"/>
  <c r="M65" i="160"/>
  <c r="L65" i="160"/>
  <c r="K65" i="160"/>
  <c r="H65" i="160"/>
  <c r="A65" i="160"/>
  <c r="P64" i="160"/>
  <c r="N64" i="160"/>
  <c r="M64" i="160"/>
  <c r="L64" i="160"/>
  <c r="K64" i="160"/>
  <c r="H64" i="160"/>
  <c r="A64" i="160"/>
  <c r="P63" i="160"/>
  <c r="N63" i="160"/>
  <c r="M63" i="160"/>
  <c r="L63" i="160"/>
  <c r="K63" i="160"/>
  <c r="H63" i="160"/>
  <c r="A63" i="160"/>
  <c r="P62" i="160"/>
  <c r="N62" i="160"/>
  <c r="M62" i="160"/>
  <c r="L62" i="160"/>
  <c r="K62" i="160"/>
  <c r="H62" i="160"/>
  <c r="A62" i="160"/>
  <c r="P61" i="160"/>
  <c r="N61" i="160"/>
  <c r="M61" i="160"/>
  <c r="L61" i="160"/>
  <c r="K61" i="160"/>
  <c r="H61" i="160"/>
  <c r="A61" i="160"/>
  <c r="P60" i="160"/>
  <c r="N60" i="160"/>
  <c r="M60" i="160"/>
  <c r="L60" i="160"/>
  <c r="K60" i="160"/>
  <c r="H60" i="160"/>
  <c r="A60" i="160"/>
  <c r="P59" i="160"/>
  <c r="N59" i="160"/>
  <c r="M59" i="160"/>
  <c r="L59" i="160"/>
  <c r="K59" i="160"/>
  <c r="H59" i="160"/>
  <c r="A59" i="160"/>
  <c r="P58" i="160"/>
  <c r="N58" i="160"/>
  <c r="M58" i="160"/>
  <c r="L58" i="160"/>
  <c r="K58" i="160"/>
  <c r="H58" i="160"/>
  <c r="A58" i="160"/>
  <c r="P57" i="160"/>
  <c r="N57" i="160"/>
  <c r="M57" i="160"/>
  <c r="L57" i="160"/>
  <c r="K57" i="160"/>
  <c r="H57" i="160"/>
  <c r="A57" i="160"/>
  <c r="P56" i="160"/>
  <c r="N56" i="160"/>
  <c r="M56" i="160"/>
  <c r="L56" i="160"/>
  <c r="K56" i="160"/>
  <c r="H56" i="160"/>
  <c r="A56" i="160"/>
  <c r="P55" i="160"/>
  <c r="N55" i="160"/>
  <c r="M55" i="160"/>
  <c r="L55" i="160"/>
  <c r="K55" i="160"/>
  <c r="H55" i="160"/>
  <c r="A55" i="160"/>
  <c r="P54" i="160"/>
  <c r="N54" i="160"/>
  <c r="M54" i="160"/>
  <c r="L54" i="160"/>
  <c r="K54" i="160"/>
  <c r="H54" i="160"/>
  <c r="A54" i="160"/>
  <c r="P53" i="160"/>
  <c r="N53" i="160"/>
  <c r="M53" i="160"/>
  <c r="L53" i="160"/>
  <c r="K53" i="160"/>
  <c r="H53" i="160"/>
  <c r="A53" i="160"/>
  <c r="P52" i="160"/>
  <c r="N52" i="160"/>
  <c r="M52" i="160"/>
  <c r="L52" i="160"/>
  <c r="K52" i="160"/>
  <c r="H52" i="160"/>
  <c r="A52" i="160"/>
  <c r="P51" i="160"/>
  <c r="N51" i="160"/>
  <c r="M51" i="160"/>
  <c r="L51" i="160"/>
  <c r="K51" i="160"/>
  <c r="H51" i="160"/>
  <c r="A51" i="160"/>
  <c r="P50" i="160"/>
  <c r="N50" i="160"/>
  <c r="M50" i="160"/>
  <c r="L50" i="160"/>
  <c r="K50" i="160"/>
  <c r="H50" i="160"/>
  <c r="A50" i="160"/>
  <c r="P49" i="160"/>
  <c r="N49" i="160"/>
  <c r="M49" i="160"/>
  <c r="L49" i="160"/>
  <c r="K49" i="160"/>
  <c r="H49" i="160"/>
  <c r="A49" i="160"/>
  <c r="P48" i="160"/>
  <c r="N48" i="160"/>
  <c r="M48" i="160"/>
  <c r="L48" i="160"/>
  <c r="K48" i="160"/>
  <c r="H48" i="160"/>
  <c r="A48" i="160"/>
  <c r="P47" i="160"/>
  <c r="N47" i="160"/>
  <c r="M47" i="160"/>
  <c r="L47" i="160"/>
  <c r="K47" i="160"/>
  <c r="H47" i="160"/>
  <c r="A47" i="160"/>
  <c r="P46" i="160"/>
  <c r="N46" i="160"/>
  <c r="M46" i="160"/>
  <c r="L46" i="160"/>
  <c r="K46" i="160"/>
  <c r="H46" i="160"/>
  <c r="A46" i="160"/>
  <c r="P45" i="160"/>
  <c r="N45" i="160"/>
  <c r="M45" i="160"/>
  <c r="L45" i="160"/>
  <c r="K45" i="160"/>
  <c r="H45" i="160"/>
  <c r="A45" i="160"/>
  <c r="P44" i="160"/>
  <c r="N44" i="160"/>
  <c r="M44" i="160"/>
  <c r="L44" i="160"/>
  <c r="K44" i="160"/>
  <c r="H44" i="160"/>
  <c r="A44" i="160"/>
  <c r="P43" i="160"/>
  <c r="N43" i="160"/>
  <c r="M43" i="160"/>
  <c r="L43" i="160"/>
  <c r="K43" i="160"/>
  <c r="H43" i="160"/>
  <c r="A43" i="160"/>
  <c r="P42" i="160"/>
  <c r="N42" i="160"/>
  <c r="M42" i="160"/>
  <c r="L42" i="160"/>
  <c r="K42" i="160"/>
  <c r="H42" i="160"/>
  <c r="A42" i="160"/>
  <c r="P41" i="160"/>
  <c r="N41" i="160"/>
  <c r="M41" i="160"/>
  <c r="L41" i="160"/>
  <c r="K41" i="160"/>
  <c r="H41" i="160"/>
  <c r="A41" i="160"/>
  <c r="P40" i="160"/>
  <c r="N40" i="160"/>
  <c r="M40" i="160"/>
  <c r="L40" i="160"/>
  <c r="K40" i="160"/>
  <c r="H40" i="160"/>
  <c r="A40" i="160"/>
  <c r="P39" i="160"/>
  <c r="N39" i="160"/>
  <c r="M39" i="160"/>
  <c r="L39" i="160"/>
  <c r="K39" i="160"/>
  <c r="H39" i="160"/>
  <c r="A39" i="160"/>
  <c r="P38" i="160"/>
  <c r="N38" i="160"/>
  <c r="M38" i="160"/>
  <c r="L38" i="160"/>
  <c r="K38" i="160"/>
  <c r="H38" i="160"/>
  <c r="A38" i="160"/>
  <c r="P37" i="160"/>
  <c r="N37" i="160"/>
  <c r="M37" i="160"/>
  <c r="L37" i="160"/>
  <c r="K37" i="160"/>
  <c r="H37" i="160"/>
  <c r="A37" i="160"/>
  <c r="P36" i="160"/>
  <c r="N36" i="160"/>
  <c r="M36" i="160"/>
  <c r="L36" i="160"/>
  <c r="K36" i="160"/>
  <c r="H36" i="160"/>
  <c r="A36" i="160"/>
  <c r="P35" i="160"/>
  <c r="N35" i="160"/>
  <c r="M35" i="160"/>
  <c r="L35" i="160"/>
  <c r="K35" i="160"/>
  <c r="H35" i="160"/>
  <c r="A35" i="160"/>
  <c r="P34" i="160"/>
  <c r="N34" i="160"/>
  <c r="M34" i="160"/>
  <c r="L34" i="160"/>
  <c r="K34" i="160"/>
  <c r="H34" i="160"/>
  <c r="A34" i="160"/>
  <c r="P33" i="160"/>
  <c r="N33" i="160"/>
  <c r="M33" i="160"/>
  <c r="L33" i="160"/>
  <c r="K33" i="160"/>
  <c r="H33" i="160"/>
  <c r="A33" i="160"/>
  <c r="P32" i="160"/>
  <c r="N32" i="160"/>
  <c r="M32" i="160"/>
  <c r="L32" i="160"/>
  <c r="K32" i="160"/>
  <c r="H32" i="160"/>
  <c r="A32" i="160"/>
  <c r="P31" i="160"/>
  <c r="N31" i="160"/>
  <c r="M31" i="160"/>
  <c r="L31" i="160"/>
  <c r="K31" i="160"/>
  <c r="H31" i="160"/>
  <c r="A31" i="160"/>
  <c r="P30" i="160"/>
  <c r="N30" i="160"/>
  <c r="M30" i="160"/>
  <c r="L30" i="160"/>
  <c r="K30" i="160"/>
  <c r="H30" i="160"/>
  <c r="A30" i="160"/>
  <c r="P29" i="160"/>
  <c r="N29" i="160"/>
  <c r="M29" i="160"/>
  <c r="L29" i="160"/>
  <c r="K29" i="160"/>
  <c r="H29" i="160"/>
  <c r="A29" i="160"/>
  <c r="P28" i="160"/>
  <c r="N28" i="160"/>
  <c r="M28" i="160"/>
  <c r="L28" i="160"/>
  <c r="K28" i="160"/>
  <c r="H28" i="160"/>
  <c r="A28" i="160"/>
  <c r="P27" i="160"/>
  <c r="N27" i="160"/>
  <c r="M27" i="160"/>
  <c r="L27" i="160"/>
  <c r="K27" i="160"/>
  <c r="H27" i="160"/>
  <c r="A27" i="160"/>
  <c r="P26" i="160"/>
  <c r="N26" i="160"/>
  <c r="M26" i="160"/>
  <c r="L26" i="160"/>
  <c r="K26" i="160"/>
  <c r="H26" i="160"/>
  <c r="A26" i="160"/>
  <c r="P25" i="160"/>
  <c r="N25" i="160"/>
  <c r="M25" i="160"/>
  <c r="L25" i="160"/>
  <c r="K25" i="160"/>
  <c r="H25" i="160"/>
  <c r="A25" i="160"/>
  <c r="P24" i="160"/>
  <c r="N24" i="160"/>
  <c r="M24" i="160"/>
  <c r="L24" i="160"/>
  <c r="K24" i="160"/>
  <c r="H24" i="160"/>
  <c r="A24" i="160"/>
  <c r="P23" i="160"/>
  <c r="N23" i="160"/>
  <c r="M23" i="160"/>
  <c r="L23" i="160"/>
  <c r="K23" i="160"/>
  <c r="H23" i="160"/>
  <c r="A23" i="160"/>
  <c r="P22" i="160"/>
  <c r="N22" i="160"/>
  <c r="M22" i="160"/>
  <c r="L22" i="160"/>
  <c r="K22" i="160"/>
  <c r="H22" i="160"/>
  <c r="A22" i="160"/>
  <c r="P21" i="160"/>
  <c r="N21" i="160"/>
  <c r="M21" i="160"/>
  <c r="L21" i="160"/>
  <c r="K21" i="160"/>
  <c r="H21" i="160"/>
  <c r="A21" i="160"/>
  <c r="P20" i="160"/>
  <c r="N20" i="160"/>
  <c r="M20" i="160"/>
  <c r="L20" i="160"/>
  <c r="K20" i="160"/>
  <c r="H20" i="160"/>
  <c r="A20" i="160"/>
  <c r="P19" i="160"/>
  <c r="N19" i="160"/>
  <c r="M19" i="160"/>
  <c r="L19" i="160"/>
  <c r="K19" i="160"/>
  <c r="H19" i="160"/>
  <c r="A19" i="160"/>
  <c r="P18" i="160"/>
  <c r="N18" i="160"/>
  <c r="M18" i="160"/>
  <c r="L18" i="160"/>
  <c r="K18" i="160"/>
  <c r="H18" i="160"/>
  <c r="A18" i="160"/>
  <c r="P17" i="160"/>
  <c r="N17" i="160"/>
  <c r="M17" i="160"/>
  <c r="L17" i="160"/>
  <c r="K17" i="160"/>
  <c r="H17" i="160"/>
  <c r="A17" i="160"/>
  <c r="P16" i="160"/>
  <c r="N16" i="160"/>
  <c r="M16" i="160"/>
  <c r="L16" i="160"/>
  <c r="K16" i="160"/>
  <c r="H16" i="160"/>
  <c r="A16" i="160"/>
  <c r="P15" i="160"/>
  <c r="N15" i="160"/>
  <c r="M15" i="160"/>
  <c r="L15" i="160"/>
  <c r="K15" i="160"/>
  <c r="H15" i="160"/>
  <c r="A15" i="160"/>
  <c r="P14" i="160"/>
  <c r="N14" i="160"/>
  <c r="M14" i="160"/>
  <c r="L14" i="160"/>
  <c r="K14" i="160"/>
  <c r="H14" i="160"/>
  <c r="A14" i="160"/>
  <c r="P13" i="160"/>
  <c r="N13" i="160"/>
  <c r="M13" i="160"/>
  <c r="L13" i="160"/>
  <c r="K13" i="160"/>
  <c r="H13" i="160"/>
  <c r="A13" i="160"/>
  <c r="P12" i="160"/>
  <c r="N12" i="160"/>
  <c r="M12" i="160"/>
  <c r="L12" i="160"/>
  <c r="K12" i="160"/>
  <c r="H12" i="160"/>
  <c r="A12" i="160"/>
  <c r="P11" i="160"/>
  <c r="N11" i="160"/>
  <c r="M11" i="160"/>
  <c r="L11" i="160"/>
  <c r="K11" i="160"/>
  <c r="H11" i="160"/>
  <c r="A11" i="160"/>
  <c r="P10" i="160"/>
  <c r="N10" i="160"/>
  <c r="M10" i="160"/>
  <c r="L10" i="160"/>
  <c r="K10" i="160"/>
  <c r="H10" i="160"/>
  <c r="A10" i="160"/>
  <c r="P9" i="160"/>
  <c r="N9" i="160"/>
  <c r="M9" i="160"/>
  <c r="L9" i="160"/>
  <c r="K9" i="160"/>
  <c r="H9" i="160"/>
  <c r="A9" i="160"/>
  <c r="P8" i="160"/>
  <c r="N8" i="160"/>
  <c r="M8" i="160"/>
  <c r="L8" i="160"/>
  <c r="K8" i="160"/>
  <c r="H8" i="160"/>
  <c r="A8" i="160"/>
  <c r="P7" i="160"/>
  <c r="N7" i="160"/>
  <c r="M7" i="160"/>
  <c r="L7" i="160"/>
  <c r="K7" i="160"/>
  <c r="H7" i="160"/>
  <c r="A7" i="160"/>
  <c r="P6" i="160"/>
  <c r="N6" i="160"/>
  <c r="M6" i="160"/>
  <c r="L6" i="160"/>
  <c r="K6" i="160"/>
  <c r="H6" i="160"/>
  <c r="A6" i="160"/>
  <c r="P5" i="160"/>
  <c r="N5" i="160"/>
  <c r="M5" i="160"/>
  <c r="L5" i="160"/>
  <c r="K5" i="160"/>
  <c r="H5" i="160"/>
  <c r="A5" i="160"/>
  <c r="P4" i="160"/>
  <c r="N4" i="160"/>
  <c r="M4" i="160"/>
  <c r="L4" i="160"/>
  <c r="K4" i="160"/>
  <c r="H4" i="160"/>
  <c r="A4" i="160"/>
  <c r="P3" i="160"/>
  <c r="N3" i="160"/>
  <c r="M3" i="160"/>
  <c r="L3" i="160"/>
  <c r="K3" i="160"/>
  <c r="H3" i="160"/>
  <c r="A3" i="160"/>
  <c r="P2" i="160"/>
  <c r="N2" i="160"/>
  <c r="M2" i="160"/>
  <c r="L2" i="160"/>
  <c r="K2" i="160"/>
  <c r="H2" i="160"/>
  <c r="A2" i="160"/>
  <c r="F48" i="159"/>
  <c r="F47" i="159"/>
  <c r="B40" i="159"/>
  <c r="B41" i="159"/>
  <c r="B42" i="159"/>
  <c r="B43" i="159"/>
  <c r="B44" i="159"/>
  <c r="B45" i="159"/>
  <c r="B46" i="159"/>
  <c r="B47" i="159"/>
  <c r="C40" i="159"/>
  <c r="C41" i="159"/>
  <c r="C42" i="159"/>
  <c r="C43" i="159"/>
  <c r="C44" i="159"/>
  <c r="C45" i="159"/>
  <c r="C46" i="159"/>
  <c r="C47" i="159"/>
  <c r="F46" i="159"/>
  <c r="F45" i="159"/>
  <c r="F42" i="159"/>
  <c r="G42" i="159"/>
  <c r="F41" i="159"/>
  <c r="G41" i="159"/>
  <c r="F40" i="159"/>
  <c r="G40" i="159"/>
  <c r="B30" i="159"/>
  <c r="B32" i="159"/>
  <c r="C19" i="159"/>
  <c r="C20" i="159"/>
  <c r="C21" i="159"/>
  <c r="C22" i="159"/>
  <c r="C23" i="159"/>
  <c r="C24" i="159"/>
  <c r="C25" i="159"/>
  <c r="C26" i="159"/>
  <c r="C27" i="159"/>
  <c r="C28" i="159"/>
  <c r="C29" i="159"/>
  <c r="C30" i="159"/>
  <c r="C31" i="159"/>
  <c r="C32" i="159"/>
  <c r="D32" i="159"/>
  <c r="G31" i="159"/>
  <c r="E31" i="159"/>
  <c r="H31" i="159"/>
  <c r="I31" i="159"/>
  <c r="J31" i="159"/>
  <c r="F31" i="159"/>
  <c r="D31" i="159"/>
  <c r="G30" i="159"/>
  <c r="E30" i="159"/>
  <c r="H30" i="159"/>
  <c r="I30" i="159"/>
  <c r="J30" i="159"/>
  <c r="F30" i="159"/>
  <c r="D30" i="159"/>
  <c r="I29" i="159"/>
  <c r="J29" i="159"/>
  <c r="F29" i="159"/>
  <c r="D29" i="159"/>
  <c r="I28" i="159"/>
  <c r="J28" i="159"/>
  <c r="F28" i="159"/>
  <c r="D28" i="159"/>
  <c r="I27" i="159"/>
  <c r="J27" i="159"/>
  <c r="F27" i="159"/>
  <c r="D27" i="159"/>
  <c r="I26" i="159"/>
  <c r="J26" i="159"/>
  <c r="F26" i="159"/>
  <c r="D26" i="159"/>
  <c r="I25" i="159"/>
  <c r="J25" i="159"/>
  <c r="F25" i="159"/>
  <c r="D25" i="159"/>
  <c r="I24" i="159"/>
  <c r="J24" i="159"/>
  <c r="F24" i="159"/>
  <c r="D24" i="159"/>
  <c r="I23" i="159"/>
  <c r="J23" i="159"/>
  <c r="F23" i="159"/>
  <c r="D23" i="159"/>
  <c r="I22" i="159"/>
  <c r="J22" i="159"/>
  <c r="F22" i="159"/>
  <c r="D22" i="159"/>
  <c r="I21" i="159"/>
  <c r="J21" i="159"/>
  <c r="F21" i="159"/>
  <c r="D21" i="159"/>
  <c r="R20" i="159"/>
  <c r="P20" i="159"/>
  <c r="O20" i="159"/>
  <c r="M20" i="159"/>
  <c r="I20" i="159"/>
  <c r="J20" i="159"/>
  <c r="F20" i="159"/>
  <c r="D20" i="159"/>
  <c r="R19" i="159"/>
  <c r="P19" i="159"/>
  <c r="O19" i="159"/>
  <c r="M19" i="159"/>
  <c r="I19" i="159"/>
  <c r="J19" i="159"/>
  <c r="F19" i="159"/>
  <c r="D19" i="159"/>
  <c r="R18" i="159"/>
  <c r="P18" i="159"/>
  <c r="O18" i="159"/>
  <c r="M18" i="159"/>
  <c r="I18" i="159"/>
  <c r="J18" i="159"/>
  <c r="F18" i="159"/>
  <c r="C18" i="159"/>
  <c r="D18" i="159"/>
  <c r="R17" i="159"/>
  <c r="P17" i="159"/>
  <c r="O17" i="159"/>
  <c r="M17" i="159"/>
  <c r="I17" i="159"/>
  <c r="J17" i="159"/>
  <c r="F17" i="159"/>
  <c r="C17" i="159"/>
  <c r="D17" i="159"/>
  <c r="V16" i="159"/>
  <c r="R16" i="159"/>
  <c r="P16" i="159"/>
  <c r="O16" i="159"/>
  <c r="M16" i="159"/>
  <c r="V15" i="159"/>
  <c r="R15" i="159"/>
  <c r="P15" i="159"/>
  <c r="O15" i="159"/>
  <c r="M15" i="159"/>
  <c r="V14" i="159"/>
  <c r="R14" i="159"/>
  <c r="P14" i="159"/>
  <c r="O14" i="159"/>
  <c r="M14" i="159"/>
  <c r="V13" i="159"/>
  <c r="R13" i="159"/>
  <c r="P13" i="159"/>
  <c r="O13" i="159"/>
  <c r="M13" i="159"/>
  <c r="V12" i="159"/>
  <c r="R12" i="159"/>
  <c r="P12" i="159"/>
  <c r="O12" i="159"/>
  <c r="M12" i="159"/>
  <c r="V11" i="159"/>
  <c r="R11" i="159"/>
  <c r="P11" i="159"/>
  <c r="O11" i="159"/>
  <c r="M11" i="159"/>
  <c r="V10" i="159"/>
  <c r="R10" i="159"/>
  <c r="P10" i="159"/>
  <c r="O10" i="159"/>
  <c r="M10" i="159"/>
  <c r="V9" i="159"/>
  <c r="R9" i="159"/>
  <c r="P9" i="159"/>
  <c r="O9" i="159"/>
  <c r="M9" i="159"/>
  <c r="V8" i="159"/>
  <c r="R8" i="159"/>
  <c r="P8" i="159"/>
  <c r="O8" i="159"/>
  <c r="M8" i="159"/>
  <c r="V7" i="159"/>
  <c r="R7" i="159"/>
  <c r="P7" i="159"/>
  <c r="O7" i="159"/>
  <c r="M7" i="159"/>
  <c r="V6" i="159"/>
  <c r="R6" i="159"/>
  <c r="P6" i="159"/>
  <c r="O6" i="159"/>
  <c r="M6" i="159"/>
  <c r="V5" i="159"/>
  <c r="R5" i="159"/>
  <c r="P5" i="159"/>
  <c r="O5" i="159"/>
  <c r="M5" i="159"/>
  <c r="V4" i="159"/>
  <c r="R4" i="159"/>
  <c r="P4" i="159"/>
  <c r="O4" i="159"/>
  <c r="M4" i="159"/>
  <c r="V3" i="159"/>
  <c r="R3" i="159"/>
  <c r="P3" i="159"/>
  <c r="O3" i="159"/>
  <c r="M3" i="159"/>
  <c r="V2" i="159"/>
  <c r="F2" i="158"/>
  <c r="I2" i="158"/>
  <c r="D2" i="158"/>
  <c r="J2" i="158"/>
  <c r="E2" i="158"/>
  <c r="C2" i="158"/>
  <c r="F3" i="158"/>
  <c r="I3" i="158"/>
  <c r="D3" i="158"/>
  <c r="J3" i="158"/>
  <c r="E3" i="158"/>
  <c r="C3" i="158"/>
  <c r="F4" i="158"/>
  <c r="I4" i="158"/>
  <c r="D4" i="158"/>
  <c r="J4" i="158"/>
  <c r="E4" i="158"/>
  <c r="C4" i="158"/>
  <c r="F5" i="158"/>
  <c r="I5" i="158"/>
  <c r="D5" i="158"/>
  <c r="J5" i="158"/>
  <c r="E5" i="158"/>
  <c r="C5" i="158"/>
  <c r="F6" i="158"/>
  <c r="I6" i="158"/>
  <c r="D6" i="158"/>
  <c r="J6" i="158"/>
  <c r="E6" i="158"/>
  <c r="C6" i="158"/>
  <c r="F7" i="158"/>
  <c r="I7" i="158"/>
  <c r="D7" i="158"/>
  <c r="J7" i="158"/>
  <c r="E7" i="158"/>
  <c r="C7" i="158"/>
  <c r="F8" i="158"/>
  <c r="I8" i="158"/>
  <c r="D8" i="158"/>
  <c r="J8" i="158"/>
  <c r="E8" i="158"/>
  <c r="C8" i="158"/>
  <c r="F9" i="158"/>
  <c r="I9" i="158"/>
  <c r="D9" i="158"/>
  <c r="J9" i="158"/>
  <c r="E9" i="158"/>
  <c r="C9" i="158"/>
  <c r="F10" i="158"/>
  <c r="I10" i="158"/>
  <c r="D10" i="158"/>
  <c r="J10" i="158"/>
  <c r="E10" i="158"/>
  <c r="C10" i="158"/>
  <c r="F11" i="158"/>
  <c r="I11" i="158"/>
  <c r="D11" i="158"/>
  <c r="J11" i="158"/>
  <c r="E11" i="158"/>
  <c r="C11" i="158"/>
  <c r="F12" i="158"/>
  <c r="I12" i="158"/>
  <c r="D12" i="158"/>
  <c r="J12" i="158"/>
  <c r="E12" i="158"/>
  <c r="C12" i="158"/>
  <c r="F13" i="158"/>
  <c r="I13" i="158"/>
  <c r="D13" i="158"/>
  <c r="J13" i="158"/>
  <c r="E13" i="158"/>
  <c r="C13" i="158"/>
  <c r="F14" i="158"/>
  <c r="I14" i="158"/>
  <c r="D14" i="158"/>
  <c r="J14" i="158"/>
  <c r="E14" i="158"/>
  <c r="C14" i="158"/>
  <c r="F15" i="158"/>
  <c r="I15" i="158"/>
  <c r="D15" i="158"/>
  <c r="J15" i="158"/>
  <c r="E15" i="158"/>
  <c r="C15" i="158"/>
  <c r="F16" i="158"/>
  <c r="I16" i="158"/>
  <c r="D16" i="158"/>
  <c r="J16" i="158"/>
  <c r="E16" i="158"/>
  <c r="C16" i="158"/>
  <c r="F17" i="158"/>
  <c r="I17" i="158"/>
  <c r="D17" i="158"/>
  <c r="J17" i="158"/>
  <c r="E17" i="158"/>
  <c r="C17" i="158"/>
  <c r="F18" i="158"/>
  <c r="I18" i="158"/>
  <c r="D18" i="158"/>
  <c r="J18" i="158"/>
  <c r="E18" i="158"/>
  <c r="C18" i="158"/>
  <c r="F19" i="158"/>
  <c r="I19" i="158"/>
  <c r="D19" i="158"/>
  <c r="J19" i="158"/>
  <c r="E19" i="158"/>
  <c r="C19" i="158"/>
  <c r="F20" i="158"/>
  <c r="I20" i="158"/>
  <c r="D20" i="158"/>
  <c r="J20" i="158"/>
  <c r="E20" i="158"/>
  <c r="C20" i="158"/>
  <c r="F21" i="158"/>
  <c r="I21" i="158"/>
  <c r="D21" i="158"/>
  <c r="J21" i="158"/>
  <c r="E21" i="158"/>
  <c r="C21" i="158"/>
  <c r="F22" i="158"/>
  <c r="I22" i="158"/>
  <c r="D22" i="158"/>
  <c r="J22" i="158"/>
  <c r="E22" i="158"/>
  <c r="C22" i="158"/>
  <c r="F23" i="158"/>
  <c r="I23" i="158"/>
  <c r="D23" i="158"/>
  <c r="J23" i="158"/>
  <c r="E23" i="158"/>
  <c r="C23" i="158"/>
  <c r="F24" i="158"/>
  <c r="I24" i="158"/>
  <c r="D24" i="158"/>
  <c r="J24" i="158"/>
  <c r="E24" i="158"/>
  <c r="C24" i="158"/>
  <c r="F25" i="158"/>
  <c r="I25" i="158"/>
  <c r="D25" i="158"/>
  <c r="J25" i="158"/>
  <c r="E25" i="158"/>
  <c r="C25" i="158"/>
  <c r="F26" i="158"/>
  <c r="I26" i="158"/>
  <c r="D26" i="158"/>
  <c r="J26" i="158"/>
  <c r="E26" i="158"/>
  <c r="C26" i="158"/>
  <c r="F27" i="158"/>
  <c r="I27" i="158"/>
  <c r="D27" i="158"/>
  <c r="J27" i="158"/>
  <c r="E27" i="158"/>
  <c r="C27" i="158"/>
  <c r="F28" i="158"/>
  <c r="I28" i="158"/>
  <c r="D28" i="158"/>
  <c r="J28" i="158"/>
  <c r="E28" i="158"/>
  <c r="C28" i="158"/>
  <c r="F29" i="158"/>
  <c r="I29" i="158"/>
  <c r="D29" i="158"/>
  <c r="J29" i="158"/>
  <c r="E29" i="158"/>
  <c r="C29" i="158"/>
  <c r="F30" i="158"/>
  <c r="I30" i="158"/>
  <c r="D30" i="158"/>
  <c r="J30" i="158"/>
  <c r="E30" i="158"/>
  <c r="C30" i="158"/>
  <c r="F31" i="158"/>
  <c r="I31" i="158"/>
  <c r="D31" i="158"/>
  <c r="J31" i="158"/>
  <c r="E31" i="158"/>
  <c r="C31" i="158"/>
  <c r="F32" i="158"/>
  <c r="I32" i="158"/>
  <c r="D32" i="158"/>
  <c r="J32" i="158"/>
  <c r="E32" i="158"/>
  <c r="C32" i="158"/>
  <c r="F33" i="158"/>
  <c r="I33" i="158"/>
  <c r="D33" i="158"/>
  <c r="J33" i="158"/>
  <c r="E33" i="158"/>
  <c r="C33" i="158"/>
  <c r="F34" i="158"/>
  <c r="I34" i="158"/>
  <c r="D34" i="158"/>
  <c r="J34" i="158"/>
  <c r="E34" i="158"/>
  <c r="C34" i="158"/>
  <c r="F35" i="158"/>
  <c r="I35" i="158"/>
  <c r="D35" i="158"/>
  <c r="J35" i="158"/>
  <c r="E35" i="158"/>
  <c r="C35" i="158"/>
  <c r="F36" i="158"/>
  <c r="I36" i="158"/>
  <c r="D36" i="158"/>
  <c r="J36" i="158"/>
  <c r="E36" i="158"/>
  <c r="C36" i="158"/>
  <c r="F37" i="158"/>
  <c r="I37" i="158"/>
  <c r="D37" i="158"/>
  <c r="J37" i="158"/>
  <c r="E37" i="158"/>
  <c r="C37" i="158"/>
  <c r="F38" i="158"/>
  <c r="I38" i="158"/>
  <c r="D38" i="158"/>
  <c r="J38" i="158"/>
  <c r="E38" i="158"/>
  <c r="C38" i="158"/>
  <c r="F39" i="158"/>
  <c r="I39" i="158"/>
  <c r="D39" i="158"/>
  <c r="J39" i="158"/>
  <c r="E39" i="158"/>
  <c r="C39" i="158"/>
  <c r="F40" i="158"/>
  <c r="I40" i="158"/>
  <c r="D40" i="158"/>
  <c r="J40" i="158"/>
  <c r="E40" i="158"/>
  <c r="C40" i="158"/>
  <c r="F41" i="158"/>
  <c r="I41" i="158"/>
  <c r="D41" i="158"/>
  <c r="J41" i="158"/>
  <c r="E41" i="158"/>
  <c r="C41" i="158"/>
  <c r="F42" i="158"/>
  <c r="I42" i="158"/>
  <c r="D42" i="158"/>
  <c r="J42" i="158"/>
  <c r="E42" i="158"/>
  <c r="C42" i="158"/>
  <c r="F43" i="158"/>
  <c r="I43" i="158"/>
  <c r="D43" i="158"/>
  <c r="J43" i="158"/>
  <c r="E43" i="158"/>
  <c r="C43" i="158"/>
  <c r="F44" i="158"/>
  <c r="I44" i="158"/>
  <c r="D44" i="158"/>
  <c r="J44" i="158"/>
  <c r="E44" i="158"/>
  <c r="C44" i="158"/>
  <c r="F45" i="158"/>
  <c r="I45" i="158"/>
  <c r="D45" i="158"/>
  <c r="J45" i="158"/>
  <c r="E45" i="158"/>
  <c r="C45" i="158"/>
  <c r="F46" i="158"/>
  <c r="I46" i="158"/>
  <c r="D46" i="158"/>
  <c r="J46" i="158"/>
  <c r="E46" i="158"/>
  <c r="C46" i="158"/>
  <c r="F47" i="158"/>
  <c r="I47" i="158"/>
  <c r="D47" i="158"/>
  <c r="J47" i="158"/>
  <c r="E47" i="158"/>
  <c r="C47" i="158"/>
  <c r="F48" i="158"/>
  <c r="I48" i="158"/>
  <c r="D48" i="158"/>
  <c r="J48" i="158"/>
  <c r="E48" i="158"/>
  <c r="C48" i="158"/>
  <c r="F49" i="158"/>
  <c r="I49" i="158"/>
  <c r="D49" i="158"/>
  <c r="J49" i="158"/>
  <c r="E49" i="158"/>
  <c r="C49" i="158"/>
  <c r="F50" i="158"/>
  <c r="I50" i="158"/>
  <c r="D50" i="158"/>
  <c r="J50" i="158"/>
  <c r="E50" i="158"/>
  <c r="C50" i="158"/>
  <c r="F51" i="158"/>
  <c r="I51" i="158"/>
  <c r="D51" i="158"/>
  <c r="J51" i="158"/>
  <c r="E51" i="158"/>
  <c r="C51" i="158"/>
  <c r="F52" i="158"/>
  <c r="I52" i="158"/>
  <c r="D52" i="158"/>
  <c r="J52" i="158"/>
  <c r="E52" i="158"/>
  <c r="C52" i="158"/>
  <c r="F53" i="158"/>
  <c r="I53" i="158"/>
  <c r="D53" i="158"/>
  <c r="J53" i="158"/>
  <c r="E53" i="158"/>
  <c r="C53" i="158"/>
  <c r="F54" i="158"/>
  <c r="I54" i="158"/>
  <c r="D54" i="158"/>
  <c r="J54" i="158"/>
  <c r="E54" i="158"/>
  <c r="C54" i="158"/>
  <c r="F55" i="158"/>
  <c r="I55" i="158"/>
  <c r="D55" i="158"/>
  <c r="J55" i="158"/>
  <c r="E55" i="158"/>
  <c r="C55" i="158"/>
  <c r="F56" i="158"/>
  <c r="I56" i="158"/>
  <c r="D56" i="158"/>
  <c r="J56" i="158"/>
  <c r="E56" i="158"/>
  <c r="C56" i="158"/>
  <c r="F57" i="158"/>
  <c r="I57" i="158"/>
  <c r="D57" i="158"/>
  <c r="J57" i="158"/>
  <c r="E57" i="158"/>
  <c r="C57" i="158"/>
  <c r="F58" i="158"/>
  <c r="I58" i="158"/>
  <c r="D58" i="158"/>
  <c r="J58" i="158"/>
  <c r="E58" i="158"/>
  <c r="C58" i="158"/>
  <c r="F59" i="158"/>
  <c r="I59" i="158"/>
  <c r="D59" i="158"/>
  <c r="J59" i="158"/>
  <c r="E59" i="158"/>
  <c r="C59" i="158"/>
  <c r="F60" i="158"/>
  <c r="I60" i="158"/>
  <c r="D60" i="158"/>
  <c r="J60" i="158"/>
  <c r="E60" i="158"/>
  <c r="C60" i="158"/>
  <c r="F61" i="158"/>
  <c r="I61" i="158"/>
  <c r="D61" i="158"/>
  <c r="J61" i="158"/>
  <c r="E61" i="158"/>
  <c r="C61" i="158"/>
  <c r="F62" i="158"/>
  <c r="I62" i="158"/>
  <c r="D62" i="158"/>
  <c r="J62" i="158"/>
  <c r="E62" i="158"/>
  <c r="C62" i="158"/>
  <c r="F63" i="158"/>
  <c r="I63" i="158"/>
  <c r="D63" i="158"/>
  <c r="J63" i="158"/>
  <c r="E63" i="158"/>
  <c r="C63" i="158"/>
  <c r="F64" i="158"/>
  <c r="I64" i="158"/>
  <c r="D64" i="158"/>
  <c r="J64" i="158"/>
  <c r="E64" i="158"/>
  <c r="C64" i="158"/>
  <c r="F65" i="158"/>
  <c r="I65" i="158"/>
  <c r="D65" i="158"/>
  <c r="J65" i="158"/>
  <c r="E65" i="158"/>
  <c r="C65" i="158"/>
  <c r="F66" i="158"/>
  <c r="I66" i="158"/>
  <c r="D66" i="158"/>
  <c r="J66" i="158"/>
  <c r="E66" i="158"/>
  <c r="C66" i="158"/>
  <c r="F67" i="158"/>
  <c r="I67" i="158"/>
  <c r="D67" i="158"/>
  <c r="J67" i="158"/>
  <c r="E67" i="158"/>
  <c r="C67" i="158"/>
  <c r="F68" i="158"/>
  <c r="I68" i="158"/>
  <c r="D68" i="158"/>
  <c r="J68" i="158"/>
  <c r="E68" i="158"/>
  <c r="C68" i="158"/>
  <c r="F69" i="158"/>
  <c r="I69" i="158"/>
  <c r="D69" i="158"/>
  <c r="J69" i="158"/>
  <c r="E69" i="158"/>
  <c r="C69" i="158"/>
  <c r="F70" i="158"/>
  <c r="I70" i="158"/>
  <c r="D70" i="158"/>
  <c r="J70" i="158"/>
  <c r="E70" i="158"/>
  <c r="C70" i="158"/>
  <c r="F71" i="158"/>
  <c r="I71" i="158"/>
  <c r="D71" i="158"/>
  <c r="J71" i="158"/>
  <c r="E71" i="158"/>
  <c r="C71" i="158"/>
  <c r="F72" i="158"/>
  <c r="I72" i="158"/>
  <c r="D72" i="158"/>
  <c r="J72" i="158"/>
  <c r="E72" i="158"/>
  <c r="C72" i="158"/>
  <c r="F73" i="158"/>
  <c r="I73" i="158"/>
  <c r="D73" i="158"/>
  <c r="J73" i="158"/>
  <c r="E73" i="158"/>
  <c r="C73" i="158"/>
  <c r="F74" i="158"/>
  <c r="I74" i="158"/>
  <c r="D74" i="158"/>
  <c r="J74" i="158"/>
  <c r="E74" i="158"/>
  <c r="C74" i="158"/>
  <c r="F75" i="158"/>
  <c r="I75" i="158"/>
  <c r="D75" i="158"/>
  <c r="J75" i="158"/>
  <c r="E75" i="158"/>
  <c r="C75" i="158"/>
  <c r="F76" i="158"/>
  <c r="I76" i="158"/>
  <c r="D76" i="158"/>
  <c r="J76" i="158"/>
  <c r="E76" i="158"/>
  <c r="C76" i="158"/>
  <c r="F77" i="158"/>
  <c r="I77" i="158"/>
  <c r="D77" i="158"/>
  <c r="J77" i="158"/>
  <c r="E77" i="158"/>
  <c r="C77" i="158"/>
  <c r="F78" i="158"/>
  <c r="I78" i="158"/>
  <c r="D78" i="158"/>
  <c r="J78" i="158"/>
  <c r="E78" i="158"/>
  <c r="C78" i="158"/>
  <c r="F79" i="158"/>
  <c r="I79" i="158"/>
  <c r="D79" i="158"/>
  <c r="J79" i="158"/>
  <c r="E79" i="158"/>
  <c r="C79" i="158"/>
  <c r="F80" i="158"/>
  <c r="I80" i="158"/>
  <c r="D80" i="158"/>
  <c r="J80" i="158"/>
  <c r="E80" i="158"/>
  <c r="C80" i="158"/>
  <c r="F81" i="158"/>
  <c r="I81" i="158"/>
  <c r="D81" i="158"/>
  <c r="J81" i="158"/>
  <c r="E81" i="158"/>
  <c r="C81" i="158"/>
  <c r="F82" i="158"/>
  <c r="I82" i="158"/>
  <c r="D82" i="158"/>
  <c r="J82" i="158"/>
  <c r="E82" i="158"/>
  <c r="C82" i="158"/>
  <c r="F83" i="158"/>
  <c r="I83" i="158"/>
  <c r="D83" i="158"/>
  <c r="J83" i="158"/>
  <c r="E83" i="158"/>
  <c r="C83" i="158"/>
  <c r="F84" i="158"/>
  <c r="I84" i="158"/>
  <c r="D84" i="158"/>
  <c r="J84" i="158"/>
  <c r="E84" i="158"/>
  <c r="C84" i="158"/>
  <c r="F85" i="158"/>
  <c r="I85" i="158"/>
  <c r="D85" i="158"/>
  <c r="J85" i="158"/>
  <c r="E85" i="158"/>
  <c r="C85" i="158"/>
  <c r="F86" i="158"/>
  <c r="I86" i="158"/>
  <c r="D86" i="158"/>
  <c r="J86" i="158"/>
  <c r="E86" i="158"/>
  <c r="C86" i="158"/>
  <c r="F87" i="158"/>
  <c r="I87" i="158"/>
  <c r="D87" i="158"/>
  <c r="J87" i="158"/>
  <c r="E87" i="158"/>
  <c r="C87" i="158"/>
  <c r="F88" i="158"/>
  <c r="I88" i="158"/>
  <c r="D88" i="158"/>
  <c r="J88" i="158"/>
  <c r="E88" i="158"/>
  <c r="C88" i="158"/>
  <c r="F89" i="158"/>
  <c r="I89" i="158"/>
  <c r="D89" i="158"/>
  <c r="J89" i="158"/>
  <c r="E89" i="158"/>
  <c r="C89" i="158"/>
  <c r="F90" i="158"/>
  <c r="I90" i="158"/>
  <c r="D90" i="158"/>
  <c r="J90" i="158"/>
  <c r="E90" i="158"/>
  <c r="C90" i="158"/>
  <c r="F91" i="158"/>
  <c r="I91" i="158"/>
  <c r="D91" i="158"/>
  <c r="J91" i="158"/>
  <c r="E91" i="158"/>
  <c r="C91" i="158"/>
  <c r="F92" i="158"/>
  <c r="I92" i="158"/>
  <c r="D92" i="158"/>
  <c r="J92" i="158"/>
  <c r="E92" i="158"/>
  <c r="C92" i="158"/>
  <c r="F93" i="158"/>
  <c r="I93" i="158"/>
  <c r="D93" i="158"/>
  <c r="J93" i="158"/>
  <c r="E93" i="158"/>
  <c r="C93" i="158"/>
  <c r="F94" i="158"/>
  <c r="I94" i="158"/>
  <c r="D94" i="158"/>
  <c r="J94" i="158"/>
  <c r="E94" i="158"/>
  <c r="C94" i="158"/>
  <c r="F95" i="158"/>
  <c r="I95" i="158"/>
  <c r="D95" i="158"/>
  <c r="J95" i="158"/>
  <c r="E95" i="158"/>
  <c r="C95" i="158"/>
  <c r="F96" i="158"/>
  <c r="I96" i="158"/>
  <c r="D96" i="158"/>
  <c r="J96" i="158"/>
  <c r="E96" i="158"/>
  <c r="C96" i="158"/>
  <c r="F97" i="158"/>
  <c r="I97" i="158"/>
  <c r="D97" i="158"/>
  <c r="J97" i="158"/>
  <c r="E97" i="158"/>
  <c r="C97" i="158"/>
  <c r="F98" i="158"/>
  <c r="I98" i="158"/>
  <c r="D98" i="158"/>
  <c r="J98" i="158"/>
  <c r="E98" i="158"/>
  <c r="C98" i="158"/>
  <c r="F99" i="158"/>
  <c r="I99" i="158"/>
  <c r="D99" i="158"/>
  <c r="J99" i="158"/>
  <c r="E99" i="158"/>
  <c r="C99" i="158"/>
  <c r="F100" i="158"/>
  <c r="I100" i="158"/>
  <c r="D100" i="158"/>
  <c r="J100" i="158"/>
  <c r="E100" i="158"/>
  <c r="C100" i="158"/>
  <c r="F101" i="158"/>
  <c r="I101" i="158"/>
  <c r="D101" i="158"/>
  <c r="J101" i="158"/>
  <c r="E101" i="158"/>
  <c r="C101" i="158"/>
  <c r="F102" i="158"/>
  <c r="I102" i="158"/>
  <c r="D102" i="158"/>
  <c r="J102" i="158"/>
  <c r="E102" i="158"/>
  <c r="C102" i="158"/>
  <c r="F103" i="158"/>
  <c r="I103" i="158"/>
  <c r="D103" i="158"/>
  <c r="J103" i="158"/>
  <c r="E103" i="158"/>
  <c r="C103" i="158"/>
  <c r="F104" i="158"/>
  <c r="I104" i="158"/>
  <c r="D104" i="158"/>
  <c r="J104" i="158"/>
  <c r="E104" i="158"/>
  <c r="C104" i="158"/>
  <c r="F105" i="158"/>
  <c r="I105" i="158"/>
  <c r="D105" i="158"/>
  <c r="J105" i="158"/>
  <c r="E105" i="158"/>
  <c r="C105" i="158"/>
  <c r="F106" i="158"/>
  <c r="I106" i="158"/>
  <c r="D106" i="158"/>
  <c r="J106" i="158"/>
  <c r="E106" i="158"/>
  <c r="C106" i="158"/>
  <c r="F107" i="158"/>
  <c r="I107" i="158"/>
  <c r="D107" i="158"/>
  <c r="J107" i="158"/>
  <c r="E107" i="158"/>
  <c r="C107" i="158"/>
  <c r="F108" i="158"/>
  <c r="I108" i="158"/>
  <c r="D108" i="158"/>
  <c r="J108" i="158"/>
  <c r="E108" i="158"/>
  <c r="C108" i="158"/>
  <c r="F109" i="158"/>
  <c r="I109" i="158"/>
  <c r="D109" i="158"/>
  <c r="J109" i="158"/>
  <c r="E109" i="158"/>
  <c r="C109" i="158"/>
  <c r="F110" i="158"/>
  <c r="I110" i="158"/>
  <c r="D110" i="158"/>
  <c r="J110" i="158"/>
  <c r="E110" i="158"/>
  <c r="C110" i="158"/>
  <c r="F111" i="158"/>
  <c r="I111" i="158"/>
  <c r="D111" i="158"/>
  <c r="J111" i="158"/>
  <c r="E111" i="158"/>
  <c r="C111" i="158"/>
  <c r="F112" i="158"/>
  <c r="I112" i="158"/>
  <c r="D112" i="158"/>
  <c r="J112" i="158"/>
  <c r="E112" i="158"/>
  <c r="C112" i="158"/>
  <c r="F113" i="158"/>
  <c r="I113" i="158"/>
  <c r="D113" i="158"/>
  <c r="J113" i="158"/>
  <c r="E113" i="158"/>
  <c r="C113" i="158"/>
  <c r="F114" i="158"/>
  <c r="I114" i="158"/>
  <c r="D114" i="158"/>
  <c r="J114" i="158"/>
  <c r="E114" i="158"/>
  <c r="C114" i="158"/>
  <c r="F115" i="158"/>
  <c r="I115" i="158"/>
  <c r="D115" i="158"/>
  <c r="J115" i="158"/>
  <c r="E115" i="158"/>
  <c r="C115" i="158"/>
  <c r="F116" i="158"/>
  <c r="I116" i="158"/>
  <c r="D116" i="158"/>
  <c r="J116" i="158"/>
  <c r="E116" i="158"/>
  <c r="C116" i="158"/>
  <c r="F117" i="158"/>
  <c r="I117" i="158"/>
  <c r="D117" i="158"/>
  <c r="J117" i="158"/>
  <c r="E117" i="158"/>
  <c r="C117" i="158"/>
  <c r="F118" i="158"/>
  <c r="I118" i="158"/>
  <c r="D118" i="158"/>
  <c r="J118" i="158"/>
  <c r="E118" i="158"/>
  <c r="C118" i="158"/>
  <c r="F119" i="158"/>
  <c r="I119" i="158"/>
  <c r="D119" i="158"/>
  <c r="J119" i="158"/>
  <c r="E119" i="158"/>
  <c r="C119" i="158"/>
  <c r="F120" i="158"/>
  <c r="I120" i="158"/>
  <c r="D120" i="158"/>
  <c r="J120" i="158"/>
  <c r="E120" i="158"/>
  <c r="C120" i="158"/>
  <c r="F121" i="158"/>
  <c r="I121" i="158"/>
  <c r="D121" i="158"/>
  <c r="J121" i="158"/>
  <c r="E121" i="158"/>
  <c r="C121" i="158"/>
  <c r="F122" i="158"/>
  <c r="I122" i="158"/>
  <c r="D122" i="158"/>
  <c r="J122" i="158"/>
  <c r="E122" i="158"/>
  <c r="C122" i="158"/>
  <c r="F123" i="158"/>
  <c r="I123" i="158"/>
  <c r="D123" i="158"/>
  <c r="J123" i="158"/>
  <c r="E123" i="158"/>
  <c r="C123" i="158"/>
  <c r="F124" i="158"/>
  <c r="I124" i="158"/>
  <c r="D124" i="158"/>
  <c r="J124" i="158"/>
  <c r="E124" i="158"/>
  <c r="C124" i="158"/>
  <c r="F125" i="158"/>
  <c r="I125" i="158"/>
  <c r="D125" i="158"/>
  <c r="J125" i="158"/>
  <c r="E125" i="158"/>
  <c r="C125" i="158"/>
  <c r="F126" i="158"/>
  <c r="I126" i="158"/>
  <c r="D126" i="158"/>
  <c r="J126" i="158"/>
  <c r="E126" i="158"/>
  <c r="C126" i="158"/>
  <c r="F127" i="158"/>
  <c r="I127" i="158"/>
  <c r="D127" i="158"/>
  <c r="J127" i="158"/>
  <c r="E127" i="158"/>
  <c r="C127" i="158"/>
  <c r="F128" i="158"/>
  <c r="I128" i="158"/>
  <c r="D128" i="158"/>
  <c r="J128" i="158"/>
  <c r="E128" i="158"/>
  <c r="C128" i="158"/>
  <c r="F129" i="158"/>
  <c r="I129" i="158"/>
  <c r="D129" i="158"/>
  <c r="J129" i="158"/>
  <c r="E129" i="158"/>
  <c r="C129" i="158"/>
  <c r="F130" i="158"/>
  <c r="I130" i="158"/>
  <c r="D130" i="158"/>
  <c r="J130" i="158"/>
  <c r="E130" i="158"/>
  <c r="C130" i="158"/>
  <c r="F131" i="158"/>
  <c r="I131" i="158"/>
  <c r="D131" i="158"/>
  <c r="J131" i="158"/>
  <c r="E131" i="158"/>
  <c r="C131" i="158"/>
  <c r="F132" i="158"/>
  <c r="I132" i="158"/>
  <c r="D132" i="158"/>
  <c r="J132" i="158"/>
  <c r="E132" i="158"/>
  <c r="C132" i="158"/>
  <c r="F133" i="158"/>
  <c r="I133" i="158"/>
  <c r="D133" i="158"/>
  <c r="J133" i="158"/>
  <c r="E133" i="158"/>
  <c r="C133" i="158"/>
  <c r="F134" i="158"/>
  <c r="I134" i="158"/>
  <c r="D134" i="158"/>
  <c r="J134" i="158"/>
  <c r="E134" i="158"/>
  <c r="C134" i="158"/>
  <c r="F135" i="158"/>
  <c r="I135" i="158"/>
  <c r="D135" i="158"/>
  <c r="J135" i="158"/>
  <c r="E135" i="158"/>
  <c r="C135" i="158"/>
  <c r="F136" i="158"/>
  <c r="I136" i="158"/>
  <c r="D136" i="158"/>
  <c r="J136" i="158"/>
  <c r="E136" i="158"/>
  <c r="C136" i="158"/>
  <c r="F137" i="158"/>
  <c r="I137" i="158"/>
  <c r="D137" i="158"/>
  <c r="J137" i="158"/>
  <c r="E137" i="158"/>
  <c r="C137" i="158"/>
  <c r="F138" i="158"/>
  <c r="I138" i="158"/>
  <c r="D138" i="158"/>
  <c r="J138" i="158"/>
  <c r="E138" i="158"/>
  <c r="C138" i="158"/>
  <c r="F139" i="158"/>
  <c r="I139" i="158"/>
  <c r="D139" i="158"/>
  <c r="J139" i="158"/>
  <c r="E139" i="158"/>
  <c r="C139" i="158"/>
  <c r="F140" i="158"/>
  <c r="I140" i="158"/>
  <c r="D140" i="158"/>
  <c r="J140" i="158"/>
  <c r="E140" i="158"/>
  <c r="C140" i="158"/>
  <c r="F141" i="158"/>
  <c r="I141" i="158"/>
  <c r="D141" i="158"/>
  <c r="J141" i="158"/>
  <c r="E141" i="158"/>
  <c r="C141" i="158"/>
  <c r="F142" i="158"/>
  <c r="I142" i="158"/>
  <c r="D142" i="158"/>
  <c r="J142" i="158"/>
  <c r="E142" i="158"/>
  <c r="C142" i="158"/>
  <c r="F143" i="158"/>
  <c r="I143" i="158"/>
  <c r="D143" i="158"/>
  <c r="J143" i="158"/>
  <c r="E143" i="158"/>
  <c r="C143" i="158"/>
  <c r="F144" i="158"/>
  <c r="I144" i="158"/>
  <c r="D144" i="158"/>
  <c r="J144" i="158"/>
  <c r="E144" i="158"/>
  <c r="C144" i="158"/>
  <c r="F145" i="158"/>
  <c r="I145" i="158"/>
  <c r="D145" i="158"/>
  <c r="J145" i="158"/>
  <c r="E145" i="158"/>
  <c r="C145" i="158"/>
  <c r="F146" i="158"/>
  <c r="I146" i="158"/>
  <c r="D146" i="158"/>
  <c r="J146" i="158"/>
  <c r="E146" i="158"/>
  <c r="C146" i="158"/>
  <c r="F147" i="158"/>
  <c r="I147" i="158"/>
  <c r="D147" i="158"/>
  <c r="J147" i="158"/>
  <c r="E147" i="158"/>
  <c r="C147" i="158"/>
  <c r="F148" i="158"/>
  <c r="I148" i="158"/>
  <c r="D148" i="158"/>
  <c r="J148" i="158"/>
  <c r="E148" i="158"/>
  <c r="C148" i="158"/>
  <c r="F149" i="158"/>
  <c r="I149" i="158"/>
  <c r="D149" i="158"/>
  <c r="J149" i="158"/>
  <c r="E149" i="158"/>
  <c r="C149" i="158"/>
  <c r="F150" i="158"/>
  <c r="I150" i="158"/>
  <c r="D150" i="158"/>
  <c r="J150" i="158"/>
  <c r="E150" i="158"/>
  <c r="C150" i="158"/>
  <c r="F151" i="158"/>
  <c r="I151" i="158"/>
  <c r="D151" i="158"/>
  <c r="J151" i="158"/>
  <c r="E151" i="158"/>
  <c r="C151" i="158"/>
  <c r="F152" i="158"/>
  <c r="I152" i="158"/>
  <c r="D152" i="158"/>
  <c r="J152" i="158"/>
  <c r="E152" i="158"/>
  <c r="C152" i="158"/>
  <c r="F153" i="158"/>
  <c r="I153" i="158"/>
  <c r="D153" i="158"/>
  <c r="J153" i="158"/>
  <c r="E153" i="158"/>
  <c r="C153" i="158"/>
  <c r="F154" i="158"/>
  <c r="I154" i="158"/>
  <c r="D154" i="158"/>
  <c r="J154" i="158"/>
  <c r="E154" i="158"/>
  <c r="C154" i="158"/>
  <c r="F155" i="158"/>
  <c r="I155" i="158"/>
  <c r="D155" i="158"/>
  <c r="J155" i="158"/>
  <c r="E155" i="158"/>
  <c r="C155" i="158"/>
  <c r="F156" i="158"/>
  <c r="I156" i="158"/>
  <c r="D156" i="158"/>
  <c r="J156" i="158"/>
  <c r="E156" i="158"/>
  <c r="C156" i="158"/>
  <c r="F157" i="158"/>
  <c r="I157" i="158"/>
  <c r="D157" i="158"/>
  <c r="J157" i="158"/>
  <c r="E157" i="158"/>
  <c r="C157" i="158"/>
  <c r="F158" i="158"/>
  <c r="I158" i="158"/>
  <c r="D158" i="158"/>
  <c r="J158" i="158"/>
  <c r="E158" i="158"/>
  <c r="C158" i="158"/>
  <c r="F159" i="158"/>
  <c r="I159" i="158"/>
  <c r="D159" i="158"/>
  <c r="J159" i="158"/>
  <c r="E159" i="158"/>
  <c r="C159" i="158"/>
  <c r="F160" i="158"/>
  <c r="I160" i="158"/>
  <c r="D160" i="158"/>
  <c r="J160" i="158"/>
  <c r="E160" i="158"/>
  <c r="C160" i="158"/>
  <c r="F161" i="158"/>
  <c r="I161" i="158"/>
  <c r="D161" i="158"/>
  <c r="J161" i="158"/>
  <c r="E161" i="158"/>
  <c r="C161" i="158"/>
  <c r="F162" i="158"/>
  <c r="I162" i="158"/>
  <c r="D162" i="158"/>
  <c r="J162" i="158"/>
  <c r="E162" i="158"/>
  <c r="C162" i="158"/>
  <c r="F163" i="158"/>
  <c r="I163" i="158"/>
  <c r="D163" i="158"/>
  <c r="J163" i="158"/>
  <c r="E163" i="158"/>
  <c r="C163" i="158"/>
  <c r="F164" i="158"/>
  <c r="I164" i="158"/>
  <c r="D164" i="158"/>
  <c r="J164" i="158"/>
  <c r="E164" i="158"/>
  <c r="C164" i="158"/>
  <c r="F165" i="158"/>
  <c r="I165" i="158"/>
  <c r="D165" i="158"/>
  <c r="J165" i="158"/>
  <c r="E165" i="158"/>
  <c r="C165" i="158"/>
  <c r="F166" i="158"/>
  <c r="I166" i="158"/>
  <c r="D166" i="158"/>
  <c r="J166" i="158"/>
  <c r="E166" i="158"/>
  <c r="C166" i="158"/>
  <c r="F167" i="158"/>
  <c r="I167" i="158"/>
  <c r="D167" i="158"/>
  <c r="J167" i="158"/>
  <c r="E167" i="158"/>
  <c r="C167" i="158"/>
  <c r="F168" i="158"/>
  <c r="I168" i="158"/>
  <c r="D168" i="158"/>
  <c r="J168" i="158"/>
  <c r="E168" i="158"/>
  <c r="C168" i="158"/>
  <c r="F169" i="158"/>
  <c r="I169" i="158"/>
  <c r="D169" i="158"/>
  <c r="J169" i="158"/>
  <c r="E169" i="158"/>
  <c r="C169" i="158"/>
  <c r="F170" i="158"/>
  <c r="I170" i="158"/>
  <c r="D170" i="158"/>
  <c r="J170" i="158"/>
  <c r="E170" i="158"/>
  <c r="C170" i="158"/>
  <c r="F171" i="158"/>
  <c r="I171" i="158"/>
  <c r="D171" i="158"/>
  <c r="J171" i="158"/>
  <c r="E171" i="158"/>
  <c r="C171" i="158"/>
  <c r="F172" i="158"/>
  <c r="I172" i="158"/>
  <c r="D172" i="158"/>
  <c r="J172" i="158"/>
  <c r="E172" i="158"/>
  <c r="C172" i="158"/>
  <c r="F173" i="158"/>
  <c r="I173" i="158"/>
  <c r="D173" i="158"/>
  <c r="J173" i="158"/>
  <c r="E173" i="158"/>
  <c r="C173" i="158"/>
  <c r="F174" i="158"/>
  <c r="I174" i="158"/>
  <c r="D174" i="158"/>
  <c r="J174" i="158"/>
  <c r="E174" i="158"/>
  <c r="C174" i="158"/>
  <c r="F175" i="158"/>
  <c r="I175" i="158"/>
  <c r="D175" i="158"/>
  <c r="J175" i="158"/>
  <c r="E175" i="158"/>
  <c r="C175" i="158"/>
  <c r="F176" i="158"/>
  <c r="I176" i="158"/>
  <c r="D176" i="158"/>
  <c r="J176" i="158"/>
  <c r="E176" i="158"/>
  <c r="C176" i="158"/>
  <c r="F177" i="158"/>
  <c r="I177" i="158"/>
  <c r="D177" i="158"/>
  <c r="J177" i="158"/>
  <c r="E177" i="158"/>
  <c r="C177" i="158"/>
  <c r="F178" i="158"/>
  <c r="I178" i="158"/>
  <c r="D178" i="158"/>
  <c r="J178" i="158"/>
  <c r="E178" i="158"/>
  <c r="C178" i="158"/>
  <c r="F179" i="158"/>
  <c r="I179" i="158"/>
  <c r="D179" i="158"/>
  <c r="J179" i="158"/>
  <c r="E179" i="158"/>
  <c r="C179" i="158"/>
  <c r="F180" i="158"/>
  <c r="I180" i="158"/>
  <c r="D180" i="158"/>
  <c r="J180" i="158"/>
  <c r="E180" i="158"/>
  <c r="C180" i="158"/>
  <c r="F181" i="158"/>
  <c r="I181" i="158"/>
  <c r="D181" i="158"/>
  <c r="J181" i="158"/>
  <c r="E181" i="158"/>
  <c r="C181" i="158"/>
  <c r="F182" i="158"/>
  <c r="I182" i="158"/>
  <c r="D182" i="158"/>
  <c r="J182" i="158"/>
  <c r="E182" i="158"/>
  <c r="C182" i="158"/>
  <c r="F183" i="158"/>
  <c r="I183" i="158"/>
  <c r="D183" i="158"/>
  <c r="J183" i="158"/>
  <c r="E183" i="158"/>
  <c r="C183" i="158"/>
  <c r="F184" i="158"/>
  <c r="I184" i="158"/>
  <c r="D184" i="158"/>
  <c r="J184" i="158"/>
  <c r="E184" i="158"/>
  <c r="C184" i="158"/>
  <c r="F185" i="158"/>
  <c r="I185" i="158"/>
  <c r="D185" i="158"/>
  <c r="J185" i="158"/>
  <c r="E185" i="158"/>
  <c r="C185" i="158"/>
  <c r="F186" i="158"/>
  <c r="I186" i="158"/>
  <c r="D186" i="158"/>
  <c r="J186" i="158"/>
  <c r="E186" i="158"/>
  <c r="C186" i="158"/>
  <c r="F187" i="158"/>
  <c r="I187" i="158"/>
  <c r="D187" i="158"/>
  <c r="J187" i="158"/>
  <c r="E187" i="158"/>
  <c r="C187" i="158"/>
  <c r="F188" i="158"/>
  <c r="I188" i="158"/>
  <c r="D188" i="158"/>
  <c r="J188" i="158"/>
  <c r="E188" i="158"/>
  <c r="C188" i="158"/>
  <c r="F189" i="158"/>
  <c r="I189" i="158"/>
  <c r="D189" i="158"/>
  <c r="J189" i="158"/>
  <c r="E189" i="158"/>
  <c r="C189" i="158"/>
  <c r="F190" i="158"/>
  <c r="I190" i="158"/>
  <c r="D190" i="158"/>
  <c r="J190" i="158"/>
  <c r="E190" i="158"/>
  <c r="C190" i="158"/>
  <c r="F191" i="158"/>
  <c r="I191" i="158"/>
  <c r="D191" i="158"/>
  <c r="J191" i="158"/>
  <c r="E191" i="158"/>
  <c r="C191" i="158"/>
  <c r="F192" i="158"/>
  <c r="I192" i="158"/>
  <c r="D192" i="158"/>
  <c r="J192" i="158"/>
  <c r="E192" i="158"/>
  <c r="C192" i="158"/>
  <c r="F193" i="158"/>
  <c r="I193" i="158"/>
  <c r="D193" i="158"/>
  <c r="J193" i="158"/>
  <c r="E193" i="158"/>
  <c r="C193" i="158"/>
  <c r="F194" i="158"/>
  <c r="I194" i="158"/>
  <c r="D194" i="158"/>
  <c r="J194" i="158"/>
  <c r="E194" i="158"/>
  <c r="C194" i="158"/>
  <c r="F195" i="158"/>
  <c r="I195" i="158"/>
  <c r="D195" i="158"/>
  <c r="J195" i="158"/>
  <c r="E195" i="158"/>
  <c r="C195" i="158"/>
  <c r="F196" i="158"/>
  <c r="I196" i="158"/>
  <c r="D196" i="158"/>
  <c r="J196" i="158"/>
  <c r="E196" i="158"/>
  <c r="C196" i="158"/>
  <c r="F197" i="158"/>
  <c r="I197" i="158"/>
  <c r="D197" i="158"/>
  <c r="J197" i="158"/>
  <c r="E197" i="158"/>
  <c r="C197" i="158"/>
  <c r="F198" i="158"/>
  <c r="I198" i="158"/>
  <c r="D198" i="158"/>
  <c r="J198" i="158"/>
  <c r="E198" i="158"/>
  <c r="C198" i="158"/>
  <c r="F199" i="158"/>
  <c r="I199" i="158"/>
  <c r="D199" i="158"/>
  <c r="J199" i="158"/>
  <c r="E199" i="158"/>
  <c r="C199" i="158"/>
  <c r="F200" i="158"/>
  <c r="I200" i="158"/>
  <c r="D200" i="158"/>
  <c r="J200" i="158"/>
  <c r="E200" i="158"/>
  <c r="C200" i="158"/>
  <c r="F201" i="158"/>
  <c r="I201" i="158"/>
  <c r="D201" i="158"/>
  <c r="J201" i="158"/>
  <c r="E201" i="158"/>
  <c r="C201" i="158"/>
  <c r="F202" i="158"/>
  <c r="I202" i="158"/>
  <c r="D202" i="158"/>
  <c r="J202" i="158"/>
  <c r="E202" i="158"/>
  <c r="C202" i="158"/>
  <c r="F203" i="158"/>
  <c r="I203" i="158"/>
  <c r="D203" i="158"/>
  <c r="J203" i="158"/>
  <c r="E203" i="158"/>
  <c r="C203" i="158"/>
  <c r="F204" i="158"/>
  <c r="I204" i="158"/>
  <c r="D204" i="158"/>
  <c r="J204" i="158"/>
  <c r="E204" i="158"/>
  <c r="C204" i="158"/>
  <c r="F205" i="158"/>
  <c r="I205" i="158"/>
  <c r="D205" i="158"/>
  <c r="J205" i="158"/>
  <c r="E205" i="158"/>
  <c r="C205" i="158"/>
  <c r="F206" i="158"/>
  <c r="I206" i="158"/>
  <c r="D206" i="158"/>
  <c r="J206" i="158"/>
  <c r="E206" i="158"/>
  <c r="C206" i="158"/>
  <c r="F207" i="158"/>
  <c r="I207" i="158"/>
  <c r="D207" i="158"/>
  <c r="J207" i="158"/>
  <c r="E207" i="158"/>
  <c r="C207" i="158"/>
  <c r="F208" i="158"/>
  <c r="I208" i="158"/>
  <c r="D208" i="158"/>
  <c r="J208" i="158"/>
  <c r="E208" i="158"/>
  <c r="C208" i="158"/>
  <c r="F209" i="158"/>
  <c r="I209" i="158"/>
  <c r="D209" i="158"/>
  <c r="J209" i="158"/>
  <c r="E209" i="158"/>
  <c r="C209" i="158"/>
  <c r="F210" i="158"/>
  <c r="I210" i="158"/>
  <c r="D210" i="158"/>
  <c r="J210" i="158"/>
  <c r="E210" i="158"/>
  <c r="C210" i="158"/>
  <c r="F211" i="158"/>
  <c r="I211" i="158"/>
  <c r="D211" i="158"/>
  <c r="J211" i="158"/>
  <c r="E211" i="158"/>
  <c r="C211" i="158"/>
  <c r="F212" i="158"/>
  <c r="I212" i="158"/>
  <c r="D212" i="158"/>
  <c r="J212" i="158"/>
  <c r="E212" i="158"/>
  <c r="C212" i="158"/>
  <c r="F213" i="158"/>
  <c r="I213" i="158"/>
  <c r="D213" i="158"/>
  <c r="J213" i="158"/>
  <c r="E213" i="158"/>
  <c r="C213" i="158"/>
  <c r="F214" i="158"/>
  <c r="I214" i="158"/>
  <c r="D214" i="158"/>
  <c r="J214" i="158"/>
  <c r="E214" i="158"/>
  <c r="C214" i="158"/>
  <c r="F215" i="158"/>
  <c r="I215" i="158"/>
  <c r="D215" i="158"/>
  <c r="J215" i="158"/>
  <c r="E215" i="158"/>
  <c r="C215" i="158"/>
  <c r="F216" i="158"/>
  <c r="I216" i="158"/>
  <c r="D216" i="158"/>
  <c r="J216" i="158"/>
  <c r="E216" i="158"/>
  <c r="C216" i="158"/>
  <c r="F217" i="158"/>
  <c r="I217" i="158"/>
  <c r="D217" i="158"/>
  <c r="J217" i="158"/>
  <c r="E217" i="158"/>
  <c r="C217" i="158"/>
  <c r="F218" i="158"/>
  <c r="I218" i="158"/>
  <c r="D218" i="158"/>
  <c r="J218" i="158"/>
  <c r="E218" i="158"/>
  <c r="C218" i="158"/>
  <c r="F219" i="158"/>
  <c r="I219" i="158"/>
  <c r="D219" i="158"/>
  <c r="J219" i="158"/>
  <c r="E219" i="158"/>
  <c r="C219" i="158"/>
  <c r="F220" i="158"/>
  <c r="I220" i="158"/>
  <c r="D220" i="158"/>
  <c r="J220" i="158"/>
  <c r="E220" i="158"/>
  <c r="C220" i="158"/>
  <c r="F221" i="158"/>
  <c r="I221" i="158"/>
  <c r="D221" i="158"/>
  <c r="J221" i="158"/>
  <c r="E221" i="158"/>
  <c r="C221" i="158"/>
  <c r="F222" i="158"/>
  <c r="I222" i="158"/>
  <c r="D222" i="158"/>
  <c r="J222" i="158"/>
  <c r="E222" i="158"/>
  <c r="C222" i="158"/>
  <c r="F223" i="158"/>
  <c r="I223" i="158"/>
  <c r="D223" i="158"/>
  <c r="J223" i="158"/>
  <c r="E223" i="158"/>
  <c r="C223" i="158"/>
  <c r="F224" i="158"/>
  <c r="I224" i="158"/>
  <c r="D224" i="158"/>
  <c r="J224" i="158"/>
  <c r="E224" i="158"/>
  <c r="C224" i="158"/>
  <c r="F225" i="158"/>
  <c r="I225" i="158"/>
  <c r="D225" i="158"/>
  <c r="J225" i="158"/>
  <c r="E225" i="158"/>
  <c r="C225" i="158"/>
  <c r="F226" i="158"/>
  <c r="I226" i="158"/>
  <c r="D226" i="158"/>
  <c r="J226" i="158"/>
  <c r="E226" i="158"/>
  <c r="C226" i="158"/>
  <c r="F227" i="158"/>
  <c r="I227" i="158"/>
  <c r="D227" i="158"/>
  <c r="J227" i="158"/>
  <c r="E227" i="158"/>
  <c r="C227" i="158"/>
  <c r="F228" i="158"/>
  <c r="I228" i="158"/>
  <c r="D228" i="158"/>
  <c r="J228" i="158"/>
  <c r="E228" i="158"/>
  <c r="C228" i="158"/>
  <c r="F229" i="158"/>
  <c r="I229" i="158"/>
  <c r="D229" i="158"/>
  <c r="J229" i="158"/>
  <c r="E229" i="158"/>
  <c r="C229" i="158"/>
  <c r="F230" i="158"/>
  <c r="I230" i="158"/>
  <c r="D230" i="158"/>
  <c r="J230" i="158"/>
  <c r="E230" i="158"/>
  <c r="C230" i="158"/>
  <c r="F231" i="158"/>
  <c r="I231" i="158"/>
  <c r="D231" i="158"/>
  <c r="J231" i="158"/>
  <c r="E231" i="158"/>
  <c r="C231" i="158"/>
  <c r="F232" i="158"/>
  <c r="I232" i="158"/>
  <c r="D232" i="158"/>
  <c r="J232" i="158"/>
  <c r="E232" i="158"/>
  <c r="C232" i="158"/>
  <c r="F233" i="158"/>
  <c r="I233" i="158"/>
  <c r="D233" i="158"/>
  <c r="J233" i="158"/>
  <c r="E233" i="158"/>
  <c r="C233" i="158"/>
  <c r="F234" i="158"/>
  <c r="I234" i="158"/>
  <c r="D234" i="158"/>
  <c r="J234" i="158"/>
  <c r="E234" i="158"/>
  <c r="C234" i="158"/>
  <c r="F235" i="158"/>
  <c r="I235" i="158"/>
  <c r="D235" i="158"/>
  <c r="J235" i="158"/>
  <c r="E235" i="158"/>
  <c r="C235" i="158"/>
  <c r="F236" i="158"/>
  <c r="I236" i="158"/>
  <c r="D236" i="158"/>
  <c r="J236" i="158"/>
  <c r="E236" i="158"/>
  <c r="C236" i="158"/>
  <c r="F237" i="158"/>
  <c r="I237" i="158"/>
  <c r="D237" i="158"/>
  <c r="J237" i="158"/>
  <c r="E237" i="158"/>
  <c r="C237" i="158"/>
  <c r="F238" i="158"/>
  <c r="I238" i="158"/>
  <c r="D238" i="158"/>
  <c r="J238" i="158"/>
  <c r="E238" i="158"/>
  <c r="C238" i="158"/>
  <c r="F239" i="158"/>
  <c r="I239" i="158"/>
  <c r="D239" i="158"/>
  <c r="J239" i="158"/>
  <c r="E239" i="158"/>
  <c r="C239" i="158"/>
  <c r="F240" i="158"/>
  <c r="I240" i="158"/>
  <c r="D240" i="158"/>
  <c r="J240" i="158"/>
  <c r="E240" i="158"/>
  <c r="C240" i="158"/>
  <c r="F241" i="158"/>
  <c r="I241" i="158"/>
  <c r="D241" i="158"/>
  <c r="J241" i="158"/>
  <c r="E241" i="158"/>
  <c r="C241" i="158"/>
  <c r="F242" i="158"/>
  <c r="I242" i="158"/>
  <c r="D242" i="158"/>
  <c r="J242" i="158"/>
  <c r="E242" i="158"/>
  <c r="C242" i="158"/>
  <c r="F243" i="158"/>
  <c r="I243" i="158"/>
  <c r="D243" i="158"/>
  <c r="J243" i="158"/>
  <c r="E243" i="158"/>
  <c r="C243" i="158"/>
  <c r="F244" i="158"/>
  <c r="I244" i="158"/>
  <c r="D244" i="158"/>
  <c r="J244" i="158"/>
  <c r="E244" i="158"/>
  <c r="C244" i="158"/>
  <c r="F245" i="158"/>
  <c r="I245" i="158"/>
  <c r="D245" i="158"/>
  <c r="J245" i="158"/>
  <c r="E245" i="158"/>
  <c r="C245" i="158"/>
  <c r="F246" i="158"/>
  <c r="I246" i="158"/>
  <c r="D246" i="158"/>
  <c r="J246" i="158"/>
  <c r="E246" i="158"/>
  <c r="C246" i="158"/>
  <c r="F247" i="158"/>
  <c r="I247" i="158"/>
  <c r="D247" i="158"/>
  <c r="J247" i="158"/>
  <c r="E247" i="158"/>
  <c r="C247" i="158"/>
  <c r="F248" i="158"/>
  <c r="I248" i="158"/>
  <c r="D248" i="158"/>
  <c r="J248" i="158"/>
  <c r="E248" i="158"/>
  <c r="C248" i="158"/>
  <c r="F249" i="158"/>
  <c r="I249" i="158"/>
  <c r="D249" i="158"/>
  <c r="J249" i="158"/>
  <c r="E249" i="158"/>
  <c r="C249" i="158"/>
  <c r="F250" i="158"/>
  <c r="I250" i="158"/>
  <c r="D250" i="158"/>
  <c r="J250" i="158"/>
  <c r="E250" i="158"/>
  <c r="C250" i="158"/>
  <c r="F251" i="158"/>
  <c r="I251" i="158"/>
  <c r="D251" i="158"/>
  <c r="J251" i="158"/>
  <c r="E251" i="158"/>
  <c r="C251" i="158"/>
  <c r="F252" i="158"/>
  <c r="I252" i="158"/>
  <c r="D252" i="158"/>
  <c r="J252" i="158"/>
  <c r="E252" i="158"/>
  <c r="C252" i="158"/>
  <c r="F253" i="158"/>
  <c r="I253" i="158"/>
  <c r="D253" i="158"/>
  <c r="J253" i="158"/>
  <c r="E253" i="158"/>
  <c r="C253" i="158"/>
  <c r="F254" i="158"/>
  <c r="I254" i="158"/>
  <c r="D254" i="158"/>
  <c r="J254" i="158"/>
  <c r="E254" i="158"/>
  <c r="C254" i="158"/>
  <c r="F255" i="158"/>
  <c r="I255" i="158"/>
  <c r="D255" i="158"/>
  <c r="J255" i="158"/>
  <c r="E255" i="158"/>
  <c r="C255" i="158"/>
  <c r="F256" i="158"/>
  <c r="I256" i="158"/>
  <c r="D256" i="158"/>
  <c r="J256" i="158"/>
  <c r="E256" i="158"/>
  <c r="C256" i="158"/>
  <c r="F257" i="158"/>
  <c r="I257" i="158"/>
  <c r="D257" i="158"/>
  <c r="J257" i="158"/>
  <c r="E257" i="158"/>
  <c r="C257" i="158"/>
  <c r="F258" i="158"/>
  <c r="I258" i="158"/>
  <c r="D258" i="158"/>
  <c r="J258" i="158"/>
  <c r="E258" i="158"/>
  <c r="C258" i="158"/>
  <c r="F259" i="158"/>
  <c r="I259" i="158"/>
  <c r="D259" i="158"/>
  <c r="J259" i="158"/>
  <c r="E259" i="158"/>
  <c r="C259" i="158"/>
  <c r="F260" i="158"/>
  <c r="I260" i="158"/>
  <c r="D260" i="158"/>
  <c r="J260" i="158"/>
  <c r="E260" i="158"/>
  <c r="C260" i="158"/>
  <c r="F261" i="158"/>
  <c r="I261" i="158"/>
  <c r="D261" i="158"/>
  <c r="J261" i="158"/>
  <c r="E261" i="158"/>
  <c r="C261" i="158"/>
  <c r="F262" i="158"/>
  <c r="I262" i="158"/>
  <c r="D262" i="158"/>
  <c r="J262" i="158"/>
  <c r="E262" i="158"/>
  <c r="C262" i="158"/>
  <c r="F263" i="158"/>
  <c r="I263" i="158"/>
  <c r="D263" i="158"/>
  <c r="J263" i="158"/>
  <c r="E263" i="158"/>
  <c r="C263" i="158"/>
  <c r="F264" i="158"/>
  <c r="I264" i="158"/>
  <c r="D264" i="158"/>
  <c r="J264" i="158"/>
  <c r="E264" i="158"/>
  <c r="C264" i="158"/>
  <c r="F265" i="158"/>
  <c r="I265" i="158"/>
  <c r="D265" i="158"/>
  <c r="J265" i="158"/>
  <c r="E265" i="158"/>
  <c r="C265" i="158"/>
  <c r="F266" i="158"/>
  <c r="I266" i="158"/>
  <c r="D266" i="158"/>
  <c r="J266" i="158"/>
  <c r="E266" i="158"/>
  <c r="C266" i="158"/>
  <c r="F267" i="158"/>
  <c r="I267" i="158"/>
  <c r="D267" i="158"/>
  <c r="J267" i="158"/>
  <c r="E267" i="158"/>
  <c r="C267" i="158"/>
  <c r="F268" i="158"/>
  <c r="I268" i="158"/>
  <c r="D268" i="158"/>
  <c r="J268" i="158"/>
  <c r="E268" i="158"/>
  <c r="C268" i="158"/>
  <c r="F269" i="158"/>
  <c r="I269" i="158"/>
  <c r="D269" i="158"/>
  <c r="J269" i="158"/>
  <c r="E269" i="158"/>
  <c r="C269" i="158"/>
  <c r="F270" i="158"/>
  <c r="I270" i="158"/>
  <c r="D270" i="158"/>
  <c r="J270" i="158"/>
  <c r="E270" i="158"/>
  <c r="C270" i="158"/>
  <c r="F271" i="158"/>
  <c r="I271" i="158"/>
  <c r="D271" i="158"/>
  <c r="J271" i="158"/>
  <c r="E271" i="158"/>
  <c r="C271" i="158"/>
  <c r="F272" i="158"/>
  <c r="I272" i="158"/>
  <c r="D272" i="158"/>
  <c r="J272" i="158"/>
  <c r="E272" i="158"/>
  <c r="C272" i="158"/>
  <c r="F273" i="158"/>
  <c r="I273" i="158"/>
  <c r="D273" i="158"/>
  <c r="J273" i="158"/>
  <c r="E273" i="158"/>
  <c r="C273" i="158"/>
  <c r="F274" i="158"/>
  <c r="I274" i="158"/>
  <c r="D274" i="158"/>
  <c r="J274" i="158"/>
  <c r="E274" i="158"/>
  <c r="C274" i="158"/>
  <c r="F275" i="158"/>
  <c r="I275" i="158"/>
  <c r="D275" i="158"/>
  <c r="J275" i="158"/>
  <c r="E275" i="158"/>
  <c r="C275" i="158"/>
  <c r="F276" i="158"/>
  <c r="I276" i="158"/>
  <c r="D276" i="158"/>
  <c r="J276" i="158"/>
  <c r="E276" i="158"/>
  <c r="C276" i="158"/>
  <c r="F277" i="158"/>
  <c r="I277" i="158"/>
  <c r="D277" i="158"/>
  <c r="J277" i="158"/>
  <c r="E277" i="158"/>
  <c r="C277" i="158"/>
  <c r="F278" i="158"/>
  <c r="I278" i="158"/>
  <c r="D278" i="158"/>
  <c r="J278" i="158"/>
  <c r="E278" i="158"/>
  <c r="C278" i="158"/>
  <c r="F279" i="158"/>
  <c r="I279" i="158"/>
  <c r="D279" i="158"/>
  <c r="J279" i="158"/>
  <c r="E279" i="158"/>
  <c r="C279" i="158"/>
  <c r="F280" i="158"/>
  <c r="I280" i="158"/>
  <c r="D280" i="158"/>
  <c r="J280" i="158"/>
  <c r="E280" i="158"/>
  <c r="C280" i="158"/>
  <c r="F281" i="158"/>
  <c r="I281" i="158"/>
  <c r="D281" i="158"/>
  <c r="J281" i="158"/>
  <c r="E281" i="158"/>
  <c r="C281" i="158"/>
  <c r="F282" i="158"/>
  <c r="I282" i="158"/>
  <c r="D282" i="158"/>
  <c r="J282" i="158"/>
  <c r="E282" i="158"/>
  <c r="C282" i="158"/>
  <c r="F283" i="158"/>
  <c r="I283" i="158"/>
  <c r="D283" i="158"/>
  <c r="J283" i="158"/>
  <c r="E283" i="158"/>
  <c r="C283" i="158"/>
  <c r="F284" i="158"/>
  <c r="I284" i="158"/>
  <c r="D284" i="158"/>
  <c r="J284" i="158"/>
  <c r="E284" i="158"/>
  <c r="C284" i="158"/>
  <c r="F285" i="158"/>
  <c r="I285" i="158"/>
  <c r="D285" i="158"/>
  <c r="J285" i="158"/>
  <c r="E285" i="158"/>
  <c r="C285" i="158"/>
  <c r="F286" i="158"/>
  <c r="I286" i="158"/>
  <c r="D286" i="158"/>
  <c r="J286" i="158"/>
  <c r="E286" i="158"/>
  <c r="C286" i="158"/>
  <c r="F287" i="158"/>
  <c r="I287" i="158"/>
  <c r="D287" i="158"/>
  <c r="J287" i="158"/>
  <c r="E287" i="158"/>
  <c r="C287" i="158"/>
  <c r="F288" i="158"/>
  <c r="I288" i="158"/>
  <c r="D288" i="158"/>
  <c r="J288" i="158"/>
  <c r="E288" i="158"/>
  <c r="C288" i="158"/>
  <c r="F289" i="158"/>
  <c r="I289" i="158"/>
  <c r="D289" i="158"/>
  <c r="J289" i="158"/>
  <c r="E289" i="158"/>
  <c r="C289" i="158"/>
  <c r="F290" i="158"/>
  <c r="I290" i="158"/>
  <c r="D290" i="158"/>
  <c r="J290" i="158"/>
  <c r="E290" i="158"/>
  <c r="C290" i="158"/>
  <c r="F291" i="158"/>
  <c r="I291" i="158"/>
  <c r="D291" i="158"/>
  <c r="J291" i="158"/>
  <c r="E291" i="158"/>
  <c r="C291" i="158"/>
  <c r="F292" i="158"/>
  <c r="I292" i="158"/>
  <c r="D292" i="158"/>
  <c r="J292" i="158"/>
  <c r="E292" i="158"/>
  <c r="C292" i="158"/>
  <c r="F293" i="158"/>
  <c r="I293" i="158"/>
  <c r="D293" i="158"/>
  <c r="J293" i="158"/>
  <c r="E293" i="158"/>
  <c r="C293" i="158"/>
  <c r="F294" i="158"/>
  <c r="I294" i="158"/>
  <c r="D294" i="158"/>
  <c r="J294" i="158"/>
  <c r="E294" i="158"/>
  <c r="C294" i="158"/>
  <c r="F295" i="158"/>
  <c r="I295" i="158"/>
  <c r="D295" i="158"/>
  <c r="J295" i="158"/>
  <c r="E295" i="158"/>
  <c r="C295" i="158"/>
  <c r="F296" i="158"/>
  <c r="I296" i="158"/>
  <c r="D296" i="158"/>
  <c r="J296" i="158"/>
  <c r="E296" i="158"/>
  <c r="C296" i="158"/>
  <c r="F297" i="158"/>
  <c r="I297" i="158"/>
  <c r="D297" i="158"/>
  <c r="J297" i="158"/>
  <c r="E297" i="158"/>
  <c r="C297" i="158"/>
  <c r="F298" i="158"/>
  <c r="I298" i="158"/>
  <c r="D298" i="158"/>
  <c r="J298" i="158"/>
  <c r="E298" i="158"/>
  <c r="C298" i="158"/>
  <c r="F299" i="158"/>
  <c r="I299" i="158"/>
  <c r="D299" i="158"/>
  <c r="J299" i="158"/>
  <c r="E299" i="158"/>
  <c r="C299" i="158"/>
  <c r="F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1" i="157"/>
  <c r="B21" i="157"/>
  <c r="E26" i="157"/>
  <c r="B26" i="157"/>
  <c r="F5" i="157"/>
  <c r="E5" i="157"/>
  <c r="E28" i="157"/>
  <c r="B28" i="157"/>
  <c r="E29" i="157"/>
  <c r="B29" i="157"/>
  <c r="B23" i="157"/>
  <c r="A2" i="153"/>
  <c r="F3" i="154"/>
  <c r="F2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A3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18" i="153"/>
  <c r="E19" i="153"/>
  <c r="B19" i="153"/>
  <c r="E24" i="153"/>
  <c r="B24" i="153"/>
  <c r="B17" i="153"/>
  <c r="B18" i="153"/>
  <c r="G18" i="153"/>
  <c r="H18" i="153"/>
  <c r="O3" i="154"/>
  <c r="G17" i="153"/>
  <c r="E17" i="153"/>
  <c r="H17" i="153"/>
  <c r="O2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G19" i="153"/>
  <c r="H19" i="153"/>
  <c r="O42" i="154"/>
  <c r="E25" i="153"/>
  <c r="B25" i="153"/>
  <c r="G25" i="153"/>
  <c r="H25" i="153"/>
  <c r="E20" i="153"/>
  <c r="B20" i="153"/>
  <c r="G20" i="153"/>
  <c r="H20" i="153"/>
  <c r="O43" i="154"/>
  <c r="E26" i="153"/>
  <c r="B26" i="153"/>
  <c r="G26" i="153"/>
  <c r="H26" i="153"/>
  <c r="E21" i="153"/>
  <c r="B21" i="153"/>
  <c r="G21" i="153"/>
  <c r="H21" i="153"/>
  <c r="O44" i="154"/>
  <c r="O45" i="154"/>
  <c r="O46" i="154"/>
  <c r="O47" i="154"/>
  <c r="O48" i="154"/>
  <c r="O49" i="154"/>
  <c r="O50" i="154"/>
  <c r="O51" i="154"/>
  <c r="O52" i="154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5" i="153"/>
  <c r="E27" i="153"/>
  <c r="B27" i="153"/>
  <c r="G27" i="153"/>
  <c r="H27" i="153"/>
  <c r="O138" i="154"/>
  <c r="E28" i="153"/>
  <c r="B28" i="153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E22" i="153"/>
  <c r="E29" i="153"/>
  <c r="B29" i="153"/>
  <c r="B23" i="153"/>
  <c r="B22" i="153"/>
  <c r="G22" i="153"/>
  <c r="H22" i="153"/>
  <c r="O256" i="154"/>
  <c r="G23" i="153"/>
  <c r="E23" i="153"/>
  <c r="H23" i="153"/>
  <c r="O257" i="154"/>
  <c r="O258" i="154"/>
  <c r="O259" i="154"/>
  <c r="G29" i="153"/>
  <c r="H29" i="153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2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" i="157"/>
  <c r="A36" i="157"/>
  <c r="E18" i="157"/>
  <c r="E19" i="157"/>
  <c r="B19" i="157"/>
  <c r="E24" i="157"/>
  <c r="B24" i="157"/>
  <c r="B17" i="157"/>
  <c r="B18" i="157"/>
  <c r="G18" i="157"/>
  <c r="H18" i="157"/>
  <c r="O3" i="158"/>
  <c r="G17" i="157"/>
  <c r="E17" i="157"/>
  <c r="H17" i="157"/>
  <c r="O2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G19" i="157"/>
  <c r="H19" i="157"/>
  <c r="O42" i="158"/>
  <c r="E25" i="157"/>
  <c r="B25" i="157"/>
  <c r="G25" i="157"/>
  <c r="H25" i="157"/>
  <c r="E20" i="157"/>
  <c r="B20" i="157"/>
  <c r="G20" i="157"/>
  <c r="H20" i="157"/>
  <c r="O43" i="158"/>
  <c r="G26" i="157"/>
  <c r="H26" i="157"/>
  <c r="G21" i="157"/>
  <c r="H21" i="157"/>
  <c r="O44" i="158"/>
  <c r="O45" i="158"/>
  <c r="O46" i="158"/>
  <c r="O47" i="158"/>
  <c r="O48" i="158"/>
  <c r="O49" i="158"/>
  <c r="O50" i="158"/>
  <c r="O51" i="158"/>
  <c r="O52" i="158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E22" i="157"/>
  <c r="E23" i="157"/>
  <c r="B22" i="157"/>
  <c r="G22" i="157"/>
  <c r="H22" i="157"/>
  <c r="O256" i="158"/>
  <c r="G23" i="157"/>
  <c r="H23" i="157"/>
  <c r="O257" i="158"/>
  <c r="O258" i="158"/>
  <c r="O259" i="158"/>
  <c r="G29" i="157"/>
  <c r="H29" i="157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2" i="158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R3" i="153"/>
  <c r="R4" i="153"/>
  <c r="R5" i="153"/>
  <c r="R6" i="153"/>
  <c r="R7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P2" i="156"/>
  <c r="P3" i="156"/>
  <c r="P4" i="156"/>
  <c r="P5" i="156"/>
  <c r="P6" i="156"/>
  <c r="H287" i="154"/>
  <c r="K287" i="154"/>
  <c r="L287" i="154"/>
  <c r="M287" i="154"/>
  <c r="N287" i="154"/>
  <c r="R8" i="153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R4" i="157"/>
  <c r="R3" i="157"/>
  <c r="R5" i="157"/>
  <c r="R6" i="157"/>
  <c r="R7" i="157"/>
  <c r="R8" i="157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B6" i="157"/>
  <c r="B5" i="157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2" i="157"/>
  <c r="G42" i="157"/>
  <c r="F41" i="157"/>
  <c r="G41" i="157"/>
  <c r="F40" i="157"/>
  <c r="G40" i="157"/>
  <c r="B30" i="157"/>
  <c r="B3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R10" i="157"/>
  <c r="P10" i="157"/>
  <c r="O10" i="157"/>
  <c r="M10" i="157"/>
  <c r="V9" i="157"/>
  <c r="R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F2" i="156"/>
  <c r="F3" i="156"/>
  <c r="F4" i="156"/>
  <c r="F5" i="156"/>
  <c r="F6" i="156"/>
  <c r="I2" i="156"/>
  <c r="D2" i="156"/>
  <c r="I3" i="156"/>
  <c r="D3" i="156"/>
  <c r="I4" i="156"/>
  <c r="D4" i="156"/>
  <c r="I5" i="156"/>
  <c r="D5" i="156"/>
  <c r="I6" i="156"/>
  <c r="D6" i="156"/>
  <c r="B30" i="153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6" i="103"/>
  <c r="E6" i="103"/>
  <c r="C7" i="103"/>
  <c r="E7" i="103"/>
  <c r="C2" i="103"/>
  <c r="E2" i="103"/>
  <c r="J2" i="156"/>
  <c r="E2" i="156"/>
  <c r="C2" i="156"/>
  <c r="J3" i="156"/>
  <c r="E3" i="156"/>
  <c r="C3" i="156"/>
  <c r="J4" i="156"/>
  <c r="E4" i="156"/>
  <c r="C4" i="156"/>
  <c r="J5" i="156"/>
  <c r="E5" i="156"/>
  <c r="C5" i="156"/>
  <c r="J6" i="156"/>
  <c r="E6" i="156"/>
  <c r="C6" i="156"/>
  <c r="N6" i="156"/>
  <c r="M6" i="156"/>
  <c r="L6" i="156"/>
  <c r="K6" i="156"/>
  <c r="H6" i="156"/>
  <c r="N5" i="156"/>
  <c r="M5" i="156"/>
  <c r="L5" i="156"/>
  <c r="K5" i="156"/>
  <c r="H5" i="156"/>
  <c r="N4" i="156"/>
  <c r="M4" i="156"/>
  <c r="L4" i="156"/>
  <c r="K4" i="156"/>
  <c r="H4" i="156"/>
  <c r="N3" i="156"/>
  <c r="M3" i="156"/>
  <c r="L3" i="156"/>
  <c r="K3" i="156"/>
  <c r="H3" i="156"/>
  <c r="N2" i="156"/>
  <c r="M2" i="156"/>
  <c r="L2" i="156"/>
  <c r="K2" i="156"/>
  <c r="H2" i="156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F48" i="153"/>
  <c r="F47" i="153"/>
  <c r="B40" i="153"/>
  <c r="B41" i="153"/>
  <c r="B42" i="153"/>
  <c r="B43" i="153"/>
  <c r="B44" i="153"/>
  <c r="B45" i="153"/>
  <c r="B46" i="153"/>
  <c r="B47" i="153"/>
  <c r="C40" i="153"/>
  <c r="C41" i="153"/>
  <c r="C42" i="153"/>
  <c r="C43" i="153"/>
  <c r="C44" i="153"/>
  <c r="C45" i="153"/>
  <c r="C46" i="153"/>
  <c r="C47" i="153"/>
  <c r="F46" i="153"/>
  <c r="F45" i="153"/>
  <c r="F42" i="153"/>
  <c r="G42" i="153"/>
  <c r="F41" i="153"/>
  <c r="G41" i="153"/>
  <c r="F40" i="153"/>
  <c r="G40" i="153"/>
  <c r="B32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D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R10" i="153"/>
  <c r="P10" i="153"/>
  <c r="O10" i="153"/>
  <c r="M10" i="153"/>
  <c r="V9" i="153"/>
  <c r="R9" i="153"/>
  <c r="P9" i="153"/>
  <c r="O9" i="153"/>
  <c r="M9" i="153"/>
  <c r="V8" i="153"/>
  <c r="P8" i="153"/>
  <c r="O8" i="153"/>
  <c r="M8" i="153"/>
  <c r="V7" i="153"/>
  <c r="P7" i="153"/>
  <c r="O7" i="153"/>
  <c r="M7" i="153"/>
  <c r="V6" i="153"/>
  <c r="P6" i="153"/>
  <c r="O6" i="153"/>
  <c r="M6" i="153"/>
  <c r="V5" i="153"/>
  <c r="P5" i="153"/>
  <c r="O5" i="153"/>
  <c r="M5" i="153"/>
  <c r="V4" i="153"/>
  <c r="P4" i="153"/>
  <c r="O4" i="153"/>
  <c r="M4" i="153"/>
  <c r="V3" i="153"/>
  <c r="P3" i="153"/>
  <c r="O3" i="153"/>
  <c r="M3" i="153"/>
  <c r="V2" i="153"/>
  <c r="C8" i="103"/>
  <c r="E8" i="103"/>
  <c r="C5" i="103"/>
  <c r="E5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4" i="103"/>
  <c r="E11" i="103"/>
  <c r="E10" i="103"/>
  <c r="E9" i="103"/>
  <c r="E4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<sst xmlns="http://schemas.openxmlformats.org/spreadsheetml/2006/main" count="678" uniqueCount="268">
  <si>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</si>
  <si>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</si>
  <si>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</si>
  <si>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</si>
  <si>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</si>
  <si>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</si>
  <si>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</si>
  <si>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</si>
  <si>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</si>
  <si>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</si>
  <si>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</si>
  <si>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</si>
  <si>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</si>
  <si>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</si>
  <si>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</si>
  <si>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</si>
  <si>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</si>
  <si>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</si>
  <si>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</si>
  <si>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</si>
  <si>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</si>
  <si>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</si>
  <si>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</si>
  <si>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</si>
  <si>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</si>
  <si>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</si>
  <si>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</si>
  <si>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</si>
  <si>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</si>
  <si>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</si>
  <si>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</si>
  <si>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</si>
  <si>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</si>
  <si>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</si>
  <si>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</si>
  <si>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</si>
  <si>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</si>
  <si>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</si>
  <si>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</si>
  <si>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</si>
  <si>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</si>
  <si>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</si>
  <si>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</si>
  <si>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</si>
  <si>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</si>
  <si>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</si>
  <si>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</si>
  <si>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</si>
  <si>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</si>
  <si>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</si>
  <si>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</si>
  <si>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</si>
  <si>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</si>
  <si>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</si>
  <si>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</si>
  <si>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</si>
  <si>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</si>
  <si>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</si>
  <si>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</si>
  <si>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</si>
  <si>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</si>
  <si>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</si>
  <si>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</si>
  <si>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</si>
  <si>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</si>
  <si>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</si>
  <si>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</si>
  <si>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</si>
  <si>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</si>
  <si>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</si>
  <si>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</si>
  <si>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</si>
  <si>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</si>
  <si>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</si>
  <si>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</si>
  <si>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</si>
  <si>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</si>
  <si>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</si>
  <si>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</si>
  <si>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</si>
  <si>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</si>
  <si>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</si>
  <si>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</si>
  <si>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</si>
  <si>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</si>
  <si>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</si>
  <si>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</si>
  <si>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</si>
  <si>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</si>
  <si>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</si>
  <si>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</si>
  <si>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</si>
  <si>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</si>
  <si>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</si>
  <si>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</si>
  <si>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</si>
  <si>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</si>
  <si>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</si>
  <si>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</si>
  <si>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</si>
  <si>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</si>
  <si>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</si>
  <si>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</si>
  <si>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</si>
  <si>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</si>
  <si>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</si>
  <si>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</si>
  <si>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</si>
  <si>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</si>
  <si>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</si>
  <si>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</si>
  <si>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</si>
  <si>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</si>
  <si>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</si>
  <si>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</si>
  <si>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</si>
  <si>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</si>
  <si>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</si>
  <si>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</si>
  <si>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</si>
  <si>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</si>
  <si>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</si>
  <si>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</si>
  <si>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</si>
  <si>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</si>
  <si>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</si>
  <si>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</si>
  <si>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</si>
  <si>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</si>
  <si>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</si>
  <si>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</si>
  <si>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</si>
  <si>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</si>
  <si>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</si>
  <si>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</si>
  <si>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</si>
  <si>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</si>
  <si>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</si>
  <si>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</si>
  <si>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</si>
  <si>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</si>
  <si>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</si>
  <si>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</si>
  <si>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</si>
  <si>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</si>
  <si>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</si>
  <si>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</si>
  <si>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</si>
  <si>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</si>
  <si>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</si>
  <si>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</si>
  <si>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</si>
  <si>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</si>
  <si>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</si>
  <si>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</si>
  <si>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</si>
  <si>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</si>
  <si>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</si>
  <si>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</si>
  <si>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</si>
  <si>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</si>
  <si>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</si>
  <si>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</si>
  <si>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</si>
  <si>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</si>
  <si>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</si>
  <si>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</si>
  <si>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</si>
  <si>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</si>
  <si>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</si>
  <si>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</si>
  <si>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</si>
  <si>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</si>
  <si>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</si>
  <si>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</si>
  <si>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</si>
  <si>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</si>
  <si>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</si>
  <si>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</si>
  <si>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</si>
  <si>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</si>
  <si>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</si>
  <si>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</si>
  <si>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</si>
  <si>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</si>
  <si>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</si>
  <si>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</si>
  <si>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</si>
  <si>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</si>
  <si>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</si>
  <si>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</si>
  <si>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</si>
  <si>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</si>
  <si>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</si>
  <si>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</si>
  <si>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</si>
  <si>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</si>
  <si>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</si>
  <si>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</si>
  <si>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</si>
  <si>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</si>
  <si>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</si>
  <si>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</si>
  <si>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</si>
  <si>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</si>
  <si>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</si>
  <si>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</si>
  <si>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</si>
  <si>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</si>
  <si>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</si>
  <si>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</si>
  <si>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</si>
  <si>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</si>
  <si>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gacha_settle_tables_</t>
    <phoneticPr fontId="22"/>
  </si>
  <si>
    <t>ja</t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</si>
  <si>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</si>
  <si>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</si>
  <si>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</si>
  <si>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</si>
  <si>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</si>
  <si>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</si>
  <si>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</si>
  <si>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</si>
  <si>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</si>
  <si>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</si>
  <si>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</si>
  <si>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</si>
  <si>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</si>
  <si>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</si>
  <si>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</si>
  <si>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</si>
  <si>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</si>
  <si>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</si>
  <si>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</si>
  <si>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</si>
  <si>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</si>
  <si>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</si>
  <si>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</si>
  <si>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</si>
  <si>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</si>
  <si>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</si>
  <si>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unit</t>
    <phoneticPr fontId="22"/>
  </si>
  <si>
    <t>PremiumSSS4R3less</t>
    <phoneticPr fontId="22"/>
  </si>
  <si>
    <t>PremiumSSS5R3less</t>
    <phoneticPr fontId="22"/>
  </si>
  <si>
    <t>unit</t>
    <phoneticPr fontId="22"/>
  </si>
  <si>
    <t>秘術の果実x3</t>
    <phoneticPr fontId="22"/>
  </si>
  <si>
    <t>秘術の果実</t>
    <phoneticPr fontId="22"/>
  </si>
  <si>
    <t>400万DL突破記念ガチャ特典</t>
    <rPh sb="13" eb="15">
      <t>トクテン</t>
    </rPh>
    <phoneticPr fontId="22"/>
  </si>
  <si>
    <t>358104</t>
    <phoneticPr fontId="22"/>
  </si>
  <si>
    <t>3581041</t>
    <phoneticPr fontId="22"/>
  </si>
  <si>
    <t>3581051</t>
    <phoneticPr fontId="22"/>
  </si>
  <si>
    <t>STEP4特典として
秘術の果実1体をプレゼント！</t>
    <phoneticPr fontId="22"/>
  </si>
  <si>
    <t>STEP5特典として
秘術の果実3体をプレゼント！</t>
    <phoneticPr fontId="22"/>
  </si>
  <si>
    <t>358105</t>
    <phoneticPr fontId="22"/>
  </si>
  <si>
    <t>skip</t>
    <phoneticPr fontId="22"/>
  </si>
  <si>
    <t>通常確率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</si>
  <si>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</si>
  <si>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</si>
  <si>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</si>
  <si>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</si>
  <si>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363100</t>
    <phoneticPr fontId="22"/>
  </si>
  <si>
    <t>tables_settle_364100</t>
    <phoneticPr fontId="22"/>
  </si>
  <si>
    <t>skip</t>
    <phoneticPr fontId="22"/>
  </si>
  <si>
    <t>tables_380100</t>
    <phoneticPr fontId="22"/>
  </si>
  <si>
    <t>tables_380010</t>
    <phoneticPr fontId="22"/>
  </si>
  <si>
    <t>old</t>
    <phoneticPr fontId="22"/>
  </si>
  <si>
    <t>old</t>
    <phoneticPr fontId="22"/>
  </si>
  <si>
    <t>tables_380011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</si>
</sst>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</cellStyleXfs>
  <cellXfs count="101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8" fillId="0" borderId="1" xfId="2978" applyFont="1" applyBorder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27" fillId="0" borderId="1" xfId="2" quotePrefix="1" applyFont="1" applyBorder="1" applyAlignment="1">
      <alignment vertical="center"/>
    </xf>
    <xf numFmtId="0" fontId="6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4" fillId="4" borderId="1" xfId="2978" applyFont="1" applyFill="1" applyBorder="1"/>
    <xf numFmtId="0" fontId="4" fillId="0" borderId="1" xfId="3036" applyFont="1" applyBorder="1"/>
    <xf numFmtId="0" fontId="3" fillId="4" borderId="1" xfId="2978" applyFont="1" applyFill="1" applyBorder="1"/>
    <xf numFmtId="0" fontId="28" fillId="25" borderId="1" xfId="0" applyFont="1" applyFill="1" applyBorder="1" applyAlignment="1">
      <alignment vertical="center"/>
    </xf>
    <xf numFmtId="0" fontId="26" fillId="25" borderId="12" xfId="0" applyFont="1" applyFill="1" applyBorder="1" applyAlignment="1">
      <alignment horizontal="right" vertical="center"/>
    </xf>
    <xf numFmtId="0" fontId="26" fillId="25" borderId="14" xfId="0" applyFont="1" applyFill="1" applyBorder="1" applyAlignment="1">
      <alignment horizontal="right" vertical="center"/>
    </xf>
    <xf numFmtId="0" fontId="3" fillId="0" borderId="1" xfId="3036" applyFont="1" applyBorder="1"/>
    <xf numFmtId="0" fontId="2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externalLink" Target="externalLinks/externalLink1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未定（R５ユノ）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未定（R５ハヤト）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ド・モルガン_分岐覚醒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balance</v>
          </cell>
          <cell r="L961" t="str">
            <v>バランスタイプ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attack</v>
          </cell>
          <cell r="L1060" t="str">
            <v>攻撃タイプ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attack</v>
          </cell>
          <cell r="L1061" t="str">
            <v>攻撃タイプ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attack</v>
          </cell>
          <cell r="L1062" t="str">
            <v>攻撃タイプ</v>
          </cell>
          <cell r="M1062" t="str">
            <v>god</v>
          </cell>
        </row>
        <row r="1063">
          <cell r="A1063">
            <v>1062</v>
          </cell>
          <cell r="B1063" t="str">
            <v>ja</v>
          </cell>
          <cell r="C1063" t="str">
            <v>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attack</v>
          </cell>
          <cell r="L1063" t="str">
            <v>攻撃タイプ</v>
          </cell>
          <cell r="M1063" t="str">
            <v>god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attack</v>
          </cell>
          <cell r="L1064" t="str">
            <v>攻撃タイプ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attack</v>
          </cell>
          <cell r="L1065" t="str">
            <v>攻撃タイプ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attack</v>
          </cell>
          <cell r="L1068" t="str">
            <v>攻撃タイプ</v>
          </cell>
          <cell r="M1068" t="str">
            <v>god</v>
          </cell>
        </row>
        <row r="1069">
          <cell r="A1069">
            <v>1068</v>
          </cell>
          <cell r="B1069" t="str">
            <v>ja</v>
          </cell>
          <cell r="C1069" t="str">
            <v>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attack</v>
          </cell>
          <cell r="L1069" t="str">
            <v>攻撃タイプ</v>
          </cell>
          <cell r="M1069" t="str">
            <v>god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attack</v>
          </cell>
          <cell r="L1070" t="str">
            <v>攻撃タイプ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attack</v>
          </cell>
          <cell r="L1071" t="str">
            <v>攻撃タイプ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</v>
          </cell>
          <cell r="K1073" t="str">
            <v>attack</v>
          </cell>
          <cell r="L1073" t="str">
            <v>攻撃タイプ</v>
          </cell>
          <cell r="M1073" t="str">
            <v>god</v>
          </cell>
        </row>
        <row r="1074">
          <cell r="A1074">
            <v>1073</v>
          </cell>
          <cell r="B1074" t="str">
            <v>ja</v>
          </cell>
          <cell r="C1074" t="str">
            <v>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</v>
          </cell>
          <cell r="K1074" t="str">
            <v>attack</v>
          </cell>
          <cell r="L1074" t="str">
            <v>攻撃タイプ</v>
          </cell>
          <cell r="M1074" t="str">
            <v>god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attack</v>
          </cell>
          <cell r="L1075" t="str">
            <v>攻撃タイプ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attack</v>
          </cell>
          <cell r="L1076" t="str">
            <v>攻撃タイプ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DropWizSSS</v>
          </cell>
          <cell r="K1084" t="str">
            <v>balance</v>
          </cell>
          <cell r="L1084" t="str">
            <v>バランスタイプ</v>
          </cell>
          <cell r="M1084" t="str">
            <v>human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DropWizSSS</v>
          </cell>
          <cell r="K1085" t="str">
            <v>balance</v>
          </cell>
          <cell r="L1085" t="str">
            <v>バランスタイプ</v>
          </cell>
          <cell r="M1085" t="str">
            <v>human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human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DropWizSS</v>
          </cell>
          <cell r="K1089" t="str">
            <v>attack</v>
          </cell>
          <cell r="L1089" t="str">
            <v>攻撃タイプ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DropWizSS</v>
          </cell>
          <cell r="K1090" t="str">
            <v>attack</v>
          </cell>
          <cell r="L1090" t="str">
            <v>攻撃タイプ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attack</v>
          </cell>
          <cell r="L1095" t="str">
            <v>攻撃タイプ</v>
          </cell>
          <cell r="M1095" t="str">
            <v>unknown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attack</v>
          </cell>
          <cell r="L1096" t="str">
            <v>攻撃タイプ</v>
          </cell>
          <cell r="M1096" t="str">
            <v>unknown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attack</v>
          </cell>
          <cell r="L1097" t="str">
            <v>攻撃タイプ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attack</v>
          </cell>
          <cell r="L1098" t="str">
            <v>攻撃タイプ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DropWizSS</v>
          </cell>
          <cell r="K1099" t="str">
            <v>attack</v>
          </cell>
          <cell r="L1099" t="str">
            <v>攻撃タイプ</v>
          </cell>
          <cell r="M1099" t="str">
            <v>unknown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DropWizSS</v>
          </cell>
          <cell r="K1100" t="str">
            <v>attack</v>
          </cell>
          <cell r="L1100" t="str">
            <v>攻撃タイプ</v>
          </cell>
          <cell r="M1100" t="str">
            <v>unknown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unknown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</v>
          </cell>
          <cell r="K1104" t="str">
            <v>attack</v>
          </cell>
          <cell r="L1104" t="str">
            <v>攻撃タイプ</v>
          </cell>
          <cell r="M1104" t="str">
            <v>unknown</v>
          </cell>
        </row>
        <row r="1105">
          <cell r="A1105">
            <v>1104</v>
          </cell>
          <cell r="B1105" t="str">
            <v>ja</v>
          </cell>
          <cell r="C1105" t="str">
            <v>フェルメール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5</v>
          </cell>
          <cell r="J1105" t="str">
            <v>PremiumSS</v>
          </cell>
          <cell r="K1105" t="str">
            <v>attack</v>
          </cell>
          <cell r="L1105" t="str">
            <v>攻撃タイプ</v>
          </cell>
          <cell r="M1105" t="str">
            <v>unknown</v>
          </cell>
        </row>
        <row r="1106">
          <cell r="A1106">
            <v>1105</v>
          </cell>
          <cell r="B1106" t="str">
            <v>ja</v>
          </cell>
          <cell r="C1106" t="str">
            <v>フェルメール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6</v>
          </cell>
          <cell r="J1106" t="str">
            <v>PremiumSS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1106</v>
          </cell>
          <cell r="B1107" t="str">
            <v>ja</v>
          </cell>
          <cell r="C1107" t="str">
            <v>フェルメール_分岐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blue</v>
          </cell>
          <cell r="I1107">
            <v>6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1107</v>
          </cell>
          <cell r="B1108" t="str">
            <v>ja</v>
          </cell>
          <cell r="C1108" t="str">
            <v>クリムト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4</v>
          </cell>
          <cell r="J1108" t="str">
            <v>PremiumS</v>
          </cell>
          <cell r="K1108" t="str">
            <v>attack</v>
          </cell>
          <cell r="L1108" t="str">
            <v>攻撃タイプ</v>
          </cell>
          <cell r="M1108" t="str">
            <v>unknown</v>
          </cell>
        </row>
        <row r="1109">
          <cell r="A1109">
            <v>1108</v>
          </cell>
          <cell r="B1109" t="str">
            <v>ja</v>
          </cell>
          <cell r="C1109" t="str">
            <v>クリムト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attack</v>
          </cell>
          <cell r="L1109" t="str">
            <v>攻撃タイプ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unknown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unknown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attack</v>
          </cell>
          <cell r="L1114" t="str">
            <v>攻撃タイプ</v>
          </cell>
          <cell r="M1114" t="str">
            <v>unknown</v>
          </cell>
        </row>
        <row r="1115">
          <cell r="A1115">
            <v>1114</v>
          </cell>
          <cell r="B1115" t="str">
            <v>ja</v>
          </cell>
          <cell r="C1115" t="str">
            <v>パスツール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PremiumSSS</v>
          </cell>
          <cell r="K1115" t="str">
            <v>attack</v>
          </cell>
          <cell r="L1115" t="str">
            <v>攻撃タイプ</v>
          </cell>
          <cell r="M1115" t="str">
            <v>unknown</v>
          </cell>
        </row>
        <row r="1116">
          <cell r="A1116">
            <v>1115</v>
          </cell>
          <cell r="B1116" t="str">
            <v>ja</v>
          </cell>
          <cell r="C1116" t="str">
            <v>パスツール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PremiumSSS</v>
          </cell>
          <cell r="K1116" t="str">
            <v>attack</v>
          </cell>
          <cell r="L1116" t="str">
            <v>攻撃タイプ</v>
          </cell>
          <cell r="M1116" t="str">
            <v>unknown</v>
          </cell>
        </row>
        <row r="1117">
          <cell r="A1117">
            <v>1116</v>
          </cell>
          <cell r="B1117" t="str">
            <v>ja</v>
          </cell>
          <cell r="C1117" t="str">
            <v>アマテラス_分岐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balance</v>
          </cell>
          <cell r="L1125" t="str">
            <v>バランスタイプ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6001</v>
          </cell>
          <cell r="B1130" t="str">
            <v>ja</v>
          </cell>
          <cell r="C1130" t="str">
            <v>ジェリー</v>
          </cell>
          <cell r="D1130" t="str">
            <v>ノーマルクエスト</v>
          </cell>
          <cell r="E1130" t="str">
            <v>QoH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1</v>
          </cell>
          <cell r="J1130" t="str">
            <v>Drop1T</v>
          </cell>
          <cell r="K1130" t="str">
            <v>ra</v>
          </cell>
          <cell r="L1130" t="str">
            <v>ラグランジュチャレンジ</v>
          </cell>
          <cell r="M1130" t="str">
            <v>unknown</v>
          </cell>
        </row>
        <row r="1131">
          <cell r="A1131">
            <v>6002</v>
          </cell>
          <cell r="B1131" t="str">
            <v>ja</v>
          </cell>
          <cell r="C1131" t="str">
            <v>ヨシタカ</v>
          </cell>
          <cell r="D1131" t="str">
            <v>ノーマルクエスト</v>
          </cell>
          <cell r="E1131" t="str">
            <v>アバター</v>
          </cell>
          <cell r="F1131" t="str">
            <v>世界観</v>
          </cell>
          <cell r="G1131" t="str">
            <v>男性</v>
          </cell>
          <cell r="H1131" t="str">
            <v>red</v>
          </cell>
          <cell r="I1131">
            <v>2</v>
          </cell>
          <cell r="J1131" t="str">
            <v>Drop1N</v>
          </cell>
          <cell r="K1131" t="str">
            <v>ra</v>
          </cell>
          <cell r="L1131" t="str">
            <v>ラグランジュチャレンジ</v>
          </cell>
          <cell r="M1131" t="str">
            <v>human</v>
          </cell>
        </row>
        <row r="1132">
          <cell r="A1132">
            <v>6003</v>
          </cell>
          <cell r="B1132" t="str">
            <v>ja</v>
          </cell>
          <cell r="C1132" t="str">
            <v>朱雀</v>
          </cell>
          <cell r="D1132" t="str">
            <v>リンクガチャ:4神</v>
          </cell>
          <cell r="E1132" t="str">
            <v>守護神</v>
          </cell>
          <cell r="F1132" t="str">
            <v>格好いい</v>
          </cell>
          <cell r="G1132" t="str">
            <v>不明</v>
          </cell>
          <cell r="H1132" t="str">
            <v>red</v>
          </cell>
          <cell r="I1132">
            <v>3</v>
          </cell>
          <cell r="J1132" t="str">
            <v>Drop2N</v>
          </cell>
          <cell r="K1132" t="str">
            <v>ra</v>
          </cell>
          <cell r="L1132" t="str">
            <v>ラグランジュチャレンジ</v>
          </cell>
          <cell r="M1132" t="str">
            <v>animal</v>
          </cell>
        </row>
        <row r="1133">
          <cell r="A1133">
            <v>6004</v>
          </cell>
          <cell r="B1133" t="str">
            <v>ja</v>
          </cell>
          <cell r="C1133" t="str">
            <v>ブレット</v>
          </cell>
          <cell r="D1133" t="str">
            <v>ノーマルクエスト</v>
          </cell>
          <cell r="E1133" t="str">
            <v>アバター</v>
          </cell>
          <cell r="F1133" t="str">
            <v>世界観</v>
          </cell>
          <cell r="G1133" t="str">
            <v>不明</v>
          </cell>
          <cell r="H1133" t="str">
            <v>red</v>
          </cell>
          <cell r="I1133">
            <v>1</v>
          </cell>
          <cell r="J1133" t="str">
            <v>Drop1W</v>
          </cell>
          <cell r="K1133" t="str">
            <v>ra</v>
          </cell>
          <cell r="L1133" t="str">
            <v>ラグランジュチャレンジ</v>
          </cell>
          <cell r="M1133" t="str">
            <v>animal</v>
          </cell>
        </row>
        <row r="1134">
          <cell r="A1134">
            <v>6005</v>
          </cell>
          <cell r="B1134" t="str">
            <v>ja</v>
          </cell>
          <cell r="C1134" t="str">
            <v>孤神 テティス</v>
          </cell>
          <cell r="D1134" t="str">
            <v>初期ガチャ</v>
          </cell>
          <cell r="E1134" t="str">
            <v>管理者</v>
          </cell>
          <cell r="F1134" t="str">
            <v>美しい</v>
          </cell>
          <cell r="G1134" t="str">
            <v>女性</v>
          </cell>
          <cell r="H1134" t="str">
            <v>blue</v>
          </cell>
          <cell r="I1134">
            <v>4</v>
          </cell>
          <cell r="J1134" t="str">
            <v>PremiumN</v>
          </cell>
          <cell r="K1134" t="str">
            <v>ra</v>
          </cell>
          <cell r="L1134" t="str">
            <v>ラグランジュチャレンジ</v>
          </cell>
          <cell r="M1134" t="str">
            <v>god</v>
          </cell>
        </row>
        <row r="1135">
          <cell r="A1135">
            <v>6006</v>
          </cell>
          <cell r="B1135" t="str">
            <v>ja</v>
          </cell>
          <cell r="C1135" t="str">
            <v>海底の孤高神 テティス</v>
          </cell>
          <cell r="D1135" t="str">
            <v>初期ガチャ</v>
          </cell>
          <cell r="E1135" t="str">
            <v>管理者</v>
          </cell>
          <cell r="F1135" t="str">
            <v>美しい</v>
          </cell>
          <cell r="G1135" t="str">
            <v>女性</v>
          </cell>
          <cell r="H1135" t="str">
            <v>blue</v>
          </cell>
          <cell r="I1135">
            <v>5</v>
          </cell>
          <cell r="J1135" t="str">
            <v>PremiumN</v>
          </cell>
          <cell r="K1135" t="str">
            <v>ra</v>
          </cell>
          <cell r="L1135" t="str">
            <v>ラグランジュチャレンジ</v>
          </cell>
          <cell r="M1135" t="str">
            <v>god</v>
          </cell>
        </row>
        <row r="1136">
          <cell r="A1136">
            <v>6007</v>
          </cell>
          <cell r="B1136" t="str">
            <v>ja</v>
          </cell>
          <cell r="C1136" t="str">
            <v>番犬 ケルベロス</v>
          </cell>
          <cell r="D1136" t="str">
            <v>初期ガチャ</v>
          </cell>
          <cell r="E1136" t="str">
            <v>破界者</v>
          </cell>
          <cell r="F1136" t="str">
            <v>可愛い</v>
          </cell>
          <cell r="G1136" t="str">
            <v>女性</v>
          </cell>
          <cell r="H1136" t="str">
            <v>red</v>
          </cell>
          <cell r="I1136">
            <v>4</v>
          </cell>
          <cell r="J1136" t="str">
            <v>PremiumN</v>
          </cell>
          <cell r="K1136" t="str">
            <v>ra</v>
          </cell>
          <cell r="L1136" t="str">
            <v>ラグランジュチャレンジ</v>
          </cell>
          <cell r="M1136" t="str">
            <v>animal</v>
          </cell>
        </row>
        <row r="1137">
          <cell r="A1137">
            <v>6008</v>
          </cell>
          <cell r="B1137" t="str">
            <v>ja</v>
          </cell>
          <cell r="C1137" t="str">
            <v>焔神 プロメテウス</v>
          </cell>
          <cell r="D1137" t="str">
            <v>初期ガチャ</v>
          </cell>
          <cell r="E1137" t="str">
            <v>管理者</v>
          </cell>
          <cell r="F1137" t="str">
            <v>格好いい</v>
          </cell>
          <cell r="G1137" t="str">
            <v>男性</v>
          </cell>
          <cell r="H1137" t="str">
            <v>red</v>
          </cell>
          <cell r="I1137">
            <v>4</v>
          </cell>
          <cell r="J1137" t="str">
            <v>PremiumN</v>
          </cell>
          <cell r="K1137" t="str">
            <v>ra</v>
          </cell>
          <cell r="L1137" t="str">
            <v>ラグランジュチャレンジ</v>
          </cell>
          <cell r="M1137" t="str">
            <v>god</v>
          </cell>
        </row>
        <row r="1138">
          <cell r="A1138">
            <v>6009</v>
          </cell>
          <cell r="B1138" t="str">
            <v>ja</v>
          </cell>
          <cell r="C1138" t="str">
            <v>超越自我 ラグランジュ</v>
          </cell>
          <cell r="D1138" t="str">
            <v>ガチャ:フィーバーフェス02</v>
          </cell>
          <cell r="E1138" t="str">
            <v>執行者</v>
          </cell>
          <cell r="F1138" t="str">
            <v>格好いい</v>
          </cell>
          <cell r="G1138" t="str">
            <v>女性</v>
          </cell>
          <cell r="H1138" t="str">
            <v>red</v>
          </cell>
          <cell r="I1138">
            <v>5</v>
          </cell>
          <cell r="J1138" t="str">
            <v>PremiumSSS</v>
          </cell>
          <cell r="K1138" t="str">
            <v>ra</v>
          </cell>
          <cell r="L1138" t="str">
            <v>ラグランジュチャレンジ</v>
          </cell>
          <cell r="M1138" t="str">
            <v>human</v>
          </cell>
        </row>
        <row r="1139">
          <cell r="A1139">
            <v>6010</v>
          </cell>
          <cell r="B1139" t="str">
            <v>ja</v>
          </cell>
          <cell r="C1139" t="str">
            <v>超越凌駕 ラグランジュ</v>
          </cell>
          <cell r="D1139" t="str">
            <v>ガチャ:フィーバーフェス02</v>
          </cell>
          <cell r="E1139" t="str">
            <v>執行者</v>
          </cell>
          <cell r="F1139" t="str">
            <v>格好いい</v>
          </cell>
          <cell r="G1139" t="str">
            <v>女性</v>
          </cell>
          <cell r="H1139" t="str">
            <v>red</v>
          </cell>
          <cell r="I1139">
            <v>6</v>
          </cell>
          <cell r="J1139" t="str">
            <v>PremiumSSS</v>
          </cell>
          <cell r="K1139" t="str">
            <v>ra</v>
          </cell>
          <cell r="L1139" t="str">
            <v>ラグランジュチャレンジ</v>
          </cell>
          <cell r="M1139" t="str">
            <v>human</v>
          </cell>
        </row>
        <row r="1140">
          <cell r="A1140">
            <v>6011</v>
          </cell>
          <cell r="B1140" t="str">
            <v>ja</v>
          </cell>
          <cell r="C1140" t="str">
            <v>パトドッグリーダー ポチ</v>
          </cell>
          <cell r="D1140" t="str">
            <v>ガチャ:フィーバーフェス02</v>
          </cell>
          <cell r="E1140" t="str">
            <v>執行者</v>
          </cell>
          <cell r="F1140" t="str">
            <v>格好いい</v>
          </cell>
          <cell r="G1140" t="str">
            <v>男性</v>
          </cell>
          <cell r="H1140" t="str">
            <v>blue</v>
          </cell>
          <cell r="I1140">
            <v>2</v>
          </cell>
          <cell r="J1140" t="str">
            <v>Drop1T</v>
          </cell>
          <cell r="K1140" t="str">
            <v>ra002</v>
          </cell>
          <cell r="L1140" t="str">
            <v>ユークリッドチャレンジ</v>
          </cell>
          <cell r="M1140" t="str">
            <v>unknown</v>
          </cell>
        </row>
        <row r="1141">
          <cell r="A1141">
            <v>6012</v>
          </cell>
          <cell r="B1141" t="str">
            <v>ja</v>
          </cell>
          <cell r="C1141" t="str">
            <v>ミミ</v>
          </cell>
          <cell r="D1141" t="str">
            <v>ガチャ:フィーバーフェス02</v>
          </cell>
          <cell r="E1141" t="str">
            <v>執行者</v>
          </cell>
          <cell r="F1141" t="str">
            <v>格好いい</v>
          </cell>
          <cell r="G1141" t="str">
            <v>男性</v>
          </cell>
          <cell r="H1141" t="str">
            <v>yellow</v>
          </cell>
          <cell r="I1141">
            <v>1</v>
          </cell>
          <cell r="J1141" t="str">
            <v>Drop1W</v>
          </cell>
          <cell r="K1141" t="str">
            <v>ra002</v>
          </cell>
          <cell r="L1141" t="str">
            <v>ユークリッドチャレンジ</v>
          </cell>
          <cell r="M1141" t="str">
            <v>animal</v>
          </cell>
        </row>
        <row r="1142">
          <cell r="A1142">
            <v>6013</v>
          </cell>
          <cell r="B1142" t="str">
            <v>ja</v>
          </cell>
          <cell r="C1142" t="str">
            <v>護衛機人 スケアクロウ</v>
          </cell>
          <cell r="D1142" t="str">
            <v>ガチャ:フィーバーフェス02</v>
          </cell>
          <cell r="E1142" t="str">
            <v>執行者</v>
          </cell>
          <cell r="F1142" t="str">
            <v>格好いい</v>
          </cell>
          <cell r="G1142" t="str">
            <v>男性</v>
          </cell>
          <cell r="H1142" t="str">
            <v>blue</v>
          </cell>
          <cell r="I1142">
            <v>2</v>
          </cell>
          <cell r="J1142" t="str">
            <v>Drop1N</v>
          </cell>
          <cell r="K1142" t="str">
            <v>ra002</v>
          </cell>
          <cell r="L1142" t="str">
            <v>ユークリッドチャレンジ</v>
          </cell>
          <cell r="M1142" t="str">
            <v>machine</v>
          </cell>
        </row>
        <row r="1143">
          <cell r="A1143">
            <v>6014</v>
          </cell>
          <cell r="B1143" t="str">
            <v>ja</v>
          </cell>
          <cell r="C1143" t="str">
            <v>月下の人狼 ローレンス</v>
          </cell>
          <cell r="D1143" t="str">
            <v>ガチャ:フィーバーフェス02</v>
          </cell>
          <cell r="E1143" t="str">
            <v>執行者</v>
          </cell>
          <cell r="F1143" t="str">
            <v>格好いい</v>
          </cell>
          <cell r="G1143" t="str">
            <v>男性</v>
          </cell>
          <cell r="H1143" t="str">
            <v>blue</v>
          </cell>
          <cell r="I1143">
            <v>4</v>
          </cell>
          <cell r="J1143" t="str">
            <v>PremiumW</v>
          </cell>
          <cell r="K1143" t="str">
            <v>ra002</v>
          </cell>
          <cell r="L1143" t="str">
            <v>ユークリッドチャレンジ</v>
          </cell>
          <cell r="M1143" t="str">
            <v>animal</v>
          </cell>
        </row>
        <row r="1144">
          <cell r="A1144">
            <v>6015</v>
          </cell>
          <cell r="B1144" t="str">
            <v>ja</v>
          </cell>
          <cell r="C1144" t="str">
            <v>フレイヤ</v>
          </cell>
          <cell r="D1144" t="str">
            <v>ガチャ:フィーバーフェス02</v>
          </cell>
          <cell r="E1144" t="str">
            <v>執行者</v>
          </cell>
          <cell r="F1144" t="str">
            <v>格好いい</v>
          </cell>
          <cell r="G1144" t="str">
            <v>男性</v>
          </cell>
          <cell r="H1144" t="str">
            <v>blue</v>
          </cell>
          <cell r="I1144">
            <v>4</v>
          </cell>
          <cell r="J1144" t="str">
            <v>PremiumSS</v>
          </cell>
          <cell r="K1144" t="str">
            <v>ra002</v>
          </cell>
          <cell r="L1144" t="str">
            <v>ユークリッドチャレンジ</v>
          </cell>
          <cell r="M1144" t="str">
            <v>animal</v>
          </cell>
        </row>
        <row r="1145">
          <cell r="A1145">
            <v>6016</v>
          </cell>
          <cell r="B1145" t="str">
            <v>ja</v>
          </cell>
          <cell r="C1145" t="str">
            <v>根原論理 ユークリッド</v>
          </cell>
          <cell r="D1145" t="str">
            <v>ガチャ:フィーバーフェス02</v>
          </cell>
          <cell r="E1145" t="str">
            <v>執行者</v>
          </cell>
          <cell r="F1145" t="str">
            <v>格好いい</v>
          </cell>
          <cell r="G1145" t="str">
            <v>男性</v>
          </cell>
          <cell r="H1145" t="str">
            <v>blue</v>
          </cell>
          <cell r="I1145">
            <v>5</v>
          </cell>
          <cell r="J1145" t="str">
            <v>PremiumSSS</v>
          </cell>
          <cell r="K1145" t="str">
            <v>ra002</v>
          </cell>
          <cell r="L1145" t="str">
            <v>ユークリッドチャレンジ</v>
          </cell>
          <cell r="M1145" t="str">
            <v>human</v>
          </cell>
        </row>
        <row r="1146">
          <cell r="A1146">
            <v>6017</v>
          </cell>
          <cell r="B1146" t="str">
            <v>ja</v>
          </cell>
          <cell r="C1146" t="str">
            <v>不朽の極論 ユークリッド</v>
          </cell>
          <cell r="D1146" t="str">
            <v>ガチャ:フィーバーフェス02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blue</v>
          </cell>
          <cell r="I1146">
            <v>6</v>
          </cell>
          <cell r="J1146" t="str">
            <v>PremiumSSS</v>
          </cell>
          <cell r="K1146" t="str">
            <v>ra002</v>
          </cell>
          <cell r="L1146" t="str">
            <v>ユークリッドチャレンジ</v>
          </cell>
          <cell r="M1146" t="str">
            <v>human</v>
          </cell>
        </row>
        <row r="1147">
          <cell r="A1147">
            <v>6018</v>
          </cell>
          <cell r="B1147" t="str">
            <v>ja</v>
          </cell>
          <cell r="C1147" t="str">
            <v>ハヅル</v>
          </cell>
          <cell r="D1147" t="str">
            <v>ガチャ:フィーバーフェス02</v>
          </cell>
          <cell r="E1147" t="str">
            <v>執行者</v>
          </cell>
          <cell r="F1147" t="str">
            <v>格好いい</v>
          </cell>
          <cell r="G1147" t="str">
            <v>男性</v>
          </cell>
          <cell r="H1147" t="str">
            <v>red</v>
          </cell>
          <cell r="I1147">
            <v>4</v>
          </cell>
          <cell r="J1147" t="str">
            <v>PremiumSS</v>
          </cell>
          <cell r="K1147" t="str">
            <v>ra002</v>
          </cell>
          <cell r="L1147" t="str">
            <v>ユークリッドチャレンジ</v>
          </cell>
          <cell r="M1147" t="str">
            <v>animal</v>
          </cell>
        </row>
        <row r="1148">
          <cell r="A1148">
            <v>6019</v>
          </cell>
          <cell r="B1148" t="str">
            <v>ja</v>
          </cell>
          <cell r="C1148" t="str">
            <v>天織羽鶴 ハヅル</v>
          </cell>
          <cell r="D1148" t="str">
            <v>ガチャ:フィーバーフェス02</v>
          </cell>
          <cell r="E1148" t="str">
            <v>執行者</v>
          </cell>
          <cell r="F1148" t="str">
            <v>格好いい</v>
          </cell>
          <cell r="G1148" t="str">
            <v>男性</v>
          </cell>
          <cell r="H1148" t="str">
            <v>red</v>
          </cell>
          <cell r="I1148">
            <v>5</v>
          </cell>
          <cell r="J1148" t="str">
            <v>PremiumSS</v>
          </cell>
          <cell r="K1148" t="str">
            <v>ra002</v>
          </cell>
          <cell r="L1148" t="str">
            <v>ユークリッドチャレンジ</v>
          </cell>
          <cell r="M1148" t="str">
            <v>animal</v>
          </cell>
        </row>
        <row r="1149">
          <cell r="A1149">
            <v>6020</v>
          </cell>
          <cell r="B1149" t="str">
            <v>ja</v>
          </cell>
          <cell r="C1149" t="str">
            <v>ミズチ</v>
          </cell>
          <cell r="D1149" t="str">
            <v>ガチャ:フィーバーフェス02</v>
          </cell>
          <cell r="E1149" t="str">
            <v>執行者</v>
          </cell>
          <cell r="F1149" t="str">
            <v>格好いい</v>
          </cell>
          <cell r="G1149" t="str">
            <v>男性</v>
          </cell>
          <cell r="H1149" t="str">
            <v>blue</v>
          </cell>
          <cell r="I1149">
            <v>4</v>
          </cell>
          <cell r="J1149" t="str">
            <v>PremiumS</v>
          </cell>
          <cell r="K1149" t="str">
            <v>ra002</v>
          </cell>
          <cell r="L1149" t="str">
            <v>ユークリッドチャレンジ</v>
          </cell>
          <cell r="M1149" t="str">
            <v>dragon</v>
          </cell>
        </row>
        <row r="1150">
          <cell r="A1150">
            <v>8001</v>
          </cell>
          <cell r="B1150" t="str">
            <v>ja</v>
          </cell>
          <cell r="C1150" t="str">
            <v>媽祖</v>
          </cell>
          <cell r="D1150" t="str">
            <v>イベント:ミクコラボ01</v>
          </cell>
          <cell r="E1150" t="str">
            <v>執行者</v>
          </cell>
          <cell r="F1150" t="str">
            <v>格好いい</v>
          </cell>
          <cell r="G1150" t="str">
            <v>女性</v>
          </cell>
          <cell r="H1150" t="str">
            <v>yellow</v>
          </cell>
          <cell r="I1150">
            <v>5</v>
          </cell>
          <cell r="J1150" t="str">
            <v>PremiumSS</v>
          </cell>
          <cell r="K1150" t="str">
            <v>attack</v>
          </cell>
          <cell r="L1150" t="str">
            <v>攻撃タイプ</v>
          </cell>
          <cell r="M1150" t="str">
            <v>god</v>
          </cell>
        </row>
        <row r="1151">
          <cell r="A1151">
            <v>8002</v>
          </cell>
          <cell r="B1151" t="str">
            <v>ja</v>
          </cell>
          <cell r="C1151" t="str">
            <v>天后 媽祖</v>
          </cell>
          <cell r="D1151" t="str">
            <v>イベント:ミクコラボ01</v>
          </cell>
          <cell r="E1151" t="str">
            <v>執行者</v>
          </cell>
          <cell r="F1151" t="str">
            <v>格好いい</v>
          </cell>
          <cell r="G1151" t="str">
            <v>女性</v>
          </cell>
          <cell r="H1151" t="str">
            <v>yellow</v>
          </cell>
          <cell r="I1151">
            <v>6</v>
          </cell>
          <cell r="J1151" t="str">
            <v>PremiumSS</v>
          </cell>
          <cell r="K1151" t="str">
            <v>attack</v>
          </cell>
          <cell r="L1151" t="str">
            <v>攻撃タイプ</v>
          </cell>
          <cell r="M1151" t="str">
            <v>god</v>
          </cell>
        </row>
        <row r="1152">
          <cell r="A1152">
            <v>8003</v>
          </cell>
          <cell r="B1152" t="str">
            <v>ja</v>
          </cell>
          <cell r="C1152" t="str">
            <v>蛟龍</v>
          </cell>
          <cell r="D1152" t="str">
            <v>イベント:ミクコラボ01</v>
          </cell>
          <cell r="E1152" t="str">
            <v>執行者</v>
          </cell>
          <cell r="F1152" t="str">
            <v>格好いい</v>
          </cell>
          <cell r="G1152" t="str">
            <v>不明</v>
          </cell>
          <cell r="H1152" t="str">
            <v>blue</v>
          </cell>
          <cell r="I1152">
            <v>5</v>
          </cell>
          <cell r="J1152" t="str">
            <v>DropWizS</v>
          </cell>
          <cell r="K1152" t="str">
            <v>hp</v>
          </cell>
          <cell r="L1152" t="str">
            <v>体力タイプ</v>
          </cell>
          <cell r="M1152" t="str">
            <v>dragon</v>
          </cell>
        </row>
        <row r="1153">
          <cell r="A1153">
            <v>8004</v>
          </cell>
          <cell r="B1153" t="str">
            <v>ja</v>
          </cell>
          <cell r="C1153" t="str">
            <v>深海蛟龍怪‧晏公</v>
          </cell>
          <cell r="D1153" t="str">
            <v>イベント:ミクコラボ01</v>
          </cell>
          <cell r="E1153" t="str">
            <v>執行者</v>
          </cell>
          <cell r="F1153" t="str">
            <v>格好いい</v>
          </cell>
          <cell r="G1153" t="str">
            <v>不明</v>
          </cell>
          <cell r="H1153" t="str">
            <v>blue</v>
          </cell>
          <cell r="I1153">
            <v>6</v>
          </cell>
          <cell r="J1153" t="str">
            <v>DropWizS</v>
          </cell>
          <cell r="K1153" t="str">
            <v>hp</v>
          </cell>
          <cell r="L1153" t="str">
            <v>体力タイプ</v>
          </cell>
          <cell r="M1153" t="str">
            <v>dragon</v>
          </cell>
        </row>
        <row r="1154">
          <cell r="A1154">
            <v>8005</v>
          </cell>
          <cell r="B1154" t="str">
            <v>ja</v>
          </cell>
          <cell r="C1154" t="str">
            <v>三蔵法師</v>
          </cell>
          <cell r="D1154" t="str">
            <v>イベント:ミクコラボ01</v>
          </cell>
          <cell r="E1154" t="str">
            <v>執行者</v>
          </cell>
          <cell r="F1154" t="str">
            <v>格好いい</v>
          </cell>
          <cell r="G1154" t="str">
            <v>不明</v>
          </cell>
          <cell r="H1154" t="str">
            <v>blue</v>
          </cell>
          <cell r="I1154">
            <v>5</v>
          </cell>
          <cell r="J1154" t="str">
            <v>PremiumSS</v>
          </cell>
          <cell r="K1154" t="str">
            <v>balance</v>
          </cell>
          <cell r="L1154" t="str">
            <v>バランスタイプ</v>
          </cell>
          <cell r="M1154" t="str">
            <v>human</v>
          </cell>
        </row>
        <row r="1155">
          <cell r="A1155">
            <v>8006</v>
          </cell>
          <cell r="B1155" t="str">
            <v>ja</v>
          </cell>
          <cell r="C1155" t="str">
            <v>三蔵法師</v>
          </cell>
          <cell r="D1155" t="str">
            <v>イベント:ミクコラボ01</v>
          </cell>
          <cell r="E1155" t="str">
            <v>執行者</v>
          </cell>
          <cell r="F1155" t="str">
            <v>格好いい</v>
          </cell>
          <cell r="G1155" t="str">
            <v>不明</v>
          </cell>
          <cell r="H1155" t="str">
            <v>blue</v>
          </cell>
          <cell r="I1155">
            <v>6</v>
          </cell>
          <cell r="J1155" t="str">
            <v>PremiumSS</v>
          </cell>
          <cell r="K1155" t="str">
            <v>balance</v>
          </cell>
          <cell r="L1155" t="str">
            <v>バランスタイプ</v>
          </cell>
          <cell r="M1155" t="str">
            <v>human</v>
          </cell>
        </row>
        <row r="1156">
          <cell r="A1156">
            <v>8007</v>
          </cell>
          <cell r="B1156" t="str">
            <v>ja</v>
          </cell>
          <cell r="C1156" t="str">
            <v>孫悟空</v>
          </cell>
          <cell r="D1156" t="str">
            <v>イベント:ミクコラボ01</v>
          </cell>
          <cell r="E1156" t="str">
            <v>執行者</v>
          </cell>
          <cell r="F1156" t="str">
            <v>格好いい</v>
          </cell>
          <cell r="G1156" t="str">
            <v>不明</v>
          </cell>
          <cell r="H1156" t="str">
            <v>red</v>
          </cell>
          <cell r="I1156">
            <v>5</v>
          </cell>
          <cell r="J1156" t="str">
            <v>DropWizS</v>
          </cell>
          <cell r="K1156" t="str">
            <v>attack</v>
          </cell>
          <cell r="L1156" t="str">
            <v>攻撃タイプ</v>
          </cell>
          <cell r="M1156" t="str">
            <v>animal</v>
          </cell>
        </row>
        <row r="1157">
          <cell r="A1157">
            <v>8008</v>
          </cell>
          <cell r="B1157" t="str">
            <v>ja</v>
          </cell>
          <cell r="C1157" t="str">
            <v>孫悟空</v>
          </cell>
          <cell r="D1157" t="str">
            <v>イベント:ミクコラボ01</v>
          </cell>
          <cell r="E1157" t="str">
            <v>執行者</v>
          </cell>
          <cell r="F1157" t="str">
            <v>格好いい</v>
          </cell>
          <cell r="G1157" t="str">
            <v>不明</v>
          </cell>
          <cell r="H1157" t="str">
            <v>red</v>
          </cell>
          <cell r="I1157">
            <v>6</v>
          </cell>
          <cell r="J1157" t="str">
            <v>DropWizS</v>
          </cell>
          <cell r="K1157" t="str">
            <v>attack</v>
          </cell>
          <cell r="L1157" t="str">
            <v>攻撃タイプ</v>
          </cell>
          <cell r="M1157" t="str">
            <v>animal</v>
          </cell>
        </row>
        <row r="1158">
          <cell r="A1158">
            <v>8009</v>
          </cell>
          <cell r="B1158" t="str">
            <v>ja</v>
          </cell>
          <cell r="C1158" t="str">
            <v>西王娘娘</v>
          </cell>
          <cell r="D1158" t="str">
            <v>イベント:ミクコラボ01</v>
          </cell>
          <cell r="E1158" t="str">
            <v>執行者</v>
          </cell>
          <cell r="F1158" t="str">
            <v>格好いい</v>
          </cell>
          <cell r="G1158" t="str">
            <v>不明</v>
          </cell>
          <cell r="H1158" t="str">
            <v>green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8010</v>
          </cell>
          <cell r="B1159" t="str">
            <v>ja</v>
          </cell>
          <cell r="C1159" t="str">
            <v>西王娘娘</v>
          </cell>
          <cell r="D1159" t="str">
            <v>イベント:ミクコラボ01</v>
          </cell>
          <cell r="E1159" t="str">
            <v>執行者</v>
          </cell>
          <cell r="F1159" t="str">
            <v>格好いい</v>
          </cell>
          <cell r="G1159" t="str">
            <v>不明</v>
          </cell>
          <cell r="H1159" t="str">
            <v>green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8011</v>
          </cell>
          <cell r="B1160" t="str">
            <v>ja</v>
          </cell>
          <cell r="C1160" t="str">
            <v>月下老人</v>
          </cell>
          <cell r="D1160" t="str">
            <v>イベント:ミクコラボ01</v>
          </cell>
          <cell r="E1160" t="str">
            <v>執行者</v>
          </cell>
          <cell r="F1160" t="str">
            <v>格好いい</v>
          </cell>
          <cell r="G1160" t="str">
            <v>女性</v>
          </cell>
          <cell r="H1160" t="str">
            <v>yellow</v>
          </cell>
          <cell r="I1160">
            <v>5</v>
          </cell>
          <cell r="J1160" t="str">
            <v>DropWizS</v>
          </cell>
          <cell r="K1160" t="str">
            <v>balance</v>
          </cell>
          <cell r="L1160" t="str">
            <v>バランスタイプ</v>
          </cell>
          <cell r="M1160" t="str">
            <v>god</v>
          </cell>
        </row>
        <row r="1161">
          <cell r="A1161">
            <v>8012</v>
          </cell>
          <cell r="B1161" t="str">
            <v>ja</v>
          </cell>
          <cell r="C1161" t="str">
            <v>良緣祈福 月下老人</v>
          </cell>
          <cell r="D1161" t="str">
            <v>イベント:ミクコラボ01</v>
          </cell>
          <cell r="E1161" t="str">
            <v>執行者</v>
          </cell>
          <cell r="F1161" t="str">
            <v>格好いい</v>
          </cell>
          <cell r="G1161" t="str">
            <v>女性</v>
          </cell>
          <cell r="H1161" t="str">
            <v>yellow</v>
          </cell>
          <cell r="I1161">
            <v>6</v>
          </cell>
          <cell r="J1161" t="str">
            <v>DropWizS</v>
          </cell>
          <cell r="K1161" t="str">
            <v>balance</v>
          </cell>
          <cell r="L1161" t="str">
            <v>バランスタイプ</v>
          </cell>
          <cell r="M1161" t="str">
            <v>god</v>
          </cell>
        </row>
        <row r="1162">
          <cell r="A1162">
            <v>8013</v>
          </cell>
          <cell r="B1162" t="str">
            <v>ja</v>
          </cell>
          <cell r="C1162" t="str">
            <v>初音ミクV3</v>
          </cell>
          <cell r="D1162" t="str">
            <v>初音ミクV3</v>
          </cell>
          <cell r="E1162" t="str">
            <v>執行者</v>
          </cell>
          <cell r="F1162" t="str">
            <v>格好いい</v>
          </cell>
          <cell r="G1162" t="str">
            <v>女性</v>
          </cell>
          <cell r="H1162" t="str">
            <v>yellow</v>
          </cell>
          <cell r="I1162">
            <v>4</v>
          </cell>
          <cell r="J1162" t="str">
            <v>DropWizS</v>
          </cell>
          <cell r="K1162" t="str">
            <v>balance</v>
          </cell>
          <cell r="L1162" t="str">
            <v>バランスタイプ</v>
          </cell>
          <cell r="M1162" t="str">
            <v>unknown</v>
          </cell>
        </row>
        <row r="1163">
          <cell r="A1163">
            <v>8014</v>
          </cell>
          <cell r="B1163" t="str">
            <v>ja</v>
          </cell>
          <cell r="C1163" t="str">
            <v>初音ミクV3</v>
          </cell>
          <cell r="D1163" t="str">
            <v>初音ミクV3</v>
          </cell>
          <cell r="E1163" t="str">
            <v>執行者</v>
          </cell>
          <cell r="F1163" t="str">
            <v>格好いい</v>
          </cell>
          <cell r="G1163" t="str">
            <v>女性</v>
          </cell>
          <cell r="H1163" t="str">
            <v>yellow</v>
          </cell>
          <cell r="I1163">
            <v>5</v>
          </cell>
          <cell r="J1163" t="str">
            <v>DropWizS</v>
          </cell>
          <cell r="K1163" t="str">
            <v>balance</v>
          </cell>
          <cell r="L1163" t="str">
            <v>バランスタイプ</v>
          </cell>
          <cell r="M1163" t="str">
            <v>unknown</v>
          </cell>
        </row>
        <row r="1164">
          <cell r="A1164">
            <v>8015</v>
          </cell>
          <cell r="B1164" t="str">
            <v>ja</v>
          </cell>
          <cell r="C1164" t="str">
            <v>初音ミク・アペンド</v>
          </cell>
          <cell r="D1164" t="str">
            <v>初音ミク・アペンド</v>
          </cell>
          <cell r="E1164" t="str">
            <v>執行者</v>
          </cell>
          <cell r="F1164" t="str">
            <v>格好いい</v>
          </cell>
          <cell r="G1164" t="str">
            <v>女性</v>
          </cell>
          <cell r="H1164" t="str">
            <v>green</v>
          </cell>
          <cell r="I1164">
            <v>4</v>
          </cell>
          <cell r="J1164" t="str">
            <v>PremiumSSS</v>
          </cell>
          <cell r="K1164" t="str">
            <v>technical</v>
          </cell>
          <cell r="L1164" t="str">
            <v>テクニカルタイプ</v>
          </cell>
          <cell r="M1164" t="str">
            <v>unknown</v>
          </cell>
        </row>
        <row r="1165">
          <cell r="A1165">
            <v>8016</v>
          </cell>
          <cell r="B1165" t="str">
            <v>ja</v>
          </cell>
          <cell r="C1165" t="str">
            <v>初音ミク・アペンド</v>
          </cell>
          <cell r="D1165" t="str">
            <v>初音ミク・アペンド</v>
          </cell>
          <cell r="E1165" t="str">
            <v>執行者</v>
          </cell>
          <cell r="F1165" t="str">
            <v>格好いい</v>
          </cell>
          <cell r="G1165" t="str">
            <v>女性</v>
          </cell>
          <cell r="H1165" t="str">
            <v>green</v>
          </cell>
          <cell r="I1165">
            <v>5</v>
          </cell>
          <cell r="J1165" t="str">
            <v>PremiumSSS</v>
          </cell>
          <cell r="K1165" t="str">
            <v>technical</v>
          </cell>
          <cell r="L1165" t="str">
            <v>テクニカルタイプ</v>
          </cell>
          <cell r="M1165" t="str">
            <v>unknown</v>
          </cell>
        </row>
        <row r="1166">
          <cell r="A1166">
            <v>8017</v>
          </cell>
          <cell r="B1166" t="str">
            <v>ja</v>
          </cell>
          <cell r="C1166" t="str">
            <v>初音ミク</v>
          </cell>
          <cell r="D1166" t="str">
            <v>初音ミク</v>
          </cell>
          <cell r="E1166" t="str">
            <v>執行者</v>
          </cell>
          <cell r="F1166" t="str">
            <v>格好いい</v>
          </cell>
          <cell r="G1166" t="str">
            <v>女性</v>
          </cell>
          <cell r="H1166" t="str">
            <v>green</v>
          </cell>
          <cell r="I1166">
            <v>4</v>
          </cell>
          <cell r="J1166" t="str">
            <v>PremiumSSS</v>
          </cell>
          <cell r="K1166" t="str">
            <v>balance</v>
          </cell>
          <cell r="L1166" t="str">
            <v>バランスタイプ</v>
          </cell>
          <cell r="M1166" t="str">
            <v>unknown</v>
          </cell>
        </row>
        <row r="1167">
          <cell r="A1167">
            <v>8018</v>
          </cell>
          <cell r="B1167" t="str">
            <v>ja</v>
          </cell>
          <cell r="C1167" t="str">
            <v>初音ミク</v>
          </cell>
          <cell r="D1167" t="str">
            <v>初音ミク</v>
          </cell>
          <cell r="E1167" t="str">
            <v>執行者</v>
          </cell>
          <cell r="F1167" t="str">
            <v>格好いい</v>
          </cell>
          <cell r="G1167" t="str">
            <v>女性</v>
          </cell>
          <cell r="H1167" t="str">
            <v>green</v>
          </cell>
          <cell r="I1167">
            <v>5</v>
          </cell>
          <cell r="J1167" t="str">
            <v>PremiumSSS</v>
          </cell>
          <cell r="K1167" t="str">
            <v>balance</v>
          </cell>
          <cell r="L1167" t="str">
            <v>バランスタイプ</v>
          </cell>
          <cell r="M1167" t="str">
            <v>unknown</v>
          </cell>
        </row>
        <row r="1168">
          <cell r="A1168">
            <v>8019</v>
          </cell>
          <cell r="B1168" t="str">
            <v>ja</v>
          </cell>
          <cell r="C1168" t="str">
            <v>鏡音リン</v>
          </cell>
          <cell r="D1168" t="str">
            <v>鏡音リン</v>
          </cell>
          <cell r="E1168" t="str">
            <v>執行者</v>
          </cell>
          <cell r="F1168" t="str">
            <v>格好いい</v>
          </cell>
          <cell r="G1168" t="str">
            <v>男性</v>
          </cell>
          <cell r="H1168" t="str">
            <v>yellow</v>
          </cell>
          <cell r="I1168">
            <v>4</v>
          </cell>
          <cell r="J1168" t="str">
            <v>PremiumSS</v>
          </cell>
          <cell r="K1168" t="str">
            <v>balance</v>
          </cell>
          <cell r="L1168" t="str">
            <v>バランスタイプ</v>
          </cell>
          <cell r="M1168" t="str">
            <v>unknown</v>
          </cell>
        </row>
        <row r="1169">
          <cell r="A1169">
            <v>8020</v>
          </cell>
          <cell r="B1169" t="str">
            <v>ja</v>
          </cell>
          <cell r="C1169" t="str">
            <v>鏡音リン</v>
          </cell>
          <cell r="D1169" t="str">
            <v>鏡音リン</v>
          </cell>
          <cell r="E1169" t="str">
            <v>執行者</v>
          </cell>
          <cell r="F1169" t="str">
            <v>格好いい</v>
          </cell>
          <cell r="G1169" t="str">
            <v>男性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balance</v>
          </cell>
          <cell r="L1169" t="str">
            <v>バランスタイプ</v>
          </cell>
          <cell r="M1169" t="str">
            <v>unknown</v>
          </cell>
        </row>
        <row r="1170">
          <cell r="A1170">
            <v>8021</v>
          </cell>
          <cell r="B1170" t="str">
            <v>ja</v>
          </cell>
          <cell r="C1170" t="str">
            <v>鏡音レン</v>
          </cell>
          <cell r="D1170" t="str">
            <v>鏡音レン</v>
          </cell>
          <cell r="E1170" t="str">
            <v>執行者</v>
          </cell>
          <cell r="F1170" t="str">
            <v>格好いい</v>
          </cell>
          <cell r="G1170" t="str">
            <v>女性</v>
          </cell>
          <cell r="H1170" t="str">
            <v>yellow</v>
          </cell>
          <cell r="I1170">
            <v>4</v>
          </cell>
          <cell r="J1170" t="str">
            <v>PremiumSS</v>
          </cell>
          <cell r="K1170" t="str">
            <v>heal</v>
          </cell>
          <cell r="L1170" t="str">
            <v>回復タイプ</v>
          </cell>
          <cell r="M1170" t="str">
            <v>unknown</v>
          </cell>
        </row>
        <row r="1171">
          <cell r="A1171">
            <v>8022</v>
          </cell>
          <cell r="B1171" t="str">
            <v>ja</v>
          </cell>
          <cell r="C1171" t="str">
            <v>鏡音レン</v>
          </cell>
          <cell r="D1171" t="str">
            <v>鏡音レン</v>
          </cell>
          <cell r="E1171" t="str">
            <v>執行者</v>
          </cell>
          <cell r="F1171" t="str">
            <v>格好いい</v>
          </cell>
          <cell r="G1171" t="str">
            <v>女性</v>
          </cell>
          <cell r="H1171" t="str">
            <v>yellow</v>
          </cell>
          <cell r="I1171">
            <v>5</v>
          </cell>
          <cell r="J1171" t="str">
            <v>PremiumSS</v>
          </cell>
          <cell r="K1171" t="str">
            <v>heal</v>
          </cell>
          <cell r="L1171" t="str">
            <v>回復タイプ</v>
          </cell>
          <cell r="M1171" t="str">
            <v>unknown</v>
          </cell>
        </row>
        <row r="1172">
          <cell r="A1172">
            <v>8023</v>
          </cell>
          <cell r="B1172" t="str">
            <v>ja</v>
          </cell>
          <cell r="C1172" t="str">
            <v>巡音ルカ</v>
          </cell>
          <cell r="D1172" t="str">
            <v>巡音ルカ</v>
          </cell>
          <cell r="E1172" t="str">
            <v>執行者</v>
          </cell>
          <cell r="F1172" t="str">
            <v>格好いい</v>
          </cell>
          <cell r="G1172" t="str">
            <v>女性</v>
          </cell>
          <cell r="H1172" t="str">
            <v>red</v>
          </cell>
          <cell r="I1172">
            <v>3</v>
          </cell>
          <cell r="J1172" t="str">
            <v>PremiumS</v>
          </cell>
          <cell r="K1172" t="str">
            <v>attack</v>
          </cell>
          <cell r="L1172" t="str">
            <v>攻撃タイプ</v>
          </cell>
          <cell r="M1172" t="str">
            <v>unknown</v>
          </cell>
        </row>
        <row r="1173">
          <cell r="A1173">
            <v>8024</v>
          </cell>
          <cell r="B1173" t="str">
            <v>ja</v>
          </cell>
          <cell r="C1173" t="str">
            <v>巡音ルカ</v>
          </cell>
          <cell r="D1173" t="str">
            <v>巡音ルカ</v>
          </cell>
          <cell r="E1173" t="str">
            <v>執行者</v>
          </cell>
          <cell r="F1173" t="str">
            <v>格好いい</v>
          </cell>
          <cell r="G1173" t="str">
            <v>女性</v>
          </cell>
          <cell r="H1173" t="str">
            <v>red</v>
          </cell>
          <cell r="I1173">
            <v>4</v>
          </cell>
          <cell r="J1173" t="str">
            <v>PremiumS</v>
          </cell>
          <cell r="K1173" t="str">
            <v>attack</v>
          </cell>
          <cell r="L1173" t="str">
            <v>攻撃タイプ</v>
          </cell>
          <cell r="M1173" t="str">
            <v>unknown</v>
          </cell>
        </row>
        <row r="1174">
          <cell r="A1174">
            <v>8025</v>
          </cell>
          <cell r="B1174" t="str">
            <v>ja</v>
          </cell>
          <cell r="C1174" t="str">
            <v>MEIKO</v>
          </cell>
          <cell r="D1174" t="str">
            <v>MEIKO</v>
          </cell>
          <cell r="E1174" t="str">
            <v>執行者</v>
          </cell>
          <cell r="F1174" t="str">
            <v>格好いい</v>
          </cell>
          <cell r="G1174" t="str">
            <v>男性</v>
          </cell>
          <cell r="H1174" t="str">
            <v>red</v>
          </cell>
          <cell r="I1174">
            <v>3</v>
          </cell>
          <cell r="J1174" t="str">
            <v>PremiumS</v>
          </cell>
          <cell r="K1174" t="str">
            <v>hp</v>
          </cell>
          <cell r="L1174" t="str">
            <v>体力タイプ</v>
          </cell>
          <cell r="M1174" t="str">
            <v>unknown</v>
          </cell>
        </row>
        <row r="1175">
          <cell r="A1175">
            <v>8026</v>
          </cell>
          <cell r="B1175" t="str">
            <v>ja</v>
          </cell>
          <cell r="C1175" t="str">
            <v>MEIKO</v>
          </cell>
          <cell r="D1175" t="str">
            <v>MEIKO</v>
          </cell>
          <cell r="E1175" t="str">
            <v>執行者</v>
          </cell>
          <cell r="F1175" t="str">
            <v>格好いい</v>
          </cell>
          <cell r="G1175" t="str">
            <v>男性</v>
          </cell>
          <cell r="H1175" t="str">
            <v>red</v>
          </cell>
          <cell r="I1175">
            <v>4</v>
          </cell>
          <cell r="J1175" t="str">
            <v>PremiumS</v>
          </cell>
          <cell r="K1175" t="str">
            <v>hp</v>
          </cell>
          <cell r="L1175" t="str">
            <v>体力タイプ</v>
          </cell>
          <cell r="M1175" t="str">
            <v>unknown</v>
          </cell>
        </row>
        <row r="1176">
          <cell r="A1176">
            <v>8027</v>
          </cell>
          <cell r="B1176" t="str">
            <v>ja</v>
          </cell>
          <cell r="C1176" t="str">
            <v>KAITO</v>
          </cell>
          <cell r="D1176" t="str">
            <v>KAITO</v>
          </cell>
          <cell r="E1176" t="str">
            <v>執行者</v>
          </cell>
          <cell r="F1176" t="str">
            <v>格好いい</v>
          </cell>
          <cell r="G1176" t="str">
            <v>女性</v>
          </cell>
          <cell r="H1176" t="str">
            <v>blue</v>
          </cell>
          <cell r="I1176">
            <v>3</v>
          </cell>
          <cell r="J1176" t="str">
            <v>PremiumS</v>
          </cell>
          <cell r="K1176" t="str">
            <v>technical</v>
          </cell>
          <cell r="L1176" t="str">
            <v>テクニカルタイプ</v>
          </cell>
          <cell r="M1176" t="str">
            <v>unknown</v>
          </cell>
        </row>
        <row r="1177">
          <cell r="A1177">
            <v>8028</v>
          </cell>
          <cell r="B1177" t="str">
            <v>ja</v>
          </cell>
          <cell r="C1177" t="str">
            <v>KAITO</v>
          </cell>
          <cell r="D1177" t="str">
            <v>KAITO</v>
          </cell>
          <cell r="E1177" t="str">
            <v>執行者</v>
          </cell>
          <cell r="F1177" t="str">
            <v>格好いい</v>
          </cell>
          <cell r="G1177" t="str">
            <v>女性</v>
          </cell>
          <cell r="H1177" t="str">
            <v>blue</v>
          </cell>
          <cell r="I1177">
            <v>4</v>
          </cell>
          <cell r="J1177" t="str">
            <v>PremiumS</v>
          </cell>
          <cell r="K1177" t="str">
            <v>technical</v>
          </cell>
          <cell r="L1177" t="str">
            <v>テクニカルタイプ</v>
          </cell>
          <cell r="M1177" t="str">
            <v>unknown</v>
          </cell>
        </row>
        <row r="1178">
          <cell r="A1178">
            <v>8029</v>
          </cell>
          <cell r="B1178" t="str">
            <v>ja</v>
          </cell>
          <cell r="C1178" t="str">
            <v>Expoミク</v>
          </cell>
          <cell r="D1178" t="str">
            <v>Expoミク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blue</v>
          </cell>
          <cell r="I1178">
            <v>4</v>
          </cell>
          <cell r="J1178" t="str">
            <v>Drop2N</v>
          </cell>
          <cell r="K1178" t="str">
            <v>heal</v>
          </cell>
          <cell r="L1178" t="str">
            <v>回復タイプ</v>
          </cell>
          <cell r="M1178" t="str">
            <v>unknown</v>
          </cell>
        </row>
        <row r="1179">
          <cell r="A1179">
            <v>8030</v>
          </cell>
          <cell r="B1179" t="str">
            <v>ja</v>
          </cell>
          <cell r="C1179" t="str">
            <v>Expoミク</v>
          </cell>
          <cell r="D1179" t="str">
            <v>Expoミク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blue</v>
          </cell>
          <cell r="I1179">
            <v>5</v>
          </cell>
          <cell r="J1179" t="str">
            <v>Drop2N</v>
          </cell>
          <cell r="K1179" t="str">
            <v>heal</v>
          </cell>
          <cell r="L1179" t="str">
            <v>回復タイプ</v>
          </cell>
          <cell r="M117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C45" sqref="C45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4" t="s">
        <v>215</v>
      </c>
      <c r="K40" s="84" t="s">
        <v>190</v>
      </c>
      <c r="M40" s="84" t="s">
        <v>240</v>
      </c>
    </row>
    <row r="41" spans="1:13" x14ac:dyDescent="0.15">
      <c r="J41" s="84" t="s">
        <v>216</v>
      </c>
      <c r="K41" s="84" t="s">
        <v>217</v>
      </c>
      <c r="M41" s="66" t="s">
        <v>185</v>
      </c>
    </row>
    <row r="42" spans="1:13" x14ac:dyDescent="0.15">
      <c r="J42" s="84" t="s">
        <v>218</v>
      </c>
      <c r="K42" s="84" t="s">
        <v>219</v>
      </c>
    </row>
    <row r="43" spans="1:13" x14ac:dyDescent="0.15">
      <c r="J43" s="84" t="s">
        <v>220</v>
      </c>
      <c r="K43" s="84" t="s">
        <v>221</v>
      </c>
    </row>
    <row r="44" spans="1:13" x14ac:dyDescent="0.15">
      <c r="J44" s="84" t="s">
        <v>222</v>
      </c>
      <c r="K44" s="84" t="s">
        <v>223</v>
      </c>
    </row>
    <row r="45" spans="1:13" x14ac:dyDescent="0.15">
      <c r="J45" s="84" t="s">
        <v>224</v>
      </c>
      <c r="K45" s="84" t="s">
        <v>225</v>
      </c>
    </row>
    <row r="46" spans="1:13" x14ac:dyDescent="0.15">
      <c r="J46" s="84" t="s">
        <v>226</v>
      </c>
      <c r="K46" s="84" t="s">
        <v>227</v>
      </c>
    </row>
    <row r="47" spans="1:13" x14ac:dyDescent="0.15">
      <c r="J47" s="84" t="s">
        <v>228</v>
      </c>
      <c r="K47" s="84" t="s">
        <v>232</v>
      </c>
    </row>
    <row r="48" spans="1:13" x14ac:dyDescent="0.15">
      <c r="J48" s="84" t="s">
        <v>229</v>
      </c>
      <c r="K48" s="84" t="s">
        <v>233</v>
      </c>
    </row>
    <row r="49" spans="10:11" x14ac:dyDescent="0.15">
      <c r="J49" s="84" t="s">
        <v>230</v>
      </c>
      <c r="K49" s="84" t="s">
        <v>234</v>
      </c>
    </row>
    <row r="50" spans="10:11" x14ac:dyDescent="0.15">
      <c r="J50" s="84" t="s">
        <v>231</v>
      </c>
      <c r="K50" s="84" t="s">
        <v>235</v>
      </c>
    </row>
    <row r="51" spans="10:11" x14ac:dyDescent="0.15">
      <c r="J51" s="84" t="s">
        <v>237</v>
      </c>
      <c r="K51" s="84" t="s">
        <v>236</v>
      </c>
    </row>
    <row r="52" spans="10:11" x14ac:dyDescent="0.15">
      <c r="J52" s="84" t="s">
        <v>238</v>
      </c>
      <c r="K52" s="84" t="s">
        <v>239</v>
      </c>
    </row>
    <row r="53" spans="10:11" x14ac:dyDescent="0.15">
      <c r="J53" s="84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1"/>
  <sheetViews>
    <sheetView workbookViewId="0">
      <selection activeCell="C19" sqref="C19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9" t="s">
        <v>265</v>
      </c>
      <c r="B2" s="61" t="s">
        <v>110</v>
      </c>
      <c r="C2" s="50" t="str">
        <f t="shared" ref="C2:C3" si="0">RIGHT(F2,6)</f>
        <v>380100</v>
      </c>
      <c r="D2" s="19" t="s">
        <v>45</v>
      </c>
      <c r="E2" s="17" t="str">
        <f t="shared" ref="E2:E3" si="1">B2&amp;C2&amp;D2</f>
        <v>gacha_select_tables_380100.tmp</v>
      </c>
      <c r="F2" s="95" t="s">
        <v>263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9" t="s">
        <v>266</v>
      </c>
      <c r="B3" s="61" t="s">
        <v>110</v>
      </c>
      <c r="C3" s="50" t="str">
        <f t="shared" si="0"/>
        <v>380010</v>
      </c>
      <c r="D3" s="19" t="s">
        <v>45</v>
      </c>
      <c r="E3" s="17" t="str">
        <f t="shared" si="1"/>
        <v>gacha_select_tables_380010.tmp</v>
      </c>
      <c r="F3" s="95" t="s">
        <v>264</v>
      </c>
      <c r="G3" s="49" t="s">
        <v>84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9" t="s">
        <v>266</v>
      </c>
      <c r="B4" s="61" t="s">
        <v>110</v>
      </c>
      <c r="C4" s="50" t="str">
        <f t="shared" ref="C4:C8" si="2">RIGHT(F4,6)</f>
        <v>380011</v>
      </c>
      <c r="D4" s="19" t="s">
        <v>45</v>
      </c>
      <c r="E4" s="17" t="str">
        <f t="shared" ref="E4:E11" si="3">B4&amp;C4&amp;D4</f>
        <v>gacha_select_tables_380011.tmp</v>
      </c>
      <c r="F4" s="100" t="s">
        <v>267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4" t="s">
        <v>262</v>
      </c>
      <c r="B5" s="77" t="s">
        <v>213</v>
      </c>
      <c r="C5" s="50" t="str">
        <f t="shared" si="2"/>
        <v>364100</v>
      </c>
      <c r="D5" s="19" t="s">
        <v>45</v>
      </c>
      <c r="E5" s="17" t="str">
        <f t="shared" ref="E5:E8" si="4">B5&amp;C5&amp;D5</f>
        <v>gacha_settle_tables_364100.tmp</v>
      </c>
      <c r="F5" s="93" t="s">
        <v>261</v>
      </c>
      <c r="G5" s="49" t="s">
        <v>85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9" t="s">
        <v>254</v>
      </c>
      <c r="B6" s="61" t="s">
        <v>110</v>
      </c>
      <c r="C6" s="50" t="str">
        <f t="shared" si="2"/>
        <v>363104</v>
      </c>
      <c r="D6" s="19" t="s">
        <v>45</v>
      </c>
      <c r="E6" s="17" t="str">
        <f t="shared" si="4"/>
        <v>gacha_select_tables_363104.tmp</v>
      </c>
      <c r="F6" s="92" t="s">
        <v>257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9" t="s">
        <v>254</v>
      </c>
      <c r="B7" s="61" t="s">
        <v>110</v>
      </c>
      <c r="C7" s="50" t="str">
        <f t="shared" ref="C7" si="5">RIGHT(F7,6)</f>
        <v>363105</v>
      </c>
      <c r="D7" s="19" t="s">
        <v>45</v>
      </c>
      <c r="E7" s="17" t="str">
        <f t="shared" ref="E7" si="6">B7&amp;C7&amp;D7</f>
        <v>gacha_select_tables_363105.tmp</v>
      </c>
      <c r="F7" s="92" t="s">
        <v>258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9" t="s">
        <v>254</v>
      </c>
      <c r="B8" s="61" t="s">
        <v>110</v>
      </c>
      <c r="C8" s="50" t="str">
        <f t="shared" si="2"/>
        <v>363100</v>
      </c>
      <c r="D8" s="19" t="s">
        <v>45</v>
      </c>
      <c r="E8" s="17" t="str">
        <f t="shared" si="4"/>
        <v>gacha_select_tables_363100.tmp</v>
      </c>
      <c r="F8" s="92" t="s">
        <v>259</v>
      </c>
      <c r="G8" s="49" t="s">
        <v>84</v>
      </c>
      <c r="H8" s="22" t="s">
        <v>0</v>
      </c>
      <c r="I8" s="22" t="s">
        <v>3</v>
      </c>
      <c r="J8" s="22" t="s">
        <v>4</v>
      </c>
      <c r="K8" s="22" t="s">
        <v>5</v>
      </c>
      <c r="L8" s="22" t="s">
        <v>6</v>
      </c>
      <c r="M8" s="22" t="s">
        <v>7</v>
      </c>
      <c r="N8" s="22" t="s">
        <v>8</v>
      </c>
      <c r="O8" s="22" t="s">
        <v>9</v>
      </c>
    </row>
    <row r="9" spans="1:21" x14ac:dyDescent="0.15">
      <c r="A9" s="89" t="s">
        <v>254</v>
      </c>
      <c r="B9" s="27" t="s">
        <v>50</v>
      </c>
      <c r="C9" s="32">
        <v>363</v>
      </c>
      <c r="D9" s="19" t="s">
        <v>46</v>
      </c>
      <c r="E9" s="17" t="str">
        <f t="shared" si="3"/>
        <v>gacha_bonus_tables_363.tmp</v>
      </c>
      <c r="F9" s="19" t="s">
        <v>47</v>
      </c>
      <c r="G9" s="21" t="s">
        <v>11</v>
      </c>
      <c r="H9" s="23" t="s">
        <v>14</v>
      </c>
      <c r="I9" s="21" t="s">
        <v>12</v>
      </c>
      <c r="J9" s="20"/>
      <c r="K9" s="20"/>
      <c r="L9" s="20"/>
      <c r="M9" s="20"/>
      <c r="N9" s="20"/>
      <c r="O9" s="20"/>
    </row>
    <row r="10" spans="1:21" x14ac:dyDescent="0.15">
      <c r="A10" s="89" t="s">
        <v>254</v>
      </c>
      <c r="B10" s="19" t="s">
        <v>48</v>
      </c>
      <c r="C10" s="32">
        <v>363</v>
      </c>
      <c r="D10" s="19" t="s">
        <v>46</v>
      </c>
      <c r="E10" s="17" t="str">
        <f t="shared" si="3"/>
        <v>gifts_tmp_363.tmp</v>
      </c>
      <c r="F10" s="19" t="s">
        <v>47</v>
      </c>
      <c r="G10" s="23" t="s">
        <v>22</v>
      </c>
      <c r="H10" s="24" t="s">
        <v>30</v>
      </c>
      <c r="I10" s="23" t="s">
        <v>23</v>
      </c>
      <c r="J10" s="23" t="s">
        <v>24</v>
      </c>
      <c r="K10" s="23" t="s">
        <v>24</v>
      </c>
      <c r="L10" s="23" t="s">
        <v>25</v>
      </c>
      <c r="M10" s="23" t="s">
        <v>25</v>
      </c>
      <c r="N10" s="23" t="s">
        <v>25</v>
      </c>
      <c r="O10" s="51" t="s">
        <v>7</v>
      </c>
      <c r="P10" s="51" t="s">
        <v>9</v>
      </c>
      <c r="Q10" s="51" t="s">
        <v>6</v>
      </c>
      <c r="R10" s="51" t="s">
        <v>86</v>
      </c>
      <c r="S10" s="51" t="s">
        <v>8</v>
      </c>
      <c r="T10" s="51" t="s">
        <v>87</v>
      </c>
      <c r="U10" s="51" t="s">
        <v>5</v>
      </c>
    </row>
    <row r="11" spans="1:21" x14ac:dyDescent="0.15">
      <c r="A11" s="89" t="s">
        <v>254</v>
      </c>
      <c r="B11" s="19" t="s">
        <v>49</v>
      </c>
      <c r="C11" s="32">
        <v>363</v>
      </c>
      <c r="D11" s="19" t="s">
        <v>46</v>
      </c>
      <c r="E11" s="17" t="str">
        <f t="shared" si="3"/>
        <v>gifts_i18n_363.tmp</v>
      </c>
      <c r="F11" s="19" t="s">
        <v>47</v>
      </c>
      <c r="G11" s="23" t="s">
        <v>13</v>
      </c>
      <c r="H11" s="25" t="s">
        <v>26</v>
      </c>
      <c r="I11" s="25" t="s">
        <v>27</v>
      </c>
      <c r="J11" s="25" t="s">
        <v>28</v>
      </c>
      <c r="K11" s="25" t="s">
        <v>29</v>
      </c>
      <c r="L11" s="26"/>
      <c r="M11" s="23"/>
      <c r="N11" s="23"/>
      <c r="O11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workbookViewId="0">
      <selection activeCell="O281" sqref="O28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380010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VLOOKUP(L3,tables_380010!B:C,2,FALSE)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VLOOKUP(L4,tables_380010!B:C,2,FALSE)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1.1904761904761906E-3</v>
      </c>
      <c r="F5">
        <f>(COUNTIF(tables_380010!C:C,input_380010!A28)+COUNTIF(tables_380010!C:C,input_380010!A29))</f>
        <v>42</v>
      </c>
      <c r="H5" s="85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VLOOKUP(L5,tables_380010!B:C,2,FALSE)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6">
        <f>(B10-H6)/(F6-I6)</f>
        <v>1.1046511627906977E-2</v>
      </c>
      <c r="F6">
        <f>(COUNTIF(tables_380010!C:C,input_380010!A25)+COUNTIF(tables_380010!C:C,input_380010!A18)+COUNTIF(tables_380010!C:C,input_380010!A20)+COUNTIF(tables_380010!C:C,input_380010!A22))</f>
        <v>86</v>
      </c>
      <c r="H6" s="91">
        <v>0</v>
      </c>
      <c r="I6" s="31">
        <v>0</v>
      </c>
      <c r="L6" s="60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VLOOKUP(L6,tables_380010!B:C,2,FALSE)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VLOOKUP(L7,tables_380010!B:C,2,FALSE)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VLOOKUP(L8,tables_380010!B:C,2,FALSE)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90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VLOOKUP(L9,tables_380010!B:C,2,FALSE)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90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VLOOKUP(L10,tables_380010!B:C,2,FALSE)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8">
        <v>0.05</v>
      </c>
      <c r="C11" t="s">
        <v>256</v>
      </c>
      <c r="L11" s="90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VLOOKUP(L11,tables_380010!B:C,2,FALSE)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VLOOKUP(L12,tables_380010!B:C,2,FALSE)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VLOOKUP(L13,tables_380010!B:C,2,FALSE)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VLOOKUP(L14,tables_380010!B:C,2,FALSE)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VLOOKUP(L15,tables_380010!B:C,2,FALSE)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VLOOKUP(L16,tables_380010!B:C,2,FALSE)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3">
        <f>B$5-B19-B24</f>
        <v>0.19069767441860466</v>
      </c>
      <c r="C17" s="86">
        <f t="shared" ref="C17:C31" si="2">SUMIF(Q:Q,A17,N:N)</f>
        <v>0</v>
      </c>
      <c r="D17" s="74">
        <f t="shared" ref="D17:D32" si="3">B17-C17</f>
        <v>0.19069767441860466</v>
      </c>
      <c r="E17">
        <f>COUNTIF(tables_380010!C:C,input_380010!A17)-COUNTIF(Q:Q,A17)</f>
        <v>20</v>
      </c>
      <c r="F17" s="43">
        <f>IFERROR(B17/E17,0)</f>
        <v>9.5348837209302331E-3</v>
      </c>
      <c r="G17">
        <f t="shared" ref="G17:G31" si="4">A$36*B17</f>
        <v>1377600</v>
      </c>
      <c r="H17">
        <f t="shared" ref="H17:H31" si="5">IFERROR(ROUND(G17/E17,5),0)</f>
        <v>68880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VLOOKUP(L17,tables_380010!B:C,2,FALSE)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3.0232558139534876E-2</v>
      </c>
      <c r="C18" s="86">
        <f t="shared" si="2"/>
        <v>0</v>
      </c>
      <c r="D18" s="74">
        <f t="shared" si="3"/>
        <v>3.0232558139534876E-2</v>
      </c>
      <c r="E18">
        <f>COUNTIF(tables_380010!C:C,input_380010!A18)-COUNTIF(Q:Q,A18)</f>
        <v>20</v>
      </c>
      <c r="F18" s="43">
        <f>IFERROR(B18/E18,0)</f>
        <v>1.5116279069767439E-3</v>
      </c>
      <c r="G18">
        <f t="shared" si="4"/>
        <v>218399.99999999994</v>
      </c>
      <c r="H18">
        <f t="shared" si="5"/>
        <v>10920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VLOOKUP(L18,tables_380010!B:C,2,FALSE)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0.28720930232558139</v>
      </c>
      <c r="C19" s="86">
        <f t="shared" si="2"/>
        <v>0</v>
      </c>
      <c r="D19" s="74">
        <f t="shared" si="3"/>
        <v>0.28720930232558139</v>
      </c>
      <c r="E19">
        <f>COUNTIF(tables_380010!C:C,input_380010!A19)-COUNTIF(Q:Q,A19)</f>
        <v>52</v>
      </c>
      <c r="F19" s="43">
        <f t="shared" ref="F19:F31" si="8">IFERROR(B19/E19,0)</f>
        <v>5.5232558139534883E-3</v>
      </c>
      <c r="G19">
        <f t="shared" si="4"/>
        <v>2074800</v>
      </c>
      <c r="H19">
        <f t="shared" si="5"/>
        <v>39900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VLOOKUP(L19,tables_380010!B:C,2,FALSE)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56">
        <f>E$6*E20*B$6</f>
        <v>0.25848837209302328</v>
      </c>
      <c r="C20" s="86">
        <f t="shared" si="2"/>
        <v>0</v>
      </c>
      <c r="D20" s="74">
        <f t="shared" si="3"/>
        <v>0.25848837209302328</v>
      </c>
      <c r="E20">
        <f>COUNTIF(tables_380010!C:C,input_380010!A20)-COUNTIF(Q:Q,A20)</f>
        <v>52</v>
      </c>
      <c r="F20" s="43">
        <f t="shared" si="8"/>
        <v>4.9709302325581396E-3</v>
      </c>
      <c r="G20">
        <f t="shared" si="4"/>
        <v>1867320.0000000002</v>
      </c>
      <c r="H20">
        <f t="shared" si="5"/>
        <v>35910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VLOOKUP(L20,tables_380010!B:C,2,FALSE)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E$6*E21*B$7</f>
        <v>2.8720930232558142E-2</v>
      </c>
      <c r="C21" s="86">
        <f t="shared" si="2"/>
        <v>0</v>
      </c>
      <c r="D21" s="74">
        <f t="shared" si="3"/>
        <v>2.8720930232558142E-2</v>
      </c>
      <c r="E21">
        <f>COUNTIF(tables_380010!C:C,input_380010!A21)-COUNTIF(Q:Q,A21)</f>
        <v>52</v>
      </c>
      <c r="F21" s="43">
        <f t="shared" si="8"/>
        <v>5.5232558139534885E-4</v>
      </c>
      <c r="G21">
        <f t="shared" si="4"/>
        <v>207480.00000000003</v>
      </c>
      <c r="H21">
        <f t="shared" si="5"/>
        <v>3990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0.10972868217054264</v>
      </c>
      <c r="C22" s="86">
        <f t="shared" si="2"/>
        <v>0</v>
      </c>
      <c r="D22" s="74">
        <f t="shared" si="3"/>
        <v>0.10972868217054264</v>
      </c>
      <c r="E22">
        <f>COUNTIF(tables_380010!C:C,input_380010!A22)-COUNTIF(Q:Q,A22)</f>
        <v>10</v>
      </c>
      <c r="F22" s="43">
        <f t="shared" si="8"/>
        <v>1.0972868217054264E-2</v>
      </c>
      <c r="G22">
        <f t="shared" si="4"/>
        <v>792680</v>
      </c>
      <c r="H22">
        <f t="shared" si="5"/>
        <v>79268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B$7-B21-B26-B28-B29</f>
        <v>7.3643410852712934E-4</v>
      </c>
      <c r="C23" s="86">
        <f t="shared" si="2"/>
        <v>0</v>
      </c>
      <c r="D23" s="74">
        <f t="shared" si="3"/>
        <v>7.3643410852712934E-4</v>
      </c>
      <c r="E23">
        <f>COUNTIF(tables_380010!C:C,input_380010!A23)-COUNTIF(Q:Q,A23)</f>
        <v>10</v>
      </c>
      <c r="F23" s="43">
        <f t="shared" si="8"/>
        <v>7.3643410852712934E-5</v>
      </c>
      <c r="G23">
        <f t="shared" si="4"/>
        <v>5319.9999999999827</v>
      </c>
      <c r="H23">
        <f t="shared" si="5"/>
        <v>532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2.2093023255813953E-2</v>
      </c>
      <c r="C24" s="86">
        <f t="shared" si="2"/>
        <v>0</v>
      </c>
      <c r="D24" s="74">
        <f t="shared" si="3"/>
        <v>2.2093023255813953E-2</v>
      </c>
      <c r="E24">
        <f>COUNTIF(tables_380010!C:C,input_380010!A24)-COUNTIF(Q:Q,A24)</f>
        <v>4</v>
      </c>
      <c r="F24" s="43">
        <f t="shared" si="8"/>
        <v>5.5232558139534883E-3</v>
      </c>
      <c r="G24">
        <f t="shared" si="4"/>
        <v>159600</v>
      </c>
      <c r="H24">
        <f t="shared" si="5"/>
        <v>39900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1.9883720930232558E-2</v>
      </c>
      <c r="C25" s="86">
        <f t="shared" si="2"/>
        <v>0</v>
      </c>
      <c r="D25" s="74">
        <f t="shared" si="3"/>
        <v>1.9883720930232558E-2</v>
      </c>
      <c r="E25">
        <f>COUNTIF(tables_380010!C:C,input_380010!A25)-COUNTIF(Q:Q,A25)</f>
        <v>4</v>
      </c>
      <c r="F25" s="43">
        <f t="shared" si="8"/>
        <v>4.9709302325581396E-3</v>
      </c>
      <c r="G25">
        <f t="shared" si="4"/>
        <v>143640</v>
      </c>
      <c r="H25">
        <f t="shared" si="5"/>
        <v>35910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2.2093023255813954E-3</v>
      </c>
      <c r="C26" s="86">
        <f t="shared" si="2"/>
        <v>0</v>
      </c>
      <c r="D26" s="74">
        <f t="shared" si="3"/>
        <v>2.2093023255813954E-3</v>
      </c>
      <c r="E26">
        <f>COUNTIF(tables_380010!C:C,input_380010!A26)-COUNTIF(Q:Q,A26)</f>
        <v>4</v>
      </c>
      <c r="F26" s="43">
        <f t="shared" si="8"/>
        <v>5.5232558139534885E-4</v>
      </c>
      <c r="G26">
        <f t="shared" si="4"/>
        <v>15960</v>
      </c>
      <c r="H26">
        <f t="shared" si="5"/>
        <v>3990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3.1666666666666669E-2</v>
      </c>
      <c r="C27" s="86">
        <f t="shared" si="2"/>
        <v>0</v>
      </c>
      <c r="D27" s="74">
        <f t="shared" si="3"/>
        <v>3.1666666666666669E-2</v>
      </c>
      <c r="E27">
        <f>COUNTIF(tables_380010!C:C,input_380010!A27)-COUNTIF(Q:Q,A27)</f>
        <v>28</v>
      </c>
      <c r="F27" s="43">
        <f>IFERROR(B27/E27,0)</f>
        <v>1.1309523809523811E-3</v>
      </c>
      <c r="G27">
        <f t="shared" si="4"/>
        <v>228760.00000000003</v>
      </c>
      <c r="H27">
        <f t="shared" si="5"/>
        <v>8170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1.666666666666667E-3</v>
      </c>
      <c r="C28" s="86">
        <f t="shared" si="2"/>
        <v>0</v>
      </c>
      <c r="D28" s="74">
        <f t="shared" si="3"/>
        <v>1.666666666666667E-3</v>
      </c>
      <c r="E28">
        <f>COUNTIF(tables_380010!C:C,input_380010!A28)-COUNTIF(Q:Q,A28)</f>
        <v>28</v>
      </c>
      <c r="F28" s="43">
        <f t="shared" si="8"/>
        <v>5.9523809523809537E-5</v>
      </c>
      <c r="G28">
        <f t="shared" si="4"/>
        <v>12040.000000000002</v>
      </c>
      <c r="H28">
        <f t="shared" si="5"/>
        <v>430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1.666666666666667E-2</v>
      </c>
      <c r="C29" s="86">
        <f t="shared" si="2"/>
        <v>0</v>
      </c>
      <c r="D29" s="74">
        <f t="shared" si="3"/>
        <v>1.666666666666667E-2</v>
      </c>
      <c r="E29">
        <f>COUNTIF(tables_380010!C:C,input_380010!A29)-COUNTIF(Q:Q,A29)</f>
        <v>14</v>
      </c>
      <c r="F29" s="43">
        <f t="shared" si="8"/>
        <v>1.1904761904761908E-3</v>
      </c>
      <c r="G29">
        <f t="shared" si="4"/>
        <v>120400.00000000003</v>
      </c>
      <c r="H29">
        <f t="shared" si="5"/>
        <v>8600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242</v>
      </c>
      <c r="B30" s="56">
        <f>0</f>
        <v>0</v>
      </c>
      <c r="C30" s="86">
        <f t="shared" si="2"/>
        <v>0</v>
      </c>
      <c r="D30" s="74">
        <f t="shared" si="3"/>
        <v>0</v>
      </c>
      <c r="E30">
        <f>COUNTIF(tables_380010!C:C,input_380010!A30)-COUNTIF(Q:Q,A30)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243</v>
      </c>
      <c r="B31" s="56">
        <v>0</v>
      </c>
      <c r="C31" s="86">
        <f t="shared" si="2"/>
        <v>0</v>
      </c>
      <c r="D31" s="74">
        <f t="shared" si="3"/>
        <v>0</v>
      </c>
      <c r="E31">
        <f>COUNTIF(tables_380010!C:C,input_380010!A31)-COUNTIF(Q:Q,A31)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1.0000000000000002</v>
      </c>
      <c r="C32" s="41">
        <f>SUM(C19:C31)</f>
        <v>0</v>
      </c>
      <c r="D32" s="42">
        <f t="shared" si="3"/>
        <v>1.0000000000000002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</f>
        <v>7224000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SUMIF(tables_380010!C:C,input_380010!A40,tables_380010!O:O)</f>
        <v>2074800</v>
      </c>
      <c r="C40" s="54">
        <f t="shared" ref="C40:C46" ca="1" si="9">B40/B$47</f>
        <v>0.47257653061224492</v>
      </c>
      <c r="E40">
        <v>3</v>
      </c>
      <c r="F40">
        <f ca="1">SUMIF(tables_380010!J:J,input_380010!E40,tables_380010!O:O)</f>
        <v>3612000</v>
      </c>
      <c r="G40">
        <f ca="1">F40/A36</f>
        <v>0.5</v>
      </c>
    </row>
    <row r="41" spans="1:7" x14ac:dyDescent="0.15">
      <c r="A41" s="33" t="s">
        <v>104</v>
      </c>
      <c r="B41">
        <f ca="1">SUMIF(tables_380010!C:C,input_380010!A41,tables_380010!O:O)</f>
        <v>1867320</v>
      </c>
      <c r="C41" s="54">
        <f t="shared" ca="1" si="9"/>
        <v>0.42531887755102044</v>
      </c>
      <c r="E41">
        <v>4</v>
      </c>
      <c r="F41">
        <f ca="1">SUMIF(tables_380010!J:J,input_380010!E41,tables_380010!O:O)</f>
        <v>3250800</v>
      </c>
      <c r="G41">
        <f ca="1">F41/A36</f>
        <v>0.45</v>
      </c>
    </row>
    <row r="42" spans="1:7" x14ac:dyDescent="0.15">
      <c r="A42" s="33" t="s">
        <v>106</v>
      </c>
      <c r="B42">
        <f ca="1">SUMIF(tables_380010!C:C,input_380010!A42,tables_380010!O:O)</f>
        <v>228760</v>
      </c>
      <c r="C42" s="54">
        <f t="shared" ca="1" si="9"/>
        <v>5.2104591836734694E-2</v>
      </c>
      <c r="E42">
        <v>5</v>
      </c>
      <c r="F42">
        <f ca="1">SUMIF(tables_380010!J:J,input_380010!E42,tables_380010!O:O)</f>
        <v>361200</v>
      </c>
      <c r="G42">
        <f ca="1">F42/A36</f>
        <v>0.05</v>
      </c>
    </row>
    <row r="43" spans="1:7" x14ac:dyDescent="0.15">
      <c r="A43" s="33" t="s">
        <v>109</v>
      </c>
      <c r="B43">
        <f>SUMIF(tables_380010!C:C,input_380010!A43,tables_380010!O:O)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SUMIF(tables_380010!C:C,input_380010!A44,tables_380010!O:O)</f>
        <v>207480</v>
      </c>
      <c r="C44" s="54">
        <f t="shared" ca="1" si="9"/>
        <v>4.7257653061224487E-2</v>
      </c>
      <c r="E44" t="s">
        <v>54</v>
      </c>
      <c r="F44" s="55"/>
    </row>
    <row r="45" spans="1:7" x14ac:dyDescent="0.15">
      <c r="A45" s="33" t="s">
        <v>107</v>
      </c>
      <c r="B45">
        <f ca="1">SUMIF(tables_380010!C:C,input_380010!A45,tables_380010!O:O)</f>
        <v>12040</v>
      </c>
      <c r="C45" s="54">
        <f t="shared" ca="1" si="9"/>
        <v>2.7423469387755101E-3</v>
      </c>
      <c r="E45" t="s">
        <v>204</v>
      </c>
      <c r="F45" s="55">
        <f ca="1">SUMIF(tables_380010!I:I,input_380010!E45,tables_380010!P:P)</f>
        <v>0.22093023255813943</v>
      </c>
    </row>
    <row r="46" spans="1:7" x14ac:dyDescent="0.15">
      <c r="A46" s="33" t="s">
        <v>108</v>
      </c>
      <c r="B46">
        <f>SUMIF(tables_380010!C:C,input_380010!A46,tables_380010!O:O)</f>
        <v>0</v>
      </c>
      <c r="C46" s="54">
        <f t="shared" ca="1" si="9"/>
        <v>0</v>
      </c>
      <c r="E46" t="s">
        <v>205</v>
      </c>
      <c r="F46" s="55">
        <f ca="1">SUMIF(tables_380010!I:I,input_380010!E46,tables_380010!P:P)</f>
        <v>0.22093023255813965</v>
      </c>
    </row>
    <row r="47" spans="1:7" x14ac:dyDescent="0.15">
      <c r="A47" s="39" t="s">
        <v>59</v>
      </c>
      <c r="B47">
        <f ca="1">SUM(B40:B46)</f>
        <v>4390400</v>
      </c>
      <c r="C47" s="55">
        <f ca="1">SUM(C40:C46)</f>
        <v>1</v>
      </c>
      <c r="E47" t="s">
        <v>206</v>
      </c>
      <c r="F47" s="55">
        <f ca="1">SUMIF(tables_380010!I:I,input_380010!E47,tables_380010!P:P)</f>
        <v>0.50813953488372055</v>
      </c>
    </row>
    <row r="48" spans="1:7" x14ac:dyDescent="0.15">
      <c r="E48" t="s">
        <v>207</v>
      </c>
      <c r="F48" s="55">
        <f ca="1">SUMIF(tables_380010!I:I,input_380010!E48,tables_380010!P:P)</f>
        <v>5.000000000000001E-2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48"/>
  <sheetViews>
    <sheetView workbookViewId="0">
      <selection activeCell="B11" sqref="B1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380011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VLOOKUP(L3,tables_380011!B:C,2,FALSE)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VLOOKUP(L4,tables_380011!B:C,2,FALSE)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6.521739130434782E-4</v>
      </c>
      <c r="F5">
        <f>(COUNTIF(tables_380011!C:C,input_380011!A25)+COUNTIF(tables_380011!C:C,input_380011!A28)+COUNTIF(tables_380011!C:C,input_380011!A29))</f>
        <v>46</v>
      </c>
      <c r="H5" s="85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VLOOKUP(L5,tables_380011!B:C,2,FALSE)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6">
        <f>(B10-H6)/(F6-I6)</f>
        <v>1.1829268292682927E-2</v>
      </c>
      <c r="F6">
        <f>(COUNTIF(tables_380011!C:C,input_380011!A18)+COUNTIF(tables_380011!C:C,input_380011!A20)+COUNTIF(tables_380011!C:C,input_380011!A22))</f>
        <v>82</v>
      </c>
      <c r="H6" s="91">
        <v>0</v>
      </c>
      <c r="I6" s="31">
        <v>0</v>
      </c>
      <c r="L6" s="60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VLOOKUP(L6,tables_380011!B:C,2,FALSE)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VLOOKUP(L7,tables_380011!B:C,2,FALSE)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VLOOKUP(L8,tables_380011!B:C,2,FALSE)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90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VLOOKUP(L9,tables_380011!B:C,2,FALSE)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0.97</v>
      </c>
      <c r="C10" t="s">
        <v>208</v>
      </c>
      <c r="L10" s="90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VLOOKUP(L10,tables_380011!B:C,2,FALSE)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8">
        <v>0.03</v>
      </c>
      <c r="C11" t="s">
        <v>255</v>
      </c>
      <c r="L11" s="90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VLOOKUP(L11,tables_380011!B:C,2,FALSE)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VLOOKUP(L12,tables_380011!B:C,2,FALSE)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VLOOKUP(L13,tables_380011!B:C,2,FALSE)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VLOOKUP(L14,tables_380011!B:C,2,FALSE)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VLOOKUP(L15,tables_380011!B:C,2,FALSE)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VLOOKUP(L16,tables_380011!B:C,2,FALSE)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3">
        <f>B$5-B19-B24</f>
        <v>0.19113467656415695</v>
      </c>
      <c r="C17" s="86">
        <f t="shared" ref="C17:C31" si="2">SUMIF(Q:Q,A17,N:N)</f>
        <v>0</v>
      </c>
      <c r="D17" s="74">
        <f t="shared" ref="D17:D32" si="3">B17-C17</f>
        <v>0.19113467656415695</v>
      </c>
      <c r="E17">
        <f>COUNTIF(tables_380011!C:C,input_380011!A17)-COUNTIF(Q:Q,A17)</f>
        <v>20</v>
      </c>
      <c r="F17" s="43">
        <f>IFERROR(B17/E17,0)</f>
        <v>9.5567338282078473E-3</v>
      </c>
      <c r="G17">
        <f t="shared" ref="G17:G31" si="4">A$36*B17</f>
        <v>1441920</v>
      </c>
      <c r="H17">
        <f t="shared" ref="H17:H31" si="5">IFERROR(ROUND(G17/E17,5),0)</f>
        <v>72096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VLOOKUP(L17,tables_380011!B:C,2,FALSE)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4.5450689289501578E-2</v>
      </c>
      <c r="C18" s="86">
        <f t="shared" si="2"/>
        <v>0</v>
      </c>
      <c r="D18" s="74">
        <f t="shared" si="3"/>
        <v>4.5450689289501578E-2</v>
      </c>
      <c r="E18">
        <f>COUNTIF(tables_380011!C:C,input_380011!A18)-COUNTIF(Q:Q,A18)</f>
        <v>20</v>
      </c>
      <c r="F18" s="43">
        <f>IFERROR(B18/E18,0)</f>
        <v>2.2725344644750787E-3</v>
      </c>
      <c r="G18">
        <f t="shared" si="4"/>
        <v>342879.99999999988</v>
      </c>
      <c r="H18">
        <f t="shared" si="5"/>
        <v>17144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VLOOKUP(L18,tables_380011!B:C,2,FALSE)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0.30756097560975609</v>
      </c>
      <c r="C19" s="86">
        <f t="shared" si="2"/>
        <v>0</v>
      </c>
      <c r="D19" s="74">
        <f t="shared" si="3"/>
        <v>0.30756097560975609</v>
      </c>
      <c r="E19">
        <f>COUNTIF(tables_380011!C:C,input_380011!A19)-COUNTIF(Q:Q,A19)</f>
        <v>52</v>
      </c>
      <c r="F19" s="43">
        <f t="shared" ref="F19:F31" si="8">IFERROR(B19/E19,0)</f>
        <v>5.9146341463414635E-3</v>
      </c>
      <c r="G19">
        <f t="shared" si="4"/>
        <v>2320240</v>
      </c>
      <c r="H19">
        <f t="shared" si="5"/>
        <v>44620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VLOOKUP(L19,tables_380011!B:C,2,FALSE)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56">
        <f>E$6*E20*B$6</f>
        <v>0.27680487804878051</v>
      </c>
      <c r="C20" s="86">
        <f t="shared" si="2"/>
        <v>0</v>
      </c>
      <c r="D20" s="74">
        <f t="shared" si="3"/>
        <v>0.27680487804878051</v>
      </c>
      <c r="E20">
        <f>COUNTIF(tables_380011!C:C,input_380011!A20)-COUNTIF(Q:Q,A20)</f>
        <v>52</v>
      </c>
      <c r="F20" s="43">
        <f t="shared" si="8"/>
        <v>5.3231707317073175E-3</v>
      </c>
      <c r="G20">
        <f t="shared" si="4"/>
        <v>2088216.0000000002</v>
      </c>
      <c r="H20">
        <f t="shared" si="5"/>
        <v>40158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VLOOKUP(L20,tables_380011!B:C,2,FALSE)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E$6*E21*B$7</f>
        <v>3.0756097560975609E-2</v>
      </c>
      <c r="C21" s="86">
        <f t="shared" si="2"/>
        <v>0</v>
      </c>
      <c r="D21" s="74">
        <f t="shared" si="3"/>
        <v>3.0756097560975609E-2</v>
      </c>
      <c r="E21">
        <f>COUNTIF(tables_380011!C:C,input_380011!A21)-COUNTIF(Q:Q,A21)</f>
        <v>52</v>
      </c>
      <c r="F21" s="43">
        <f t="shared" si="8"/>
        <v>5.9146341463414632E-4</v>
      </c>
      <c r="G21">
        <f t="shared" si="4"/>
        <v>232024</v>
      </c>
      <c r="H21">
        <f t="shared" si="5"/>
        <v>4462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0.10922269353128312</v>
      </c>
      <c r="C22" s="86">
        <f t="shared" si="2"/>
        <v>0</v>
      </c>
      <c r="D22" s="74">
        <f t="shared" si="3"/>
        <v>0.10922269353128312</v>
      </c>
      <c r="E22">
        <f>COUNTIF(tables_380011!C:C,input_380011!A22)-COUNTIF(Q:Q,A22)</f>
        <v>10</v>
      </c>
      <c r="F22" s="43">
        <f t="shared" si="8"/>
        <v>1.0922269353128313E-2</v>
      </c>
      <c r="G22">
        <f t="shared" si="4"/>
        <v>823975.99999999988</v>
      </c>
      <c r="H22">
        <f t="shared" si="5"/>
        <v>82397.600000000006</v>
      </c>
      <c r="I22">
        <f t="shared" si="6"/>
        <v>0.60000000000582077</v>
      </c>
      <c r="J22">
        <f t="shared" si="7"/>
        <v>1.6666666666504979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B$7-B21-B26-B28-B29</f>
        <v>9.0699893955461328E-3</v>
      </c>
      <c r="C23" s="86">
        <f t="shared" si="2"/>
        <v>0</v>
      </c>
      <c r="D23" s="74">
        <f t="shared" si="3"/>
        <v>9.0699893955461328E-3</v>
      </c>
      <c r="E23">
        <f>COUNTIF(tables_380011!C:C,input_380011!A23)-COUNTIF(Q:Q,A23)</f>
        <v>10</v>
      </c>
      <c r="F23" s="43">
        <f t="shared" si="8"/>
        <v>9.0699893955461326E-4</v>
      </c>
      <c r="G23">
        <f t="shared" si="4"/>
        <v>68424.000000000029</v>
      </c>
      <c r="H23">
        <f t="shared" si="5"/>
        <v>6842.4</v>
      </c>
      <c r="I23">
        <f t="shared" si="6"/>
        <v>0.3999999999996362</v>
      </c>
      <c r="J23">
        <f t="shared" si="7"/>
        <v>2.5000000000022737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E$5*E24*B$5</f>
        <v>1.3043478260869564E-3</v>
      </c>
      <c r="C24" s="86">
        <f t="shared" si="2"/>
        <v>0</v>
      </c>
      <c r="D24" s="74">
        <f t="shared" si="3"/>
        <v>1.3043478260869564E-3</v>
      </c>
      <c r="E24">
        <f>COUNTIF(tables_380011!C:C,input_380011!A24)-COUNTIF(Q:Q,A24)</f>
        <v>4</v>
      </c>
      <c r="F24" s="43">
        <f t="shared" si="8"/>
        <v>3.260869565217391E-4</v>
      </c>
      <c r="G24">
        <f t="shared" si="4"/>
        <v>9840</v>
      </c>
      <c r="H24">
        <f t="shared" si="5"/>
        <v>2460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E$5*B$6*E25</f>
        <v>1.1739130434782609E-3</v>
      </c>
      <c r="C25" s="86">
        <f t="shared" si="2"/>
        <v>0</v>
      </c>
      <c r="D25" s="74">
        <f t="shared" si="3"/>
        <v>1.1739130434782609E-3</v>
      </c>
      <c r="E25">
        <f>COUNTIF(tables_380011!C:C,input_380011!A25)-COUNTIF(Q:Q,A25)</f>
        <v>4</v>
      </c>
      <c r="F25" s="43">
        <f t="shared" si="8"/>
        <v>2.9347826086956522E-4</v>
      </c>
      <c r="G25">
        <f t="shared" si="4"/>
        <v>8856</v>
      </c>
      <c r="H25">
        <f t="shared" si="5"/>
        <v>2214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E$5*B$7*E26</f>
        <v>1.3043478260869564E-4</v>
      </c>
      <c r="C26" s="86">
        <f t="shared" si="2"/>
        <v>0</v>
      </c>
      <c r="D26" s="74">
        <f t="shared" si="3"/>
        <v>1.3043478260869564E-4</v>
      </c>
      <c r="E26">
        <f>COUNTIF(tables_380011!C:C,input_380011!A26)-COUNTIF(Q:Q,A26)</f>
        <v>4</v>
      </c>
      <c r="F26" s="43">
        <f t="shared" si="8"/>
        <v>3.260869565217391E-5</v>
      </c>
      <c r="G26">
        <f t="shared" si="4"/>
        <v>983.99999999999989</v>
      </c>
      <c r="H26">
        <f t="shared" si="5"/>
        <v>246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1.7347826086956519E-2</v>
      </c>
      <c r="C27" s="86">
        <f t="shared" si="2"/>
        <v>0</v>
      </c>
      <c r="D27" s="74">
        <f t="shared" si="3"/>
        <v>1.7347826086956519E-2</v>
      </c>
      <c r="E27">
        <f>COUNTIF(tables_380011!C:C,input_380011!A27)-COUNTIF(Q:Q,A27)</f>
        <v>28</v>
      </c>
      <c r="F27" s="43">
        <f>IFERROR(B27/E27,0)</f>
        <v>6.1956521739130427E-4</v>
      </c>
      <c r="G27">
        <f t="shared" si="4"/>
        <v>130871.99999999997</v>
      </c>
      <c r="H27">
        <f t="shared" si="5"/>
        <v>4674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9.1304347826086949E-4</v>
      </c>
      <c r="C28" s="86">
        <f t="shared" si="2"/>
        <v>0</v>
      </c>
      <c r="D28" s="74">
        <f t="shared" si="3"/>
        <v>9.1304347826086949E-4</v>
      </c>
      <c r="E28">
        <f>COUNTIF(tables_380011!C:C,input_380011!A28)-COUNTIF(Q:Q,A28)</f>
        <v>28</v>
      </c>
      <c r="F28" s="43">
        <f t="shared" si="8"/>
        <v>3.260869565217391E-5</v>
      </c>
      <c r="G28">
        <f t="shared" si="4"/>
        <v>6887.9999999999991</v>
      </c>
      <c r="H28">
        <f t="shared" si="5"/>
        <v>246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9.1304347826086946E-3</v>
      </c>
      <c r="C29" s="86">
        <f t="shared" si="2"/>
        <v>0</v>
      </c>
      <c r="D29" s="74">
        <f t="shared" si="3"/>
        <v>9.1304347826086946E-3</v>
      </c>
      <c r="E29">
        <f>COUNTIF(tables_380011!C:C,input_380011!A29)-COUNTIF(Q:Q,A29)</f>
        <v>14</v>
      </c>
      <c r="F29" s="43">
        <f t="shared" si="8"/>
        <v>6.521739130434782E-4</v>
      </c>
      <c r="G29">
        <f t="shared" si="4"/>
        <v>68879.999999999985</v>
      </c>
      <c r="H29">
        <f t="shared" si="5"/>
        <v>4920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242</v>
      </c>
      <c r="B30" s="56">
        <f>0</f>
        <v>0</v>
      </c>
      <c r="C30" s="86">
        <f t="shared" si="2"/>
        <v>0</v>
      </c>
      <c r="D30" s="74">
        <f t="shared" si="3"/>
        <v>0</v>
      </c>
      <c r="E30">
        <f>COUNTIF(tables_380011!C:C,input_380011!A30)-COUNTIF(Q:Q,A30)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243</v>
      </c>
      <c r="B31" s="56">
        <v>0</v>
      </c>
      <c r="C31" s="86">
        <f t="shared" si="2"/>
        <v>0</v>
      </c>
      <c r="D31" s="74">
        <f t="shared" si="3"/>
        <v>0</v>
      </c>
      <c r="E31">
        <f>COUNTIF(tables_380011!C:C,input_380011!A31)-COUNTIF(Q:Q,A31)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0.99999999999999989</v>
      </c>
      <c r="C32" s="41">
        <f>SUM(C19:C31)</f>
        <v>0</v>
      </c>
      <c r="D32" s="42">
        <f t="shared" si="3"/>
        <v>0.99999999999999989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</f>
        <v>7544000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SUMIF(tables_380011!C:C,input_380011!A40,tables_380011!O:O)</f>
        <v>2320240</v>
      </c>
      <c r="C40" s="54">
        <f t="shared" ref="C40:C46" ca="1" si="9">B40/B$47</f>
        <v>0.48558465041521565</v>
      </c>
      <c r="E40">
        <v>3</v>
      </c>
      <c r="F40">
        <f ca="1">SUMIF(tables_380011!J:J,input_380011!E40,tables_380011!O:O)</f>
        <v>3772000</v>
      </c>
      <c r="G40">
        <f ca="1">F40/A36</f>
        <v>0.5</v>
      </c>
    </row>
    <row r="41" spans="1:7" x14ac:dyDescent="0.15">
      <c r="A41" s="33" t="s">
        <v>104</v>
      </c>
      <c r="B41">
        <f ca="1">SUMIF(tables_380011!C:C,input_380011!A41,tables_380011!O:O)</f>
        <v>2088216</v>
      </c>
      <c r="C41" s="54">
        <f t="shared" ca="1" si="9"/>
        <v>0.43702618537369409</v>
      </c>
      <c r="E41">
        <v>4</v>
      </c>
      <c r="F41">
        <f ca="1">SUMIF(tables_380011!J:J,input_380011!E41,tables_380011!O:O)</f>
        <v>3394800.0000000009</v>
      </c>
      <c r="G41">
        <f ca="1">F41/A36</f>
        <v>0.45000000000000012</v>
      </c>
    </row>
    <row r="42" spans="1:7" x14ac:dyDescent="0.15">
      <c r="A42" s="33" t="s">
        <v>106</v>
      </c>
      <c r="B42">
        <f ca="1">SUMIF(tables_380011!C:C,input_380011!A42,tables_380011!O:O)</f>
        <v>130872</v>
      </c>
      <c r="C42" s="54">
        <f t="shared" ca="1" si="9"/>
        <v>2.7389164211090274E-2</v>
      </c>
      <c r="E42">
        <v>5</v>
      </c>
      <c r="F42">
        <f ca="1">SUMIF(tables_380011!J:J,input_380011!E42,tables_380011!O:O)</f>
        <v>377200.00000000017</v>
      </c>
      <c r="G42">
        <f ca="1">F42/A36</f>
        <v>5.0000000000000024E-2</v>
      </c>
    </row>
    <row r="43" spans="1:7" x14ac:dyDescent="0.15">
      <c r="A43" s="33" t="s">
        <v>109</v>
      </c>
      <c r="B43">
        <f>SUMIF(tables_380011!C:C,input_380011!A43,tables_380011!O:O)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SUMIF(tables_380011!C:C,input_380011!A44,tables_380011!O:O)</f>
        <v>232024</v>
      </c>
      <c r="C44" s="54">
        <f t="shared" ca="1" si="9"/>
        <v>4.8558465041521566E-2</v>
      </c>
      <c r="E44" t="s">
        <v>54</v>
      </c>
      <c r="F44" s="55"/>
    </row>
    <row r="45" spans="1:7" x14ac:dyDescent="0.15">
      <c r="A45" s="33" t="s">
        <v>107</v>
      </c>
      <c r="B45">
        <f ca="1">SUMIF(tables_380011!C:C,input_380011!A45,tables_380011!O:O)</f>
        <v>6888</v>
      </c>
      <c r="C45" s="54">
        <f t="shared" ca="1" si="9"/>
        <v>1.4415349584784355E-3</v>
      </c>
      <c r="E45" t="s">
        <v>204</v>
      </c>
      <c r="F45" s="55">
        <f ca="1">SUMIF(tables_380011!I:I,input_380011!E45,tables_380011!P:P)</f>
        <v>0.23658536585365861</v>
      </c>
    </row>
    <row r="46" spans="1:7" x14ac:dyDescent="0.15">
      <c r="A46" s="33" t="s">
        <v>108</v>
      </c>
      <c r="B46">
        <f>SUMIF(tables_380011!C:C,input_380011!A46,tables_380011!O:O)</f>
        <v>0</v>
      </c>
      <c r="C46" s="54">
        <f t="shared" ca="1" si="9"/>
        <v>0</v>
      </c>
      <c r="E46" t="s">
        <v>205</v>
      </c>
      <c r="F46" s="55">
        <f ca="1">SUMIF(tables_380011!I:I,input_380011!E46,tables_380011!P:P)</f>
        <v>0.20305408271474029</v>
      </c>
    </row>
    <row r="47" spans="1:7" x14ac:dyDescent="0.15">
      <c r="A47" s="39" t="s">
        <v>59</v>
      </c>
      <c r="B47">
        <f ca="1">SUM(B40:B46)</f>
        <v>4778240</v>
      </c>
      <c r="C47" s="55">
        <f ca="1">SUM(C40:C46)</f>
        <v>1.0000000000000002</v>
      </c>
      <c r="E47" t="s">
        <v>206</v>
      </c>
      <c r="F47" s="55">
        <f ca="1">SUMIF(tables_380011!I:I,input_380011!E47,tables_380011!P:P)</f>
        <v>0.53296924708377436</v>
      </c>
    </row>
    <row r="48" spans="1:7" x14ac:dyDescent="0.15">
      <c r="E48" t="s">
        <v>207</v>
      </c>
      <c r="F48" s="55">
        <f ca="1">SUMIF(tables_380011!I:I,input_380011!E48,tables_380011!P:P)</f>
        <v>2.739130434782612E-2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filterMode="1" enableFormatConditionsCalculation="0">
    <tabColor rgb="FF0000FF"/>
    <outlinePr summaryBelow="0" summaryRight="0"/>
  </sheetPr>
  <dimension ref="A1:V299"/>
  <sheetViews>
    <sheetView showGridLines="0" tabSelected="1" zoomScale="75" zoomScaleNormal="75" zoomScalePageLayoutView="75" workbookViewId="0">
      <pane ySplit="1" topLeftCell="A257" activePane="bottomLeft" state="frozen"/>
      <selection activeCell="O281" sqref="O281"/>
      <selection pane="bottomLeft" activeCell="O281" sqref="O28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hidden="1" customHeight="1" x14ac:dyDescent="0.15">
      <c r="A2" s="2" t="str">
        <f ca="1">input_380010!A$2</f>
        <v>380010</v>
      </c>
      <c r="B2" s="60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IFERROR(VLOOKUP(B2,input_380010!L:R,7,FALSE),VLOOKUP(tables_380010!C2,input_380010!A:H,8,FALSE))</f>
        <v>68880</v>
      </c>
      <c r="P2" s="46">
        <f ca="1">O2/SUM(O:O)</f>
        <v>9.5348837209302331E-3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hidden="1" customHeight="1" x14ac:dyDescent="0.15">
      <c r="A3" s="2" t="str">
        <f ca="1">input_380010!A$2</f>
        <v>380010</v>
      </c>
      <c r="B3" s="60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IFERROR(VLOOKUP(B3,input_380010!L:R,7,FALSE),VLOOKUP(tables_380010!C3,input_380010!A:H,8,FALSE))</f>
        <v>10920</v>
      </c>
      <c r="P3" s="46">
        <f t="shared" ref="P3:P66" ca="1" si="2">O3/SUM(O:O)</f>
        <v>1.5116279069767441E-3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hidden="1" customHeight="1" x14ac:dyDescent="0.15">
      <c r="A4" s="2" t="str">
        <f ca="1">input_380010!A$2</f>
        <v>380010</v>
      </c>
      <c r="B4" s="60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IFERROR(VLOOKUP(B4,input_380010!L:R,7,FALSE),VLOOKUP(tables_380010!C4,input_380010!A:H,8,FALSE))</f>
        <v>68880</v>
      </c>
      <c r="P4" s="46">
        <f t="shared" ca="1" si="2"/>
        <v>9.5348837209302331E-3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hidden="1" customHeight="1" x14ac:dyDescent="0.15">
      <c r="A5" s="2" t="str">
        <f ca="1">input_380010!A$2</f>
        <v>380010</v>
      </c>
      <c r="B5" s="60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IFERROR(VLOOKUP(B5,input_380010!L:R,7,FALSE),VLOOKUP(tables_380010!C5,input_380010!A:H,8,FALSE))</f>
        <v>10920</v>
      </c>
      <c r="P5" s="46">
        <f t="shared" ca="1" si="2"/>
        <v>1.5116279069767441E-3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hidden="1" customHeight="1" x14ac:dyDescent="0.15">
      <c r="A6" s="2" t="str">
        <f ca="1">input_380010!A$2</f>
        <v>380010</v>
      </c>
      <c r="B6" s="60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IFERROR(VLOOKUP(B6,input_380010!L:R,7,FALSE),VLOOKUP(tables_380010!C6,input_380010!A:H,8,FALSE))</f>
        <v>68880</v>
      </c>
      <c r="P6" s="46">
        <f t="shared" ca="1" si="2"/>
        <v>9.5348837209302331E-3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hidden="1" customHeight="1" x14ac:dyDescent="0.15">
      <c r="A7" s="2" t="str">
        <f ca="1">input_380010!A$2</f>
        <v>380010</v>
      </c>
      <c r="B7" s="60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IFERROR(VLOOKUP(B7,input_380010!L:R,7,FALSE),VLOOKUP(tables_380010!C7,input_380010!A:H,8,FALSE))</f>
        <v>10920</v>
      </c>
      <c r="P7" s="46">
        <f t="shared" ca="1" si="2"/>
        <v>1.5116279069767441E-3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hidden="1" customHeight="1" x14ac:dyDescent="0.15">
      <c r="A8" s="2" t="str">
        <f ca="1">input_380010!A$2</f>
        <v>380010</v>
      </c>
      <c r="B8" s="60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IFERROR(VLOOKUP(B8,input_380010!L:R,7,FALSE),VLOOKUP(tables_380010!C8,input_380010!A:H,8,FALSE))</f>
        <v>68880</v>
      </c>
      <c r="P8" s="46">
        <f t="shared" ca="1" si="2"/>
        <v>9.5348837209302331E-3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hidden="1" customHeight="1" x14ac:dyDescent="0.15">
      <c r="A9" s="2" t="str">
        <f ca="1">input_380010!A$2</f>
        <v>380010</v>
      </c>
      <c r="B9" s="60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IFERROR(VLOOKUP(B9,input_380010!L:R,7,FALSE),VLOOKUP(tables_380010!C9,input_380010!A:H,8,FALSE))</f>
        <v>10920</v>
      </c>
      <c r="P9" s="46">
        <f t="shared" ca="1" si="2"/>
        <v>1.5116279069767441E-3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hidden="1" customHeight="1" x14ac:dyDescent="0.15">
      <c r="A10" s="2" t="str">
        <f ca="1">input_380010!A$2</f>
        <v>380010</v>
      </c>
      <c r="B10" s="60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IFERROR(VLOOKUP(B10,input_380010!L:R,7,FALSE),VLOOKUP(tables_380010!C10,input_380010!A:H,8,FALSE))</f>
        <v>68880</v>
      </c>
      <c r="P10" s="46">
        <f t="shared" ca="1" si="2"/>
        <v>9.5348837209302331E-3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hidden="1" customHeight="1" x14ac:dyDescent="0.15">
      <c r="A11" s="2" t="str">
        <f ca="1">input_380010!A$2</f>
        <v>380010</v>
      </c>
      <c r="B11" s="60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IFERROR(VLOOKUP(B11,input_380010!L:R,7,FALSE),VLOOKUP(tables_380010!C11,input_380010!A:H,8,FALSE))</f>
        <v>10920</v>
      </c>
      <c r="P11" s="46">
        <f t="shared" ca="1" si="2"/>
        <v>1.5116279069767441E-3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hidden="1" customHeight="1" x14ac:dyDescent="0.15">
      <c r="A12" s="2" t="str">
        <f ca="1">input_380010!A$2</f>
        <v>380010</v>
      </c>
      <c r="B12" s="96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IFERROR(VLOOKUP(B12,input_380010!L:R,7,FALSE),VLOOKUP(tables_380010!C12,input_380010!A:H,8,FALSE))</f>
        <v>68880</v>
      </c>
      <c r="P12" s="46">
        <f t="shared" ca="1" si="2"/>
        <v>9.5348837209302331E-3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hidden="1" customHeight="1" x14ac:dyDescent="0.15">
      <c r="A13" s="2" t="str">
        <f ca="1">input_380010!A$2</f>
        <v>380010</v>
      </c>
      <c r="B13" s="96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IFERROR(VLOOKUP(B13,input_380010!L:R,7,FALSE),VLOOKUP(tables_380010!C13,input_380010!A:H,8,FALSE))</f>
        <v>10920</v>
      </c>
      <c r="P13" s="46">
        <f t="shared" ca="1" si="2"/>
        <v>1.5116279069767441E-3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hidden="1" customHeight="1" x14ac:dyDescent="0.15">
      <c r="A14" s="2" t="str">
        <f ca="1">input_380010!A$2</f>
        <v>380010</v>
      </c>
      <c r="B14" s="60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IFERROR(VLOOKUP(B14,input_380010!L:R,7,FALSE),VLOOKUP(tables_380010!C14,input_380010!A:H,8,FALSE))</f>
        <v>68880</v>
      </c>
      <c r="P14" s="46">
        <f t="shared" ca="1" si="2"/>
        <v>9.5348837209302331E-3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hidden="1" customHeight="1" x14ac:dyDescent="0.15">
      <c r="A15" s="2" t="str">
        <f ca="1">input_380010!A$2</f>
        <v>380010</v>
      </c>
      <c r="B15" s="60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IFERROR(VLOOKUP(B15,input_380010!L:R,7,FALSE),VLOOKUP(tables_380010!C15,input_380010!A:H,8,FALSE))</f>
        <v>10920</v>
      </c>
      <c r="P15" s="46">
        <f t="shared" ca="1" si="2"/>
        <v>1.5116279069767441E-3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hidden="1" customHeight="1" x14ac:dyDescent="0.15">
      <c r="A16" s="2" t="str">
        <f ca="1">input_380010!A$2</f>
        <v>380010</v>
      </c>
      <c r="B16" s="97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IFERROR(VLOOKUP(B16,input_380010!L:R,7,FALSE),VLOOKUP(tables_380010!C16,input_380010!A:H,8,FALSE))</f>
        <v>68880</v>
      </c>
      <c r="P16" s="46">
        <f t="shared" ca="1" si="2"/>
        <v>9.5348837209302331E-3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hidden="1" customHeight="1" x14ac:dyDescent="0.15">
      <c r="A17" s="2" t="str">
        <f ca="1">input_380010!A$2</f>
        <v>380010</v>
      </c>
      <c r="B17" s="98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IFERROR(VLOOKUP(B17,input_380010!L:R,7,FALSE),VLOOKUP(tables_380010!C17,input_380010!A:H,8,FALSE))</f>
        <v>10920</v>
      </c>
      <c r="P17" s="46">
        <f t="shared" ca="1" si="2"/>
        <v>1.5116279069767441E-3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hidden="1" customHeight="1" x14ac:dyDescent="0.15">
      <c r="A18" s="2" t="str">
        <f ca="1">input_380010!A$2</f>
        <v>380010</v>
      </c>
      <c r="B18" s="60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IFERROR(VLOOKUP(B18,input_380010!L:R,7,FALSE),VLOOKUP(tables_380010!C18,input_380010!A:H,8,FALSE))</f>
        <v>68880</v>
      </c>
      <c r="P18" s="46">
        <f t="shared" ca="1" si="2"/>
        <v>9.5348837209302331E-3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hidden="1" customHeight="1" thickBot="1" x14ac:dyDescent="0.2">
      <c r="A19" s="2" t="str">
        <f ca="1">input_380010!A$2</f>
        <v>380010</v>
      </c>
      <c r="B19" s="60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IFERROR(VLOOKUP(B19,input_380010!L:R,7,FALSE),VLOOKUP(tables_380010!C19,input_380010!A:H,8,FALSE))</f>
        <v>10920</v>
      </c>
      <c r="P19" s="46">
        <f t="shared" ca="1" si="2"/>
        <v>1.5116279069767441E-3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hidden="1" customHeight="1" x14ac:dyDescent="0.15">
      <c r="A20" s="2" t="str">
        <f ca="1">input_380010!A$2</f>
        <v>380010</v>
      </c>
      <c r="B20" s="97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IFERROR(VLOOKUP(B20,input_380010!L:R,7,FALSE),VLOOKUP(tables_380010!C20,input_380010!A:H,8,FALSE))</f>
        <v>68880</v>
      </c>
      <c r="P20" s="46">
        <f t="shared" ca="1" si="2"/>
        <v>9.5348837209302331E-3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hidden="1" customHeight="1" x14ac:dyDescent="0.15">
      <c r="A21" s="2" t="str">
        <f ca="1">input_380010!A$2</f>
        <v>380010</v>
      </c>
      <c r="B21" s="60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IFERROR(VLOOKUP(B21,input_380010!L:R,7,FALSE),VLOOKUP(tables_380010!C21,input_380010!A:H,8,FALSE))</f>
        <v>10920</v>
      </c>
      <c r="P21" s="46">
        <f t="shared" ca="1" si="2"/>
        <v>1.5116279069767441E-3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hidden="1" customHeight="1" x14ac:dyDescent="0.15">
      <c r="A22" s="2" t="str">
        <f ca="1">input_380010!A$2</f>
        <v>380010</v>
      </c>
      <c r="B22" s="60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IFERROR(VLOOKUP(B22,input_380010!L:R,7,FALSE),VLOOKUP(tables_380010!C22,input_380010!A:H,8,FALSE))</f>
        <v>68880</v>
      </c>
      <c r="P22" s="46">
        <f t="shared" ca="1" si="2"/>
        <v>9.5348837209302331E-3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hidden="1" customHeight="1" x14ac:dyDescent="0.15">
      <c r="A23" s="2" t="str">
        <f ca="1">input_380010!A$2</f>
        <v>380010</v>
      </c>
      <c r="B23" s="60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IFERROR(VLOOKUP(B23,input_380010!L:R,7,FALSE),VLOOKUP(tables_380010!C23,input_380010!A:H,8,FALSE))</f>
        <v>10920</v>
      </c>
      <c r="P23" s="46">
        <f t="shared" ca="1" si="2"/>
        <v>1.5116279069767441E-3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hidden="1" customHeight="1" x14ac:dyDescent="0.15">
      <c r="A24" s="2" t="str">
        <f ca="1">input_380010!A$2</f>
        <v>380010</v>
      </c>
      <c r="B24" s="60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IFERROR(VLOOKUP(B24,input_380010!L:R,7,FALSE),VLOOKUP(tables_380010!C24,input_380010!A:H,8,FALSE))</f>
        <v>68880</v>
      </c>
      <c r="P24" s="46">
        <f t="shared" ca="1" si="2"/>
        <v>9.5348837209302331E-3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hidden="1" customHeight="1" x14ac:dyDescent="0.15">
      <c r="A25" s="2" t="str">
        <f ca="1">input_380010!A$2</f>
        <v>380010</v>
      </c>
      <c r="B25" s="60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IFERROR(VLOOKUP(B25,input_380010!L:R,7,FALSE),VLOOKUP(tables_380010!C25,input_380010!A:H,8,FALSE))</f>
        <v>10920</v>
      </c>
      <c r="P25" s="46">
        <f t="shared" ca="1" si="2"/>
        <v>1.5116279069767441E-3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hidden="1" customHeight="1" x14ac:dyDescent="0.15">
      <c r="A26" s="2" t="str">
        <f ca="1">input_380010!A$2</f>
        <v>380010</v>
      </c>
      <c r="B26" s="60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IFERROR(VLOOKUP(B26,input_380010!L:R,7,FALSE),VLOOKUP(tables_380010!C26,input_380010!A:H,8,FALSE))</f>
        <v>68880</v>
      </c>
      <c r="P26" s="46">
        <f t="shared" ca="1" si="2"/>
        <v>9.5348837209302331E-3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hidden="1" customHeight="1" x14ac:dyDescent="0.15">
      <c r="A27" s="2" t="str">
        <f ca="1">input_380010!A$2</f>
        <v>380010</v>
      </c>
      <c r="B27" s="60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IFERROR(VLOOKUP(B27,input_380010!L:R,7,FALSE),VLOOKUP(tables_380010!C27,input_380010!A:H,8,FALSE))</f>
        <v>10920</v>
      </c>
      <c r="P27" s="46">
        <f t="shared" ca="1" si="2"/>
        <v>1.5116279069767441E-3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hidden="1" customHeight="1" x14ac:dyDescent="0.15">
      <c r="A28" s="2" t="str">
        <f ca="1">input_380010!A$2</f>
        <v>380010</v>
      </c>
      <c r="B28" s="60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IFERROR(VLOOKUP(B28,input_380010!L:R,7,FALSE),VLOOKUP(tables_380010!C28,input_380010!A:H,8,FALSE))</f>
        <v>68880</v>
      </c>
      <c r="P28" s="46">
        <f t="shared" ca="1" si="2"/>
        <v>9.5348837209302331E-3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hidden="1" customHeight="1" x14ac:dyDescent="0.15">
      <c r="A29" s="2" t="str">
        <f ca="1">input_380010!A$2</f>
        <v>380010</v>
      </c>
      <c r="B29" s="60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IFERROR(VLOOKUP(B29,input_380010!L:R,7,FALSE),VLOOKUP(tables_380010!C29,input_380010!A:H,8,FALSE))</f>
        <v>10920</v>
      </c>
      <c r="P29" s="46">
        <f t="shared" ca="1" si="2"/>
        <v>1.5116279069767441E-3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hidden="1" customHeight="1" x14ac:dyDescent="0.15">
      <c r="A30" s="2" t="str">
        <f ca="1">input_380010!A$2</f>
        <v>380010</v>
      </c>
      <c r="B30" s="60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IFERROR(VLOOKUP(B30,input_380010!L:R,7,FALSE),VLOOKUP(tables_380010!C30,input_380010!A:H,8,FALSE))</f>
        <v>68880</v>
      </c>
      <c r="P30" s="46">
        <f t="shared" ca="1" si="2"/>
        <v>9.5348837209302331E-3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hidden="1" customHeight="1" x14ac:dyDescent="0.15">
      <c r="A31" s="2" t="str">
        <f ca="1">input_380010!A$2</f>
        <v>380010</v>
      </c>
      <c r="B31" s="60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IFERROR(VLOOKUP(B31,input_380010!L:R,7,FALSE),VLOOKUP(tables_380010!C31,input_380010!A:H,8,FALSE))</f>
        <v>10920</v>
      </c>
      <c r="P31" s="46">
        <f t="shared" ca="1" si="2"/>
        <v>1.5116279069767441E-3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hidden="1" customHeight="1" x14ac:dyDescent="0.15">
      <c r="A32" s="2" t="str">
        <f ca="1">input_380010!A$2</f>
        <v>380010</v>
      </c>
      <c r="B32" s="60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IFERROR(VLOOKUP(B32,input_380010!L:R,7,FALSE),VLOOKUP(tables_380010!C32,input_380010!A:H,8,FALSE))</f>
        <v>68880</v>
      </c>
      <c r="P32" s="46">
        <f t="shared" ca="1" si="2"/>
        <v>9.5348837209302331E-3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hidden="1" customHeight="1" x14ac:dyDescent="0.15">
      <c r="A33" s="2" t="str">
        <f ca="1">input_380010!A$2</f>
        <v>380010</v>
      </c>
      <c r="B33" s="60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IFERROR(VLOOKUP(B33,input_380010!L:R,7,FALSE),VLOOKUP(tables_380010!C33,input_380010!A:H,8,FALSE))</f>
        <v>10920</v>
      </c>
      <c r="P33" s="46">
        <f t="shared" ca="1" si="2"/>
        <v>1.5116279069767441E-3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hidden="1" customHeight="1" x14ac:dyDescent="0.15">
      <c r="A34" s="2" t="str">
        <f ca="1">input_380010!A$2</f>
        <v>380010</v>
      </c>
      <c r="B34" s="60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IFERROR(VLOOKUP(B34,input_380010!L:R,7,FALSE),VLOOKUP(tables_380010!C34,input_380010!A:H,8,FALSE))</f>
        <v>68880</v>
      </c>
      <c r="P34" s="46">
        <f t="shared" ca="1" si="2"/>
        <v>9.5348837209302331E-3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hidden="1" customHeight="1" x14ac:dyDescent="0.15">
      <c r="A35" s="2" t="str">
        <f ca="1">input_380010!A$2</f>
        <v>380010</v>
      </c>
      <c r="B35" s="60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IFERROR(VLOOKUP(B35,input_380010!L:R,7,FALSE),VLOOKUP(tables_380010!C35,input_380010!A:H,8,FALSE))</f>
        <v>10920</v>
      </c>
      <c r="P35" s="46">
        <f t="shared" ca="1" si="2"/>
        <v>1.5116279069767441E-3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hidden="1" customHeight="1" x14ac:dyDescent="0.15">
      <c r="A36" s="2" t="str">
        <f ca="1">input_380010!A$2</f>
        <v>380010</v>
      </c>
      <c r="B36" s="60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IFERROR(VLOOKUP(B36,input_380010!L:R,7,FALSE),VLOOKUP(tables_380010!C36,input_380010!A:H,8,FALSE))</f>
        <v>68880</v>
      </c>
      <c r="P36" s="46">
        <f t="shared" ca="1" si="2"/>
        <v>9.5348837209302331E-3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hidden="1" customHeight="1" x14ac:dyDescent="0.15">
      <c r="A37" s="2" t="str">
        <f ca="1">input_380010!A$2</f>
        <v>380010</v>
      </c>
      <c r="B37" s="60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IFERROR(VLOOKUP(B37,input_380010!L:R,7,FALSE),VLOOKUP(tables_380010!C37,input_380010!A:H,8,FALSE))</f>
        <v>10920</v>
      </c>
      <c r="P37" s="46">
        <f t="shared" ca="1" si="2"/>
        <v>1.5116279069767441E-3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hidden="1" customHeight="1" x14ac:dyDescent="0.15">
      <c r="A38" s="2" t="str">
        <f ca="1">input_380010!A$2</f>
        <v>380010</v>
      </c>
      <c r="B38" s="60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IFERROR(VLOOKUP(B38,input_380010!L:R,7,FALSE),VLOOKUP(tables_380010!C38,input_380010!A:H,8,FALSE))</f>
        <v>68880</v>
      </c>
      <c r="P38" s="46">
        <f t="shared" ca="1" si="2"/>
        <v>9.5348837209302331E-3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hidden="1" customHeight="1" x14ac:dyDescent="0.15">
      <c r="A39" s="2" t="str">
        <f ca="1">input_380010!A$2</f>
        <v>380010</v>
      </c>
      <c r="B39" s="60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IFERROR(VLOOKUP(B39,input_380010!L:R,7,FALSE),VLOOKUP(tables_380010!C39,input_380010!A:H,8,FALSE))</f>
        <v>10920</v>
      </c>
      <c r="P39" s="46">
        <f t="shared" ca="1" si="2"/>
        <v>1.5116279069767441E-3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hidden="1" customHeight="1" x14ac:dyDescent="0.15">
      <c r="A40" s="2" t="str">
        <f ca="1">input_380010!A$2</f>
        <v>380010</v>
      </c>
      <c r="B40" s="60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IFERROR(VLOOKUP(B40,input_380010!L:R,7,FALSE),VLOOKUP(tables_380010!C40,input_380010!A:H,8,FALSE))</f>
        <v>68880</v>
      </c>
      <c r="P40" s="46">
        <f t="shared" ca="1" si="2"/>
        <v>9.5348837209302331E-3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hidden="1" customHeight="1" x14ac:dyDescent="0.15">
      <c r="A41" s="2" t="str">
        <f ca="1">input_380010!A$2</f>
        <v>380010</v>
      </c>
      <c r="B41" s="60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IFERROR(VLOOKUP(B41,input_380010!L:R,7,FALSE),VLOOKUP(tables_380010!C41,input_380010!A:H,8,FALSE))</f>
        <v>10920</v>
      </c>
      <c r="P41" s="46">
        <f t="shared" ca="1" si="2"/>
        <v>1.5116279069767441E-3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hidden="1" customHeight="1" x14ac:dyDescent="0.15">
      <c r="A42" s="2" t="str">
        <f ca="1">input_380010!A$2</f>
        <v>380010</v>
      </c>
      <c r="B42" s="60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IFERROR(VLOOKUP(B42,input_380010!L:R,7,FALSE),VLOOKUP(tables_380010!C42,input_380010!A:H,8,FALSE))</f>
        <v>39900</v>
      </c>
      <c r="P42" s="46">
        <f t="shared" ca="1" si="2"/>
        <v>5.5232558139534883E-3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hidden="1" customHeight="1" x14ac:dyDescent="0.15">
      <c r="A43" s="2" t="str">
        <f ca="1">input_380010!A$2</f>
        <v>380010</v>
      </c>
      <c r="B43" s="60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IFERROR(VLOOKUP(B43,input_380010!L:R,7,FALSE),VLOOKUP(tables_380010!C43,input_380010!A:H,8,FALSE))</f>
        <v>35910</v>
      </c>
      <c r="P43" s="46">
        <f t="shared" ca="1" si="2"/>
        <v>4.9709302325581396E-3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input_380010!A$2</f>
        <v>380010</v>
      </c>
      <c r="B44" s="60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IFERROR(VLOOKUP(B44,input_380010!L:R,7,FALSE),VLOOKUP(tables_380010!C44,input_380010!A:H,8,FALSE))</f>
        <v>3990</v>
      </c>
      <c r="P44" s="46">
        <f t="shared" ca="1" si="2"/>
        <v>5.5232558139534885E-4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hidden="1" customHeight="1" x14ac:dyDescent="0.15">
      <c r="A45" s="2" t="str">
        <f ca="1">input_380010!A$2</f>
        <v>380010</v>
      </c>
      <c r="B45" s="60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IFERROR(VLOOKUP(B45,input_380010!L:R,7,FALSE),VLOOKUP(tables_380010!C45,input_380010!A:H,8,FALSE))</f>
        <v>39900</v>
      </c>
      <c r="P45" s="46">
        <f t="shared" ca="1" si="2"/>
        <v>5.5232558139534883E-3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hidden="1" customHeight="1" x14ac:dyDescent="0.15">
      <c r="A46" s="2" t="str">
        <f ca="1">input_380010!A$2</f>
        <v>380010</v>
      </c>
      <c r="B46" s="60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IFERROR(VLOOKUP(B46,input_380010!L:R,7,FALSE),VLOOKUP(tables_380010!C46,input_380010!A:H,8,FALSE))</f>
        <v>35910</v>
      </c>
      <c r="P46" s="46">
        <f t="shared" ca="1" si="2"/>
        <v>4.9709302325581396E-3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input_380010!A$2</f>
        <v>380010</v>
      </c>
      <c r="B47" s="60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IFERROR(VLOOKUP(B47,input_380010!L:R,7,FALSE),VLOOKUP(tables_380010!C47,input_380010!A:H,8,FALSE))</f>
        <v>3990</v>
      </c>
      <c r="P47" s="46">
        <f t="shared" ca="1" si="2"/>
        <v>5.5232558139534885E-4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hidden="1" customHeight="1" x14ac:dyDescent="0.15">
      <c r="A48" s="2" t="str">
        <f ca="1">input_380010!A$2</f>
        <v>380010</v>
      </c>
      <c r="B48" s="60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IFERROR(VLOOKUP(B48,input_380010!L:R,7,FALSE),VLOOKUP(tables_380010!C48,input_380010!A:H,8,FALSE))</f>
        <v>39900</v>
      </c>
      <c r="P48" s="46">
        <f t="shared" ca="1" si="2"/>
        <v>5.5232558139534883E-3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hidden="1" customHeight="1" x14ac:dyDescent="0.15">
      <c r="A49" s="2" t="str">
        <f ca="1">input_380010!A$2</f>
        <v>380010</v>
      </c>
      <c r="B49" s="60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IFERROR(VLOOKUP(B49,input_380010!L:R,7,FALSE),VLOOKUP(tables_380010!C49,input_380010!A:H,8,FALSE))</f>
        <v>35910</v>
      </c>
      <c r="P49" s="46">
        <f t="shared" ca="1" si="2"/>
        <v>4.9709302325581396E-3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input_380010!A$2</f>
        <v>380010</v>
      </c>
      <c r="B50" s="60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IFERROR(VLOOKUP(B50,input_380010!L:R,7,FALSE),VLOOKUP(tables_380010!C50,input_380010!A:H,8,FALSE))</f>
        <v>3990</v>
      </c>
      <c r="P50" s="46">
        <f t="shared" ca="1" si="2"/>
        <v>5.5232558139534885E-4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hidden="1" customHeight="1" x14ac:dyDescent="0.15">
      <c r="A51" s="2" t="str">
        <f ca="1">input_380010!A$2</f>
        <v>380010</v>
      </c>
      <c r="B51" s="60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IFERROR(VLOOKUP(B51,input_380010!L:R,7,FALSE),VLOOKUP(tables_380010!C51,input_380010!A:H,8,FALSE))</f>
        <v>39900</v>
      </c>
      <c r="P51" s="46">
        <f t="shared" ca="1" si="2"/>
        <v>5.5232558139534883E-3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hidden="1" customHeight="1" x14ac:dyDescent="0.15">
      <c r="A52" s="2" t="str">
        <f ca="1">input_380010!A$2</f>
        <v>380010</v>
      </c>
      <c r="B52" s="60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IFERROR(VLOOKUP(B52,input_380010!L:R,7,FALSE),VLOOKUP(tables_380010!C52,input_380010!A:H,8,FALSE))</f>
        <v>35910</v>
      </c>
      <c r="P52" s="46">
        <f t="shared" ca="1" si="2"/>
        <v>4.9709302325581396E-3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input_380010!A$2</f>
        <v>380010</v>
      </c>
      <c r="B53" s="60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IFERROR(VLOOKUP(B53,input_380010!L:R,7,FALSE),VLOOKUP(tables_380010!C53,input_380010!A:H,8,FALSE))</f>
        <v>3990</v>
      </c>
      <c r="P53" s="46">
        <f t="shared" ca="1" si="2"/>
        <v>5.5232558139534885E-4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hidden="1" customHeight="1" x14ac:dyDescent="0.15">
      <c r="A54" s="2" t="str">
        <f ca="1">input_380010!A$2</f>
        <v>380010</v>
      </c>
      <c r="B54" s="60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IFERROR(VLOOKUP(B54,input_380010!L:R,7,FALSE),VLOOKUP(tables_380010!C54,input_380010!A:H,8,FALSE))</f>
        <v>39900</v>
      </c>
      <c r="P54" s="46">
        <f t="shared" ca="1" si="2"/>
        <v>5.5232558139534883E-3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hidden="1" customHeight="1" x14ac:dyDescent="0.15">
      <c r="A55" s="2" t="str">
        <f ca="1">input_380010!A$2</f>
        <v>380010</v>
      </c>
      <c r="B55" s="60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IFERROR(VLOOKUP(B55,input_380010!L:R,7,FALSE),VLOOKUP(tables_380010!C55,input_380010!A:H,8,FALSE))</f>
        <v>35910</v>
      </c>
      <c r="P55" s="46">
        <f t="shared" ca="1" si="2"/>
        <v>4.9709302325581396E-3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input_380010!A$2</f>
        <v>380010</v>
      </c>
      <c r="B56" s="60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IFERROR(VLOOKUP(B56,input_380010!L:R,7,FALSE),VLOOKUP(tables_380010!C56,input_380010!A:H,8,FALSE))</f>
        <v>3990</v>
      </c>
      <c r="P56" s="46">
        <f t="shared" ca="1" si="2"/>
        <v>5.5232558139534885E-4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hidden="1" customHeight="1" x14ac:dyDescent="0.15">
      <c r="A57" s="2" t="str">
        <f ca="1">input_380010!A$2</f>
        <v>380010</v>
      </c>
      <c r="B57" s="60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IFERROR(VLOOKUP(B57,input_380010!L:R,7,FALSE),VLOOKUP(tables_380010!C57,input_380010!A:H,8,FALSE))</f>
        <v>39900</v>
      </c>
      <c r="P57" s="46">
        <f t="shared" ca="1" si="2"/>
        <v>5.5232558139534883E-3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hidden="1" customHeight="1" x14ac:dyDescent="0.15">
      <c r="A58" s="2" t="str">
        <f ca="1">input_380010!A$2</f>
        <v>380010</v>
      </c>
      <c r="B58" s="60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IFERROR(VLOOKUP(B58,input_380010!L:R,7,FALSE),VLOOKUP(tables_380010!C58,input_380010!A:H,8,FALSE))</f>
        <v>35910</v>
      </c>
      <c r="P58" s="46">
        <f t="shared" ca="1" si="2"/>
        <v>4.9709302325581396E-3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input_380010!A$2</f>
        <v>380010</v>
      </c>
      <c r="B59" s="60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IFERROR(VLOOKUP(B59,input_380010!L:R,7,FALSE),VLOOKUP(tables_380010!C59,input_380010!A:H,8,FALSE))</f>
        <v>3990</v>
      </c>
      <c r="P59" s="46">
        <f t="shared" ca="1" si="2"/>
        <v>5.5232558139534885E-4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hidden="1" customHeight="1" x14ac:dyDescent="0.15">
      <c r="A60" s="2" t="str">
        <f ca="1">input_380010!A$2</f>
        <v>380010</v>
      </c>
      <c r="B60" s="60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IFERROR(VLOOKUP(B60,input_380010!L:R,7,FALSE),VLOOKUP(tables_380010!C60,input_380010!A:H,8,FALSE))</f>
        <v>39900</v>
      </c>
      <c r="P60" s="46">
        <f t="shared" ca="1" si="2"/>
        <v>5.5232558139534883E-3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hidden="1" customHeight="1" x14ac:dyDescent="0.15">
      <c r="A61" s="2" t="str">
        <f ca="1">input_380010!A$2</f>
        <v>380010</v>
      </c>
      <c r="B61" s="60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IFERROR(VLOOKUP(B61,input_380010!L:R,7,FALSE),VLOOKUP(tables_380010!C61,input_380010!A:H,8,FALSE))</f>
        <v>35910</v>
      </c>
      <c r="P61" s="46">
        <f t="shared" ca="1" si="2"/>
        <v>4.9709302325581396E-3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input_380010!A$2</f>
        <v>380010</v>
      </c>
      <c r="B62" s="96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IFERROR(VLOOKUP(B62,input_380010!L:R,7,FALSE),VLOOKUP(tables_380010!C62,input_380010!A:H,8,FALSE))</f>
        <v>3990</v>
      </c>
      <c r="P62" s="46">
        <f t="shared" ca="1" si="2"/>
        <v>5.5232558139534885E-4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hidden="1" customHeight="1" x14ac:dyDescent="0.15">
      <c r="A63" s="2" t="str">
        <f ca="1">input_380010!A$2</f>
        <v>380010</v>
      </c>
      <c r="B63" s="96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IFERROR(VLOOKUP(B63,input_380010!L:R,7,FALSE),VLOOKUP(tables_380010!C63,input_380010!A:H,8,FALSE))</f>
        <v>39900</v>
      </c>
      <c r="P63" s="46">
        <f t="shared" ca="1" si="2"/>
        <v>5.5232558139534883E-3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hidden="1" customHeight="1" x14ac:dyDescent="0.15">
      <c r="A64" s="2" t="str">
        <f ca="1">input_380010!A$2</f>
        <v>380010</v>
      </c>
      <c r="B64" s="96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IFERROR(VLOOKUP(B64,input_380010!L:R,7,FALSE),VLOOKUP(tables_380010!C64,input_380010!A:H,8,FALSE))</f>
        <v>35910</v>
      </c>
      <c r="P64" s="46">
        <f t="shared" ca="1" si="2"/>
        <v>4.9709302325581396E-3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input_380010!A$2</f>
        <v>380010</v>
      </c>
      <c r="B65" s="96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IFERROR(VLOOKUP(B65,input_380010!L:R,7,FALSE),VLOOKUP(tables_380010!C65,input_380010!A:H,8,FALSE))</f>
        <v>3990</v>
      </c>
      <c r="P65" s="46">
        <f t="shared" ca="1" si="2"/>
        <v>5.5232558139534885E-4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hidden="1" customHeight="1" thickBot="1" x14ac:dyDescent="0.2">
      <c r="A66" s="2" t="str">
        <f ca="1">input_380010!A$2</f>
        <v>380010</v>
      </c>
      <c r="B66" s="60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IFERROR(VLOOKUP(B66,input_380010!L:R,7,FALSE),VLOOKUP(tables_380010!C66,input_380010!A:H,8,FALSE))</f>
        <v>39900</v>
      </c>
      <c r="P66" s="46">
        <f t="shared" ca="1" si="2"/>
        <v>5.5232558139534883E-3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hidden="1" customHeight="1" x14ac:dyDescent="0.15">
      <c r="A67" s="2" t="str">
        <f ca="1">input_380010!A$2</f>
        <v>380010</v>
      </c>
      <c r="B67" s="60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IFERROR(VLOOKUP(B67,input_380010!L:R,7,FALSE),VLOOKUP(tables_380010!C67,input_380010!A:H,8,FALSE))</f>
        <v>35910</v>
      </c>
      <c r="P67" s="46">
        <f t="shared" ref="P67:P130" ca="1" si="5">O67/SUM(O:O)</f>
        <v>4.9709302325581396E-3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input_380010!A$2</f>
        <v>380010</v>
      </c>
      <c r="B68" s="60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IFERROR(VLOOKUP(B68,input_380010!L:R,7,FALSE),VLOOKUP(tables_380010!C68,input_380010!A:H,8,FALSE))</f>
        <v>3990</v>
      </c>
      <c r="P68" s="46">
        <f t="shared" ca="1" si="5"/>
        <v>5.5232558139534885E-4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hidden="1" customHeight="1" x14ac:dyDescent="0.15">
      <c r="A69" s="2" t="str">
        <f ca="1">input_380010!A$2</f>
        <v>380010</v>
      </c>
      <c r="B69" s="60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IFERROR(VLOOKUP(B69,input_380010!L:R,7,FALSE),VLOOKUP(tables_380010!C69,input_380010!A:H,8,FALSE))</f>
        <v>39900</v>
      </c>
      <c r="P69" s="46">
        <f t="shared" ca="1" si="5"/>
        <v>5.5232558139534883E-3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hidden="1" customHeight="1" x14ac:dyDescent="0.15">
      <c r="A70" s="2" t="str">
        <f ca="1">input_380010!A$2</f>
        <v>380010</v>
      </c>
      <c r="B70" s="97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IFERROR(VLOOKUP(B70,input_380010!L:R,7,FALSE),VLOOKUP(tables_380010!C70,input_380010!A:H,8,FALSE))</f>
        <v>35910</v>
      </c>
      <c r="P70" s="46">
        <f t="shared" ca="1" si="5"/>
        <v>4.9709302325581396E-3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input_380010!A$2</f>
        <v>380010</v>
      </c>
      <c r="B71" s="60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IFERROR(VLOOKUP(B71,input_380010!L:R,7,FALSE),VLOOKUP(tables_380010!C71,input_380010!A:H,8,FALSE))</f>
        <v>3990</v>
      </c>
      <c r="P71" s="46">
        <f t="shared" ca="1" si="5"/>
        <v>5.5232558139534885E-4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hidden="1" customHeight="1" x14ac:dyDescent="0.15">
      <c r="A72" s="2" t="str">
        <f ca="1">input_380010!A$2</f>
        <v>380010</v>
      </c>
      <c r="B72" s="97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IFERROR(VLOOKUP(B72,input_380010!L:R,7,FALSE),VLOOKUP(tables_380010!C72,input_380010!A:H,8,FALSE))</f>
        <v>39900</v>
      </c>
      <c r="P72" s="46">
        <f t="shared" ca="1" si="5"/>
        <v>5.5232558139534883E-3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hidden="1" customHeight="1" x14ac:dyDescent="0.15">
      <c r="A73" s="2" t="str">
        <f ca="1">input_380010!A$2</f>
        <v>380010</v>
      </c>
      <c r="B73" s="98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IFERROR(VLOOKUP(B73,input_380010!L:R,7,FALSE),VLOOKUP(tables_380010!C73,input_380010!A:H,8,FALSE))</f>
        <v>35910</v>
      </c>
      <c r="P73" s="46">
        <f t="shared" ca="1" si="5"/>
        <v>4.9709302325581396E-3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input_380010!A$2</f>
        <v>380010</v>
      </c>
      <c r="B74" s="60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IFERROR(VLOOKUP(B74,input_380010!L:R,7,FALSE),VLOOKUP(tables_380010!C74,input_380010!A:H,8,FALSE))</f>
        <v>3990</v>
      </c>
      <c r="P74" s="46">
        <f t="shared" ca="1" si="5"/>
        <v>5.5232558139534885E-4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hidden="1" customHeight="1" x14ac:dyDescent="0.15">
      <c r="A75" s="2" t="str">
        <f ca="1">input_380010!A$2</f>
        <v>380010</v>
      </c>
      <c r="B75" s="60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IFERROR(VLOOKUP(B75,input_380010!L:R,7,FALSE),VLOOKUP(tables_380010!C75,input_380010!A:H,8,FALSE))</f>
        <v>39900</v>
      </c>
      <c r="P75" s="46">
        <f t="shared" ca="1" si="5"/>
        <v>5.5232558139534883E-3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hidden="1" customHeight="1" x14ac:dyDescent="0.15">
      <c r="A76" s="2" t="str">
        <f ca="1">input_380010!A$2</f>
        <v>380010</v>
      </c>
      <c r="B76" s="60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IFERROR(VLOOKUP(B76,input_380010!L:R,7,FALSE),VLOOKUP(tables_380010!C76,input_380010!A:H,8,FALSE))</f>
        <v>35910</v>
      </c>
      <c r="P76" s="46">
        <f t="shared" ca="1" si="5"/>
        <v>4.9709302325581396E-3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input_380010!A$2</f>
        <v>380010</v>
      </c>
      <c r="B77" s="82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IFERROR(VLOOKUP(B77,input_380010!L:R,7,FALSE),VLOOKUP(tables_380010!C77,input_380010!A:H,8,FALSE))</f>
        <v>3990</v>
      </c>
      <c r="P77" s="46">
        <f t="shared" ca="1" si="5"/>
        <v>5.5232558139534885E-4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hidden="1" customHeight="1" x14ac:dyDescent="0.15">
      <c r="A78" s="2" t="str">
        <f ca="1">input_380010!A$2</f>
        <v>380010</v>
      </c>
      <c r="B78" s="82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IFERROR(VLOOKUP(B78,input_380010!L:R,7,FALSE),VLOOKUP(tables_380010!C78,input_380010!A:H,8,FALSE))</f>
        <v>39900</v>
      </c>
      <c r="P78" s="46">
        <f t="shared" ca="1" si="5"/>
        <v>5.5232558139534883E-3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hidden="1" customHeight="1" x14ac:dyDescent="0.15">
      <c r="A79" s="2" t="str">
        <f ca="1">input_380010!A$2</f>
        <v>380010</v>
      </c>
      <c r="B79" s="82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IFERROR(VLOOKUP(B79,input_380010!L:R,7,FALSE),VLOOKUP(tables_380010!C79,input_380010!A:H,8,FALSE))</f>
        <v>35910</v>
      </c>
      <c r="P79" s="46">
        <f t="shared" ca="1" si="5"/>
        <v>4.9709302325581396E-3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input_380010!A$2</f>
        <v>380010</v>
      </c>
      <c r="B80" s="82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IFERROR(VLOOKUP(B80,input_380010!L:R,7,FALSE),VLOOKUP(tables_380010!C80,input_380010!A:H,8,FALSE))</f>
        <v>3990</v>
      </c>
      <c r="P80" s="46">
        <f t="shared" ca="1" si="5"/>
        <v>5.5232558139534885E-4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hidden="1" customHeight="1" x14ac:dyDescent="0.15">
      <c r="A81" s="2" t="str">
        <f ca="1">input_380010!A$2</f>
        <v>380010</v>
      </c>
      <c r="B81" s="82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IFERROR(VLOOKUP(B81,input_380010!L:R,7,FALSE),VLOOKUP(tables_380010!C81,input_380010!A:H,8,FALSE))</f>
        <v>39900</v>
      </c>
      <c r="P81" s="46">
        <f t="shared" ca="1" si="5"/>
        <v>5.5232558139534883E-3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hidden="1" customHeight="1" x14ac:dyDescent="0.15">
      <c r="A82" s="2" t="str">
        <f ca="1">input_380010!A$2</f>
        <v>380010</v>
      </c>
      <c r="B82" s="82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IFERROR(VLOOKUP(B82,input_380010!L:R,7,FALSE),VLOOKUP(tables_380010!C82,input_380010!A:H,8,FALSE))</f>
        <v>35910</v>
      </c>
      <c r="P82" s="46">
        <f t="shared" ca="1" si="5"/>
        <v>4.9709302325581396E-3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input_380010!A$2</f>
        <v>380010</v>
      </c>
      <c r="B83" s="82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IFERROR(VLOOKUP(B83,input_380010!L:R,7,FALSE),VLOOKUP(tables_380010!C83,input_380010!A:H,8,FALSE))</f>
        <v>3990</v>
      </c>
      <c r="P83" s="46">
        <f t="shared" ca="1" si="5"/>
        <v>5.5232558139534885E-4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hidden="1" customHeight="1" x14ac:dyDescent="0.15">
      <c r="A84" s="2" t="str">
        <f ca="1">input_380010!A$2</f>
        <v>380010</v>
      </c>
      <c r="B84" s="82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IFERROR(VLOOKUP(B84,input_380010!L:R,7,FALSE),VLOOKUP(tables_380010!C84,input_380010!A:H,8,FALSE))</f>
        <v>39900</v>
      </c>
      <c r="P84" s="46">
        <f t="shared" ca="1" si="5"/>
        <v>5.5232558139534883E-3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hidden="1" customHeight="1" x14ac:dyDescent="0.15">
      <c r="A85" s="2" t="str">
        <f ca="1">input_380010!A$2</f>
        <v>380010</v>
      </c>
      <c r="B85" s="82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IFERROR(VLOOKUP(B85,input_380010!L:R,7,FALSE),VLOOKUP(tables_380010!C85,input_380010!A:H,8,FALSE))</f>
        <v>35910</v>
      </c>
      <c r="P85" s="46">
        <f t="shared" ca="1" si="5"/>
        <v>4.9709302325581396E-3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input_380010!A$2</f>
        <v>380010</v>
      </c>
      <c r="B86" s="82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IFERROR(VLOOKUP(B86,input_380010!L:R,7,FALSE),VLOOKUP(tables_380010!C86,input_380010!A:H,8,FALSE))</f>
        <v>3990</v>
      </c>
      <c r="P86" s="46">
        <f t="shared" ca="1" si="5"/>
        <v>5.5232558139534885E-4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hidden="1" customHeight="1" x14ac:dyDescent="0.15">
      <c r="A87" s="2" t="str">
        <f ca="1">input_380010!A$2</f>
        <v>380010</v>
      </c>
      <c r="B87" s="82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IFERROR(VLOOKUP(B87,input_380010!L:R,7,FALSE),VLOOKUP(tables_380010!C87,input_380010!A:H,8,FALSE))</f>
        <v>39900</v>
      </c>
      <c r="P87" s="46">
        <f t="shared" ca="1" si="5"/>
        <v>5.5232558139534883E-3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hidden="1" customHeight="1" x14ac:dyDescent="0.15">
      <c r="A88" s="2" t="str">
        <f ca="1">input_380010!A$2</f>
        <v>380010</v>
      </c>
      <c r="B88" s="82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IFERROR(VLOOKUP(B88,input_380010!L:R,7,FALSE),VLOOKUP(tables_380010!C88,input_380010!A:H,8,FALSE))</f>
        <v>35910</v>
      </c>
      <c r="P88" s="46">
        <f t="shared" ca="1" si="5"/>
        <v>4.9709302325581396E-3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input_380010!A$2</f>
        <v>380010</v>
      </c>
      <c r="B89" s="82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IFERROR(VLOOKUP(B89,input_380010!L:R,7,FALSE),VLOOKUP(tables_380010!C89,input_380010!A:H,8,FALSE))</f>
        <v>3990</v>
      </c>
      <c r="P89" s="46">
        <f t="shared" ca="1" si="5"/>
        <v>5.5232558139534885E-4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hidden="1" customHeight="1" x14ac:dyDescent="0.15">
      <c r="A90" s="2" t="str">
        <f ca="1">input_380010!A$2</f>
        <v>380010</v>
      </c>
      <c r="B90" s="82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IFERROR(VLOOKUP(B90,input_380010!L:R,7,FALSE),VLOOKUP(tables_380010!C90,input_380010!A:H,8,FALSE))</f>
        <v>39900</v>
      </c>
      <c r="P90" s="46">
        <f t="shared" ca="1" si="5"/>
        <v>5.5232558139534883E-3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hidden="1" customHeight="1" x14ac:dyDescent="0.15">
      <c r="A91" s="2" t="str">
        <f ca="1">input_380010!A$2</f>
        <v>380010</v>
      </c>
      <c r="B91" s="82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IFERROR(VLOOKUP(B91,input_380010!L:R,7,FALSE),VLOOKUP(tables_380010!C91,input_380010!A:H,8,FALSE))</f>
        <v>35910</v>
      </c>
      <c r="P91" s="46">
        <f t="shared" ca="1" si="5"/>
        <v>4.9709302325581396E-3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input_380010!A$2</f>
        <v>380010</v>
      </c>
      <c r="B92" s="82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IFERROR(VLOOKUP(B92,input_380010!L:R,7,FALSE),VLOOKUP(tables_380010!C92,input_380010!A:H,8,FALSE))</f>
        <v>3990</v>
      </c>
      <c r="P92" s="46">
        <f t="shared" ca="1" si="5"/>
        <v>5.5232558139534885E-4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hidden="1" customHeight="1" x14ac:dyDescent="0.15">
      <c r="A93" s="2" t="str">
        <f ca="1">input_380010!A$2</f>
        <v>380010</v>
      </c>
      <c r="B93" s="82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IFERROR(VLOOKUP(B93,input_380010!L:R,7,FALSE),VLOOKUP(tables_380010!C93,input_380010!A:H,8,FALSE))</f>
        <v>39900</v>
      </c>
      <c r="P93" s="46">
        <f t="shared" ca="1" si="5"/>
        <v>5.5232558139534883E-3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hidden="1" customHeight="1" x14ac:dyDescent="0.15">
      <c r="A94" s="2" t="str">
        <f ca="1">input_380010!A$2</f>
        <v>380010</v>
      </c>
      <c r="B94" s="82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IFERROR(VLOOKUP(B94,input_380010!L:R,7,FALSE),VLOOKUP(tables_380010!C94,input_380010!A:H,8,FALSE))</f>
        <v>35910</v>
      </c>
      <c r="P94" s="46">
        <f t="shared" ca="1" si="5"/>
        <v>4.9709302325581396E-3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input_380010!A$2</f>
        <v>380010</v>
      </c>
      <c r="B95" s="82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IFERROR(VLOOKUP(B95,input_380010!L:R,7,FALSE),VLOOKUP(tables_380010!C95,input_380010!A:H,8,FALSE))</f>
        <v>3990</v>
      </c>
      <c r="P95" s="46">
        <f t="shared" ca="1" si="5"/>
        <v>5.5232558139534885E-4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hidden="1" customHeight="1" x14ac:dyDescent="0.15">
      <c r="A96" s="2" t="str">
        <f ca="1">input_380010!A$2</f>
        <v>380010</v>
      </c>
      <c r="B96" s="82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IFERROR(VLOOKUP(B96,input_380010!L:R,7,FALSE),VLOOKUP(tables_380010!C96,input_380010!A:H,8,FALSE))</f>
        <v>39900</v>
      </c>
      <c r="P96" s="46">
        <f t="shared" ca="1" si="5"/>
        <v>5.5232558139534883E-3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hidden="1" customHeight="1" x14ac:dyDescent="0.15">
      <c r="A97" s="2" t="str">
        <f ca="1">input_380010!A$2</f>
        <v>380010</v>
      </c>
      <c r="B97" s="82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IFERROR(VLOOKUP(B97,input_380010!L:R,7,FALSE),VLOOKUP(tables_380010!C97,input_380010!A:H,8,FALSE))</f>
        <v>35910</v>
      </c>
      <c r="P97" s="46">
        <f t="shared" ca="1" si="5"/>
        <v>4.9709302325581396E-3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input_380010!A$2</f>
        <v>380010</v>
      </c>
      <c r="B98" s="82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IFERROR(VLOOKUP(B98,input_380010!L:R,7,FALSE),VLOOKUP(tables_380010!C98,input_380010!A:H,8,FALSE))</f>
        <v>3990</v>
      </c>
      <c r="P98" s="46">
        <f t="shared" ca="1" si="5"/>
        <v>5.5232558139534885E-4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hidden="1" customHeight="1" x14ac:dyDescent="0.15">
      <c r="A99" s="2" t="str">
        <f ca="1">input_380010!A$2</f>
        <v>380010</v>
      </c>
      <c r="B99" s="82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IFERROR(VLOOKUP(B99,input_380010!L:R,7,FALSE),VLOOKUP(tables_380010!C99,input_380010!A:H,8,FALSE))</f>
        <v>39900</v>
      </c>
      <c r="P99" s="46">
        <f t="shared" ca="1" si="5"/>
        <v>5.5232558139534883E-3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hidden="1" customHeight="1" x14ac:dyDescent="0.15">
      <c r="A100" s="2" t="str">
        <f ca="1">input_380010!A$2</f>
        <v>380010</v>
      </c>
      <c r="B100" s="82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IFERROR(VLOOKUP(B100,input_380010!L:R,7,FALSE),VLOOKUP(tables_380010!C100,input_380010!A:H,8,FALSE))</f>
        <v>35910</v>
      </c>
      <c r="P100" s="46">
        <f t="shared" ca="1" si="5"/>
        <v>4.9709302325581396E-3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input_380010!A$2</f>
        <v>380010</v>
      </c>
      <c r="B101" s="82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IFERROR(VLOOKUP(B101,input_380010!L:R,7,FALSE),VLOOKUP(tables_380010!C101,input_380010!A:H,8,FALSE))</f>
        <v>3990</v>
      </c>
      <c r="P101" s="46">
        <f t="shared" ca="1" si="5"/>
        <v>5.5232558139534885E-4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hidden="1" customHeight="1" x14ac:dyDescent="0.15">
      <c r="A102" s="2" t="str">
        <f ca="1">input_380010!A$2</f>
        <v>380010</v>
      </c>
      <c r="B102" s="82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IFERROR(VLOOKUP(B102,input_380010!L:R,7,FALSE),VLOOKUP(tables_380010!C102,input_380010!A:H,8,FALSE))</f>
        <v>39900</v>
      </c>
      <c r="P102" s="46">
        <f t="shared" ca="1" si="5"/>
        <v>5.5232558139534883E-3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hidden="1" customHeight="1" x14ac:dyDescent="0.15">
      <c r="A103" s="2" t="str">
        <f ca="1">input_380010!A$2</f>
        <v>380010</v>
      </c>
      <c r="B103" s="82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IFERROR(VLOOKUP(B103,input_380010!L:R,7,FALSE),VLOOKUP(tables_380010!C103,input_380010!A:H,8,FALSE))</f>
        <v>35910</v>
      </c>
      <c r="P103" s="46">
        <f t="shared" ca="1" si="5"/>
        <v>4.9709302325581396E-3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input_380010!A$2</f>
        <v>380010</v>
      </c>
      <c r="B104" s="82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IFERROR(VLOOKUP(B104,input_380010!L:R,7,FALSE),VLOOKUP(tables_380010!C104,input_380010!A:H,8,FALSE))</f>
        <v>3990</v>
      </c>
      <c r="P104" s="46">
        <f t="shared" ca="1" si="5"/>
        <v>5.5232558139534885E-4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hidden="1" customHeight="1" x14ac:dyDescent="0.15">
      <c r="A105" s="2" t="str">
        <f ca="1">input_380010!A$2</f>
        <v>380010</v>
      </c>
      <c r="B105" s="82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IFERROR(VLOOKUP(B105,input_380010!L:R,7,FALSE),VLOOKUP(tables_380010!C105,input_380010!A:H,8,FALSE))</f>
        <v>39900</v>
      </c>
      <c r="P105" s="46">
        <f t="shared" ca="1" si="5"/>
        <v>5.5232558139534883E-3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hidden="1" customHeight="1" x14ac:dyDescent="0.15">
      <c r="A106" s="2" t="str">
        <f ca="1">input_380010!A$2</f>
        <v>380010</v>
      </c>
      <c r="B106" s="82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IFERROR(VLOOKUP(B106,input_380010!L:R,7,FALSE),VLOOKUP(tables_380010!C106,input_380010!A:H,8,FALSE))</f>
        <v>35910</v>
      </c>
      <c r="P106" s="46">
        <f t="shared" ca="1" si="5"/>
        <v>4.9709302325581396E-3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input_380010!A$2</f>
        <v>380010</v>
      </c>
      <c r="B107" s="82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IFERROR(VLOOKUP(B107,input_380010!L:R,7,FALSE),VLOOKUP(tables_380010!C107,input_380010!A:H,8,FALSE))</f>
        <v>3990</v>
      </c>
      <c r="P107" s="46">
        <f t="shared" ca="1" si="5"/>
        <v>5.5232558139534885E-4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hidden="1" customHeight="1" x14ac:dyDescent="0.15">
      <c r="A108" s="2" t="str">
        <f ca="1">input_380010!A$2</f>
        <v>380010</v>
      </c>
      <c r="B108" s="82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IFERROR(VLOOKUP(B108,input_380010!L:R,7,FALSE),VLOOKUP(tables_380010!C108,input_380010!A:H,8,FALSE))</f>
        <v>39900</v>
      </c>
      <c r="P108" s="46">
        <f t="shared" ca="1" si="5"/>
        <v>5.5232558139534883E-3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hidden="1" customHeight="1" x14ac:dyDescent="0.15">
      <c r="A109" s="2" t="str">
        <f ca="1">input_380010!A$2</f>
        <v>380010</v>
      </c>
      <c r="B109" s="82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IFERROR(VLOOKUP(B109,input_380010!L:R,7,FALSE),VLOOKUP(tables_380010!C109,input_380010!A:H,8,FALSE))</f>
        <v>35910</v>
      </c>
      <c r="P109" s="46">
        <f t="shared" ca="1" si="5"/>
        <v>4.9709302325581396E-3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input_380010!A$2</f>
        <v>380010</v>
      </c>
      <c r="B110" s="82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IFERROR(VLOOKUP(B110,input_380010!L:R,7,FALSE),VLOOKUP(tables_380010!C110,input_380010!A:H,8,FALSE))</f>
        <v>3990</v>
      </c>
      <c r="P110" s="46">
        <f t="shared" ca="1" si="5"/>
        <v>5.5232558139534885E-4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hidden="1" customHeight="1" x14ac:dyDescent="0.15">
      <c r="A111" s="2" t="str">
        <f ca="1">input_380010!A$2</f>
        <v>380010</v>
      </c>
      <c r="B111" s="82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IFERROR(VLOOKUP(B111,input_380010!L:R,7,FALSE),VLOOKUP(tables_380010!C111,input_380010!A:H,8,FALSE))</f>
        <v>39900</v>
      </c>
      <c r="P111" s="46">
        <f t="shared" ca="1" si="5"/>
        <v>5.5232558139534883E-3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hidden="1" customHeight="1" x14ac:dyDescent="0.15">
      <c r="A112" s="2" t="str">
        <f ca="1">input_380010!A$2</f>
        <v>380010</v>
      </c>
      <c r="B112" s="82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IFERROR(VLOOKUP(B112,input_380010!L:R,7,FALSE),VLOOKUP(tables_380010!C112,input_380010!A:H,8,FALSE))</f>
        <v>35910</v>
      </c>
      <c r="P112" s="46">
        <f t="shared" ca="1" si="5"/>
        <v>4.9709302325581396E-3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input_380010!A$2</f>
        <v>380010</v>
      </c>
      <c r="B113" s="82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IFERROR(VLOOKUP(B113,input_380010!L:R,7,FALSE),VLOOKUP(tables_380010!C113,input_380010!A:H,8,FALSE))</f>
        <v>3990</v>
      </c>
      <c r="P113" s="46">
        <f t="shared" ca="1" si="5"/>
        <v>5.5232558139534885E-4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hidden="1" customHeight="1" x14ac:dyDescent="0.15">
      <c r="A114" s="2" t="str">
        <f ca="1">input_380010!A$2</f>
        <v>380010</v>
      </c>
      <c r="B114" s="82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IFERROR(VLOOKUP(B114,input_380010!L:R,7,FALSE),VLOOKUP(tables_380010!C114,input_380010!A:H,8,FALSE))</f>
        <v>39900</v>
      </c>
      <c r="P114" s="46">
        <f t="shared" ca="1" si="5"/>
        <v>5.5232558139534883E-3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hidden="1" customHeight="1" x14ac:dyDescent="0.15">
      <c r="A115" s="2" t="str">
        <f ca="1">input_380010!A$2</f>
        <v>380010</v>
      </c>
      <c r="B115" s="82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IFERROR(VLOOKUP(B115,input_380010!L:R,7,FALSE),VLOOKUP(tables_380010!C115,input_380010!A:H,8,FALSE))</f>
        <v>35910</v>
      </c>
      <c r="P115" s="46">
        <f t="shared" ca="1" si="5"/>
        <v>4.9709302325581396E-3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input_380010!A$2</f>
        <v>380010</v>
      </c>
      <c r="B116" s="82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IFERROR(VLOOKUP(B116,input_380010!L:R,7,FALSE),VLOOKUP(tables_380010!C116,input_380010!A:H,8,FALSE))</f>
        <v>3990</v>
      </c>
      <c r="P116" s="46">
        <f t="shared" ca="1" si="5"/>
        <v>5.5232558139534885E-4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hidden="1" customHeight="1" x14ac:dyDescent="0.15">
      <c r="A117" s="2" t="str">
        <f ca="1">input_380010!A$2</f>
        <v>380010</v>
      </c>
      <c r="B117" s="82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IFERROR(VLOOKUP(B117,input_380010!L:R,7,FALSE),VLOOKUP(tables_380010!C117,input_380010!A:H,8,FALSE))</f>
        <v>39900</v>
      </c>
      <c r="P117" s="46">
        <f t="shared" ca="1" si="5"/>
        <v>5.5232558139534883E-3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hidden="1" customHeight="1" x14ac:dyDescent="0.15">
      <c r="A118" s="2" t="str">
        <f ca="1">input_380010!A$2</f>
        <v>380010</v>
      </c>
      <c r="B118" s="82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IFERROR(VLOOKUP(B118,input_380010!L:R,7,FALSE),VLOOKUP(tables_380010!C118,input_380010!A:H,8,FALSE))</f>
        <v>35910</v>
      </c>
      <c r="P118" s="46">
        <f t="shared" ca="1" si="5"/>
        <v>4.9709302325581396E-3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input_380010!A$2</f>
        <v>380010</v>
      </c>
      <c r="B119" s="82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IFERROR(VLOOKUP(B119,input_380010!L:R,7,FALSE),VLOOKUP(tables_380010!C119,input_380010!A:H,8,FALSE))</f>
        <v>3990</v>
      </c>
      <c r="P119" s="46">
        <f t="shared" ca="1" si="5"/>
        <v>5.5232558139534885E-4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hidden="1" customHeight="1" x14ac:dyDescent="0.15">
      <c r="A120" s="2" t="str">
        <f ca="1">input_380010!A$2</f>
        <v>380010</v>
      </c>
      <c r="B120" s="82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IFERROR(VLOOKUP(B120,input_380010!L:R,7,FALSE),VLOOKUP(tables_380010!C120,input_380010!A:H,8,FALSE))</f>
        <v>39900</v>
      </c>
      <c r="P120" s="46">
        <f t="shared" ca="1" si="5"/>
        <v>5.5232558139534883E-3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hidden="1" customHeight="1" x14ac:dyDescent="0.15">
      <c r="A121" s="2" t="str">
        <f ca="1">input_380010!A$2</f>
        <v>380010</v>
      </c>
      <c r="B121" s="82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IFERROR(VLOOKUP(B121,input_380010!L:R,7,FALSE),VLOOKUP(tables_380010!C121,input_380010!A:H,8,FALSE))</f>
        <v>35910</v>
      </c>
      <c r="P121" s="46">
        <f t="shared" ca="1" si="5"/>
        <v>4.9709302325581396E-3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input_380010!A$2</f>
        <v>380010</v>
      </c>
      <c r="B122" s="82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IFERROR(VLOOKUP(B122,input_380010!L:R,7,FALSE),VLOOKUP(tables_380010!C122,input_380010!A:H,8,FALSE))</f>
        <v>3990</v>
      </c>
      <c r="P122" s="46">
        <f t="shared" ca="1" si="5"/>
        <v>5.5232558139534885E-4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hidden="1" customHeight="1" x14ac:dyDescent="0.15">
      <c r="A123" s="2" t="str">
        <f ca="1">input_380010!A$2</f>
        <v>380010</v>
      </c>
      <c r="B123" s="82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IFERROR(VLOOKUP(B123,input_380010!L:R,7,FALSE),VLOOKUP(tables_380010!C123,input_380010!A:H,8,FALSE))</f>
        <v>39900</v>
      </c>
      <c r="P123" s="46">
        <f t="shared" ca="1" si="5"/>
        <v>5.5232558139534883E-3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hidden="1" customHeight="1" x14ac:dyDescent="0.15">
      <c r="A124" s="2" t="str">
        <f ca="1">input_380010!A$2</f>
        <v>380010</v>
      </c>
      <c r="B124" s="82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IFERROR(VLOOKUP(B124,input_380010!L:R,7,FALSE),VLOOKUP(tables_380010!C124,input_380010!A:H,8,FALSE))</f>
        <v>35910</v>
      </c>
      <c r="P124" s="46">
        <f t="shared" ca="1" si="5"/>
        <v>4.9709302325581396E-3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input_380010!A$2</f>
        <v>380010</v>
      </c>
      <c r="B125" s="60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IFERROR(VLOOKUP(B125,input_380010!L:R,7,FALSE),VLOOKUP(tables_380010!C125,input_380010!A:H,8,FALSE))</f>
        <v>3990</v>
      </c>
      <c r="P125" s="46">
        <f t="shared" ca="1" si="5"/>
        <v>5.5232558139534885E-4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hidden="1" customHeight="1" x14ac:dyDescent="0.15">
      <c r="A126" s="2" t="str">
        <f ca="1">input_380010!A$2</f>
        <v>380010</v>
      </c>
      <c r="B126" s="60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IFERROR(VLOOKUP(B126,input_380010!L:R,7,FALSE),VLOOKUP(tables_380010!C126,input_380010!A:H,8,FALSE))</f>
        <v>39900</v>
      </c>
      <c r="P126" s="46">
        <f t="shared" ca="1" si="5"/>
        <v>5.5232558139534883E-3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hidden="1" customHeight="1" x14ac:dyDescent="0.15">
      <c r="A127" s="2" t="str">
        <f ca="1">input_380010!A$2</f>
        <v>380010</v>
      </c>
      <c r="B127" s="60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IFERROR(VLOOKUP(B127,input_380010!L:R,7,FALSE),VLOOKUP(tables_380010!C127,input_380010!A:H,8,FALSE))</f>
        <v>35910</v>
      </c>
      <c r="P127" s="46">
        <f t="shared" ca="1" si="5"/>
        <v>4.9709302325581396E-3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input_380010!A$2</f>
        <v>380010</v>
      </c>
      <c r="B128" s="60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IFERROR(VLOOKUP(B128,input_380010!L:R,7,FALSE),VLOOKUP(tables_380010!C128,input_380010!A:H,8,FALSE))</f>
        <v>3990</v>
      </c>
      <c r="P128" s="46">
        <f t="shared" ca="1" si="5"/>
        <v>5.5232558139534885E-4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hidden="1" customHeight="1" x14ac:dyDescent="0.15">
      <c r="A129" s="2" t="str">
        <f ca="1">input_380010!A$2</f>
        <v>380010</v>
      </c>
      <c r="B129" s="60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IFERROR(VLOOKUP(B129,input_380010!L:R,7,FALSE),VLOOKUP(tables_380010!C129,input_380010!A:H,8,FALSE))</f>
        <v>39900</v>
      </c>
      <c r="P129" s="46">
        <f t="shared" ca="1" si="5"/>
        <v>5.5232558139534883E-3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hidden="1" customHeight="1" x14ac:dyDescent="0.15">
      <c r="A130" s="2" t="str">
        <f ca="1">input_380010!A$2</f>
        <v>380010</v>
      </c>
      <c r="B130" s="60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IFERROR(VLOOKUP(B130,input_380010!L:R,7,FALSE),VLOOKUP(tables_380010!C130,input_380010!A:H,8,FALSE))</f>
        <v>35910</v>
      </c>
      <c r="P130" s="46">
        <f t="shared" ca="1" si="5"/>
        <v>4.9709302325581396E-3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input_380010!A$2</f>
        <v>380010</v>
      </c>
      <c r="B131" s="60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IFERROR(VLOOKUP(B131,input_380010!L:R,7,FALSE),VLOOKUP(tables_380010!C131,input_380010!A:H,8,FALSE))</f>
        <v>3990</v>
      </c>
      <c r="P131" s="46">
        <f t="shared" ref="P131:P194" ca="1" si="8">O131/SUM(O:O)</f>
        <v>5.5232558139534885E-4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hidden="1" customHeight="1" x14ac:dyDescent="0.15">
      <c r="A132" s="2" t="str">
        <f ca="1">input_380010!A$2</f>
        <v>380010</v>
      </c>
      <c r="B132" s="60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IFERROR(VLOOKUP(B132,input_380010!L:R,7,FALSE),VLOOKUP(tables_380010!C132,input_380010!A:H,8,FALSE))</f>
        <v>39900</v>
      </c>
      <c r="P132" s="46">
        <f t="shared" ca="1" si="8"/>
        <v>5.5232558139534883E-3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hidden="1" customHeight="1" x14ac:dyDescent="0.15">
      <c r="A133" s="2" t="str">
        <f ca="1">input_380010!A$2</f>
        <v>380010</v>
      </c>
      <c r="B133" s="60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IFERROR(VLOOKUP(B133,input_380010!L:R,7,FALSE),VLOOKUP(tables_380010!C133,input_380010!A:H,8,FALSE))</f>
        <v>35910</v>
      </c>
      <c r="P133" s="46">
        <f t="shared" ca="1" si="8"/>
        <v>4.9709302325581396E-3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input_380010!A$2</f>
        <v>380010</v>
      </c>
      <c r="B134" s="60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IFERROR(VLOOKUP(B134,input_380010!L:R,7,FALSE),VLOOKUP(tables_380010!C134,input_380010!A:H,8,FALSE))</f>
        <v>3990</v>
      </c>
      <c r="P134" s="46">
        <f t="shared" ca="1" si="8"/>
        <v>5.5232558139534885E-4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hidden="1" customHeight="1" x14ac:dyDescent="0.15">
      <c r="A135" s="2" t="str">
        <f ca="1">input_380010!A$2</f>
        <v>380010</v>
      </c>
      <c r="B135" s="60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IFERROR(VLOOKUP(B135,input_380010!L:R,7,FALSE),VLOOKUP(tables_380010!C135,input_380010!A:H,8,FALSE))</f>
        <v>39900</v>
      </c>
      <c r="P135" s="46">
        <f t="shared" ca="1" si="8"/>
        <v>5.5232558139534883E-3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hidden="1" customHeight="1" x14ac:dyDescent="0.15">
      <c r="A136" s="2" t="str">
        <f ca="1">input_380010!A$2</f>
        <v>380010</v>
      </c>
      <c r="B136" s="96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IFERROR(VLOOKUP(B136,input_380010!L:R,7,FALSE),VLOOKUP(tables_380010!C136,input_380010!A:H,8,FALSE))</f>
        <v>35910</v>
      </c>
      <c r="P136" s="46">
        <f t="shared" ca="1" si="8"/>
        <v>4.9709302325581396E-3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input_380010!A$2</f>
        <v>380010</v>
      </c>
      <c r="B137" s="96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IFERROR(VLOOKUP(B137,input_380010!L:R,7,FALSE),VLOOKUP(tables_380010!C137,input_380010!A:H,8,FALSE))</f>
        <v>3990</v>
      </c>
      <c r="P137" s="46">
        <f t="shared" ca="1" si="8"/>
        <v>5.5232558139534885E-4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hidden="1" customHeight="1" x14ac:dyDescent="0.15">
      <c r="A138" s="2" t="str">
        <f ca="1">input_380010!A$2</f>
        <v>380010</v>
      </c>
      <c r="B138" s="60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IFERROR(VLOOKUP(B138,input_380010!L:R,7,FALSE),VLOOKUP(tables_380010!C138,input_380010!A:H,8,FALSE))</f>
        <v>8170</v>
      </c>
      <c r="P138" s="46">
        <f t="shared" ca="1" si="8"/>
        <v>1.1309523809523809E-3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input_380010!A$2</f>
        <v>380010</v>
      </c>
      <c r="B139" s="60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IFERROR(VLOOKUP(B139,input_380010!L:R,7,FALSE),VLOOKUP(tables_380010!C139,input_380010!A:H,8,FALSE))</f>
        <v>430</v>
      </c>
      <c r="P139" s="46">
        <f t="shared" ca="1" si="8"/>
        <v>5.9523809523809524E-5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hidden="1" customHeight="1" x14ac:dyDescent="0.15">
      <c r="A140" s="2" t="str">
        <f ca="1">input_380010!A$2</f>
        <v>380010</v>
      </c>
      <c r="B140" s="60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IFERROR(VLOOKUP(B140,input_380010!L:R,7,FALSE),VLOOKUP(tables_380010!C140,input_380010!A:H,8,FALSE))</f>
        <v>8170</v>
      </c>
      <c r="P140" s="46">
        <f t="shared" ca="1" si="8"/>
        <v>1.1309523809523809E-3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input_380010!A$2</f>
        <v>380010</v>
      </c>
      <c r="B141" s="60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IFERROR(VLOOKUP(B141,input_380010!L:R,7,FALSE),VLOOKUP(tables_380010!C141,input_380010!A:H,8,FALSE))</f>
        <v>430</v>
      </c>
      <c r="P141" s="46">
        <f t="shared" ca="1" si="8"/>
        <v>5.9523809523809524E-5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hidden="1" customHeight="1" x14ac:dyDescent="0.15">
      <c r="A142" s="2" t="str">
        <f ca="1">input_380010!A$2</f>
        <v>380010</v>
      </c>
      <c r="B142" s="60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IFERROR(VLOOKUP(B142,input_380010!L:R,7,FALSE),VLOOKUP(tables_380010!C142,input_380010!A:H,8,FALSE))</f>
        <v>8170</v>
      </c>
      <c r="P142" s="46">
        <f t="shared" ca="1" si="8"/>
        <v>1.1309523809523809E-3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input_380010!A$2</f>
        <v>380010</v>
      </c>
      <c r="B143" s="60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IFERROR(VLOOKUP(B143,input_380010!L:R,7,FALSE),VLOOKUP(tables_380010!C143,input_380010!A:H,8,FALSE))</f>
        <v>430</v>
      </c>
      <c r="P143" s="46">
        <f t="shared" ca="1" si="8"/>
        <v>5.9523809523809524E-5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hidden="1" customHeight="1" x14ac:dyDescent="0.15">
      <c r="A144" s="2" t="str">
        <f ca="1">input_380010!A$2</f>
        <v>380010</v>
      </c>
      <c r="B144" s="60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IFERROR(VLOOKUP(B144,input_380010!L:R,7,FALSE),VLOOKUP(tables_380010!C144,input_380010!A:H,8,FALSE))</f>
        <v>8170</v>
      </c>
      <c r="P144" s="46">
        <f t="shared" ca="1" si="8"/>
        <v>1.1309523809523809E-3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input_380010!A$2</f>
        <v>380010</v>
      </c>
      <c r="B145" s="60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IFERROR(VLOOKUP(B145,input_380010!L:R,7,FALSE),VLOOKUP(tables_380010!C145,input_380010!A:H,8,FALSE))</f>
        <v>430</v>
      </c>
      <c r="P145" s="46">
        <f t="shared" ca="1" si="8"/>
        <v>5.9523809523809524E-5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hidden="1" customHeight="1" x14ac:dyDescent="0.15">
      <c r="A146" s="2" t="str">
        <f ca="1">input_380010!A$2</f>
        <v>380010</v>
      </c>
      <c r="B146" s="60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IFERROR(VLOOKUP(B146,input_380010!L:R,7,FALSE),VLOOKUP(tables_380010!C146,input_380010!A:H,8,FALSE))</f>
        <v>39900</v>
      </c>
      <c r="P146" s="46">
        <f t="shared" ca="1" si="8"/>
        <v>5.5232558139534883E-3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hidden="1" customHeight="1" x14ac:dyDescent="0.15">
      <c r="A147" s="2" t="str">
        <f ca="1">input_380010!A$2</f>
        <v>380010</v>
      </c>
      <c r="B147" s="60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IFERROR(VLOOKUP(B147,input_380010!L:R,7,FALSE),VLOOKUP(tables_380010!C147,input_380010!A:H,8,FALSE))</f>
        <v>35910</v>
      </c>
      <c r="P147" s="46">
        <f t="shared" ca="1" si="8"/>
        <v>4.9709302325581396E-3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input_380010!A$2</f>
        <v>380010</v>
      </c>
      <c r="B148" s="60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IFERROR(VLOOKUP(B148,input_380010!L:R,7,FALSE),VLOOKUP(tables_380010!C148,input_380010!A:H,8,FALSE))</f>
        <v>3990</v>
      </c>
      <c r="P148" s="46">
        <f t="shared" ca="1" si="8"/>
        <v>5.5232558139534885E-4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hidden="1" customHeight="1" x14ac:dyDescent="0.15">
      <c r="A149" s="2" t="str">
        <f ca="1">input_380010!A$2</f>
        <v>380010</v>
      </c>
      <c r="B149" s="60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IFERROR(VLOOKUP(B149,input_380010!L:R,7,FALSE),VLOOKUP(tables_380010!C149,input_380010!A:H,8,FALSE))</f>
        <v>8170</v>
      </c>
      <c r="P149" s="46">
        <f t="shared" ca="1" si="8"/>
        <v>1.1309523809523809E-3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input_380010!A$2</f>
        <v>380010</v>
      </c>
      <c r="B150" s="60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IFERROR(VLOOKUP(B150,input_380010!L:R,7,FALSE),VLOOKUP(tables_380010!C150,input_380010!A:H,8,FALSE))</f>
        <v>430</v>
      </c>
      <c r="P150" s="46">
        <f t="shared" ca="1" si="8"/>
        <v>5.9523809523809524E-5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hidden="1" customHeight="1" x14ac:dyDescent="0.15">
      <c r="A151" s="2" t="str">
        <f ca="1">input_380010!A$2</f>
        <v>380010</v>
      </c>
      <c r="B151" s="60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IFERROR(VLOOKUP(B151,input_380010!L:R,7,FALSE),VLOOKUP(tables_380010!C151,input_380010!A:H,8,FALSE))</f>
        <v>8170</v>
      </c>
      <c r="P151" s="46">
        <f t="shared" ca="1" si="8"/>
        <v>1.1309523809523809E-3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input_380010!A$2</f>
        <v>380010</v>
      </c>
      <c r="B152" s="60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IFERROR(VLOOKUP(B152,input_380010!L:R,7,FALSE),VLOOKUP(tables_380010!C152,input_380010!A:H,8,FALSE))</f>
        <v>430</v>
      </c>
      <c r="P152" s="46">
        <f t="shared" ca="1" si="8"/>
        <v>5.9523809523809524E-5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hidden="1" customHeight="1" x14ac:dyDescent="0.15">
      <c r="A153" s="2" t="str">
        <f ca="1">input_380010!A$2</f>
        <v>380010</v>
      </c>
      <c r="B153" s="60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IFERROR(VLOOKUP(B153,input_380010!L:R,7,FALSE),VLOOKUP(tables_380010!C153,input_380010!A:H,8,FALSE))</f>
        <v>39900</v>
      </c>
      <c r="P153" s="46">
        <f t="shared" ca="1" si="8"/>
        <v>5.5232558139534883E-3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hidden="1" customHeight="1" x14ac:dyDescent="0.15">
      <c r="A154" s="2" t="str">
        <f ca="1">input_380010!A$2</f>
        <v>380010</v>
      </c>
      <c r="B154" s="60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IFERROR(VLOOKUP(B154,input_380010!L:R,7,FALSE),VLOOKUP(tables_380010!C154,input_380010!A:H,8,FALSE))</f>
        <v>35910</v>
      </c>
      <c r="P154" s="46">
        <f t="shared" ca="1" si="8"/>
        <v>4.9709302325581396E-3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input_380010!A$2</f>
        <v>380010</v>
      </c>
      <c r="B155" s="60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IFERROR(VLOOKUP(B155,input_380010!L:R,7,FALSE),VLOOKUP(tables_380010!C155,input_380010!A:H,8,FALSE))</f>
        <v>3990</v>
      </c>
      <c r="P155" s="46">
        <f t="shared" ca="1" si="8"/>
        <v>5.5232558139534885E-4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hidden="1" customHeight="1" x14ac:dyDescent="0.15">
      <c r="A156" s="2" t="str">
        <f ca="1">input_380010!A$2</f>
        <v>380010</v>
      </c>
      <c r="B156" s="60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IFERROR(VLOOKUP(B156,input_380010!L:R,7,FALSE),VLOOKUP(tables_380010!C156,input_380010!A:H,8,FALSE))</f>
        <v>8170</v>
      </c>
      <c r="P156" s="46">
        <f t="shared" ca="1" si="8"/>
        <v>1.1309523809523809E-3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input_380010!A$2</f>
        <v>380010</v>
      </c>
      <c r="B157" s="60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IFERROR(VLOOKUP(B157,input_380010!L:R,7,FALSE),VLOOKUP(tables_380010!C157,input_380010!A:H,8,FALSE))</f>
        <v>430</v>
      </c>
      <c r="P157" s="46">
        <f t="shared" ca="1" si="8"/>
        <v>5.9523809523809524E-5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hidden="1" customHeight="1" x14ac:dyDescent="0.15">
      <c r="A158" s="2" t="str">
        <f ca="1">input_380010!A$2</f>
        <v>380010</v>
      </c>
      <c r="B158" s="60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IFERROR(VLOOKUP(B158,input_380010!L:R,7,FALSE),VLOOKUP(tables_380010!C158,input_380010!A:H,8,FALSE))</f>
        <v>39900</v>
      </c>
      <c r="P158" s="46">
        <f t="shared" ca="1" si="8"/>
        <v>5.5232558139534883E-3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hidden="1" customHeight="1" x14ac:dyDescent="0.15">
      <c r="A159" s="2" t="str">
        <f ca="1">input_380010!A$2</f>
        <v>380010</v>
      </c>
      <c r="B159" s="60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IFERROR(VLOOKUP(B159,input_380010!L:R,7,FALSE),VLOOKUP(tables_380010!C159,input_380010!A:H,8,FALSE))</f>
        <v>35910</v>
      </c>
      <c r="P159" s="46">
        <f t="shared" ca="1" si="8"/>
        <v>4.9709302325581396E-3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input_380010!A$2</f>
        <v>380010</v>
      </c>
      <c r="B160" s="60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IFERROR(VLOOKUP(B160,input_380010!L:R,7,FALSE),VLOOKUP(tables_380010!C160,input_380010!A:H,8,FALSE))</f>
        <v>3990</v>
      </c>
      <c r="P160" s="46">
        <f t="shared" ca="1" si="8"/>
        <v>5.5232558139534885E-4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hidden="1" customHeight="1" x14ac:dyDescent="0.15">
      <c r="A161" s="2" t="str">
        <f ca="1">input_380010!A$2</f>
        <v>380010</v>
      </c>
      <c r="B161" s="60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IFERROR(VLOOKUP(B161,input_380010!L:R,7,FALSE),VLOOKUP(tables_380010!C161,input_380010!A:H,8,FALSE))</f>
        <v>39900</v>
      </c>
      <c r="P161" s="46">
        <f t="shared" ca="1" si="8"/>
        <v>5.5232558139534883E-3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hidden="1" customHeight="1" x14ac:dyDescent="0.15">
      <c r="A162" s="2" t="str">
        <f ca="1">input_380010!A$2</f>
        <v>380010</v>
      </c>
      <c r="B162" s="60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IFERROR(VLOOKUP(B162,input_380010!L:R,7,FALSE),VLOOKUP(tables_380010!C162,input_380010!A:H,8,FALSE))</f>
        <v>35910</v>
      </c>
      <c r="P162" s="46">
        <f t="shared" ca="1" si="8"/>
        <v>4.9709302325581396E-3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input_380010!A$2</f>
        <v>380010</v>
      </c>
      <c r="B163" s="60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IFERROR(VLOOKUP(B163,input_380010!L:R,7,FALSE),VLOOKUP(tables_380010!C163,input_380010!A:H,8,FALSE))</f>
        <v>3990</v>
      </c>
      <c r="P163" s="46">
        <f t="shared" ca="1" si="8"/>
        <v>5.5232558139534885E-4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hidden="1" customHeight="1" x14ac:dyDescent="0.15">
      <c r="A164" s="2" t="str">
        <f ca="1">input_380010!A$2</f>
        <v>380010</v>
      </c>
      <c r="B164" s="60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IFERROR(VLOOKUP(B164,input_380010!L:R,7,FALSE),VLOOKUP(tables_380010!C164,input_380010!A:H,8,FALSE))</f>
        <v>8170</v>
      </c>
      <c r="P164" s="46">
        <f t="shared" ca="1" si="8"/>
        <v>1.1309523809523809E-3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input_380010!A$2</f>
        <v>380010</v>
      </c>
      <c r="B165" s="60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IFERROR(VLOOKUP(B165,input_380010!L:R,7,FALSE),VLOOKUP(tables_380010!C165,input_380010!A:H,8,FALSE))</f>
        <v>430</v>
      </c>
      <c r="P165" s="46">
        <f t="shared" ca="1" si="8"/>
        <v>5.9523809523809524E-5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hidden="1" customHeight="1" x14ac:dyDescent="0.15">
      <c r="A166" s="2" t="str">
        <f ca="1">input_380010!A$2</f>
        <v>380010</v>
      </c>
      <c r="B166" s="60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IFERROR(VLOOKUP(B166,input_380010!L:R,7,FALSE),VLOOKUP(tables_380010!C166,input_380010!A:H,8,FALSE))</f>
        <v>39900</v>
      </c>
      <c r="P166" s="46">
        <f t="shared" ca="1" si="8"/>
        <v>5.5232558139534883E-3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hidden="1" customHeight="1" x14ac:dyDescent="0.15">
      <c r="A167" s="2" t="str">
        <f ca="1">input_380010!A$2</f>
        <v>380010</v>
      </c>
      <c r="B167" s="60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IFERROR(VLOOKUP(B167,input_380010!L:R,7,FALSE),VLOOKUP(tables_380010!C167,input_380010!A:H,8,FALSE))</f>
        <v>35910</v>
      </c>
      <c r="P167" s="46">
        <f t="shared" ca="1" si="8"/>
        <v>4.9709302325581396E-3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input_380010!A$2</f>
        <v>380010</v>
      </c>
      <c r="B168" s="60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IFERROR(VLOOKUP(B168,input_380010!L:R,7,FALSE),VLOOKUP(tables_380010!C168,input_380010!A:H,8,FALSE))</f>
        <v>3990</v>
      </c>
      <c r="P168" s="46">
        <f t="shared" ca="1" si="8"/>
        <v>5.5232558139534885E-4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hidden="1" customHeight="1" x14ac:dyDescent="0.15">
      <c r="A169" s="2" t="str">
        <f ca="1">input_380010!A$2</f>
        <v>380010</v>
      </c>
      <c r="B169" s="60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IFERROR(VLOOKUP(B169,input_380010!L:R,7,FALSE),VLOOKUP(tables_380010!C169,input_380010!A:H,8,FALSE))</f>
        <v>8170</v>
      </c>
      <c r="P169" s="46">
        <f t="shared" ca="1" si="8"/>
        <v>1.1309523809523809E-3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input_380010!A$2</f>
        <v>380010</v>
      </c>
      <c r="B170" s="60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IFERROR(VLOOKUP(B170,input_380010!L:R,7,FALSE),VLOOKUP(tables_380010!C170,input_380010!A:H,8,FALSE))</f>
        <v>430</v>
      </c>
      <c r="P170" s="46">
        <f t="shared" ca="1" si="8"/>
        <v>5.9523809523809524E-5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hidden="1" customHeight="1" x14ac:dyDescent="0.15">
      <c r="A171" s="2" t="str">
        <f ca="1">input_380010!A$2</f>
        <v>380010</v>
      </c>
      <c r="B171" s="60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IFERROR(VLOOKUP(B171,input_380010!L:R,7,FALSE),VLOOKUP(tables_380010!C171,input_380010!A:H,8,FALSE))</f>
        <v>39900</v>
      </c>
      <c r="P171" s="46">
        <f t="shared" ca="1" si="8"/>
        <v>5.5232558139534883E-3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hidden="1" customHeight="1" x14ac:dyDescent="0.15">
      <c r="A172" s="2" t="str">
        <f ca="1">input_380010!A$2</f>
        <v>380010</v>
      </c>
      <c r="B172" s="60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IFERROR(VLOOKUP(B172,input_380010!L:R,7,FALSE),VLOOKUP(tables_380010!C172,input_380010!A:H,8,FALSE))</f>
        <v>35910</v>
      </c>
      <c r="P172" s="46">
        <f t="shared" ca="1" si="8"/>
        <v>4.9709302325581396E-3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input_380010!A$2</f>
        <v>380010</v>
      </c>
      <c r="B173" s="60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IFERROR(VLOOKUP(B173,input_380010!L:R,7,FALSE),VLOOKUP(tables_380010!C173,input_380010!A:H,8,FALSE))</f>
        <v>3990</v>
      </c>
      <c r="P173" s="46">
        <f t="shared" ca="1" si="8"/>
        <v>5.5232558139534885E-4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hidden="1" customHeight="1" x14ac:dyDescent="0.15">
      <c r="A174" s="2" t="str">
        <f ca="1">input_380010!A$2</f>
        <v>380010</v>
      </c>
      <c r="B174" s="60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IFERROR(VLOOKUP(B174,input_380010!L:R,7,FALSE),VLOOKUP(tables_380010!C174,input_380010!A:H,8,FALSE))</f>
        <v>8170</v>
      </c>
      <c r="P174" s="46">
        <f t="shared" ca="1" si="8"/>
        <v>1.1309523809523809E-3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input_380010!A$2</f>
        <v>380010</v>
      </c>
      <c r="B175" s="60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IFERROR(VLOOKUP(B175,input_380010!L:R,7,FALSE),VLOOKUP(tables_380010!C175,input_380010!A:H,8,FALSE))</f>
        <v>430</v>
      </c>
      <c r="P175" s="46">
        <f t="shared" ca="1" si="8"/>
        <v>5.9523809523809524E-5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hidden="1" customHeight="1" x14ac:dyDescent="0.15">
      <c r="A176" s="2" t="str">
        <f ca="1">input_380010!A$2</f>
        <v>380010</v>
      </c>
      <c r="B176" s="60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IFERROR(VLOOKUP(B176,input_380010!L:R,7,FALSE),VLOOKUP(tables_380010!C176,input_380010!A:H,8,FALSE))</f>
        <v>8170</v>
      </c>
      <c r="P176" s="46">
        <f t="shared" ca="1" si="8"/>
        <v>1.1309523809523809E-3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input_380010!A$2</f>
        <v>380010</v>
      </c>
      <c r="B177" s="60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IFERROR(VLOOKUP(B177,input_380010!L:R,7,FALSE),VLOOKUP(tables_380010!C177,input_380010!A:H,8,FALSE))</f>
        <v>430</v>
      </c>
      <c r="P177" s="46">
        <f t="shared" ca="1" si="8"/>
        <v>5.9523809523809524E-5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hidden="1" customHeight="1" x14ac:dyDescent="0.15">
      <c r="A178" s="2" t="str">
        <f ca="1">input_380010!A$2</f>
        <v>380010</v>
      </c>
      <c r="B178" s="60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IFERROR(VLOOKUP(B178,input_380010!L:R,7,FALSE),VLOOKUP(tables_380010!C178,input_380010!A:H,8,FALSE))</f>
        <v>39900</v>
      </c>
      <c r="P178" s="46">
        <f t="shared" ca="1" si="8"/>
        <v>5.5232558139534883E-3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hidden="1" customHeight="1" x14ac:dyDescent="0.15">
      <c r="A179" s="2" t="str">
        <f ca="1">input_380010!A$2</f>
        <v>380010</v>
      </c>
      <c r="B179" s="60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IFERROR(VLOOKUP(B179,input_380010!L:R,7,FALSE),VLOOKUP(tables_380010!C179,input_380010!A:H,8,FALSE))</f>
        <v>35910</v>
      </c>
      <c r="P179" s="46">
        <f t="shared" ca="1" si="8"/>
        <v>4.9709302325581396E-3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input_380010!A$2</f>
        <v>380010</v>
      </c>
      <c r="B180" s="60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IFERROR(VLOOKUP(B180,input_380010!L:R,7,FALSE),VLOOKUP(tables_380010!C180,input_380010!A:H,8,FALSE))</f>
        <v>3990</v>
      </c>
      <c r="P180" s="46">
        <f t="shared" ca="1" si="8"/>
        <v>5.5232558139534885E-4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hidden="1" customHeight="1" x14ac:dyDescent="0.15">
      <c r="A181" s="2" t="str">
        <f ca="1">input_380010!A$2</f>
        <v>380010</v>
      </c>
      <c r="B181" s="60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IFERROR(VLOOKUP(B181,input_380010!L:R,7,FALSE),VLOOKUP(tables_380010!C181,input_380010!A:H,8,FALSE))</f>
        <v>39900</v>
      </c>
      <c r="P181" s="46">
        <f t="shared" ca="1" si="8"/>
        <v>5.5232558139534883E-3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hidden="1" customHeight="1" x14ac:dyDescent="0.15">
      <c r="A182" s="2" t="str">
        <f ca="1">input_380010!A$2</f>
        <v>380010</v>
      </c>
      <c r="B182" s="60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IFERROR(VLOOKUP(B182,input_380010!L:R,7,FALSE),VLOOKUP(tables_380010!C182,input_380010!A:H,8,FALSE))</f>
        <v>35910</v>
      </c>
      <c r="P182" s="46">
        <f t="shared" ca="1" si="8"/>
        <v>4.9709302325581396E-3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input_380010!A$2</f>
        <v>380010</v>
      </c>
      <c r="B183" s="60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IFERROR(VLOOKUP(B183,input_380010!L:R,7,FALSE),VLOOKUP(tables_380010!C183,input_380010!A:H,8,FALSE))</f>
        <v>3990</v>
      </c>
      <c r="P183" s="46">
        <f t="shared" ca="1" si="8"/>
        <v>5.5232558139534885E-4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hidden="1" customHeight="1" x14ac:dyDescent="0.15">
      <c r="A184" s="2" t="str">
        <f ca="1">input_380010!A$2</f>
        <v>380010</v>
      </c>
      <c r="B184" s="60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IFERROR(VLOOKUP(B184,input_380010!L:R,7,FALSE),VLOOKUP(tables_380010!C184,input_380010!A:H,8,FALSE))</f>
        <v>8170</v>
      </c>
      <c r="P184" s="46">
        <f t="shared" ca="1" si="8"/>
        <v>1.1309523809523809E-3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input_380010!A$2</f>
        <v>380010</v>
      </c>
      <c r="B185" s="60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IFERROR(VLOOKUP(B185,input_380010!L:R,7,FALSE),VLOOKUP(tables_380010!C185,input_380010!A:H,8,FALSE))</f>
        <v>430</v>
      </c>
      <c r="P185" s="46">
        <f t="shared" ca="1" si="8"/>
        <v>5.9523809523809524E-5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hidden="1" customHeight="1" x14ac:dyDescent="0.15">
      <c r="A186" s="2" t="str">
        <f ca="1">input_380010!A$2</f>
        <v>380010</v>
      </c>
      <c r="B186" s="96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IFERROR(VLOOKUP(B186,input_380010!L:R,7,FALSE),VLOOKUP(tables_380010!C186,input_380010!A:H,8,FALSE))</f>
        <v>39900</v>
      </c>
      <c r="P186" s="46">
        <f t="shared" ca="1" si="8"/>
        <v>5.5232558139534883E-3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hidden="1" customHeight="1" x14ac:dyDescent="0.15">
      <c r="A187" s="2" t="str">
        <f ca="1">input_380010!A$2</f>
        <v>380010</v>
      </c>
      <c r="B187" s="96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IFERROR(VLOOKUP(B187,input_380010!L:R,7,FALSE),VLOOKUP(tables_380010!C187,input_380010!A:H,8,FALSE))</f>
        <v>35910</v>
      </c>
      <c r="P187" s="46">
        <f t="shared" ca="1" si="8"/>
        <v>4.9709302325581396E-3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input_380010!A$2</f>
        <v>380010</v>
      </c>
      <c r="B188" s="96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IFERROR(VLOOKUP(B188,input_380010!L:R,7,FALSE),VLOOKUP(tables_380010!C188,input_380010!A:H,8,FALSE))</f>
        <v>3990</v>
      </c>
      <c r="P188" s="46">
        <f t="shared" ca="1" si="8"/>
        <v>5.5232558139534885E-4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hidden="1" customHeight="1" x14ac:dyDescent="0.15">
      <c r="A189" s="2" t="str">
        <f ca="1">input_380010!A$2</f>
        <v>380010</v>
      </c>
      <c r="B189" s="96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IFERROR(VLOOKUP(B189,input_380010!L:R,7,FALSE),VLOOKUP(tables_380010!C189,input_380010!A:H,8,FALSE))</f>
        <v>8170</v>
      </c>
      <c r="P189" s="46">
        <f t="shared" ca="1" si="8"/>
        <v>1.1309523809523809E-3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input_380010!A$2</f>
        <v>380010</v>
      </c>
      <c r="B190" s="60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IFERROR(VLOOKUP(B190,input_380010!L:R,7,FALSE),VLOOKUP(tables_380010!C190,input_380010!A:H,8,FALSE))</f>
        <v>430</v>
      </c>
      <c r="P190" s="46">
        <f t="shared" ca="1" si="8"/>
        <v>5.9523809523809524E-5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hidden="1" customHeight="1" x14ac:dyDescent="0.15">
      <c r="A191" s="2" t="str">
        <f ca="1">input_380010!A$2</f>
        <v>380010</v>
      </c>
      <c r="B191" s="60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IFERROR(VLOOKUP(B191,input_380010!L:R,7,FALSE),VLOOKUP(tables_380010!C191,input_380010!A:H,8,FALSE))</f>
        <v>8170</v>
      </c>
      <c r="P191" s="46">
        <f t="shared" ca="1" si="8"/>
        <v>1.1309523809523809E-3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input_380010!A$2</f>
        <v>380010</v>
      </c>
      <c r="B192" s="60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IFERROR(VLOOKUP(B192,input_380010!L:R,7,FALSE),VLOOKUP(tables_380010!C192,input_380010!A:H,8,FALSE))</f>
        <v>430</v>
      </c>
      <c r="P192" s="46">
        <f t="shared" ca="1" si="8"/>
        <v>5.9523809523809524E-5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hidden="1" customHeight="1" x14ac:dyDescent="0.15">
      <c r="A193" s="2" t="str">
        <f ca="1">input_380010!A$2</f>
        <v>380010</v>
      </c>
      <c r="B193" s="60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IFERROR(VLOOKUP(B193,input_380010!L:R,7,FALSE),VLOOKUP(tables_380010!C193,input_380010!A:H,8,FALSE))</f>
        <v>39900</v>
      </c>
      <c r="P193" s="46">
        <f t="shared" ca="1" si="8"/>
        <v>5.5232558139534883E-3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hidden="1" customHeight="1" x14ac:dyDescent="0.15">
      <c r="A194" s="2" t="str">
        <f ca="1">input_380010!A$2</f>
        <v>380010</v>
      </c>
      <c r="B194" s="60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IFERROR(VLOOKUP(B194,input_380010!L:R,7,FALSE),VLOOKUP(tables_380010!C194,input_380010!A:H,8,FALSE))</f>
        <v>35910</v>
      </c>
      <c r="P194" s="46">
        <f t="shared" ca="1" si="8"/>
        <v>4.9709302325581396E-3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input_380010!A$2</f>
        <v>380010</v>
      </c>
      <c r="B195" s="60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IFERROR(VLOOKUP(B195,input_380010!L:R,7,FALSE),VLOOKUP(tables_380010!C195,input_380010!A:H,8,FALSE))</f>
        <v>3990</v>
      </c>
      <c r="P195" s="46">
        <f t="shared" ref="P195:P258" ca="1" si="11">O195/SUM(O:O)</f>
        <v>5.5232558139534885E-4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hidden="1" customHeight="1" x14ac:dyDescent="0.15">
      <c r="A196" s="2" t="str">
        <f ca="1">input_380010!A$2</f>
        <v>380010</v>
      </c>
      <c r="B196" s="60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IFERROR(VLOOKUP(B196,input_380010!L:R,7,FALSE),VLOOKUP(tables_380010!C196,input_380010!A:H,8,FALSE))</f>
        <v>8170</v>
      </c>
      <c r="P196" s="46">
        <f t="shared" ca="1" si="11"/>
        <v>1.1309523809523809E-3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input_380010!A$2</f>
        <v>380010</v>
      </c>
      <c r="B197" s="60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IFERROR(VLOOKUP(B197,input_380010!L:R,7,FALSE),VLOOKUP(tables_380010!C197,input_380010!A:H,8,FALSE))</f>
        <v>430</v>
      </c>
      <c r="P197" s="46">
        <f t="shared" ca="1" si="11"/>
        <v>5.9523809523809524E-5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hidden="1" customHeight="1" x14ac:dyDescent="0.15">
      <c r="A198" s="2" t="str">
        <f ca="1">input_380010!A$2</f>
        <v>380010</v>
      </c>
      <c r="B198" s="60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IFERROR(VLOOKUP(B198,input_380010!L:R,7,FALSE),VLOOKUP(tables_380010!C198,input_380010!A:H,8,FALSE))</f>
        <v>39900</v>
      </c>
      <c r="P198" s="46">
        <f t="shared" ca="1" si="11"/>
        <v>5.5232558139534883E-3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hidden="1" customHeight="1" x14ac:dyDescent="0.15">
      <c r="A199" s="2" t="str">
        <f ca="1">input_380010!A$2</f>
        <v>380010</v>
      </c>
      <c r="B199" s="60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IFERROR(VLOOKUP(B199,input_380010!L:R,7,FALSE),VLOOKUP(tables_380010!C199,input_380010!A:H,8,FALSE))</f>
        <v>35910</v>
      </c>
      <c r="P199" s="46">
        <f t="shared" ca="1" si="11"/>
        <v>4.9709302325581396E-3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input_380010!A$2</f>
        <v>380010</v>
      </c>
      <c r="B200" s="60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IFERROR(VLOOKUP(B200,input_380010!L:R,7,FALSE),VLOOKUP(tables_380010!C200,input_380010!A:H,8,FALSE))</f>
        <v>3990</v>
      </c>
      <c r="P200" s="46">
        <f t="shared" ca="1" si="11"/>
        <v>5.5232558139534885E-4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hidden="1" customHeight="1" x14ac:dyDescent="0.15">
      <c r="A201" s="2" t="str">
        <f ca="1">input_380010!A$2</f>
        <v>380010</v>
      </c>
      <c r="B201" s="60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IFERROR(VLOOKUP(B201,input_380010!L:R,7,FALSE),VLOOKUP(tables_380010!C201,input_380010!A:H,8,FALSE))</f>
        <v>8170</v>
      </c>
      <c r="P201" s="46">
        <f t="shared" ca="1" si="11"/>
        <v>1.1309523809523809E-3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input_380010!A$2</f>
        <v>380010</v>
      </c>
      <c r="B202" s="60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IFERROR(VLOOKUP(B202,input_380010!L:R,7,FALSE),VLOOKUP(tables_380010!C202,input_380010!A:H,8,FALSE))</f>
        <v>430</v>
      </c>
      <c r="P202" s="46">
        <f t="shared" ca="1" si="11"/>
        <v>5.9523809523809524E-5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hidden="1" customHeight="1" x14ac:dyDescent="0.15">
      <c r="A203" s="2" t="str">
        <f ca="1">input_380010!A$2</f>
        <v>380010</v>
      </c>
      <c r="B203" s="60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IFERROR(VLOOKUP(B203,input_380010!L:R,7,FALSE),VLOOKUP(tables_380010!C203,input_380010!A:H,8,FALSE))</f>
        <v>39900</v>
      </c>
      <c r="P203" s="46">
        <f t="shared" ca="1" si="11"/>
        <v>5.5232558139534883E-3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hidden="1" customHeight="1" x14ac:dyDescent="0.15">
      <c r="A204" s="2" t="str">
        <f ca="1">input_380010!A$2</f>
        <v>380010</v>
      </c>
      <c r="B204" s="60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IFERROR(VLOOKUP(B204,input_380010!L:R,7,FALSE),VLOOKUP(tables_380010!C204,input_380010!A:H,8,FALSE))</f>
        <v>35910</v>
      </c>
      <c r="P204" s="46">
        <f t="shared" ca="1" si="11"/>
        <v>4.9709302325581396E-3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input_380010!A$2</f>
        <v>380010</v>
      </c>
      <c r="B205" s="60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IFERROR(VLOOKUP(B205,input_380010!L:R,7,FALSE),VLOOKUP(tables_380010!C205,input_380010!A:H,8,FALSE))</f>
        <v>3990</v>
      </c>
      <c r="P205" s="46">
        <f t="shared" ca="1" si="11"/>
        <v>5.5232558139534885E-4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hidden="1" customHeight="1" x14ac:dyDescent="0.15">
      <c r="A206" s="2" t="str">
        <f ca="1">input_380010!A$2</f>
        <v>380010</v>
      </c>
      <c r="B206" s="60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IFERROR(VLOOKUP(B206,input_380010!L:R,7,FALSE),VLOOKUP(tables_380010!C206,input_380010!A:H,8,FALSE))</f>
        <v>8170</v>
      </c>
      <c r="P206" s="46">
        <f t="shared" ca="1" si="11"/>
        <v>1.1309523809523809E-3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input_380010!A$2</f>
        <v>380010</v>
      </c>
      <c r="B207" s="60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IFERROR(VLOOKUP(B207,input_380010!L:R,7,FALSE),VLOOKUP(tables_380010!C207,input_380010!A:H,8,FALSE))</f>
        <v>430</v>
      </c>
      <c r="P207" s="46">
        <f t="shared" ca="1" si="11"/>
        <v>5.9523809523809524E-5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hidden="1" customHeight="1" x14ac:dyDescent="0.15">
      <c r="A208" s="2" t="str">
        <f ca="1">input_380010!A$2</f>
        <v>380010</v>
      </c>
      <c r="B208" s="60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IFERROR(VLOOKUP(B208,input_380010!L:R,7,FALSE),VLOOKUP(tables_380010!C208,input_380010!A:H,8,FALSE))</f>
        <v>8170</v>
      </c>
      <c r="P208" s="46">
        <f t="shared" ca="1" si="11"/>
        <v>1.1309523809523809E-3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input_380010!A$2</f>
        <v>380010</v>
      </c>
      <c r="B209" s="60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IFERROR(VLOOKUP(B209,input_380010!L:R,7,FALSE),VLOOKUP(tables_380010!C209,input_380010!A:H,8,FALSE))</f>
        <v>430</v>
      </c>
      <c r="P209" s="46">
        <f t="shared" ca="1" si="11"/>
        <v>5.9523809523809524E-5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hidden="1" customHeight="1" x14ac:dyDescent="0.15">
      <c r="A210" s="2" t="str">
        <f ca="1">input_380010!A$2</f>
        <v>380010</v>
      </c>
      <c r="B210" s="60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IFERROR(VLOOKUP(B210,input_380010!L:R,7,FALSE),VLOOKUP(tables_380010!C210,input_380010!A:H,8,FALSE))</f>
        <v>39900</v>
      </c>
      <c r="P210" s="46">
        <f t="shared" ca="1" si="11"/>
        <v>5.5232558139534883E-3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hidden="1" customHeight="1" x14ac:dyDescent="0.15">
      <c r="A211" s="2" t="str">
        <f ca="1">input_380010!A$2</f>
        <v>380010</v>
      </c>
      <c r="B211" s="60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IFERROR(VLOOKUP(B211,input_380010!L:R,7,FALSE),VLOOKUP(tables_380010!C211,input_380010!A:H,8,FALSE))</f>
        <v>35910</v>
      </c>
      <c r="P211" s="46">
        <f t="shared" ca="1" si="11"/>
        <v>4.9709302325581396E-3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input_380010!A$2</f>
        <v>380010</v>
      </c>
      <c r="B212" s="60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IFERROR(VLOOKUP(B212,input_380010!L:R,7,FALSE),VLOOKUP(tables_380010!C212,input_380010!A:H,8,FALSE))</f>
        <v>3990</v>
      </c>
      <c r="P212" s="46">
        <f t="shared" ca="1" si="11"/>
        <v>5.5232558139534885E-4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hidden="1" customHeight="1" x14ac:dyDescent="0.15">
      <c r="A213" s="2" t="str">
        <f ca="1">input_380010!A$2</f>
        <v>380010</v>
      </c>
      <c r="B213" s="60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IFERROR(VLOOKUP(B213,input_380010!L:R,7,FALSE),VLOOKUP(tables_380010!C213,input_380010!A:H,8,FALSE))</f>
        <v>8170</v>
      </c>
      <c r="P213" s="46">
        <f t="shared" ca="1" si="11"/>
        <v>1.1309523809523809E-3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input_380010!A$2</f>
        <v>380010</v>
      </c>
      <c r="B214" s="60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IFERROR(VLOOKUP(B214,input_380010!L:R,7,FALSE),VLOOKUP(tables_380010!C214,input_380010!A:H,8,FALSE))</f>
        <v>430</v>
      </c>
      <c r="P214" s="46">
        <f t="shared" ca="1" si="11"/>
        <v>5.9523809523809524E-5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hidden="1" customHeight="1" x14ac:dyDescent="0.15">
      <c r="A215" s="2" t="str">
        <f ca="1">input_380010!A$2</f>
        <v>380010</v>
      </c>
      <c r="B215" s="60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IFERROR(VLOOKUP(B215,input_380010!L:R,7,FALSE),VLOOKUP(tables_380010!C215,input_380010!A:H,8,FALSE))</f>
        <v>8170</v>
      </c>
      <c r="P215" s="46">
        <f t="shared" ca="1" si="11"/>
        <v>1.1309523809523809E-3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input_380010!A$2</f>
        <v>380010</v>
      </c>
      <c r="B216" s="60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IFERROR(VLOOKUP(B216,input_380010!L:R,7,FALSE),VLOOKUP(tables_380010!C216,input_380010!A:H,8,FALSE))</f>
        <v>430</v>
      </c>
      <c r="P216" s="46">
        <f t="shared" ca="1" si="11"/>
        <v>5.9523809523809524E-5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hidden="1" customHeight="1" x14ac:dyDescent="0.15">
      <c r="A217" s="2" t="str">
        <f ca="1">input_380010!A$2</f>
        <v>380010</v>
      </c>
      <c r="B217" s="60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IFERROR(VLOOKUP(B217,input_380010!L:R,7,FALSE),VLOOKUP(tables_380010!C217,input_380010!A:H,8,FALSE))</f>
        <v>39900</v>
      </c>
      <c r="P217" s="46">
        <f t="shared" ca="1" si="11"/>
        <v>5.5232558139534883E-3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hidden="1" customHeight="1" x14ac:dyDescent="0.15">
      <c r="A218" s="2" t="str">
        <f ca="1">input_380010!A$2</f>
        <v>380010</v>
      </c>
      <c r="B218" s="60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IFERROR(VLOOKUP(B218,input_380010!L:R,7,FALSE),VLOOKUP(tables_380010!C218,input_380010!A:H,8,FALSE))</f>
        <v>35910</v>
      </c>
      <c r="P218" s="46">
        <f t="shared" ca="1" si="11"/>
        <v>4.9709302325581396E-3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input_380010!A$2</f>
        <v>380010</v>
      </c>
      <c r="B219" s="60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IFERROR(VLOOKUP(B219,input_380010!L:R,7,FALSE),VLOOKUP(tables_380010!C219,input_380010!A:H,8,FALSE))</f>
        <v>3990</v>
      </c>
      <c r="P219" s="46">
        <f t="shared" ca="1" si="11"/>
        <v>5.5232558139534885E-4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hidden="1" customHeight="1" x14ac:dyDescent="0.15">
      <c r="A220" s="2" t="str">
        <f ca="1">input_380010!A$2</f>
        <v>380010</v>
      </c>
      <c r="B220" s="60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IFERROR(VLOOKUP(B220,input_380010!L:R,7,FALSE),VLOOKUP(tables_380010!C220,input_380010!A:H,8,FALSE))</f>
        <v>39900</v>
      </c>
      <c r="P220" s="46">
        <f t="shared" ca="1" si="11"/>
        <v>5.5232558139534883E-3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hidden="1" customHeight="1" x14ac:dyDescent="0.15">
      <c r="A221" s="2" t="str">
        <f ca="1">input_380010!A$2</f>
        <v>380010</v>
      </c>
      <c r="B221" s="60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IFERROR(VLOOKUP(B221,input_380010!L:R,7,FALSE),VLOOKUP(tables_380010!C221,input_380010!A:H,8,FALSE))</f>
        <v>35910</v>
      </c>
      <c r="P221" s="46">
        <f t="shared" ca="1" si="11"/>
        <v>4.9709302325581396E-3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input_380010!A$2</f>
        <v>380010</v>
      </c>
      <c r="B222" s="60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IFERROR(VLOOKUP(B222,input_380010!L:R,7,FALSE),VLOOKUP(tables_380010!C222,input_380010!A:H,8,FALSE))</f>
        <v>3990</v>
      </c>
      <c r="P222" s="46">
        <f t="shared" ca="1" si="11"/>
        <v>5.5232558139534885E-4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hidden="1" customHeight="1" x14ac:dyDescent="0.15">
      <c r="A223" s="2" t="str">
        <f ca="1">input_380010!A$2</f>
        <v>380010</v>
      </c>
      <c r="B223" s="60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IFERROR(VLOOKUP(B223,input_380010!L:R,7,FALSE),VLOOKUP(tables_380010!C223,input_380010!A:H,8,FALSE))</f>
        <v>8170</v>
      </c>
      <c r="P223" s="46">
        <f t="shared" ca="1" si="11"/>
        <v>1.1309523809523809E-3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input_380010!A$2</f>
        <v>380010</v>
      </c>
      <c r="B224" s="60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IFERROR(VLOOKUP(B224,input_380010!L:R,7,FALSE),VLOOKUP(tables_380010!C224,input_380010!A:H,8,FALSE))</f>
        <v>430</v>
      </c>
      <c r="P224" s="46">
        <f t="shared" ca="1" si="11"/>
        <v>5.9523809523809524E-5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hidden="1" customHeight="1" x14ac:dyDescent="0.15">
      <c r="A225" s="2" t="str">
        <f ca="1">input_380010!A$2</f>
        <v>380010</v>
      </c>
      <c r="B225" s="60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IFERROR(VLOOKUP(B225,input_380010!L:R,7,FALSE),VLOOKUP(tables_380010!C225,input_380010!A:H,8,FALSE))</f>
        <v>39900</v>
      </c>
      <c r="P225" s="46">
        <f t="shared" ca="1" si="11"/>
        <v>5.5232558139534883E-3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hidden="1" customHeight="1" x14ac:dyDescent="0.15">
      <c r="A226" s="2" t="str">
        <f ca="1">input_380010!A$2</f>
        <v>380010</v>
      </c>
      <c r="B226" s="60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IFERROR(VLOOKUP(B226,input_380010!L:R,7,FALSE),VLOOKUP(tables_380010!C226,input_380010!A:H,8,FALSE))</f>
        <v>35910</v>
      </c>
      <c r="P226" s="46">
        <f t="shared" ca="1" si="11"/>
        <v>4.9709302325581396E-3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input_380010!A$2</f>
        <v>380010</v>
      </c>
      <c r="B227" s="60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IFERROR(VLOOKUP(B227,input_380010!L:R,7,FALSE),VLOOKUP(tables_380010!C227,input_380010!A:H,8,FALSE))</f>
        <v>3990</v>
      </c>
      <c r="P227" s="46">
        <f t="shared" ca="1" si="11"/>
        <v>5.5232558139534885E-4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hidden="1" customHeight="1" x14ac:dyDescent="0.15">
      <c r="A228" s="2" t="str">
        <f ca="1">input_380010!A$2</f>
        <v>380010</v>
      </c>
      <c r="B228" s="60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IFERROR(VLOOKUP(B228,input_380010!L:R,7,FALSE),VLOOKUP(tables_380010!C228,input_380010!A:H,8,FALSE))</f>
        <v>39900</v>
      </c>
      <c r="P228" s="46">
        <f t="shared" ca="1" si="11"/>
        <v>5.5232558139534883E-3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hidden="1" customHeight="1" x14ac:dyDescent="0.15">
      <c r="A229" s="2" t="str">
        <f ca="1">input_380010!A$2</f>
        <v>380010</v>
      </c>
      <c r="B229" s="60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IFERROR(VLOOKUP(B229,input_380010!L:R,7,FALSE),VLOOKUP(tables_380010!C229,input_380010!A:H,8,FALSE))</f>
        <v>35910</v>
      </c>
      <c r="P229" s="46">
        <f t="shared" ca="1" si="11"/>
        <v>4.9709302325581396E-3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input_380010!A$2</f>
        <v>380010</v>
      </c>
      <c r="B230" s="60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IFERROR(VLOOKUP(B230,input_380010!L:R,7,FALSE),VLOOKUP(tables_380010!C230,input_380010!A:H,8,FALSE))</f>
        <v>3990</v>
      </c>
      <c r="P230" s="46">
        <f t="shared" ca="1" si="11"/>
        <v>5.5232558139534885E-4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hidden="1" customHeight="1" x14ac:dyDescent="0.15">
      <c r="A231" s="2" t="str">
        <f ca="1">input_380010!A$2</f>
        <v>380010</v>
      </c>
      <c r="B231" s="60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IFERROR(VLOOKUP(B231,input_380010!L:R,7,FALSE),VLOOKUP(tables_380010!C231,input_380010!A:H,8,FALSE))</f>
        <v>8170</v>
      </c>
      <c r="P231" s="46">
        <f t="shared" ca="1" si="11"/>
        <v>1.1309523809523809E-3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input_380010!A$2</f>
        <v>380010</v>
      </c>
      <c r="B232" s="60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IFERROR(VLOOKUP(B232,input_380010!L:R,7,FALSE),VLOOKUP(tables_380010!C232,input_380010!A:H,8,FALSE))</f>
        <v>430</v>
      </c>
      <c r="P232" s="46">
        <f t="shared" ca="1" si="11"/>
        <v>5.9523809523809524E-5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hidden="1" customHeight="1" x14ac:dyDescent="0.15">
      <c r="A233" s="2" t="str">
        <f ca="1">input_380010!A$2</f>
        <v>380010</v>
      </c>
      <c r="B233" s="60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IFERROR(VLOOKUP(B233,input_380010!L:R,7,FALSE),VLOOKUP(tables_380010!C233,input_380010!A:H,8,FALSE))</f>
        <v>39900</v>
      </c>
      <c r="P233" s="46">
        <f t="shared" ca="1" si="11"/>
        <v>5.5232558139534883E-3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hidden="1" customHeight="1" x14ac:dyDescent="0.15">
      <c r="A234" s="2" t="str">
        <f ca="1">input_380010!A$2</f>
        <v>380010</v>
      </c>
      <c r="B234" s="60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IFERROR(VLOOKUP(B234,input_380010!L:R,7,FALSE),VLOOKUP(tables_380010!C234,input_380010!A:H,8,FALSE))</f>
        <v>35910</v>
      </c>
      <c r="P234" s="46">
        <f t="shared" ca="1" si="11"/>
        <v>4.9709302325581396E-3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input_380010!A$2</f>
        <v>380010</v>
      </c>
      <c r="B235" s="60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IFERROR(VLOOKUP(B235,input_380010!L:R,7,FALSE),VLOOKUP(tables_380010!C235,input_380010!A:H,8,FALSE))</f>
        <v>3990</v>
      </c>
      <c r="P235" s="46">
        <f t="shared" ca="1" si="11"/>
        <v>5.5232558139534885E-4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hidden="1" customHeight="1" x14ac:dyDescent="0.15">
      <c r="A236" s="2" t="str">
        <f ca="1">input_380010!A$2</f>
        <v>380010</v>
      </c>
      <c r="B236" s="60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IFERROR(VLOOKUP(B236,input_380010!L:R,7,FALSE),VLOOKUP(tables_380010!C236,input_380010!A:H,8,FALSE))</f>
        <v>8170</v>
      </c>
      <c r="P236" s="46">
        <f t="shared" ca="1" si="11"/>
        <v>1.1309523809523809E-3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input_380010!A$2</f>
        <v>380010</v>
      </c>
      <c r="B237" s="60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IFERROR(VLOOKUP(B237,input_380010!L:R,7,FALSE),VLOOKUP(tables_380010!C237,input_380010!A:H,8,FALSE))</f>
        <v>430</v>
      </c>
      <c r="P237" s="46">
        <f t="shared" ca="1" si="11"/>
        <v>5.9523809523809524E-5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hidden="1" customHeight="1" x14ac:dyDescent="0.15">
      <c r="A238" s="2" t="str">
        <f ca="1">input_380010!A$2</f>
        <v>380010</v>
      </c>
      <c r="B238" s="60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IFERROR(VLOOKUP(B238,input_380010!L:R,7,FALSE),VLOOKUP(tables_380010!C238,input_380010!A:H,8,FALSE))</f>
        <v>8170</v>
      </c>
      <c r="P238" s="46">
        <f t="shared" ca="1" si="11"/>
        <v>1.1309523809523809E-3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input_380010!A$2</f>
        <v>380010</v>
      </c>
      <c r="B239" s="60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IFERROR(VLOOKUP(B239,input_380010!L:R,7,FALSE),VLOOKUP(tables_380010!C239,input_380010!A:H,8,FALSE))</f>
        <v>430</v>
      </c>
      <c r="P239" s="46">
        <f t="shared" ca="1" si="11"/>
        <v>5.9523809523809524E-5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hidden="1" customHeight="1" x14ac:dyDescent="0.15">
      <c r="A240" s="2" t="str">
        <f ca="1">input_380010!A$2</f>
        <v>380010</v>
      </c>
      <c r="B240" s="60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IFERROR(VLOOKUP(B240,input_380010!L:R,7,FALSE),VLOOKUP(tables_380010!C240,input_380010!A:H,8,FALSE))</f>
        <v>39900</v>
      </c>
      <c r="P240" s="46">
        <f t="shared" ca="1" si="11"/>
        <v>5.5232558139534883E-3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hidden="1" customHeight="1" x14ac:dyDescent="0.15">
      <c r="A241" s="2" t="str">
        <f ca="1">input_380010!A$2</f>
        <v>380010</v>
      </c>
      <c r="B241" s="60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IFERROR(VLOOKUP(B241,input_380010!L:R,7,FALSE),VLOOKUP(tables_380010!C241,input_380010!A:H,8,FALSE))</f>
        <v>35910</v>
      </c>
      <c r="P241" s="46">
        <f t="shared" ca="1" si="11"/>
        <v>4.9709302325581396E-3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input_380010!A$2</f>
        <v>380010</v>
      </c>
      <c r="B242" s="60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IFERROR(VLOOKUP(B242,input_380010!L:R,7,FALSE),VLOOKUP(tables_380010!C242,input_380010!A:H,8,FALSE))</f>
        <v>3990</v>
      </c>
      <c r="P242" s="46">
        <f t="shared" ca="1" si="11"/>
        <v>5.5232558139534885E-4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hidden="1" customHeight="1" x14ac:dyDescent="0.15">
      <c r="A243" s="2" t="str">
        <f ca="1">input_380010!A$2</f>
        <v>380010</v>
      </c>
      <c r="B243" s="60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IFERROR(VLOOKUP(B243,input_380010!L:R,7,FALSE),VLOOKUP(tables_380010!C243,input_380010!A:H,8,FALSE))</f>
        <v>39900</v>
      </c>
      <c r="P243" s="46">
        <f t="shared" ca="1" si="11"/>
        <v>5.5232558139534883E-3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hidden="1" customHeight="1" x14ac:dyDescent="0.15">
      <c r="A244" s="2" t="str">
        <f ca="1">input_380010!A$2</f>
        <v>380010</v>
      </c>
      <c r="B244" s="60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IFERROR(VLOOKUP(B244,input_380010!L:R,7,FALSE),VLOOKUP(tables_380010!C244,input_380010!A:H,8,FALSE))</f>
        <v>35910</v>
      </c>
      <c r="P244" s="46">
        <f t="shared" ca="1" si="11"/>
        <v>4.9709302325581396E-3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input_380010!A$2</f>
        <v>380010</v>
      </c>
      <c r="B245" s="60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IFERROR(VLOOKUP(B245,input_380010!L:R,7,FALSE),VLOOKUP(tables_380010!C245,input_380010!A:H,8,FALSE))</f>
        <v>3990</v>
      </c>
      <c r="P245" s="46">
        <f t="shared" ca="1" si="11"/>
        <v>5.5232558139534885E-4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hidden="1" customHeight="1" x14ac:dyDescent="0.15">
      <c r="A246" s="2" t="str">
        <f ca="1">input_380010!A$2</f>
        <v>380010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IFERROR(VLOOKUP(B246,input_380010!L:R,7,FALSE),VLOOKUP(tables_380010!C246,input_380010!A:H,8,FALSE))</f>
        <v>39900</v>
      </c>
      <c r="P246" s="46">
        <f t="shared" ca="1" si="11"/>
        <v>5.5232558139534883E-3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hidden="1" customHeight="1" x14ac:dyDescent="0.15">
      <c r="A247" s="2" t="str">
        <f ca="1">input_380010!A$2</f>
        <v>380010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IFERROR(VLOOKUP(B247,input_380010!L:R,7,FALSE),VLOOKUP(tables_380010!C247,input_380010!A:H,8,FALSE))</f>
        <v>35910</v>
      </c>
      <c r="P247" s="46">
        <f t="shared" ca="1" si="11"/>
        <v>4.9709302325581396E-3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input_380010!A$2</f>
        <v>380010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IFERROR(VLOOKUP(B248,input_380010!L:R,7,FALSE),VLOOKUP(tables_380010!C248,input_380010!A:H,8,FALSE))</f>
        <v>3990</v>
      </c>
      <c r="P248" s="46">
        <f t="shared" ca="1" si="11"/>
        <v>5.5232558139534885E-4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hidden="1" customHeight="1" x14ac:dyDescent="0.15">
      <c r="A249" s="2" t="str">
        <f ca="1">input_380010!A$2</f>
        <v>380010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IFERROR(VLOOKUP(B249,input_380010!L:R,7,FALSE),VLOOKUP(tables_380010!C249,input_380010!A:H,8,FALSE))</f>
        <v>39900</v>
      </c>
      <c r="P249" s="46">
        <f t="shared" ca="1" si="11"/>
        <v>5.5232558139534883E-3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hidden="1" customHeight="1" x14ac:dyDescent="0.15">
      <c r="A250" s="2" t="str">
        <f ca="1">input_380010!A$2</f>
        <v>380010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IFERROR(VLOOKUP(B250,input_380010!L:R,7,FALSE),VLOOKUP(tables_380010!C250,input_380010!A:H,8,FALSE))</f>
        <v>35910</v>
      </c>
      <c r="P250" s="46">
        <f t="shared" ca="1" si="11"/>
        <v>4.9709302325581396E-3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input_380010!A$2</f>
        <v>380010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IFERROR(VLOOKUP(B251,input_380010!L:R,7,FALSE),VLOOKUP(tables_380010!C251,input_380010!A:H,8,FALSE))</f>
        <v>3990</v>
      </c>
      <c r="P251" s="46">
        <f t="shared" ca="1" si="11"/>
        <v>5.5232558139534885E-4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hidden="1" customHeight="1" x14ac:dyDescent="0.15">
      <c r="A252" s="2" t="str">
        <f ca="1">input_380010!A$2</f>
        <v>380010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IFERROR(VLOOKUP(B252,input_380010!L:R,7,FALSE),VLOOKUP(tables_380010!C252,input_380010!A:H,8,FALSE))</f>
        <v>8170</v>
      </c>
      <c r="P252" s="46">
        <f t="shared" ca="1" si="11"/>
        <v>1.1309523809523809E-3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input_380010!A$2</f>
        <v>380010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IFERROR(VLOOKUP(B253,input_380010!L:R,7,FALSE),VLOOKUP(tables_380010!C253,input_380010!A:H,8,FALSE))</f>
        <v>430</v>
      </c>
      <c r="P253" s="46">
        <f t="shared" ca="1" si="11"/>
        <v>5.9523809523809524E-5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hidden="1" customHeight="1" x14ac:dyDescent="0.15">
      <c r="A254" s="2" t="str">
        <f ca="1">input_380010!A$2</f>
        <v>380010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IFERROR(VLOOKUP(B254,input_380010!L:R,7,FALSE),VLOOKUP(tables_380010!C254,input_380010!A:H,8,FALSE))</f>
        <v>8170</v>
      </c>
      <c r="P254" s="46">
        <f t="shared" ca="1" si="11"/>
        <v>1.1309523809523809E-3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input_380010!A$2</f>
        <v>380010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IFERROR(VLOOKUP(B255,input_380010!L:R,7,FALSE),VLOOKUP(tables_380010!C255,input_380010!A:H,8,FALSE))</f>
        <v>430</v>
      </c>
      <c r="P255" s="46">
        <f t="shared" ca="1" si="11"/>
        <v>5.9523809523809524E-5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hidden="1" customHeight="1" x14ac:dyDescent="0.15">
      <c r="A256" s="2" t="str">
        <f ca="1">input_380010!A$2</f>
        <v>380010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IFERROR(VLOOKUP(B256,input_380010!L:R,7,FALSE),VLOOKUP(tables_380010!C256,input_380010!A:H,8,FALSE))</f>
        <v>79268</v>
      </c>
      <c r="P256" s="46">
        <f t="shared" ca="1" si="11"/>
        <v>1.0972868217054264E-2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input_380010!A$2</f>
        <v>380010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IFERROR(VLOOKUP(B257,input_380010!L:R,7,FALSE),VLOOKUP(tables_380010!C257,input_380010!A:H,8,FALSE))</f>
        <v>532</v>
      </c>
      <c r="P257" s="46">
        <f t="shared" ca="1" si="11"/>
        <v>7.3643410852713178E-5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hidden="1" customHeight="1" x14ac:dyDescent="0.15">
      <c r="A258" s="2" t="str">
        <f ca="1">input_380010!A$2</f>
        <v>380010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ref="D258:D28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IFERROR(VLOOKUP(B258,input_380010!L:R,7,FALSE),VLOOKUP(tables_380010!C258,input_380010!A:H,8,FALSE))</f>
        <v>79268</v>
      </c>
      <c r="P258" s="46">
        <f t="shared" ca="1" si="11"/>
        <v>1.0972868217054264E-2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input_380010!A$2</f>
        <v>380010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IFERROR(VLOOKUP(B259,input_380010!L:R,7,FALSE),VLOOKUP(tables_380010!C259,input_380010!A:H,8,FALSE))</f>
        <v>532</v>
      </c>
      <c r="P259" s="46">
        <f t="shared" ref="P259:P299" ca="1" si="14">O259/SUM(O:O)</f>
        <v>7.3643410852713178E-5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input_380010!A$2</f>
        <v>380010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IFERROR(VLOOKUP(B260,input_380010!L:R,7,FALSE),VLOOKUP(tables_380010!C260,input_380010!A:H,8,FALSE))</f>
        <v>8600</v>
      </c>
      <c r="P260" s="46">
        <f t="shared" ca="1" si="14"/>
        <v>1.1904761904761906E-3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input_380010!A$2</f>
        <v>380010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IFERROR(VLOOKUP(B261,input_380010!L:R,7,FALSE),VLOOKUP(tables_380010!C261,input_380010!A:H,8,FALSE))</f>
        <v>8600</v>
      </c>
      <c r="P261" s="46">
        <f t="shared" ca="1" si="14"/>
        <v>1.1904761904761906E-3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hidden="1" customHeight="1" x14ac:dyDescent="0.15">
      <c r="A262" s="2" t="str">
        <f ca="1">input_380010!A$2</f>
        <v>380010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IFERROR(VLOOKUP(B262,input_380010!L:R,7,FALSE),VLOOKUP(tables_380010!C262,input_380010!A:H,8,FALSE))</f>
        <v>8170</v>
      </c>
      <c r="P262" s="46">
        <f t="shared" ca="1" si="14"/>
        <v>1.1309523809523809E-3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input_380010!A$2</f>
        <v>380010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IFERROR(VLOOKUP(B263,input_380010!L:R,7,FALSE),VLOOKUP(tables_380010!C263,input_380010!A:H,8,FALSE))</f>
        <v>430</v>
      </c>
      <c r="P263" s="46">
        <f t="shared" ca="1" si="14"/>
        <v>5.9523809523809524E-5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hidden="1" customHeight="1" x14ac:dyDescent="0.15">
      <c r="A264" s="2" t="str">
        <f ca="1">input_380010!A$2</f>
        <v>380010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IFERROR(VLOOKUP(B264,input_380010!L:R,7,FALSE),VLOOKUP(tables_380010!C264,input_380010!A:H,8,FALSE))</f>
        <v>8170</v>
      </c>
      <c r="P264" s="46">
        <f t="shared" ca="1" si="14"/>
        <v>1.1309523809523809E-3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input_380010!A$2</f>
        <v>380010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IFERROR(VLOOKUP(B265,input_380010!L:R,7,FALSE),VLOOKUP(tables_380010!C265,input_380010!A:H,8,FALSE))</f>
        <v>430</v>
      </c>
      <c r="P265" s="46">
        <f t="shared" ca="1" si="14"/>
        <v>5.9523809523809524E-5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hidden="1" customHeight="1" x14ac:dyDescent="0.15">
      <c r="A266" s="2" t="str">
        <f ca="1">input_380010!A$2</f>
        <v>380010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IFERROR(VLOOKUP(B266,input_380010!L:R,7,FALSE),VLOOKUP(tables_380010!C266,input_380010!A:H,8,FALSE))</f>
        <v>39900</v>
      </c>
      <c r="P266" s="46">
        <f t="shared" ca="1" si="14"/>
        <v>5.5232558139534883E-3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hidden="1" customHeight="1" x14ac:dyDescent="0.15">
      <c r="A267" s="2" t="str">
        <f ca="1">input_380010!A$2</f>
        <v>380010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IFERROR(VLOOKUP(B267,input_380010!L:R,7,FALSE),VLOOKUP(tables_380010!C267,input_380010!A:H,8,FALSE))</f>
        <v>35910</v>
      </c>
      <c r="P267" s="46">
        <f t="shared" ca="1" si="14"/>
        <v>4.9709302325581396E-3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input_380010!A$2</f>
        <v>380010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IFERROR(VLOOKUP(B268,input_380010!L:R,7,FALSE),VLOOKUP(tables_380010!C268,input_380010!A:H,8,FALSE))</f>
        <v>3990</v>
      </c>
      <c r="P268" s="46">
        <f t="shared" ca="1" si="14"/>
        <v>5.5232558139534885E-4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hidden="1" customHeight="1" x14ac:dyDescent="0.15">
      <c r="A269" s="2" t="str">
        <f ca="1">input_380010!A$2</f>
        <v>380010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IFERROR(VLOOKUP(B269,input_380010!L:R,7,FALSE),VLOOKUP(tables_380010!C269,input_380010!A:H,8,FALSE))</f>
        <v>39900</v>
      </c>
      <c r="P269" s="46">
        <f t="shared" ca="1" si="14"/>
        <v>5.5232558139534883E-3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hidden="1" customHeight="1" x14ac:dyDescent="0.15">
      <c r="A270" s="2" t="str">
        <f ca="1">input_380010!A$2</f>
        <v>380010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IFERROR(VLOOKUP(B270,input_380010!L:R,7,FALSE),VLOOKUP(tables_380010!C270,input_380010!A:H,8,FALSE))</f>
        <v>35910</v>
      </c>
      <c r="P270" s="46">
        <f t="shared" ca="1" si="14"/>
        <v>4.9709302325581396E-3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input_380010!A$2</f>
        <v>380010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IFERROR(VLOOKUP(B271,input_380010!L:R,7,FALSE),VLOOKUP(tables_380010!C271,input_380010!A:H,8,FALSE))</f>
        <v>3990</v>
      </c>
      <c r="P271" s="46">
        <f t="shared" ca="1" si="14"/>
        <v>5.5232558139534885E-4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input_380010!A$2</f>
        <v>380010</v>
      </c>
      <c r="B272" s="82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IFERROR(VLOOKUP(B272,input_380010!L:R,7,FALSE),VLOOKUP(tables_380010!C272,input_380010!A:H,8,FALSE))</f>
        <v>8600</v>
      </c>
      <c r="P272" s="46">
        <f t="shared" ca="1" si="14"/>
        <v>1.1904761904761906E-3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input_380010!A$2</f>
        <v>380010</v>
      </c>
      <c r="B273" s="82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IFERROR(VLOOKUP(B273,input_380010!L:R,7,FALSE),VLOOKUP(tables_380010!C273,input_380010!A:H,8,FALSE))</f>
        <v>8600</v>
      </c>
      <c r="P273" s="46">
        <f t="shared" ca="1" si="14"/>
        <v>1.1904761904761906E-3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hidden="1" customHeight="1" x14ac:dyDescent="0.15">
      <c r="A274" s="2" t="str">
        <f ca="1">input_380010!A$2</f>
        <v>380010</v>
      </c>
      <c r="B274" s="82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IFERROR(VLOOKUP(B274,input_380010!L:R,7,FALSE),VLOOKUP(tables_380010!C274,input_380010!A:H,8,FALSE))</f>
        <v>79268</v>
      </c>
      <c r="P274" s="46">
        <f t="shared" ca="1" si="14"/>
        <v>1.0972868217054264E-2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input_380010!A$2</f>
        <v>380010</v>
      </c>
      <c r="B275" s="82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IFERROR(VLOOKUP(B275,input_380010!L:R,7,FALSE),VLOOKUP(tables_380010!C275,input_380010!A:H,8,FALSE))</f>
        <v>532</v>
      </c>
      <c r="P275" s="46">
        <f t="shared" ca="1" si="14"/>
        <v>7.3643410852713178E-5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hidden="1" customHeight="1" x14ac:dyDescent="0.15">
      <c r="A276" s="2" t="str">
        <f ca="1">input_380010!A$2</f>
        <v>380010</v>
      </c>
      <c r="B276" s="82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IFERROR(VLOOKUP(B276,input_380010!L:R,7,FALSE),VLOOKUP(tables_380010!C276,input_380010!A:H,8,FALSE))</f>
        <v>79268</v>
      </c>
      <c r="P276" s="46">
        <f t="shared" ca="1" si="14"/>
        <v>1.0972868217054264E-2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input_380010!A$2</f>
        <v>380010</v>
      </c>
      <c r="B277" s="82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IFERROR(VLOOKUP(B277,input_380010!L:R,7,FALSE),VLOOKUP(tables_380010!C277,input_380010!A:H,8,FALSE))</f>
        <v>532</v>
      </c>
      <c r="P277" s="46">
        <f t="shared" ca="1" si="14"/>
        <v>7.3643410852713178E-5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hidden="1" customHeight="1" x14ac:dyDescent="0.15">
      <c r="A278" s="2" t="str">
        <f ca="1">input_380010!A$2</f>
        <v>380010</v>
      </c>
      <c r="B278" s="82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IFERROR(VLOOKUP(B278,input_380010!L:R,7,FALSE),VLOOKUP(tables_380010!C278,input_380010!A:H,8,FALSE))</f>
        <v>79268</v>
      </c>
      <c r="P278" s="46">
        <f t="shared" ca="1" si="14"/>
        <v>1.0972868217054264E-2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input_380010!A$2</f>
        <v>380010</v>
      </c>
      <c r="B279" s="82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IFERROR(VLOOKUP(B279,input_380010!L:R,7,FALSE),VLOOKUP(tables_380010!C279,input_380010!A:H,8,FALSE))</f>
        <v>532</v>
      </c>
      <c r="P279" s="46">
        <f t="shared" ca="1" si="14"/>
        <v>7.3643410852713178E-5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hidden="1" customHeight="1" x14ac:dyDescent="0.15">
      <c r="A280" s="2" t="str">
        <f ca="1">input_380010!A$2</f>
        <v>380010</v>
      </c>
      <c r="B280" s="82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IFERROR(VLOOKUP(B280,input_380010!L:R,7,FALSE),VLOOKUP(tables_380010!C280,input_380010!A:H,8,FALSE))</f>
        <v>79268</v>
      </c>
      <c r="P280" s="46">
        <f t="shared" ca="1" si="14"/>
        <v>1.0972868217054264E-2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input_380010!A$2</f>
        <v>380010</v>
      </c>
      <c r="B281" s="82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IFERROR(VLOOKUP(B281,input_380010!L:R,7,FALSE),VLOOKUP(tables_380010!C281,input_380010!A:H,8,FALSE))</f>
        <v>532</v>
      </c>
      <c r="P281" s="46">
        <f t="shared" ca="1" si="14"/>
        <v>7.3643410852713178E-5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input_380010!A$2</f>
        <v>380010</v>
      </c>
      <c r="B282" s="82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IFERROR(VLOOKUP(B282,input_380010!L:R,7,FALSE),VLOOKUP(tables_380010!C282,input_380010!A:H,8,FALSE))</f>
        <v>8600</v>
      </c>
      <c r="P282" s="46">
        <f t="shared" ca="1" si="14"/>
        <v>1.1904761904761906E-3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input_380010!A$2</f>
        <v>380010</v>
      </c>
      <c r="B283" s="82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IFERROR(VLOOKUP(B283,input_380010!L:R,7,FALSE),VLOOKUP(tables_380010!C283,input_380010!A:H,8,FALSE))</f>
        <v>8600</v>
      </c>
      <c r="P283" s="46">
        <f t="shared" ca="1" si="14"/>
        <v>1.1904761904761906E-3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input_380010!A$2</f>
        <v>380010</v>
      </c>
      <c r="B284" s="82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IFERROR(VLOOKUP(B284,input_380010!L:R,7,FALSE),VLOOKUP(tables_380010!C284,input_380010!A:H,8,FALSE))</f>
        <v>8600</v>
      </c>
      <c r="P284" s="46">
        <f t="shared" ca="1" si="14"/>
        <v>1.1904761904761906E-3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input_380010!A$2</f>
        <v>380010</v>
      </c>
      <c r="B285" s="82">
        <v>744</v>
      </c>
      <c r="C285" s="7" t="str">
        <f t="shared" ref="C285:C289" si="15">D285&amp;J285&amp;E285&amp;F285&amp;G285</f>
        <v>PremiumSS5R5only</v>
      </c>
      <c r="D285" s="7" t="str">
        <f t="shared" ref="D285:D289" si="16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IFERROR(VLOOKUP(B285,input_380010!L:R,7,FALSE),VLOOKUP(tables_380010!C285,input_380010!A:H,8,FALSE))</f>
        <v>8600</v>
      </c>
      <c r="P285" s="46">
        <f t="shared" ca="1" si="14"/>
        <v>1.1904761904761906E-3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hidden="1" customHeight="1" x14ac:dyDescent="0.15">
      <c r="A286" s="2" t="str">
        <f ca="1">input_380010!A$2</f>
        <v>380010</v>
      </c>
      <c r="B286" s="82">
        <v>746</v>
      </c>
      <c r="C286" s="7" t="str">
        <f t="shared" si="15"/>
        <v>Premium4R3less</v>
      </c>
      <c r="D286" s="7" t="str">
        <f t="shared" si="16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IFERROR(VLOOKUP(B286,input_380010!L:R,7,FALSE),VLOOKUP(tables_380010!C286,input_380010!A:H,8,FALSE))</f>
        <v>79268</v>
      </c>
      <c r="P286" s="46">
        <f t="shared" ca="1" si="14"/>
        <v>1.0972868217054264E-2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input_380010!A$2</f>
        <v>380010</v>
      </c>
      <c r="B287" s="82">
        <v>747</v>
      </c>
      <c r="C287" s="7" t="str">
        <f t="shared" si="15"/>
        <v>Premium5R3less</v>
      </c>
      <c r="D287" s="7" t="str">
        <f t="shared" si="16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IFERROR(VLOOKUP(B287,input_380010!L:R,7,FALSE),VLOOKUP(tables_380010!C287,input_380010!A:H,8,FALSE))</f>
        <v>532</v>
      </c>
      <c r="P287" s="46">
        <f t="shared" ca="1" si="14"/>
        <v>7.3643410852713178E-5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hidden="1" customHeight="1" x14ac:dyDescent="0.15">
      <c r="A288" s="2" t="str">
        <f ca="1">input_380010!A$2</f>
        <v>380010</v>
      </c>
      <c r="B288" s="82">
        <v>748</v>
      </c>
      <c r="C288" s="7" t="str">
        <f t="shared" si="15"/>
        <v>Premium4R3less</v>
      </c>
      <c r="D288" s="7" t="str">
        <f t="shared" si="16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IFERROR(VLOOKUP(B288,input_380010!L:R,7,FALSE),VLOOKUP(tables_380010!C288,input_380010!A:H,8,FALSE))</f>
        <v>79268</v>
      </c>
      <c r="P288" s="46">
        <f t="shared" ca="1" si="14"/>
        <v>1.0972868217054264E-2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input_380010!A$2</f>
        <v>380010</v>
      </c>
      <c r="B289" s="82">
        <v>749</v>
      </c>
      <c r="C289" s="7" t="str">
        <f t="shared" si="15"/>
        <v>Premium5R3less</v>
      </c>
      <c r="D289" s="7" t="str">
        <f t="shared" si="1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IFERROR(VLOOKUP(B289,input_380010!L:R,7,FALSE),VLOOKUP(tables_380010!C289,input_380010!A:H,8,FALSE))</f>
        <v>532</v>
      </c>
      <c r="P289" s="46">
        <f t="shared" ca="1" si="14"/>
        <v>7.3643410852713178E-5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input_380010!A$2</f>
        <v>380010</v>
      </c>
      <c r="B290" s="82">
        <v>937</v>
      </c>
      <c r="C290" s="7" t="str">
        <f t="shared" ref="C290:C294" si="17">D290&amp;J290&amp;E290&amp;F290&amp;G290</f>
        <v>PremiumSS5R5only</v>
      </c>
      <c r="D290" s="7" t="str">
        <f t="shared" ref="D290:D294" si="18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IFERROR(VLOOKUP(B290,input_380010!L:R,7,FALSE),VLOOKUP(tables_380010!C290,input_380010!A:H,8,FALSE))</f>
        <v>8600</v>
      </c>
      <c r="P290" s="46">
        <f t="shared" ca="1" si="14"/>
        <v>1.1904761904761906E-3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hidden="1" customHeight="1" x14ac:dyDescent="0.15">
      <c r="A291" s="2" t="str">
        <f ca="1">input_380010!A$2</f>
        <v>380010</v>
      </c>
      <c r="B291" s="82">
        <v>939</v>
      </c>
      <c r="C291" s="7" t="str">
        <f t="shared" si="17"/>
        <v>Premium4R3less</v>
      </c>
      <c r="D291" s="7" t="str">
        <f t="shared" si="18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IFERROR(VLOOKUP(B291,input_380010!L:R,7,FALSE),VLOOKUP(tables_380010!C291,input_380010!A:H,8,FALSE))</f>
        <v>79268</v>
      </c>
      <c r="P291" s="46">
        <f t="shared" ca="1" si="14"/>
        <v>1.0972868217054264E-2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input_380010!A$2</f>
        <v>380010</v>
      </c>
      <c r="B292" s="82">
        <v>940</v>
      </c>
      <c r="C292" s="7" t="str">
        <f t="shared" si="17"/>
        <v>Premium5R3less</v>
      </c>
      <c r="D292" s="7" t="str">
        <f t="shared" si="18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IFERROR(VLOOKUP(B292,input_380010!L:R,7,FALSE),VLOOKUP(tables_380010!C292,input_380010!A:H,8,FALSE))</f>
        <v>532</v>
      </c>
      <c r="P292" s="46">
        <f t="shared" ca="1" si="14"/>
        <v>7.3643410852713178E-5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input_380010!A$2</f>
        <v>380010</v>
      </c>
      <c r="B293" s="82">
        <v>941</v>
      </c>
      <c r="C293" s="7" t="str">
        <f t="shared" si="17"/>
        <v>PremiumSS5R5only</v>
      </c>
      <c r="D293" s="7" t="str">
        <f t="shared" si="18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IFERROR(VLOOKUP(B293,input_380010!L:R,7,FALSE),VLOOKUP(tables_380010!C293,input_380010!A:H,8,FALSE))</f>
        <v>8600</v>
      </c>
      <c r="P293" s="46">
        <f t="shared" ca="1" si="14"/>
        <v>1.1904761904761906E-3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input_380010!A$2</f>
        <v>380010</v>
      </c>
      <c r="B294" s="82">
        <v>943</v>
      </c>
      <c r="C294" s="7" t="str">
        <f t="shared" si="17"/>
        <v>PremiumSS5R5only</v>
      </c>
      <c r="D294" s="7" t="str">
        <f t="shared" si="18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IFERROR(VLOOKUP(B294,input_380010!L:R,7,FALSE),VLOOKUP(tables_380010!C294,input_380010!A:H,8,FALSE))</f>
        <v>8600</v>
      </c>
      <c r="P294" s="46">
        <f t="shared" ca="1" si="14"/>
        <v>1.1904761904761906E-3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input_380010!A$2</f>
        <v>380010</v>
      </c>
      <c r="B295" s="82">
        <v>1012</v>
      </c>
      <c r="C295" s="7" t="str">
        <f t="shared" ref="C295:C299" si="19">D295&amp;J295&amp;E295&amp;F295&amp;G295</f>
        <v>PremiumSS5R5only</v>
      </c>
      <c r="D295" s="7" t="str">
        <f t="shared" ref="D295:D299" si="20">IF(I295="PremiumSS",I295,IF(I295="PremiumSSS",I295,IF(I295="PremiumW",I295,"Premium")))</f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IFERROR(VLOOKUP(B295,input_380010!L:R,7,FALSE),VLOOKUP(tables_380010!C295,input_380010!A:H,8,FALSE))</f>
        <v>8600</v>
      </c>
      <c r="P295" s="46">
        <f t="shared" ca="1" si="14"/>
        <v>1.1904761904761906E-3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input_380010!A$2</f>
        <v>380010</v>
      </c>
      <c r="B296" s="82">
        <v>1014</v>
      </c>
      <c r="C296" s="7" t="str">
        <f t="shared" si="19"/>
        <v>PremiumSS5R5only</v>
      </c>
      <c r="D296" s="7" t="str">
        <f t="shared" si="20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IFERROR(VLOOKUP(B296,input_380010!L:R,7,FALSE),VLOOKUP(tables_380010!C296,input_380010!A:H,8,FALSE))</f>
        <v>8600</v>
      </c>
      <c r="P296" s="46">
        <f t="shared" ca="1" si="14"/>
        <v>1.1904761904761906E-3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hidden="1" customHeight="1" x14ac:dyDescent="0.15">
      <c r="A297" s="2" t="str">
        <f ca="1">input_380010!A$2</f>
        <v>380010</v>
      </c>
      <c r="B297" s="82">
        <v>1016</v>
      </c>
      <c r="C297" s="7" t="str">
        <f t="shared" si="19"/>
        <v>Premium4R3less</v>
      </c>
      <c r="D297" s="7" t="str">
        <f t="shared" si="20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IFERROR(VLOOKUP(B297,input_380010!L:R,7,FALSE),VLOOKUP(tables_380010!C297,input_380010!A:H,8,FALSE))</f>
        <v>79268</v>
      </c>
      <c r="P297" s="46">
        <f t="shared" ca="1" si="14"/>
        <v>1.0972868217054264E-2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input_380010!A$2</f>
        <v>380010</v>
      </c>
      <c r="B298" s="82">
        <v>1017</v>
      </c>
      <c r="C298" s="7" t="str">
        <f t="shared" si="19"/>
        <v>Premium5R3less</v>
      </c>
      <c r="D298" s="7" t="str">
        <f t="shared" si="20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IFERROR(VLOOKUP(B298,input_380010!L:R,7,FALSE),VLOOKUP(tables_380010!C298,input_380010!A:H,8,FALSE))</f>
        <v>532</v>
      </c>
      <c r="P298" s="46">
        <f t="shared" ca="1" si="14"/>
        <v>7.3643410852713178E-5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input_380010!A$2</f>
        <v>380010</v>
      </c>
      <c r="B299" s="82">
        <v>1018</v>
      </c>
      <c r="C299" s="7" t="str">
        <f t="shared" si="19"/>
        <v>PremiumSS5R5only</v>
      </c>
      <c r="D299" s="7" t="str">
        <f t="shared" si="20"/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IFERROR(VLOOKUP(B299,input_380010!L:R,7,FALSE),VLOOKUP(tables_380010!C299,input_380010!A:H,8,FALSE))</f>
        <v>8600</v>
      </c>
      <c r="P299" s="46">
        <f t="shared" ca="1" si="14"/>
        <v>1.1904761904761906E-3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</sheetData>
  <autoFilter ref="A1:V299">
    <filterColumn colId="9">
      <filters>
        <filter val="5"/>
      </filters>
    </filterColumn>
  </autoFilter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filterMode="1" enableFormatConditionsCalculation="0">
    <tabColor rgb="FF0000FF"/>
    <outlinePr summaryBelow="0" summaryRight="0"/>
  </sheetPr>
  <dimension ref="A1:V299"/>
  <sheetViews>
    <sheetView showGridLines="0" zoomScale="75" zoomScaleNormal="75" zoomScalePageLayoutView="75" workbookViewId="0">
      <pane ySplit="1" topLeftCell="A257" activePane="bottomLeft" state="frozen"/>
      <selection activeCell="O281" sqref="O281"/>
      <selection pane="bottomLeft" activeCell="O281" sqref="O28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hidden="1" customHeight="1" x14ac:dyDescent="0.15">
      <c r="A2" s="2" t="str">
        <f ca="1">input_380011!A$2</f>
        <v>380011</v>
      </c>
      <c r="B2" s="60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IFERROR(VLOOKUP(B2,input_380011!L:R,7,FALSE),VLOOKUP(tables_380011!C2,input_380011!A:H,8,FALSE))</f>
        <v>72096</v>
      </c>
      <c r="P2" s="46">
        <f ca="1">O2/SUM(O:O)</f>
        <v>9.5567338282078473E-3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hidden="1" customHeight="1" x14ac:dyDescent="0.15">
      <c r="A3" s="2" t="str">
        <f ca="1">input_380011!A$2</f>
        <v>380011</v>
      </c>
      <c r="B3" s="60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IFERROR(VLOOKUP(B3,input_380011!L:R,7,FALSE),VLOOKUP(tables_380011!C3,input_380011!A:H,8,FALSE))</f>
        <v>17144</v>
      </c>
      <c r="P3" s="46">
        <f t="shared" ref="P3:P66" ca="1" si="2">O3/SUM(O:O)</f>
        <v>2.2725344644750796E-3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hidden="1" customHeight="1" x14ac:dyDescent="0.15">
      <c r="A4" s="2" t="str">
        <f ca="1">input_380011!A$2</f>
        <v>380011</v>
      </c>
      <c r="B4" s="60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IFERROR(VLOOKUP(B4,input_380011!L:R,7,FALSE),VLOOKUP(tables_380011!C4,input_380011!A:H,8,FALSE))</f>
        <v>72096</v>
      </c>
      <c r="P4" s="46">
        <f t="shared" ca="1" si="2"/>
        <v>9.5567338282078473E-3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hidden="1" customHeight="1" x14ac:dyDescent="0.15">
      <c r="A5" s="2" t="str">
        <f ca="1">input_380011!A$2</f>
        <v>380011</v>
      </c>
      <c r="B5" s="60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IFERROR(VLOOKUP(B5,input_380011!L:R,7,FALSE),VLOOKUP(tables_380011!C5,input_380011!A:H,8,FALSE))</f>
        <v>17144</v>
      </c>
      <c r="P5" s="46">
        <f t="shared" ca="1" si="2"/>
        <v>2.2725344644750796E-3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hidden="1" customHeight="1" x14ac:dyDescent="0.15">
      <c r="A6" s="2" t="str">
        <f ca="1">input_380011!A$2</f>
        <v>380011</v>
      </c>
      <c r="B6" s="60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IFERROR(VLOOKUP(B6,input_380011!L:R,7,FALSE),VLOOKUP(tables_380011!C6,input_380011!A:H,8,FALSE))</f>
        <v>72096</v>
      </c>
      <c r="P6" s="46">
        <f t="shared" ca="1" si="2"/>
        <v>9.5567338282078473E-3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hidden="1" customHeight="1" x14ac:dyDescent="0.15">
      <c r="A7" s="2" t="str">
        <f ca="1">input_380011!A$2</f>
        <v>380011</v>
      </c>
      <c r="B7" s="60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IFERROR(VLOOKUP(B7,input_380011!L:R,7,FALSE),VLOOKUP(tables_380011!C7,input_380011!A:H,8,FALSE))</f>
        <v>17144</v>
      </c>
      <c r="P7" s="46">
        <f t="shared" ca="1" si="2"/>
        <v>2.2725344644750796E-3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hidden="1" customHeight="1" x14ac:dyDescent="0.15">
      <c r="A8" s="2" t="str">
        <f ca="1">input_380011!A$2</f>
        <v>380011</v>
      </c>
      <c r="B8" s="60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IFERROR(VLOOKUP(B8,input_380011!L:R,7,FALSE),VLOOKUP(tables_380011!C8,input_380011!A:H,8,FALSE))</f>
        <v>72096</v>
      </c>
      <c r="P8" s="46">
        <f t="shared" ca="1" si="2"/>
        <v>9.5567338282078473E-3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hidden="1" customHeight="1" x14ac:dyDescent="0.15">
      <c r="A9" s="2" t="str">
        <f ca="1">input_380011!A$2</f>
        <v>380011</v>
      </c>
      <c r="B9" s="60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IFERROR(VLOOKUP(B9,input_380011!L:R,7,FALSE),VLOOKUP(tables_380011!C9,input_380011!A:H,8,FALSE))</f>
        <v>17144</v>
      </c>
      <c r="P9" s="46">
        <f t="shared" ca="1" si="2"/>
        <v>2.2725344644750796E-3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hidden="1" customHeight="1" x14ac:dyDescent="0.15">
      <c r="A10" s="2" t="str">
        <f ca="1">input_380011!A$2</f>
        <v>380011</v>
      </c>
      <c r="B10" s="60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IFERROR(VLOOKUP(B10,input_380011!L:R,7,FALSE),VLOOKUP(tables_380011!C10,input_380011!A:H,8,FALSE))</f>
        <v>72096</v>
      </c>
      <c r="P10" s="46">
        <f t="shared" ca="1" si="2"/>
        <v>9.5567338282078473E-3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hidden="1" customHeight="1" x14ac:dyDescent="0.15">
      <c r="A11" s="2" t="str">
        <f ca="1">input_380011!A$2</f>
        <v>380011</v>
      </c>
      <c r="B11" s="60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IFERROR(VLOOKUP(B11,input_380011!L:R,7,FALSE),VLOOKUP(tables_380011!C11,input_380011!A:H,8,FALSE))</f>
        <v>17144</v>
      </c>
      <c r="P11" s="46">
        <f t="shared" ca="1" si="2"/>
        <v>2.2725344644750796E-3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hidden="1" customHeight="1" x14ac:dyDescent="0.15">
      <c r="A12" s="2" t="str">
        <f ca="1">input_380011!A$2</f>
        <v>380011</v>
      </c>
      <c r="B12" s="96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IFERROR(VLOOKUP(B12,input_380011!L:R,7,FALSE),VLOOKUP(tables_380011!C12,input_380011!A:H,8,FALSE))</f>
        <v>72096</v>
      </c>
      <c r="P12" s="46">
        <f t="shared" ca="1" si="2"/>
        <v>9.5567338282078473E-3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hidden="1" customHeight="1" x14ac:dyDescent="0.15">
      <c r="A13" s="2" t="str">
        <f ca="1">input_380011!A$2</f>
        <v>380011</v>
      </c>
      <c r="B13" s="96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IFERROR(VLOOKUP(B13,input_380011!L:R,7,FALSE),VLOOKUP(tables_380011!C13,input_380011!A:H,8,FALSE))</f>
        <v>17144</v>
      </c>
      <c r="P13" s="46">
        <f t="shared" ca="1" si="2"/>
        <v>2.2725344644750796E-3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hidden="1" customHeight="1" x14ac:dyDescent="0.15">
      <c r="A14" s="2" t="str">
        <f ca="1">input_380011!A$2</f>
        <v>380011</v>
      </c>
      <c r="B14" s="60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IFERROR(VLOOKUP(B14,input_380011!L:R,7,FALSE),VLOOKUP(tables_380011!C14,input_380011!A:H,8,FALSE))</f>
        <v>72096</v>
      </c>
      <c r="P14" s="46">
        <f t="shared" ca="1" si="2"/>
        <v>9.5567338282078473E-3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hidden="1" customHeight="1" x14ac:dyDescent="0.15">
      <c r="A15" s="2" t="str">
        <f ca="1">input_380011!A$2</f>
        <v>380011</v>
      </c>
      <c r="B15" s="60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IFERROR(VLOOKUP(B15,input_380011!L:R,7,FALSE),VLOOKUP(tables_380011!C15,input_380011!A:H,8,FALSE))</f>
        <v>17144</v>
      </c>
      <c r="P15" s="46">
        <f t="shared" ca="1" si="2"/>
        <v>2.2725344644750796E-3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hidden="1" customHeight="1" x14ac:dyDescent="0.15">
      <c r="A16" s="2" t="str">
        <f ca="1">input_380011!A$2</f>
        <v>380011</v>
      </c>
      <c r="B16" s="97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IFERROR(VLOOKUP(B16,input_380011!L:R,7,FALSE),VLOOKUP(tables_380011!C16,input_380011!A:H,8,FALSE))</f>
        <v>72096</v>
      </c>
      <c r="P16" s="46">
        <f t="shared" ca="1" si="2"/>
        <v>9.5567338282078473E-3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hidden="1" customHeight="1" x14ac:dyDescent="0.15">
      <c r="A17" s="2" t="str">
        <f ca="1">input_380011!A$2</f>
        <v>380011</v>
      </c>
      <c r="B17" s="98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IFERROR(VLOOKUP(B17,input_380011!L:R,7,FALSE),VLOOKUP(tables_380011!C17,input_380011!A:H,8,FALSE))</f>
        <v>17144</v>
      </c>
      <c r="P17" s="46">
        <f t="shared" ca="1" si="2"/>
        <v>2.2725344644750796E-3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hidden="1" customHeight="1" x14ac:dyDescent="0.15">
      <c r="A18" s="2" t="str">
        <f ca="1">input_380011!A$2</f>
        <v>380011</v>
      </c>
      <c r="B18" s="60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IFERROR(VLOOKUP(B18,input_380011!L:R,7,FALSE),VLOOKUP(tables_380011!C18,input_380011!A:H,8,FALSE))</f>
        <v>72096</v>
      </c>
      <c r="P18" s="46">
        <f t="shared" ca="1" si="2"/>
        <v>9.5567338282078473E-3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hidden="1" customHeight="1" thickBot="1" x14ac:dyDescent="0.2">
      <c r="A19" s="2" t="str">
        <f ca="1">input_380011!A$2</f>
        <v>380011</v>
      </c>
      <c r="B19" s="60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IFERROR(VLOOKUP(B19,input_380011!L:R,7,FALSE),VLOOKUP(tables_380011!C19,input_380011!A:H,8,FALSE))</f>
        <v>17144</v>
      </c>
      <c r="P19" s="46">
        <f t="shared" ca="1" si="2"/>
        <v>2.2725344644750796E-3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hidden="1" customHeight="1" x14ac:dyDescent="0.15">
      <c r="A20" s="2" t="str">
        <f ca="1">input_380011!A$2</f>
        <v>380011</v>
      </c>
      <c r="B20" s="97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IFERROR(VLOOKUP(B20,input_380011!L:R,7,FALSE),VLOOKUP(tables_380011!C20,input_380011!A:H,8,FALSE))</f>
        <v>72096</v>
      </c>
      <c r="P20" s="46">
        <f t="shared" ca="1" si="2"/>
        <v>9.5567338282078473E-3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hidden="1" customHeight="1" x14ac:dyDescent="0.15">
      <c r="A21" s="2" t="str">
        <f ca="1">input_380011!A$2</f>
        <v>380011</v>
      </c>
      <c r="B21" s="60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IFERROR(VLOOKUP(B21,input_380011!L:R,7,FALSE),VLOOKUP(tables_380011!C21,input_380011!A:H,8,FALSE))</f>
        <v>17144</v>
      </c>
      <c r="P21" s="46">
        <f t="shared" ca="1" si="2"/>
        <v>2.2725344644750796E-3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hidden="1" customHeight="1" x14ac:dyDescent="0.15">
      <c r="A22" s="2" t="str">
        <f ca="1">input_380011!A$2</f>
        <v>380011</v>
      </c>
      <c r="B22" s="60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IFERROR(VLOOKUP(B22,input_380011!L:R,7,FALSE),VLOOKUP(tables_380011!C22,input_380011!A:H,8,FALSE))</f>
        <v>72096</v>
      </c>
      <c r="P22" s="46">
        <f t="shared" ca="1" si="2"/>
        <v>9.5567338282078473E-3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hidden="1" customHeight="1" x14ac:dyDescent="0.15">
      <c r="A23" s="2" t="str">
        <f ca="1">input_380011!A$2</f>
        <v>380011</v>
      </c>
      <c r="B23" s="60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IFERROR(VLOOKUP(B23,input_380011!L:R,7,FALSE),VLOOKUP(tables_380011!C23,input_380011!A:H,8,FALSE))</f>
        <v>17144</v>
      </c>
      <c r="P23" s="46">
        <f t="shared" ca="1" si="2"/>
        <v>2.2725344644750796E-3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hidden="1" customHeight="1" x14ac:dyDescent="0.15">
      <c r="A24" s="2" t="str">
        <f ca="1">input_380011!A$2</f>
        <v>380011</v>
      </c>
      <c r="B24" s="60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IFERROR(VLOOKUP(B24,input_380011!L:R,7,FALSE),VLOOKUP(tables_380011!C24,input_380011!A:H,8,FALSE))</f>
        <v>72096</v>
      </c>
      <c r="P24" s="46">
        <f t="shared" ca="1" si="2"/>
        <v>9.5567338282078473E-3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hidden="1" customHeight="1" x14ac:dyDescent="0.15">
      <c r="A25" s="2" t="str">
        <f ca="1">input_380011!A$2</f>
        <v>380011</v>
      </c>
      <c r="B25" s="60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IFERROR(VLOOKUP(B25,input_380011!L:R,7,FALSE),VLOOKUP(tables_380011!C25,input_380011!A:H,8,FALSE))</f>
        <v>17144</v>
      </c>
      <c r="P25" s="46">
        <f t="shared" ca="1" si="2"/>
        <v>2.2725344644750796E-3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hidden="1" customHeight="1" x14ac:dyDescent="0.15">
      <c r="A26" s="2" t="str">
        <f ca="1">input_380011!A$2</f>
        <v>380011</v>
      </c>
      <c r="B26" s="60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IFERROR(VLOOKUP(B26,input_380011!L:R,7,FALSE),VLOOKUP(tables_380011!C26,input_380011!A:H,8,FALSE))</f>
        <v>72096</v>
      </c>
      <c r="P26" s="46">
        <f t="shared" ca="1" si="2"/>
        <v>9.5567338282078473E-3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hidden="1" customHeight="1" x14ac:dyDescent="0.15">
      <c r="A27" s="2" t="str">
        <f ca="1">input_380011!A$2</f>
        <v>380011</v>
      </c>
      <c r="B27" s="60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IFERROR(VLOOKUP(B27,input_380011!L:R,7,FALSE),VLOOKUP(tables_380011!C27,input_380011!A:H,8,FALSE))</f>
        <v>17144</v>
      </c>
      <c r="P27" s="46">
        <f t="shared" ca="1" si="2"/>
        <v>2.2725344644750796E-3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hidden="1" customHeight="1" x14ac:dyDescent="0.15">
      <c r="A28" s="2" t="str">
        <f ca="1">input_380011!A$2</f>
        <v>380011</v>
      </c>
      <c r="B28" s="60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IFERROR(VLOOKUP(B28,input_380011!L:R,7,FALSE),VLOOKUP(tables_380011!C28,input_380011!A:H,8,FALSE))</f>
        <v>72096</v>
      </c>
      <c r="P28" s="46">
        <f t="shared" ca="1" si="2"/>
        <v>9.5567338282078473E-3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hidden="1" customHeight="1" x14ac:dyDescent="0.15">
      <c r="A29" s="2" t="str">
        <f ca="1">input_380011!A$2</f>
        <v>380011</v>
      </c>
      <c r="B29" s="60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IFERROR(VLOOKUP(B29,input_380011!L:R,7,FALSE),VLOOKUP(tables_380011!C29,input_380011!A:H,8,FALSE))</f>
        <v>17144</v>
      </c>
      <c r="P29" s="46">
        <f t="shared" ca="1" si="2"/>
        <v>2.2725344644750796E-3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hidden="1" customHeight="1" x14ac:dyDescent="0.15">
      <c r="A30" s="2" t="str">
        <f ca="1">input_380011!A$2</f>
        <v>380011</v>
      </c>
      <c r="B30" s="60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IFERROR(VLOOKUP(B30,input_380011!L:R,7,FALSE),VLOOKUP(tables_380011!C30,input_380011!A:H,8,FALSE))</f>
        <v>72096</v>
      </c>
      <c r="P30" s="46">
        <f t="shared" ca="1" si="2"/>
        <v>9.5567338282078473E-3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hidden="1" customHeight="1" x14ac:dyDescent="0.15">
      <c r="A31" s="2" t="str">
        <f ca="1">input_380011!A$2</f>
        <v>380011</v>
      </c>
      <c r="B31" s="60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IFERROR(VLOOKUP(B31,input_380011!L:R,7,FALSE),VLOOKUP(tables_380011!C31,input_380011!A:H,8,FALSE))</f>
        <v>17144</v>
      </c>
      <c r="P31" s="46">
        <f t="shared" ca="1" si="2"/>
        <v>2.2725344644750796E-3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hidden="1" customHeight="1" x14ac:dyDescent="0.15">
      <c r="A32" s="2" t="str">
        <f ca="1">input_380011!A$2</f>
        <v>380011</v>
      </c>
      <c r="B32" s="60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IFERROR(VLOOKUP(B32,input_380011!L:R,7,FALSE),VLOOKUP(tables_380011!C32,input_380011!A:H,8,FALSE))</f>
        <v>72096</v>
      </c>
      <c r="P32" s="46">
        <f t="shared" ca="1" si="2"/>
        <v>9.5567338282078473E-3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hidden="1" customHeight="1" x14ac:dyDescent="0.15">
      <c r="A33" s="2" t="str">
        <f ca="1">input_380011!A$2</f>
        <v>380011</v>
      </c>
      <c r="B33" s="60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IFERROR(VLOOKUP(B33,input_380011!L:R,7,FALSE),VLOOKUP(tables_380011!C33,input_380011!A:H,8,FALSE))</f>
        <v>17144</v>
      </c>
      <c r="P33" s="46">
        <f t="shared" ca="1" si="2"/>
        <v>2.2725344644750796E-3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hidden="1" customHeight="1" x14ac:dyDescent="0.15">
      <c r="A34" s="2" t="str">
        <f ca="1">input_380011!A$2</f>
        <v>380011</v>
      </c>
      <c r="B34" s="60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IFERROR(VLOOKUP(B34,input_380011!L:R,7,FALSE),VLOOKUP(tables_380011!C34,input_380011!A:H,8,FALSE))</f>
        <v>72096</v>
      </c>
      <c r="P34" s="46">
        <f t="shared" ca="1" si="2"/>
        <v>9.5567338282078473E-3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hidden="1" customHeight="1" x14ac:dyDescent="0.15">
      <c r="A35" s="2" t="str">
        <f ca="1">input_380011!A$2</f>
        <v>380011</v>
      </c>
      <c r="B35" s="60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IFERROR(VLOOKUP(B35,input_380011!L:R,7,FALSE),VLOOKUP(tables_380011!C35,input_380011!A:H,8,FALSE))</f>
        <v>17144</v>
      </c>
      <c r="P35" s="46">
        <f t="shared" ca="1" si="2"/>
        <v>2.2725344644750796E-3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hidden="1" customHeight="1" x14ac:dyDescent="0.15">
      <c r="A36" s="2" t="str">
        <f ca="1">input_380011!A$2</f>
        <v>380011</v>
      </c>
      <c r="B36" s="60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IFERROR(VLOOKUP(B36,input_380011!L:R,7,FALSE),VLOOKUP(tables_380011!C36,input_380011!A:H,8,FALSE))</f>
        <v>72096</v>
      </c>
      <c r="P36" s="46">
        <f t="shared" ca="1" si="2"/>
        <v>9.5567338282078473E-3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hidden="1" customHeight="1" x14ac:dyDescent="0.15">
      <c r="A37" s="2" t="str">
        <f ca="1">input_380011!A$2</f>
        <v>380011</v>
      </c>
      <c r="B37" s="60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IFERROR(VLOOKUP(B37,input_380011!L:R,7,FALSE),VLOOKUP(tables_380011!C37,input_380011!A:H,8,FALSE))</f>
        <v>17144</v>
      </c>
      <c r="P37" s="46">
        <f t="shared" ca="1" si="2"/>
        <v>2.2725344644750796E-3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hidden="1" customHeight="1" x14ac:dyDescent="0.15">
      <c r="A38" s="2" t="str">
        <f ca="1">input_380011!A$2</f>
        <v>380011</v>
      </c>
      <c r="B38" s="60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IFERROR(VLOOKUP(B38,input_380011!L:R,7,FALSE),VLOOKUP(tables_380011!C38,input_380011!A:H,8,FALSE))</f>
        <v>72096</v>
      </c>
      <c r="P38" s="46">
        <f t="shared" ca="1" si="2"/>
        <v>9.5567338282078473E-3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hidden="1" customHeight="1" x14ac:dyDescent="0.15">
      <c r="A39" s="2" t="str">
        <f ca="1">input_380011!A$2</f>
        <v>380011</v>
      </c>
      <c r="B39" s="60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IFERROR(VLOOKUP(B39,input_380011!L:R,7,FALSE),VLOOKUP(tables_380011!C39,input_380011!A:H,8,FALSE))</f>
        <v>17144</v>
      </c>
      <c r="P39" s="46">
        <f t="shared" ca="1" si="2"/>
        <v>2.2725344644750796E-3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hidden="1" customHeight="1" x14ac:dyDescent="0.15">
      <c r="A40" s="2" t="str">
        <f ca="1">input_380011!A$2</f>
        <v>380011</v>
      </c>
      <c r="B40" s="60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IFERROR(VLOOKUP(B40,input_380011!L:R,7,FALSE),VLOOKUP(tables_380011!C40,input_380011!A:H,8,FALSE))</f>
        <v>72096</v>
      </c>
      <c r="P40" s="46">
        <f t="shared" ca="1" si="2"/>
        <v>9.5567338282078473E-3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hidden="1" customHeight="1" x14ac:dyDescent="0.15">
      <c r="A41" s="2" t="str">
        <f ca="1">input_380011!A$2</f>
        <v>380011</v>
      </c>
      <c r="B41" s="60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IFERROR(VLOOKUP(B41,input_380011!L:R,7,FALSE),VLOOKUP(tables_380011!C41,input_380011!A:H,8,FALSE))</f>
        <v>17144</v>
      </c>
      <c r="P41" s="46">
        <f t="shared" ca="1" si="2"/>
        <v>2.2725344644750796E-3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hidden="1" customHeight="1" x14ac:dyDescent="0.15">
      <c r="A42" s="2" t="str">
        <f ca="1">input_380011!A$2</f>
        <v>380011</v>
      </c>
      <c r="B42" s="60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IFERROR(VLOOKUP(B42,input_380011!L:R,7,FALSE),VLOOKUP(tables_380011!C42,input_380011!A:H,8,FALSE))</f>
        <v>2460</v>
      </c>
      <c r="P42" s="46">
        <f t="shared" ca="1" si="2"/>
        <v>3.2608695652173916E-4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hidden="1" customHeight="1" x14ac:dyDescent="0.15">
      <c r="A43" s="2" t="str">
        <f ca="1">input_380011!A$2</f>
        <v>380011</v>
      </c>
      <c r="B43" s="60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IFERROR(VLOOKUP(B43,input_380011!L:R,7,FALSE),VLOOKUP(tables_380011!C43,input_380011!A:H,8,FALSE))</f>
        <v>2214</v>
      </c>
      <c r="P43" s="46">
        <f t="shared" ca="1" si="2"/>
        <v>2.9347826086956522E-4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input_380011!A$2</f>
        <v>380011</v>
      </c>
      <c r="B44" s="60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IFERROR(VLOOKUP(B44,input_380011!L:R,7,FALSE),VLOOKUP(tables_380011!C44,input_380011!A:H,8,FALSE))</f>
        <v>246</v>
      </c>
      <c r="P44" s="46">
        <f t="shared" ca="1" si="2"/>
        <v>3.260869565217391E-5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hidden="1" customHeight="1" x14ac:dyDescent="0.15">
      <c r="A45" s="2" t="str">
        <f ca="1">input_380011!A$2</f>
        <v>380011</v>
      </c>
      <c r="B45" s="60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IFERROR(VLOOKUP(B45,input_380011!L:R,7,FALSE),VLOOKUP(tables_380011!C45,input_380011!A:H,8,FALSE))</f>
        <v>2460</v>
      </c>
      <c r="P45" s="46">
        <f t="shared" ca="1" si="2"/>
        <v>3.2608695652173916E-4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hidden="1" customHeight="1" x14ac:dyDescent="0.15">
      <c r="A46" s="2" t="str">
        <f ca="1">input_380011!A$2</f>
        <v>380011</v>
      </c>
      <c r="B46" s="60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IFERROR(VLOOKUP(B46,input_380011!L:R,7,FALSE),VLOOKUP(tables_380011!C46,input_380011!A:H,8,FALSE))</f>
        <v>2214</v>
      </c>
      <c r="P46" s="46">
        <f t="shared" ca="1" si="2"/>
        <v>2.9347826086956522E-4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input_380011!A$2</f>
        <v>380011</v>
      </c>
      <c r="B47" s="60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IFERROR(VLOOKUP(B47,input_380011!L:R,7,FALSE),VLOOKUP(tables_380011!C47,input_380011!A:H,8,FALSE))</f>
        <v>246</v>
      </c>
      <c r="P47" s="46">
        <f t="shared" ca="1" si="2"/>
        <v>3.260869565217391E-5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hidden="1" customHeight="1" x14ac:dyDescent="0.15">
      <c r="A48" s="2" t="str">
        <f ca="1">input_380011!A$2</f>
        <v>380011</v>
      </c>
      <c r="B48" s="60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IFERROR(VLOOKUP(B48,input_380011!L:R,7,FALSE),VLOOKUP(tables_380011!C48,input_380011!A:H,8,FALSE))</f>
        <v>2460</v>
      </c>
      <c r="P48" s="46">
        <f t="shared" ca="1" si="2"/>
        <v>3.2608695652173916E-4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hidden="1" customHeight="1" x14ac:dyDescent="0.15">
      <c r="A49" s="2" t="str">
        <f ca="1">input_380011!A$2</f>
        <v>380011</v>
      </c>
      <c r="B49" s="60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IFERROR(VLOOKUP(B49,input_380011!L:R,7,FALSE),VLOOKUP(tables_380011!C49,input_380011!A:H,8,FALSE))</f>
        <v>2214</v>
      </c>
      <c r="P49" s="46">
        <f t="shared" ca="1" si="2"/>
        <v>2.9347826086956522E-4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input_380011!A$2</f>
        <v>380011</v>
      </c>
      <c r="B50" s="60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IFERROR(VLOOKUP(B50,input_380011!L:R,7,FALSE),VLOOKUP(tables_380011!C50,input_380011!A:H,8,FALSE))</f>
        <v>246</v>
      </c>
      <c r="P50" s="46">
        <f t="shared" ca="1" si="2"/>
        <v>3.260869565217391E-5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hidden="1" customHeight="1" x14ac:dyDescent="0.15">
      <c r="A51" s="2" t="str">
        <f ca="1">input_380011!A$2</f>
        <v>380011</v>
      </c>
      <c r="B51" s="60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IFERROR(VLOOKUP(B51,input_380011!L:R,7,FALSE),VLOOKUP(tables_380011!C51,input_380011!A:H,8,FALSE))</f>
        <v>44620</v>
      </c>
      <c r="P51" s="46">
        <f t="shared" ca="1" si="2"/>
        <v>5.9146341463414635E-3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hidden="1" customHeight="1" x14ac:dyDescent="0.15">
      <c r="A52" s="2" t="str">
        <f ca="1">input_380011!A$2</f>
        <v>380011</v>
      </c>
      <c r="B52" s="60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IFERROR(VLOOKUP(B52,input_380011!L:R,7,FALSE),VLOOKUP(tables_380011!C52,input_380011!A:H,8,FALSE))</f>
        <v>40158</v>
      </c>
      <c r="P52" s="46">
        <f t="shared" ca="1" si="2"/>
        <v>5.3231707317073175E-3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input_380011!A$2</f>
        <v>380011</v>
      </c>
      <c r="B53" s="60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IFERROR(VLOOKUP(B53,input_380011!L:R,7,FALSE),VLOOKUP(tables_380011!C53,input_380011!A:H,8,FALSE))</f>
        <v>4462</v>
      </c>
      <c r="P53" s="46">
        <f t="shared" ca="1" si="2"/>
        <v>5.9146341463414632E-4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hidden="1" customHeight="1" x14ac:dyDescent="0.15">
      <c r="A54" s="2" t="str">
        <f ca="1">input_380011!A$2</f>
        <v>380011</v>
      </c>
      <c r="B54" s="60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IFERROR(VLOOKUP(B54,input_380011!L:R,7,FALSE),VLOOKUP(tables_380011!C54,input_380011!A:H,8,FALSE))</f>
        <v>44620</v>
      </c>
      <c r="P54" s="46">
        <f t="shared" ca="1" si="2"/>
        <v>5.9146341463414635E-3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hidden="1" customHeight="1" x14ac:dyDescent="0.15">
      <c r="A55" s="2" t="str">
        <f ca="1">input_380011!A$2</f>
        <v>380011</v>
      </c>
      <c r="B55" s="60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IFERROR(VLOOKUP(B55,input_380011!L:R,7,FALSE),VLOOKUP(tables_380011!C55,input_380011!A:H,8,FALSE))</f>
        <v>40158</v>
      </c>
      <c r="P55" s="46">
        <f t="shared" ca="1" si="2"/>
        <v>5.3231707317073175E-3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input_380011!A$2</f>
        <v>380011</v>
      </c>
      <c r="B56" s="60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IFERROR(VLOOKUP(B56,input_380011!L:R,7,FALSE),VLOOKUP(tables_380011!C56,input_380011!A:H,8,FALSE))</f>
        <v>4462</v>
      </c>
      <c r="P56" s="46">
        <f t="shared" ca="1" si="2"/>
        <v>5.9146341463414632E-4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hidden="1" customHeight="1" x14ac:dyDescent="0.15">
      <c r="A57" s="2" t="str">
        <f ca="1">input_380011!A$2</f>
        <v>380011</v>
      </c>
      <c r="B57" s="60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IFERROR(VLOOKUP(B57,input_380011!L:R,7,FALSE),VLOOKUP(tables_380011!C57,input_380011!A:H,8,FALSE))</f>
        <v>44620</v>
      </c>
      <c r="P57" s="46">
        <f t="shared" ca="1" si="2"/>
        <v>5.9146341463414635E-3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hidden="1" customHeight="1" x14ac:dyDescent="0.15">
      <c r="A58" s="2" t="str">
        <f ca="1">input_380011!A$2</f>
        <v>380011</v>
      </c>
      <c r="B58" s="60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IFERROR(VLOOKUP(B58,input_380011!L:R,7,FALSE),VLOOKUP(tables_380011!C58,input_380011!A:H,8,FALSE))</f>
        <v>40158</v>
      </c>
      <c r="P58" s="46">
        <f t="shared" ca="1" si="2"/>
        <v>5.3231707317073175E-3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input_380011!A$2</f>
        <v>380011</v>
      </c>
      <c r="B59" s="60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IFERROR(VLOOKUP(B59,input_380011!L:R,7,FALSE),VLOOKUP(tables_380011!C59,input_380011!A:H,8,FALSE))</f>
        <v>4462</v>
      </c>
      <c r="P59" s="46">
        <f t="shared" ca="1" si="2"/>
        <v>5.9146341463414632E-4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hidden="1" customHeight="1" x14ac:dyDescent="0.15">
      <c r="A60" s="2" t="str">
        <f ca="1">input_380011!A$2</f>
        <v>380011</v>
      </c>
      <c r="B60" s="60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IFERROR(VLOOKUP(B60,input_380011!L:R,7,FALSE),VLOOKUP(tables_380011!C60,input_380011!A:H,8,FALSE))</f>
        <v>44620</v>
      </c>
      <c r="P60" s="46">
        <f t="shared" ca="1" si="2"/>
        <v>5.9146341463414635E-3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hidden="1" customHeight="1" x14ac:dyDescent="0.15">
      <c r="A61" s="2" t="str">
        <f ca="1">input_380011!A$2</f>
        <v>380011</v>
      </c>
      <c r="B61" s="60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IFERROR(VLOOKUP(B61,input_380011!L:R,7,FALSE),VLOOKUP(tables_380011!C61,input_380011!A:H,8,FALSE))</f>
        <v>40158</v>
      </c>
      <c r="P61" s="46">
        <f t="shared" ca="1" si="2"/>
        <v>5.3231707317073175E-3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input_380011!A$2</f>
        <v>380011</v>
      </c>
      <c r="B62" s="96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IFERROR(VLOOKUP(B62,input_380011!L:R,7,FALSE),VLOOKUP(tables_380011!C62,input_380011!A:H,8,FALSE))</f>
        <v>4462</v>
      </c>
      <c r="P62" s="46">
        <f t="shared" ca="1" si="2"/>
        <v>5.9146341463414632E-4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hidden="1" customHeight="1" x14ac:dyDescent="0.15">
      <c r="A63" s="2" t="str">
        <f ca="1">input_380011!A$2</f>
        <v>380011</v>
      </c>
      <c r="B63" s="96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IFERROR(VLOOKUP(B63,input_380011!L:R,7,FALSE),VLOOKUP(tables_380011!C63,input_380011!A:H,8,FALSE))</f>
        <v>44620</v>
      </c>
      <c r="P63" s="46">
        <f t="shared" ca="1" si="2"/>
        <v>5.9146341463414635E-3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hidden="1" customHeight="1" x14ac:dyDescent="0.15">
      <c r="A64" s="2" t="str">
        <f ca="1">input_380011!A$2</f>
        <v>380011</v>
      </c>
      <c r="B64" s="96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IFERROR(VLOOKUP(B64,input_380011!L:R,7,FALSE),VLOOKUP(tables_380011!C64,input_380011!A:H,8,FALSE))</f>
        <v>40158</v>
      </c>
      <c r="P64" s="46">
        <f t="shared" ca="1" si="2"/>
        <v>5.3231707317073175E-3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input_380011!A$2</f>
        <v>380011</v>
      </c>
      <c r="B65" s="96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IFERROR(VLOOKUP(B65,input_380011!L:R,7,FALSE),VLOOKUP(tables_380011!C65,input_380011!A:H,8,FALSE))</f>
        <v>4462</v>
      </c>
      <c r="P65" s="46">
        <f t="shared" ca="1" si="2"/>
        <v>5.9146341463414632E-4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hidden="1" customHeight="1" thickBot="1" x14ac:dyDescent="0.2">
      <c r="A66" s="2" t="str">
        <f ca="1">input_380011!A$2</f>
        <v>380011</v>
      </c>
      <c r="B66" s="60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IFERROR(VLOOKUP(B66,input_380011!L:R,7,FALSE),VLOOKUP(tables_380011!C66,input_380011!A:H,8,FALSE))</f>
        <v>44620</v>
      </c>
      <c r="P66" s="46">
        <f t="shared" ca="1" si="2"/>
        <v>5.9146341463414635E-3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hidden="1" customHeight="1" x14ac:dyDescent="0.15">
      <c r="A67" s="2" t="str">
        <f ca="1">input_380011!A$2</f>
        <v>380011</v>
      </c>
      <c r="B67" s="60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IFERROR(VLOOKUP(B67,input_380011!L:R,7,FALSE),VLOOKUP(tables_380011!C67,input_380011!A:H,8,FALSE))</f>
        <v>40158</v>
      </c>
      <c r="P67" s="46">
        <f t="shared" ref="P67:P130" ca="1" si="5">O67/SUM(O:O)</f>
        <v>5.3231707317073175E-3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input_380011!A$2</f>
        <v>380011</v>
      </c>
      <c r="B68" s="60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IFERROR(VLOOKUP(B68,input_380011!L:R,7,FALSE),VLOOKUP(tables_380011!C68,input_380011!A:H,8,FALSE))</f>
        <v>4462</v>
      </c>
      <c r="P68" s="46">
        <f t="shared" ca="1" si="5"/>
        <v>5.9146341463414632E-4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hidden="1" customHeight="1" x14ac:dyDescent="0.15">
      <c r="A69" s="2" t="str">
        <f ca="1">input_380011!A$2</f>
        <v>380011</v>
      </c>
      <c r="B69" s="60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IFERROR(VLOOKUP(B69,input_380011!L:R,7,FALSE),VLOOKUP(tables_380011!C69,input_380011!A:H,8,FALSE))</f>
        <v>44620</v>
      </c>
      <c r="P69" s="46">
        <f t="shared" ca="1" si="5"/>
        <v>5.9146341463414635E-3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hidden="1" customHeight="1" x14ac:dyDescent="0.15">
      <c r="A70" s="2" t="str">
        <f ca="1">input_380011!A$2</f>
        <v>380011</v>
      </c>
      <c r="B70" s="97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IFERROR(VLOOKUP(B70,input_380011!L:R,7,FALSE),VLOOKUP(tables_380011!C70,input_380011!A:H,8,FALSE))</f>
        <v>40158</v>
      </c>
      <c r="P70" s="46">
        <f t="shared" ca="1" si="5"/>
        <v>5.3231707317073175E-3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input_380011!A$2</f>
        <v>380011</v>
      </c>
      <c r="B71" s="60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IFERROR(VLOOKUP(B71,input_380011!L:R,7,FALSE),VLOOKUP(tables_380011!C71,input_380011!A:H,8,FALSE))</f>
        <v>4462</v>
      </c>
      <c r="P71" s="46">
        <f t="shared" ca="1" si="5"/>
        <v>5.9146341463414632E-4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hidden="1" customHeight="1" x14ac:dyDescent="0.15">
      <c r="A72" s="2" t="str">
        <f ca="1">input_380011!A$2</f>
        <v>380011</v>
      </c>
      <c r="B72" s="97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IFERROR(VLOOKUP(B72,input_380011!L:R,7,FALSE),VLOOKUP(tables_380011!C72,input_380011!A:H,8,FALSE))</f>
        <v>44620</v>
      </c>
      <c r="P72" s="46">
        <f t="shared" ca="1" si="5"/>
        <v>5.9146341463414635E-3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hidden="1" customHeight="1" x14ac:dyDescent="0.15">
      <c r="A73" s="2" t="str">
        <f ca="1">input_380011!A$2</f>
        <v>380011</v>
      </c>
      <c r="B73" s="98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IFERROR(VLOOKUP(B73,input_380011!L:R,7,FALSE),VLOOKUP(tables_380011!C73,input_380011!A:H,8,FALSE))</f>
        <v>40158</v>
      </c>
      <c r="P73" s="46">
        <f t="shared" ca="1" si="5"/>
        <v>5.3231707317073175E-3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input_380011!A$2</f>
        <v>380011</v>
      </c>
      <c r="B74" s="60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IFERROR(VLOOKUP(B74,input_380011!L:R,7,FALSE),VLOOKUP(tables_380011!C74,input_380011!A:H,8,FALSE))</f>
        <v>4462</v>
      </c>
      <c r="P74" s="46">
        <f t="shared" ca="1" si="5"/>
        <v>5.9146341463414632E-4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hidden="1" customHeight="1" x14ac:dyDescent="0.15">
      <c r="A75" s="2" t="str">
        <f ca="1">input_380011!A$2</f>
        <v>380011</v>
      </c>
      <c r="B75" s="60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IFERROR(VLOOKUP(B75,input_380011!L:R,7,FALSE),VLOOKUP(tables_380011!C75,input_380011!A:H,8,FALSE))</f>
        <v>44620</v>
      </c>
      <c r="P75" s="46">
        <f t="shared" ca="1" si="5"/>
        <v>5.9146341463414635E-3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hidden="1" customHeight="1" x14ac:dyDescent="0.15">
      <c r="A76" s="2" t="str">
        <f ca="1">input_380011!A$2</f>
        <v>380011</v>
      </c>
      <c r="B76" s="60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IFERROR(VLOOKUP(B76,input_380011!L:R,7,FALSE),VLOOKUP(tables_380011!C76,input_380011!A:H,8,FALSE))</f>
        <v>40158</v>
      </c>
      <c r="P76" s="46">
        <f t="shared" ca="1" si="5"/>
        <v>5.3231707317073175E-3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input_380011!A$2</f>
        <v>380011</v>
      </c>
      <c r="B77" s="82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IFERROR(VLOOKUP(B77,input_380011!L:R,7,FALSE),VLOOKUP(tables_380011!C77,input_380011!A:H,8,FALSE))</f>
        <v>4462</v>
      </c>
      <c r="P77" s="46">
        <f t="shared" ca="1" si="5"/>
        <v>5.9146341463414632E-4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hidden="1" customHeight="1" x14ac:dyDescent="0.15">
      <c r="A78" s="2" t="str">
        <f ca="1">input_380011!A$2</f>
        <v>380011</v>
      </c>
      <c r="B78" s="82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IFERROR(VLOOKUP(B78,input_380011!L:R,7,FALSE),VLOOKUP(tables_380011!C78,input_380011!A:H,8,FALSE))</f>
        <v>44620</v>
      </c>
      <c r="P78" s="46">
        <f t="shared" ca="1" si="5"/>
        <v>5.9146341463414635E-3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hidden="1" customHeight="1" x14ac:dyDescent="0.15">
      <c r="A79" s="2" t="str">
        <f ca="1">input_380011!A$2</f>
        <v>380011</v>
      </c>
      <c r="B79" s="82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IFERROR(VLOOKUP(B79,input_380011!L:R,7,FALSE),VLOOKUP(tables_380011!C79,input_380011!A:H,8,FALSE))</f>
        <v>40158</v>
      </c>
      <c r="P79" s="46">
        <f t="shared" ca="1" si="5"/>
        <v>5.3231707317073175E-3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input_380011!A$2</f>
        <v>380011</v>
      </c>
      <c r="B80" s="82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IFERROR(VLOOKUP(B80,input_380011!L:R,7,FALSE),VLOOKUP(tables_380011!C80,input_380011!A:H,8,FALSE))</f>
        <v>4462</v>
      </c>
      <c r="P80" s="46">
        <f t="shared" ca="1" si="5"/>
        <v>5.9146341463414632E-4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hidden="1" customHeight="1" x14ac:dyDescent="0.15">
      <c r="A81" s="2" t="str">
        <f ca="1">input_380011!A$2</f>
        <v>380011</v>
      </c>
      <c r="B81" s="82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IFERROR(VLOOKUP(B81,input_380011!L:R,7,FALSE),VLOOKUP(tables_380011!C81,input_380011!A:H,8,FALSE))</f>
        <v>44620</v>
      </c>
      <c r="P81" s="46">
        <f t="shared" ca="1" si="5"/>
        <v>5.9146341463414635E-3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hidden="1" customHeight="1" x14ac:dyDescent="0.15">
      <c r="A82" s="2" t="str">
        <f ca="1">input_380011!A$2</f>
        <v>380011</v>
      </c>
      <c r="B82" s="82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IFERROR(VLOOKUP(B82,input_380011!L:R,7,FALSE),VLOOKUP(tables_380011!C82,input_380011!A:H,8,FALSE))</f>
        <v>40158</v>
      </c>
      <c r="P82" s="46">
        <f t="shared" ca="1" si="5"/>
        <v>5.3231707317073175E-3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input_380011!A$2</f>
        <v>380011</v>
      </c>
      <c r="B83" s="82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IFERROR(VLOOKUP(B83,input_380011!L:R,7,FALSE),VLOOKUP(tables_380011!C83,input_380011!A:H,8,FALSE))</f>
        <v>4462</v>
      </c>
      <c r="P83" s="46">
        <f t="shared" ca="1" si="5"/>
        <v>5.9146341463414632E-4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hidden="1" customHeight="1" x14ac:dyDescent="0.15">
      <c r="A84" s="2" t="str">
        <f ca="1">input_380011!A$2</f>
        <v>380011</v>
      </c>
      <c r="B84" s="82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IFERROR(VLOOKUP(B84,input_380011!L:R,7,FALSE),VLOOKUP(tables_380011!C84,input_380011!A:H,8,FALSE))</f>
        <v>44620</v>
      </c>
      <c r="P84" s="46">
        <f t="shared" ca="1" si="5"/>
        <v>5.9146341463414635E-3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hidden="1" customHeight="1" x14ac:dyDescent="0.15">
      <c r="A85" s="2" t="str">
        <f ca="1">input_380011!A$2</f>
        <v>380011</v>
      </c>
      <c r="B85" s="82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IFERROR(VLOOKUP(B85,input_380011!L:R,7,FALSE),VLOOKUP(tables_380011!C85,input_380011!A:H,8,FALSE))</f>
        <v>40158</v>
      </c>
      <c r="P85" s="46">
        <f t="shared" ca="1" si="5"/>
        <v>5.3231707317073175E-3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input_380011!A$2</f>
        <v>380011</v>
      </c>
      <c r="B86" s="82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IFERROR(VLOOKUP(B86,input_380011!L:R,7,FALSE),VLOOKUP(tables_380011!C86,input_380011!A:H,8,FALSE))</f>
        <v>4462</v>
      </c>
      <c r="P86" s="46">
        <f t="shared" ca="1" si="5"/>
        <v>5.9146341463414632E-4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hidden="1" customHeight="1" x14ac:dyDescent="0.15">
      <c r="A87" s="2" t="str">
        <f ca="1">input_380011!A$2</f>
        <v>380011</v>
      </c>
      <c r="B87" s="82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IFERROR(VLOOKUP(B87,input_380011!L:R,7,FALSE),VLOOKUP(tables_380011!C87,input_380011!A:H,8,FALSE))</f>
        <v>44620</v>
      </c>
      <c r="P87" s="46">
        <f t="shared" ca="1" si="5"/>
        <v>5.9146341463414635E-3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hidden="1" customHeight="1" x14ac:dyDescent="0.15">
      <c r="A88" s="2" t="str">
        <f ca="1">input_380011!A$2</f>
        <v>380011</v>
      </c>
      <c r="B88" s="82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IFERROR(VLOOKUP(B88,input_380011!L:R,7,FALSE),VLOOKUP(tables_380011!C88,input_380011!A:H,8,FALSE))</f>
        <v>40158</v>
      </c>
      <c r="P88" s="46">
        <f t="shared" ca="1" si="5"/>
        <v>5.3231707317073175E-3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input_380011!A$2</f>
        <v>380011</v>
      </c>
      <c r="B89" s="82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IFERROR(VLOOKUP(B89,input_380011!L:R,7,FALSE),VLOOKUP(tables_380011!C89,input_380011!A:H,8,FALSE))</f>
        <v>4462</v>
      </c>
      <c r="P89" s="46">
        <f t="shared" ca="1" si="5"/>
        <v>5.9146341463414632E-4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hidden="1" customHeight="1" x14ac:dyDescent="0.15">
      <c r="A90" s="2" t="str">
        <f ca="1">input_380011!A$2</f>
        <v>380011</v>
      </c>
      <c r="B90" s="82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IFERROR(VLOOKUP(B90,input_380011!L:R,7,FALSE),VLOOKUP(tables_380011!C90,input_380011!A:H,8,FALSE))</f>
        <v>44620</v>
      </c>
      <c r="P90" s="46">
        <f t="shared" ca="1" si="5"/>
        <v>5.9146341463414635E-3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hidden="1" customHeight="1" x14ac:dyDescent="0.15">
      <c r="A91" s="2" t="str">
        <f ca="1">input_380011!A$2</f>
        <v>380011</v>
      </c>
      <c r="B91" s="82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IFERROR(VLOOKUP(B91,input_380011!L:R,7,FALSE),VLOOKUP(tables_380011!C91,input_380011!A:H,8,FALSE))</f>
        <v>40158</v>
      </c>
      <c r="P91" s="46">
        <f t="shared" ca="1" si="5"/>
        <v>5.3231707317073175E-3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input_380011!A$2</f>
        <v>380011</v>
      </c>
      <c r="B92" s="82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IFERROR(VLOOKUP(B92,input_380011!L:R,7,FALSE),VLOOKUP(tables_380011!C92,input_380011!A:H,8,FALSE))</f>
        <v>4462</v>
      </c>
      <c r="P92" s="46">
        <f t="shared" ca="1" si="5"/>
        <v>5.9146341463414632E-4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hidden="1" customHeight="1" x14ac:dyDescent="0.15">
      <c r="A93" s="2" t="str">
        <f ca="1">input_380011!A$2</f>
        <v>380011</v>
      </c>
      <c r="B93" s="82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IFERROR(VLOOKUP(B93,input_380011!L:R,7,FALSE),VLOOKUP(tables_380011!C93,input_380011!A:H,8,FALSE))</f>
        <v>44620</v>
      </c>
      <c r="P93" s="46">
        <f t="shared" ca="1" si="5"/>
        <v>5.9146341463414635E-3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hidden="1" customHeight="1" x14ac:dyDescent="0.15">
      <c r="A94" s="2" t="str">
        <f ca="1">input_380011!A$2</f>
        <v>380011</v>
      </c>
      <c r="B94" s="82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IFERROR(VLOOKUP(B94,input_380011!L:R,7,FALSE),VLOOKUP(tables_380011!C94,input_380011!A:H,8,FALSE))</f>
        <v>40158</v>
      </c>
      <c r="P94" s="46">
        <f t="shared" ca="1" si="5"/>
        <v>5.3231707317073175E-3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input_380011!A$2</f>
        <v>380011</v>
      </c>
      <c r="B95" s="82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IFERROR(VLOOKUP(B95,input_380011!L:R,7,FALSE),VLOOKUP(tables_380011!C95,input_380011!A:H,8,FALSE))</f>
        <v>4462</v>
      </c>
      <c r="P95" s="46">
        <f t="shared" ca="1" si="5"/>
        <v>5.9146341463414632E-4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hidden="1" customHeight="1" x14ac:dyDescent="0.15">
      <c r="A96" s="2" t="str">
        <f ca="1">input_380011!A$2</f>
        <v>380011</v>
      </c>
      <c r="B96" s="82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IFERROR(VLOOKUP(B96,input_380011!L:R,7,FALSE),VLOOKUP(tables_380011!C96,input_380011!A:H,8,FALSE))</f>
        <v>44620</v>
      </c>
      <c r="P96" s="46">
        <f t="shared" ca="1" si="5"/>
        <v>5.9146341463414635E-3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hidden="1" customHeight="1" x14ac:dyDescent="0.15">
      <c r="A97" s="2" t="str">
        <f ca="1">input_380011!A$2</f>
        <v>380011</v>
      </c>
      <c r="B97" s="82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IFERROR(VLOOKUP(B97,input_380011!L:R,7,FALSE),VLOOKUP(tables_380011!C97,input_380011!A:H,8,FALSE))</f>
        <v>40158</v>
      </c>
      <c r="P97" s="46">
        <f t="shared" ca="1" si="5"/>
        <v>5.3231707317073175E-3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input_380011!A$2</f>
        <v>380011</v>
      </c>
      <c r="B98" s="82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IFERROR(VLOOKUP(B98,input_380011!L:R,7,FALSE),VLOOKUP(tables_380011!C98,input_380011!A:H,8,FALSE))</f>
        <v>4462</v>
      </c>
      <c r="P98" s="46">
        <f t="shared" ca="1" si="5"/>
        <v>5.9146341463414632E-4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hidden="1" customHeight="1" x14ac:dyDescent="0.15">
      <c r="A99" s="2" t="str">
        <f ca="1">input_380011!A$2</f>
        <v>380011</v>
      </c>
      <c r="B99" s="82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IFERROR(VLOOKUP(B99,input_380011!L:R,7,FALSE),VLOOKUP(tables_380011!C99,input_380011!A:H,8,FALSE))</f>
        <v>44620</v>
      </c>
      <c r="P99" s="46">
        <f t="shared" ca="1" si="5"/>
        <v>5.9146341463414635E-3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hidden="1" customHeight="1" x14ac:dyDescent="0.15">
      <c r="A100" s="2" t="str">
        <f ca="1">input_380011!A$2</f>
        <v>380011</v>
      </c>
      <c r="B100" s="82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IFERROR(VLOOKUP(B100,input_380011!L:R,7,FALSE),VLOOKUP(tables_380011!C100,input_380011!A:H,8,FALSE))</f>
        <v>40158</v>
      </c>
      <c r="P100" s="46">
        <f t="shared" ca="1" si="5"/>
        <v>5.3231707317073175E-3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input_380011!A$2</f>
        <v>380011</v>
      </c>
      <c r="B101" s="82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IFERROR(VLOOKUP(B101,input_380011!L:R,7,FALSE),VLOOKUP(tables_380011!C101,input_380011!A:H,8,FALSE))</f>
        <v>4462</v>
      </c>
      <c r="P101" s="46">
        <f t="shared" ca="1" si="5"/>
        <v>5.9146341463414632E-4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hidden="1" customHeight="1" x14ac:dyDescent="0.15">
      <c r="A102" s="2" t="str">
        <f ca="1">input_380011!A$2</f>
        <v>380011</v>
      </c>
      <c r="B102" s="82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IFERROR(VLOOKUP(B102,input_380011!L:R,7,FALSE),VLOOKUP(tables_380011!C102,input_380011!A:H,8,FALSE))</f>
        <v>44620</v>
      </c>
      <c r="P102" s="46">
        <f t="shared" ca="1" si="5"/>
        <v>5.9146341463414635E-3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hidden="1" customHeight="1" x14ac:dyDescent="0.15">
      <c r="A103" s="2" t="str">
        <f ca="1">input_380011!A$2</f>
        <v>380011</v>
      </c>
      <c r="B103" s="82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IFERROR(VLOOKUP(B103,input_380011!L:R,7,FALSE),VLOOKUP(tables_380011!C103,input_380011!A:H,8,FALSE))</f>
        <v>40158</v>
      </c>
      <c r="P103" s="46">
        <f t="shared" ca="1" si="5"/>
        <v>5.3231707317073175E-3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input_380011!A$2</f>
        <v>380011</v>
      </c>
      <c r="B104" s="82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IFERROR(VLOOKUP(B104,input_380011!L:R,7,FALSE),VLOOKUP(tables_380011!C104,input_380011!A:H,8,FALSE))</f>
        <v>4462</v>
      </c>
      <c r="P104" s="46">
        <f t="shared" ca="1" si="5"/>
        <v>5.9146341463414632E-4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hidden="1" customHeight="1" x14ac:dyDescent="0.15">
      <c r="A105" s="2" t="str">
        <f ca="1">input_380011!A$2</f>
        <v>380011</v>
      </c>
      <c r="B105" s="82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IFERROR(VLOOKUP(B105,input_380011!L:R,7,FALSE),VLOOKUP(tables_380011!C105,input_380011!A:H,8,FALSE))</f>
        <v>44620</v>
      </c>
      <c r="P105" s="46">
        <f t="shared" ca="1" si="5"/>
        <v>5.9146341463414635E-3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hidden="1" customHeight="1" x14ac:dyDescent="0.15">
      <c r="A106" s="2" t="str">
        <f ca="1">input_380011!A$2</f>
        <v>380011</v>
      </c>
      <c r="B106" s="82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IFERROR(VLOOKUP(B106,input_380011!L:R,7,FALSE),VLOOKUP(tables_380011!C106,input_380011!A:H,8,FALSE))</f>
        <v>40158</v>
      </c>
      <c r="P106" s="46">
        <f t="shared" ca="1" si="5"/>
        <v>5.3231707317073175E-3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input_380011!A$2</f>
        <v>380011</v>
      </c>
      <c r="B107" s="82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IFERROR(VLOOKUP(B107,input_380011!L:R,7,FALSE),VLOOKUP(tables_380011!C107,input_380011!A:H,8,FALSE))</f>
        <v>4462</v>
      </c>
      <c r="P107" s="46">
        <f t="shared" ca="1" si="5"/>
        <v>5.9146341463414632E-4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hidden="1" customHeight="1" x14ac:dyDescent="0.15">
      <c r="A108" s="2" t="str">
        <f ca="1">input_380011!A$2</f>
        <v>380011</v>
      </c>
      <c r="B108" s="82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IFERROR(VLOOKUP(B108,input_380011!L:R,7,FALSE),VLOOKUP(tables_380011!C108,input_380011!A:H,8,FALSE))</f>
        <v>44620</v>
      </c>
      <c r="P108" s="46">
        <f t="shared" ca="1" si="5"/>
        <v>5.9146341463414635E-3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hidden="1" customHeight="1" x14ac:dyDescent="0.15">
      <c r="A109" s="2" t="str">
        <f ca="1">input_380011!A$2</f>
        <v>380011</v>
      </c>
      <c r="B109" s="82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IFERROR(VLOOKUP(B109,input_380011!L:R,7,FALSE),VLOOKUP(tables_380011!C109,input_380011!A:H,8,FALSE))</f>
        <v>40158</v>
      </c>
      <c r="P109" s="46">
        <f t="shared" ca="1" si="5"/>
        <v>5.3231707317073175E-3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input_380011!A$2</f>
        <v>380011</v>
      </c>
      <c r="B110" s="82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IFERROR(VLOOKUP(B110,input_380011!L:R,7,FALSE),VLOOKUP(tables_380011!C110,input_380011!A:H,8,FALSE))</f>
        <v>4462</v>
      </c>
      <c r="P110" s="46">
        <f t="shared" ca="1" si="5"/>
        <v>5.9146341463414632E-4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hidden="1" customHeight="1" x14ac:dyDescent="0.15">
      <c r="A111" s="2" t="str">
        <f ca="1">input_380011!A$2</f>
        <v>380011</v>
      </c>
      <c r="B111" s="82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IFERROR(VLOOKUP(B111,input_380011!L:R,7,FALSE),VLOOKUP(tables_380011!C111,input_380011!A:H,8,FALSE))</f>
        <v>2460</v>
      </c>
      <c r="P111" s="46">
        <f t="shared" ca="1" si="5"/>
        <v>3.2608695652173916E-4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hidden="1" customHeight="1" x14ac:dyDescent="0.15">
      <c r="A112" s="2" t="str">
        <f ca="1">input_380011!A$2</f>
        <v>380011</v>
      </c>
      <c r="B112" s="82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IFERROR(VLOOKUP(B112,input_380011!L:R,7,FALSE),VLOOKUP(tables_380011!C112,input_380011!A:H,8,FALSE))</f>
        <v>2214</v>
      </c>
      <c r="P112" s="46">
        <f t="shared" ca="1" si="5"/>
        <v>2.9347826086956522E-4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input_380011!A$2</f>
        <v>380011</v>
      </c>
      <c r="B113" s="82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IFERROR(VLOOKUP(B113,input_380011!L:R,7,FALSE),VLOOKUP(tables_380011!C113,input_380011!A:H,8,FALSE))</f>
        <v>246</v>
      </c>
      <c r="P113" s="46">
        <f t="shared" ca="1" si="5"/>
        <v>3.260869565217391E-5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hidden="1" customHeight="1" x14ac:dyDescent="0.15">
      <c r="A114" s="2" t="str">
        <f ca="1">input_380011!A$2</f>
        <v>380011</v>
      </c>
      <c r="B114" s="82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IFERROR(VLOOKUP(B114,input_380011!L:R,7,FALSE),VLOOKUP(tables_380011!C114,input_380011!A:H,8,FALSE))</f>
        <v>44620</v>
      </c>
      <c r="P114" s="46">
        <f t="shared" ca="1" si="5"/>
        <v>5.9146341463414635E-3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hidden="1" customHeight="1" x14ac:dyDescent="0.15">
      <c r="A115" s="2" t="str">
        <f ca="1">input_380011!A$2</f>
        <v>380011</v>
      </c>
      <c r="B115" s="82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IFERROR(VLOOKUP(B115,input_380011!L:R,7,FALSE),VLOOKUP(tables_380011!C115,input_380011!A:H,8,FALSE))</f>
        <v>40158</v>
      </c>
      <c r="P115" s="46">
        <f t="shared" ca="1" si="5"/>
        <v>5.3231707317073175E-3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input_380011!A$2</f>
        <v>380011</v>
      </c>
      <c r="B116" s="82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IFERROR(VLOOKUP(B116,input_380011!L:R,7,FALSE),VLOOKUP(tables_380011!C116,input_380011!A:H,8,FALSE))</f>
        <v>4462</v>
      </c>
      <c r="P116" s="46">
        <f t="shared" ca="1" si="5"/>
        <v>5.9146341463414632E-4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hidden="1" customHeight="1" x14ac:dyDescent="0.15">
      <c r="A117" s="2" t="str">
        <f ca="1">input_380011!A$2</f>
        <v>380011</v>
      </c>
      <c r="B117" s="82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IFERROR(VLOOKUP(B117,input_380011!L:R,7,FALSE),VLOOKUP(tables_380011!C117,input_380011!A:H,8,FALSE))</f>
        <v>44620</v>
      </c>
      <c r="P117" s="46">
        <f t="shared" ca="1" si="5"/>
        <v>5.9146341463414635E-3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hidden="1" customHeight="1" x14ac:dyDescent="0.15">
      <c r="A118" s="2" t="str">
        <f ca="1">input_380011!A$2</f>
        <v>380011</v>
      </c>
      <c r="B118" s="82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IFERROR(VLOOKUP(B118,input_380011!L:R,7,FALSE),VLOOKUP(tables_380011!C118,input_380011!A:H,8,FALSE))</f>
        <v>40158</v>
      </c>
      <c r="P118" s="46">
        <f t="shared" ca="1" si="5"/>
        <v>5.3231707317073175E-3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input_380011!A$2</f>
        <v>380011</v>
      </c>
      <c r="B119" s="82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IFERROR(VLOOKUP(B119,input_380011!L:R,7,FALSE),VLOOKUP(tables_380011!C119,input_380011!A:H,8,FALSE))</f>
        <v>4462</v>
      </c>
      <c r="P119" s="46">
        <f t="shared" ca="1" si="5"/>
        <v>5.9146341463414632E-4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hidden="1" customHeight="1" x14ac:dyDescent="0.15">
      <c r="A120" s="2" t="str">
        <f ca="1">input_380011!A$2</f>
        <v>380011</v>
      </c>
      <c r="B120" s="82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IFERROR(VLOOKUP(B120,input_380011!L:R,7,FALSE),VLOOKUP(tables_380011!C120,input_380011!A:H,8,FALSE))</f>
        <v>44620</v>
      </c>
      <c r="P120" s="46">
        <f t="shared" ca="1" si="5"/>
        <v>5.9146341463414635E-3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hidden="1" customHeight="1" x14ac:dyDescent="0.15">
      <c r="A121" s="2" t="str">
        <f ca="1">input_380011!A$2</f>
        <v>380011</v>
      </c>
      <c r="B121" s="82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IFERROR(VLOOKUP(B121,input_380011!L:R,7,FALSE),VLOOKUP(tables_380011!C121,input_380011!A:H,8,FALSE))</f>
        <v>40158</v>
      </c>
      <c r="P121" s="46">
        <f t="shared" ca="1" si="5"/>
        <v>5.3231707317073175E-3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input_380011!A$2</f>
        <v>380011</v>
      </c>
      <c r="B122" s="82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IFERROR(VLOOKUP(B122,input_380011!L:R,7,FALSE),VLOOKUP(tables_380011!C122,input_380011!A:H,8,FALSE))</f>
        <v>4462</v>
      </c>
      <c r="P122" s="46">
        <f t="shared" ca="1" si="5"/>
        <v>5.9146341463414632E-4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hidden="1" customHeight="1" x14ac:dyDescent="0.15">
      <c r="A123" s="2" t="str">
        <f ca="1">input_380011!A$2</f>
        <v>380011</v>
      </c>
      <c r="B123" s="82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IFERROR(VLOOKUP(B123,input_380011!L:R,7,FALSE),VLOOKUP(tables_380011!C123,input_380011!A:H,8,FALSE))</f>
        <v>44620</v>
      </c>
      <c r="P123" s="46">
        <f t="shared" ca="1" si="5"/>
        <v>5.9146341463414635E-3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hidden="1" customHeight="1" x14ac:dyDescent="0.15">
      <c r="A124" s="2" t="str">
        <f ca="1">input_380011!A$2</f>
        <v>380011</v>
      </c>
      <c r="B124" s="82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IFERROR(VLOOKUP(B124,input_380011!L:R,7,FALSE),VLOOKUP(tables_380011!C124,input_380011!A:H,8,FALSE))</f>
        <v>40158</v>
      </c>
      <c r="P124" s="46">
        <f t="shared" ca="1" si="5"/>
        <v>5.3231707317073175E-3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input_380011!A$2</f>
        <v>380011</v>
      </c>
      <c r="B125" s="60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IFERROR(VLOOKUP(B125,input_380011!L:R,7,FALSE),VLOOKUP(tables_380011!C125,input_380011!A:H,8,FALSE))</f>
        <v>4462</v>
      </c>
      <c r="P125" s="46">
        <f t="shared" ca="1" si="5"/>
        <v>5.9146341463414632E-4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hidden="1" customHeight="1" x14ac:dyDescent="0.15">
      <c r="A126" s="2" t="str">
        <f ca="1">input_380011!A$2</f>
        <v>380011</v>
      </c>
      <c r="B126" s="60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IFERROR(VLOOKUP(B126,input_380011!L:R,7,FALSE),VLOOKUP(tables_380011!C126,input_380011!A:H,8,FALSE))</f>
        <v>44620</v>
      </c>
      <c r="P126" s="46">
        <f t="shared" ca="1" si="5"/>
        <v>5.9146341463414635E-3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hidden="1" customHeight="1" x14ac:dyDescent="0.15">
      <c r="A127" s="2" t="str">
        <f ca="1">input_380011!A$2</f>
        <v>380011</v>
      </c>
      <c r="B127" s="60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IFERROR(VLOOKUP(B127,input_380011!L:R,7,FALSE),VLOOKUP(tables_380011!C127,input_380011!A:H,8,FALSE))</f>
        <v>40158</v>
      </c>
      <c r="P127" s="46">
        <f t="shared" ca="1" si="5"/>
        <v>5.3231707317073175E-3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input_380011!A$2</f>
        <v>380011</v>
      </c>
      <c r="B128" s="60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IFERROR(VLOOKUP(B128,input_380011!L:R,7,FALSE),VLOOKUP(tables_380011!C128,input_380011!A:H,8,FALSE))</f>
        <v>4462</v>
      </c>
      <c r="P128" s="46">
        <f t="shared" ca="1" si="5"/>
        <v>5.9146341463414632E-4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hidden="1" customHeight="1" x14ac:dyDescent="0.15">
      <c r="A129" s="2" t="str">
        <f ca="1">input_380011!A$2</f>
        <v>380011</v>
      </c>
      <c r="B129" s="60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IFERROR(VLOOKUP(B129,input_380011!L:R,7,FALSE),VLOOKUP(tables_380011!C129,input_380011!A:H,8,FALSE))</f>
        <v>44620</v>
      </c>
      <c r="P129" s="46">
        <f t="shared" ca="1" si="5"/>
        <v>5.9146341463414635E-3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hidden="1" customHeight="1" x14ac:dyDescent="0.15">
      <c r="A130" s="2" t="str">
        <f ca="1">input_380011!A$2</f>
        <v>380011</v>
      </c>
      <c r="B130" s="60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IFERROR(VLOOKUP(B130,input_380011!L:R,7,FALSE),VLOOKUP(tables_380011!C130,input_380011!A:H,8,FALSE))</f>
        <v>40158</v>
      </c>
      <c r="P130" s="46">
        <f t="shared" ca="1" si="5"/>
        <v>5.3231707317073175E-3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input_380011!A$2</f>
        <v>380011</v>
      </c>
      <c r="B131" s="60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IFERROR(VLOOKUP(B131,input_380011!L:R,7,FALSE),VLOOKUP(tables_380011!C131,input_380011!A:H,8,FALSE))</f>
        <v>4462</v>
      </c>
      <c r="P131" s="46">
        <f t="shared" ref="P131:P194" ca="1" si="8">O131/SUM(O:O)</f>
        <v>5.9146341463414632E-4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hidden="1" customHeight="1" x14ac:dyDescent="0.15">
      <c r="A132" s="2" t="str">
        <f ca="1">input_380011!A$2</f>
        <v>380011</v>
      </c>
      <c r="B132" s="60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IFERROR(VLOOKUP(B132,input_380011!L:R,7,FALSE),VLOOKUP(tables_380011!C132,input_380011!A:H,8,FALSE))</f>
        <v>44620</v>
      </c>
      <c r="P132" s="46">
        <f t="shared" ca="1" si="8"/>
        <v>5.9146341463414635E-3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hidden="1" customHeight="1" x14ac:dyDescent="0.15">
      <c r="A133" s="2" t="str">
        <f ca="1">input_380011!A$2</f>
        <v>380011</v>
      </c>
      <c r="B133" s="60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IFERROR(VLOOKUP(B133,input_380011!L:R,7,FALSE),VLOOKUP(tables_380011!C133,input_380011!A:H,8,FALSE))</f>
        <v>40158</v>
      </c>
      <c r="P133" s="46">
        <f t="shared" ca="1" si="8"/>
        <v>5.3231707317073175E-3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input_380011!A$2</f>
        <v>380011</v>
      </c>
      <c r="B134" s="60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IFERROR(VLOOKUP(B134,input_380011!L:R,7,FALSE),VLOOKUP(tables_380011!C134,input_380011!A:H,8,FALSE))</f>
        <v>4462</v>
      </c>
      <c r="P134" s="46">
        <f t="shared" ca="1" si="8"/>
        <v>5.9146341463414632E-4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hidden="1" customHeight="1" x14ac:dyDescent="0.15">
      <c r="A135" s="2" t="str">
        <f ca="1">input_380011!A$2</f>
        <v>380011</v>
      </c>
      <c r="B135" s="60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IFERROR(VLOOKUP(B135,input_380011!L:R,7,FALSE),VLOOKUP(tables_380011!C135,input_380011!A:H,8,FALSE))</f>
        <v>44620</v>
      </c>
      <c r="P135" s="46">
        <f t="shared" ca="1" si="8"/>
        <v>5.9146341463414635E-3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hidden="1" customHeight="1" x14ac:dyDescent="0.15">
      <c r="A136" s="2" t="str">
        <f ca="1">input_380011!A$2</f>
        <v>380011</v>
      </c>
      <c r="B136" s="96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IFERROR(VLOOKUP(B136,input_380011!L:R,7,FALSE),VLOOKUP(tables_380011!C136,input_380011!A:H,8,FALSE))</f>
        <v>40158</v>
      </c>
      <c r="P136" s="46">
        <f t="shared" ca="1" si="8"/>
        <v>5.3231707317073175E-3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input_380011!A$2</f>
        <v>380011</v>
      </c>
      <c r="B137" s="96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IFERROR(VLOOKUP(B137,input_380011!L:R,7,FALSE),VLOOKUP(tables_380011!C137,input_380011!A:H,8,FALSE))</f>
        <v>4462</v>
      </c>
      <c r="P137" s="46">
        <f t="shared" ca="1" si="8"/>
        <v>5.9146341463414632E-4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hidden="1" customHeight="1" x14ac:dyDescent="0.15">
      <c r="A138" s="2" t="str">
        <f ca="1">input_380011!A$2</f>
        <v>380011</v>
      </c>
      <c r="B138" s="60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IFERROR(VLOOKUP(B138,input_380011!L:R,7,FALSE),VLOOKUP(tables_380011!C138,input_380011!A:H,8,FALSE))</f>
        <v>4674</v>
      </c>
      <c r="P138" s="46">
        <f t="shared" ca="1" si="8"/>
        <v>6.1956521739130437E-4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input_380011!A$2</f>
        <v>380011</v>
      </c>
      <c r="B139" s="60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IFERROR(VLOOKUP(B139,input_380011!L:R,7,FALSE),VLOOKUP(tables_380011!C139,input_380011!A:H,8,FALSE))</f>
        <v>246</v>
      </c>
      <c r="P139" s="46">
        <f t="shared" ca="1" si="8"/>
        <v>3.260869565217391E-5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hidden="1" customHeight="1" x14ac:dyDescent="0.15">
      <c r="A140" s="2" t="str">
        <f ca="1">input_380011!A$2</f>
        <v>380011</v>
      </c>
      <c r="B140" s="60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IFERROR(VLOOKUP(B140,input_380011!L:R,7,FALSE),VLOOKUP(tables_380011!C140,input_380011!A:H,8,FALSE))</f>
        <v>4674</v>
      </c>
      <c r="P140" s="46">
        <f t="shared" ca="1" si="8"/>
        <v>6.1956521739130437E-4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input_380011!A$2</f>
        <v>380011</v>
      </c>
      <c r="B141" s="60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IFERROR(VLOOKUP(B141,input_380011!L:R,7,FALSE),VLOOKUP(tables_380011!C141,input_380011!A:H,8,FALSE))</f>
        <v>246</v>
      </c>
      <c r="P141" s="46">
        <f t="shared" ca="1" si="8"/>
        <v>3.260869565217391E-5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hidden="1" customHeight="1" x14ac:dyDescent="0.15">
      <c r="A142" s="2" t="str">
        <f ca="1">input_380011!A$2</f>
        <v>380011</v>
      </c>
      <c r="B142" s="60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IFERROR(VLOOKUP(B142,input_380011!L:R,7,FALSE),VLOOKUP(tables_380011!C142,input_380011!A:H,8,FALSE))</f>
        <v>4674</v>
      </c>
      <c r="P142" s="46">
        <f t="shared" ca="1" si="8"/>
        <v>6.1956521739130437E-4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input_380011!A$2</f>
        <v>380011</v>
      </c>
      <c r="B143" s="60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IFERROR(VLOOKUP(B143,input_380011!L:R,7,FALSE),VLOOKUP(tables_380011!C143,input_380011!A:H,8,FALSE))</f>
        <v>246</v>
      </c>
      <c r="P143" s="46">
        <f t="shared" ca="1" si="8"/>
        <v>3.260869565217391E-5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hidden="1" customHeight="1" x14ac:dyDescent="0.15">
      <c r="A144" s="2" t="str">
        <f ca="1">input_380011!A$2</f>
        <v>380011</v>
      </c>
      <c r="B144" s="60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IFERROR(VLOOKUP(B144,input_380011!L:R,7,FALSE),VLOOKUP(tables_380011!C144,input_380011!A:H,8,FALSE))</f>
        <v>4674</v>
      </c>
      <c r="P144" s="46">
        <f t="shared" ca="1" si="8"/>
        <v>6.1956521739130437E-4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input_380011!A$2</f>
        <v>380011</v>
      </c>
      <c r="B145" s="60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IFERROR(VLOOKUP(B145,input_380011!L:R,7,FALSE),VLOOKUP(tables_380011!C145,input_380011!A:H,8,FALSE))</f>
        <v>246</v>
      </c>
      <c r="P145" s="46">
        <f t="shared" ca="1" si="8"/>
        <v>3.260869565217391E-5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hidden="1" customHeight="1" x14ac:dyDescent="0.15">
      <c r="A146" s="2" t="str">
        <f ca="1">input_380011!A$2</f>
        <v>380011</v>
      </c>
      <c r="B146" s="60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IFERROR(VLOOKUP(B146,input_380011!L:R,7,FALSE),VLOOKUP(tables_380011!C146,input_380011!A:H,8,FALSE))</f>
        <v>44620</v>
      </c>
      <c r="P146" s="46">
        <f t="shared" ca="1" si="8"/>
        <v>5.9146341463414635E-3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hidden="1" customHeight="1" x14ac:dyDescent="0.15">
      <c r="A147" s="2" t="str">
        <f ca="1">input_380011!A$2</f>
        <v>380011</v>
      </c>
      <c r="B147" s="60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IFERROR(VLOOKUP(B147,input_380011!L:R,7,FALSE),VLOOKUP(tables_380011!C147,input_380011!A:H,8,FALSE))</f>
        <v>40158</v>
      </c>
      <c r="P147" s="46">
        <f t="shared" ca="1" si="8"/>
        <v>5.3231707317073175E-3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input_380011!A$2</f>
        <v>380011</v>
      </c>
      <c r="B148" s="60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IFERROR(VLOOKUP(B148,input_380011!L:R,7,FALSE),VLOOKUP(tables_380011!C148,input_380011!A:H,8,FALSE))</f>
        <v>4462</v>
      </c>
      <c r="P148" s="46">
        <f t="shared" ca="1" si="8"/>
        <v>5.9146341463414632E-4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hidden="1" customHeight="1" x14ac:dyDescent="0.15">
      <c r="A149" s="2" t="str">
        <f ca="1">input_380011!A$2</f>
        <v>380011</v>
      </c>
      <c r="B149" s="60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IFERROR(VLOOKUP(B149,input_380011!L:R,7,FALSE),VLOOKUP(tables_380011!C149,input_380011!A:H,8,FALSE))</f>
        <v>4674</v>
      </c>
      <c r="P149" s="46">
        <f t="shared" ca="1" si="8"/>
        <v>6.1956521739130437E-4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input_380011!A$2</f>
        <v>380011</v>
      </c>
      <c r="B150" s="60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IFERROR(VLOOKUP(B150,input_380011!L:R,7,FALSE),VLOOKUP(tables_380011!C150,input_380011!A:H,8,FALSE))</f>
        <v>246</v>
      </c>
      <c r="P150" s="46">
        <f t="shared" ca="1" si="8"/>
        <v>3.260869565217391E-5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hidden="1" customHeight="1" x14ac:dyDescent="0.15">
      <c r="A151" s="2" t="str">
        <f ca="1">input_380011!A$2</f>
        <v>380011</v>
      </c>
      <c r="B151" s="60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IFERROR(VLOOKUP(B151,input_380011!L:R,7,FALSE),VLOOKUP(tables_380011!C151,input_380011!A:H,8,FALSE))</f>
        <v>4674</v>
      </c>
      <c r="P151" s="46">
        <f t="shared" ca="1" si="8"/>
        <v>6.1956521739130437E-4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input_380011!A$2</f>
        <v>380011</v>
      </c>
      <c r="B152" s="60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IFERROR(VLOOKUP(B152,input_380011!L:R,7,FALSE),VLOOKUP(tables_380011!C152,input_380011!A:H,8,FALSE))</f>
        <v>246</v>
      </c>
      <c r="P152" s="46">
        <f t="shared" ca="1" si="8"/>
        <v>3.260869565217391E-5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hidden="1" customHeight="1" x14ac:dyDescent="0.15">
      <c r="A153" s="2" t="str">
        <f ca="1">input_380011!A$2</f>
        <v>380011</v>
      </c>
      <c r="B153" s="60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IFERROR(VLOOKUP(B153,input_380011!L:R,7,FALSE),VLOOKUP(tables_380011!C153,input_380011!A:H,8,FALSE))</f>
        <v>44620</v>
      </c>
      <c r="P153" s="46">
        <f t="shared" ca="1" si="8"/>
        <v>5.9146341463414635E-3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hidden="1" customHeight="1" x14ac:dyDescent="0.15">
      <c r="A154" s="2" t="str">
        <f ca="1">input_380011!A$2</f>
        <v>380011</v>
      </c>
      <c r="B154" s="60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IFERROR(VLOOKUP(B154,input_380011!L:R,7,FALSE),VLOOKUP(tables_380011!C154,input_380011!A:H,8,FALSE))</f>
        <v>40158</v>
      </c>
      <c r="P154" s="46">
        <f t="shared" ca="1" si="8"/>
        <v>5.3231707317073175E-3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input_380011!A$2</f>
        <v>380011</v>
      </c>
      <c r="B155" s="60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IFERROR(VLOOKUP(B155,input_380011!L:R,7,FALSE),VLOOKUP(tables_380011!C155,input_380011!A:H,8,FALSE))</f>
        <v>4462</v>
      </c>
      <c r="P155" s="46">
        <f t="shared" ca="1" si="8"/>
        <v>5.9146341463414632E-4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hidden="1" customHeight="1" x14ac:dyDescent="0.15">
      <c r="A156" s="2" t="str">
        <f ca="1">input_380011!A$2</f>
        <v>380011</v>
      </c>
      <c r="B156" s="60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IFERROR(VLOOKUP(B156,input_380011!L:R,7,FALSE),VLOOKUP(tables_380011!C156,input_380011!A:H,8,FALSE))</f>
        <v>4674</v>
      </c>
      <c r="P156" s="46">
        <f t="shared" ca="1" si="8"/>
        <v>6.1956521739130437E-4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input_380011!A$2</f>
        <v>380011</v>
      </c>
      <c r="B157" s="60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IFERROR(VLOOKUP(B157,input_380011!L:R,7,FALSE),VLOOKUP(tables_380011!C157,input_380011!A:H,8,FALSE))</f>
        <v>246</v>
      </c>
      <c r="P157" s="46">
        <f t="shared" ca="1" si="8"/>
        <v>3.260869565217391E-5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hidden="1" customHeight="1" x14ac:dyDescent="0.15">
      <c r="A158" s="2" t="str">
        <f ca="1">input_380011!A$2</f>
        <v>380011</v>
      </c>
      <c r="B158" s="60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IFERROR(VLOOKUP(B158,input_380011!L:R,7,FALSE),VLOOKUP(tables_380011!C158,input_380011!A:H,8,FALSE))</f>
        <v>44620</v>
      </c>
      <c r="P158" s="46">
        <f t="shared" ca="1" si="8"/>
        <v>5.9146341463414635E-3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hidden="1" customHeight="1" x14ac:dyDescent="0.15">
      <c r="A159" s="2" t="str">
        <f ca="1">input_380011!A$2</f>
        <v>380011</v>
      </c>
      <c r="B159" s="60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IFERROR(VLOOKUP(B159,input_380011!L:R,7,FALSE),VLOOKUP(tables_380011!C159,input_380011!A:H,8,FALSE))</f>
        <v>40158</v>
      </c>
      <c r="P159" s="46">
        <f t="shared" ca="1" si="8"/>
        <v>5.3231707317073175E-3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input_380011!A$2</f>
        <v>380011</v>
      </c>
      <c r="B160" s="60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IFERROR(VLOOKUP(B160,input_380011!L:R,7,FALSE),VLOOKUP(tables_380011!C160,input_380011!A:H,8,FALSE))</f>
        <v>4462</v>
      </c>
      <c r="P160" s="46">
        <f t="shared" ca="1" si="8"/>
        <v>5.9146341463414632E-4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hidden="1" customHeight="1" x14ac:dyDescent="0.15">
      <c r="A161" s="2" t="str">
        <f ca="1">input_380011!A$2</f>
        <v>380011</v>
      </c>
      <c r="B161" s="60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IFERROR(VLOOKUP(B161,input_380011!L:R,7,FALSE),VLOOKUP(tables_380011!C161,input_380011!A:H,8,FALSE))</f>
        <v>44620</v>
      </c>
      <c r="P161" s="46">
        <f t="shared" ca="1" si="8"/>
        <v>5.9146341463414635E-3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hidden="1" customHeight="1" x14ac:dyDescent="0.15">
      <c r="A162" s="2" t="str">
        <f ca="1">input_380011!A$2</f>
        <v>380011</v>
      </c>
      <c r="B162" s="60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IFERROR(VLOOKUP(B162,input_380011!L:R,7,FALSE),VLOOKUP(tables_380011!C162,input_380011!A:H,8,FALSE))</f>
        <v>40158</v>
      </c>
      <c r="P162" s="46">
        <f t="shared" ca="1" si="8"/>
        <v>5.3231707317073175E-3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input_380011!A$2</f>
        <v>380011</v>
      </c>
      <c r="B163" s="60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IFERROR(VLOOKUP(B163,input_380011!L:R,7,FALSE),VLOOKUP(tables_380011!C163,input_380011!A:H,8,FALSE))</f>
        <v>4462</v>
      </c>
      <c r="P163" s="46">
        <f t="shared" ca="1" si="8"/>
        <v>5.9146341463414632E-4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hidden="1" customHeight="1" x14ac:dyDescent="0.15">
      <c r="A164" s="2" t="str">
        <f ca="1">input_380011!A$2</f>
        <v>380011</v>
      </c>
      <c r="B164" s="60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IFERROR(VLOOKUP(B164,input_380011!L:R,7,FALSE),VLOOKUP(tables_380011!C164,input_380011!A:H,8,FALSE))</f>
        <v>4674</v>
      </c>
      <c r="P164" s="46">
        <f t="shared" ca="1" si="8"/>
        <v>6.1956521739130437E-4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input_380011!A$2</f>
        <v>380011</v>
      </c>
      <c r="B165" s="60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IFERROR(VLOOKUP(B165,input_380011!L:R,7,FALSE),VLOOKUP(tables_380011!C165,input_380011!A:H,8,FALSE))</f>
        <v>246</v>
      </c>
      <c r="P165" s="46">
        <f t="shared" ca="1" si="8"/>
        <v>3.260869565217391E-5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hidden="1" customHeight="1" x14ac:dyDescent="0.15">
      <c r="A166" s="2" t="str">
        <f ca="1">input_380011!A$2</f>
        <v>380011</v>
      </c>
      <c r="B166" s="60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IFERROR(VLOOKUP(B166,input_380011!L:R,7,FALSE),VLOOKUP(tables_380011!C166,input_380011!A:H,8,FALSE))</f>
        <v>44620</v>
      </c>
      <c r="P166" s="46">
        <f t="shared" ca="1" si="8"/>
        <v>5.9146341463414635E-3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hidden="1" customHeight="1" x14ac:dyDescent="0.15">
      <c r="A167" s="2" t="str">
        <f ca="1">input_380011!A$2</f>
        <v>380011</v>
      </c>
      <c r="B167" s="60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IFERROR(VLOOKUP(B167,input_380011!L:R,7,FALSE),VLOOKUP(tables_380011!C167,input_380011!A:H,8,FALSE))</f>
        <v>40158</v>
      </c>
      <c r="P167" s="46">
        <f t="shared" ca="1" si="8"/>
        <v>5.3231707317073175E-3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input_380011!A$2</f>
        <v>380011</v>
      </c>
      <c r="B168" s="60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IFERROR(VLOOKUP(B168,input_380011!L:R,7,FALSE),VLOOKUP(tables_380011!C168,input_380011!A:H,8,FALSE))</f>
        <v>4462</v>
      </c>
      <c r="P168" s="46">
        <f t="shared" ca="1" si="8"/>
        <v>5.9146341463414632E-4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hidden="1" customHeight="1" x14ac:dyDescent="0.15">
      <c r="A169" s="2" t="str">
        <f ca="1">input_380011!A$2</f>
        <v>380011</v>
      </c>
      <c r="B169" s="60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IFERROR(VLOOKUP(B169,input_380011!L:R,7,FALSE),VLOOKUP(tables_380011!C169,input_380011!A:H,8,FALSE))</f>
        <v>4674</v>
      </c>
      <c r="P169" s="46">
        <f t="shared" ca="1" si="8"/>
        <v>6.1956521739130437E-4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input_380011!A$2</f>
        <v>380011</v>
      </c>
      <c r="B170" s="60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IFERROR(VLOOKUP(B170,input_380011!L:R,7,FALSE),VLOOKUP(tables_380011!C170,input_380011!A:H,8,FALSE))</f>
        <v>246</v>
      </c>
      <c r="P170" s="46">
        <f t="shared" ca="1" si="8"/>
        <v>3.260869565217391E-5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hidden="1" customHeight="1" x14ac:dyDescent="0.15">
      <c r="A171" s="2" t="str">
        <f ca="1">input_380011!A$2</f>
        <v>380011</v>
      </c>
      <c r="B171" s="60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IFERROR(VLOOKUP(B171,input_380011!L:R,7,FALSE),VLOOKUP(tables_380011!C171,input_380011!A:H,8,FALSE))</f>
        <v>44620</v>
      </c>
      <c r="P171" s="46">
        <f t="shared" ca="1" si="8"/>
        <v>5.9146341463414635E-3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hidden="1" customHeight="1" x14ac:dyDescent="0.15">
      <c r="A172" s="2" t="str">
        <f ca="1">input_380011!A$2</f>
        <v>380011</v>
      </c>
      <c r="B172" s="60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IFERROR(VLOOKUP(B172,input_380011!L:R,7,FALSE),VLOOKUP(tables_380011!C172,input_380011!A:H,8,FALSE))</f>
        <v>40158</v>
      </c>
      <c r="P172" s="46">
        <f t="shared" ca="1" si="8"/>
        <v>5.3231707317073175E-3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input_380011!A$2</f>
        <v>380011</v>
      </c>
      <c r="B173" s="60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IFERROR(VLOOKUP(B173,input_380011!L:R,7,FALSE),VLOOKUP(tables_380011!C173,input_380011!A:H,8,FALSE))</f>
        <v>4462</v>
      </c>
      <c r="P173" s="46">
        <f t="shared" ca="1" si="8"/>
        <v>5.9146341463414632E-4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hidden="1" customHeight="1" x14ac:dyDescent="0.15">
      <c r="A174" s="2" t="str">
        <f ca="1">input_380011!A$2</f>
        <v>380011</v>
      </c>
      <c r="B174" s="60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IFERROR(VLOOKUP(B174,input_380011!L:R,7,FALSE),VLOOKUP(tables_380011!C174,input_380011!A:H,8,FALSE))</f>
        <v>4674</v>
      </c>
      <c r="P174" s="46">
        <f t="shared" ca="1" si="8"/>
        <v>6.1956521739130437E-4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input_380011!A$2</f>
        <v>380011</v>
      </c>
      <c r="B175" s="60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IFERROR(VLOOKUP(B175,input_380011!L:R,7,FALSE),VLOOKUP(tables_380011!C175,input_380011!A:H,8,FALSE))</f>
        <v>246</v>
      </c>
      <c r="P175" s="46">
        <f t="shared" ca="1" si="8"/>
        <v>3.260869565217391E-5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hidden="1" customHeight="1" x14ac:dyDescent="0.15">
      <c r="A176" s="2" t="str">
        <f ca="1">input_380011!A$2</f>
        <v>380011</v>
      </c>
      <c r="B176" s="60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IFERROR(VLOOKUP(B176,input_380011!L:R,7,FALSE),VLOOKUP(tables_380011!C176,input_380011!A:H,8,FALSE))</f>
        <v>4674</v>
      </c>
      <c r="P176" s="46">
        <f t="shared" ca="1" si="8"/>
        <v>6.1956521739130437E-4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input_380011!A$2</f>
        <v>380011</v>
      </c>
      <c r="B177" s="60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IFERROR(VLOOKUP(B177,input_380011!L:R,7,FALSE),VLOOKUP(tables_380011!C177,input_380011!A:H,8,FALSE))</f>
        <v>246</v>
      </c>
      <c r="P177" s="46">
        <f t="shared" ca="1" si="8"/>
        <v>3.260869565217391E-5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hidden="1" customHeight="1" x14ac:dyDescent="0.15">
      <c r="A178" s="2" t="str">
        <f ca="1">input_380011!A$2</f>
        <v>380011</v>
      </c>
      <c r="B178" s="60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IFERROR(VLOOKUP(B178,input_380011!L:R,7,FALSE),VLOOKUP(tables_380011!C178,input_380011!A:H,8,FALSE))</f>
        <v>44620</v>
      </c>
      <c r="P178" s="46">
        <f t="shared" ca="1" si="8"/>
        <v>5.9146341463414635E-3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hidden="1" customHeight="1" x14ac:dyDescent="0.15">
      <c r="A179" s="2" t="str">
        <f ca="1">input_380011!A$2</f>
        <v>380011</v>
      </c>
      <c r="B179" s="60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IFERROR(VLOOKUP(B179,input_380011!L:R,7,FALSE),VLOOKUP(tables_380011!C179,input_380011!A:H,8,FALSE))</f>
        <v>40158</v>
      </c>
      <c r="P179" s="46">
        <f t="shared" ca="1" si="8"/>
        <v>5.3231707317073175E-3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input_380011!A$2</f>
        <v>380011</v>
      </c>
      <c r="B180" s="60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IFERROR(VLOOKUP(B180,input_380011!L:R,7,FALSE),VLOOKUP(tables_380011!C180,input_380011!A:H,8,FALSE))</f>
        <v>4462</v>
      </c>
      <c r="P180" s="46">
        <f t="shared" ca="1" si="8"/>
        <v>5.9146341463414632E-4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hidden="1" customHeight="1" x14ac:dyDescent="0.15">
      <c r="A181" s="2" t="str">
        <f ca="1">input_380011!A$2</f>
        <v>380011</v>
      </c>
      <c r="B181" s="60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IFERROR(VLOOKUP(B181,input_380011!L:R,7,FALSE),VLOOKUP(tables_380011!C181,input_380011!A:H,8,FALSE))</f>
        <v>44620</v>
      </c>
      <c r="P181" s="46">
        <f t="shared" ca="1" si="8"/>
        <v>5.9146341463414635E-3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hidden="1" customHeight="1" x14ac:dyDescent="0.15">
      <c r="A182" s="2" t="str">
        <f ca="1">input_380011!A$2</f>
        <v>380011</v>
      </c>
      <c r="B182" s="60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IFERROR(VLOOKUP(B182,input_380011!L:R,7,FALSE),VLOOKUP(tables_380011!C182,input_380011!A:H,8,FALSE))</f>
        <v>40158</v>
      </c>
      <c r="P182" s="46">
        <f t="shared" ca="1" si="8"/>
        <v>5.3231707317073175E-3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input_380011!A$2</f>
        <v>380011</v>
      </c>
      <c r="B183" s="60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IFERROR(VLOOKUP(B183,input_380011!L:R,7,FALSE),VLOOKUP(tables_380011!C183,input_380011!A:H,8,FALSE))</f>
        <v>4462</v>
      </c>
      <c r="P183" s="46">
        <f t="shared" ca="1" si="8"/>
        <v>5.9146341463414632E-4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hidden="1" customHeight="1" x14ac:dyDescent="0.15">
      <c r="A184" s="2" t="str">
        <f ca="1">input_380011!A$2</f>
        <v>380011</v>
      </c>
      <c r="B184" s="60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IFERROR(VLOOKUP(B184,input_380011!L:R,7,FALSE),VLOOKUP(tables_380011!C184,input_380011!A:H,8,FALSE))</f>
        <v>4674</v>
      </c>
      <c r="P184" s="46">
        <f t="shared" ca="1" si="8"/>
        <v>6.1956521739130437E-4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input_380011!A$2</f>
        <v>380011</v>
      </c>
      <c r="B185" s="60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IFERROR(VLOOKUP(B185,input_380011!L:R,7,FALSE),VLOOKUP(tables_380011!C185,input_380011!A:H,8,FALSE))</f>
        <v>246</v>
      </c>
      <c r="P185" s="46">
        <f t="shared" ca="1" si="8"/>
        <v>3.260869565217391E-5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hidden="1" customHeight="1" x14ac:dyDescent="0.15">
      <c r="A186" s="2" t="str">
        <f ca="1">input_380011!A$2</f>
        <v>380011</v>
      </c>
      <c r="B186" s="96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IFERROR(VLOOKUP(B186,input_380011!L:R,7,FALSE),VLOOKUP(tables_380011!C186,input_380011!A:H,8,FALSE))</f>
        <v>44620</v>
      </c>
      <c r="P186" s="46">
        <f t="shared" ca="1" si="8"/>
        <v>5.9146341463414635E-3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hidden="1" customHeight="1" x14ac:dyDescent="0.15">
      <c r="A187" s="2" t="str">
        <f ca="1">input_380011!A$2</f>
        <v>380011</v>
      </c>
      <c r="B187" s="96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IFERROR(VLOOKUP(B187,input_380011!L:R,7,FALSE),VLOOKUP(tables_380011!C187,input_380011!A:H,8,FALSE))</f>
        <v>40158</v>
      </c>
      <c r="P187" s="46">
        <f t="shared" ca="1" si="8"/>
        <v>5.3231707317073175E-3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input_380011!A$2</f>
        <v>380011</v>
      </c>
      <c r="B188" s="96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IFERROR(VLOOKUP(B188,input_380011!L:R,7,FALSE),VLOOKUP(tables_380011!C188,input_380011!A:H,8,FALSE))</f>
        <v>4462</v>
      </c>
      <c r="P188" s="46">
        <f t="shared" ca="1" si="8"/>
        <v>5.9146341463414632E-4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hidden="1" customHeight="1" x14ac:dyDescent="0.15">
      <c r="A189" s="2" t="str">
        <f ca="1">input_380011!A$2</f>
        <v>380011</v>
      </c>
      <c r="B189" s="96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IFERROR(VLOOKUP(B189,input_380011!L:R,7,FALSE),VLOOKUP(tables_380011!C189,input_380011!A:H,8,FALSE))</f>
        <v>4674</v>
      </c>
      <c r="P189" s="46">
        <f t="shared" ca="1" si="8"/>
        <v>6.1956521739130437E-4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input_380011!A$2</f>
        <v>380011</v>
      </c>
      <c r="B190" s="60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IFERROR(VLOOKUP(B190,input_380011!L:R,7,FALSE),VLOOKUP(tables_380011!C190,input_380011!A:H,8,FALSE))</f>
        <v>246</v>
      </c>
      <c r="P190" s="46">
        <f t="shared" ca="1" si="8"/>
        <v>3.260869565217391E-5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hidden="1" customHeight="1" x14ac:dyDescent="0.15">
      <c r="A191" s="2" t="str">
        <f ca="1">input_380011!A$2</f>
        <v>380011</v>
      </c>
      <c r="B191" s="60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IFERROR(VLOOKUP(B191,input_380011!L:R,7,FALSE),VLOOKUP(tables_380011!C191,input_380011!A:H,8,FALSE))</f>
        <v>4674</v>
      </c>
      <c r="P191" s="46">
        <f t="shared" ca="1" si="8"/>
        <v>6.1956521739130437E-4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input_380011!A$2</f>
        <v>380011</v>
      </c>
      <c r="B192" s="60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IFERROR(VLOOKUP(B192,input_380011!L:R,7,FALSE),VLOOKUP(tables_380011!C192,input_380011!A:H,8,FALSE))</f>
        <v>246</v>
      </c>
      <c r="P192" s="46">
        <f t="shared" ca="1" si="8"/>
        <v>3.260869565217391E-5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hidden="1" customHeight="1" x14ac:dyDescent="0.15">
      <c r="A193" s="2" t="str">
        <f ca="1">input_380011!A$2</f>
        <v>380011</v>
      </c>
      <c r="B193" s="60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IFERROR(VLOOKUP(B193,input_380011!L:R,7,FALSE),VLOOKUP(tables_380011!C193,input_380011!A:H,8,FALSE))</f>
        <v>44620</v>
      </c>
      <c r="P193" s="46">
        <f t="shared" ca="1" si="8"/>
        <v>5.9146341463414635E-3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hidden="1" customHeight="1" x14ac:dyDescent="0.15">
      <c r="A194" s="2" t="str">
        <f ca="1">input_380011!A$2</f>
        <v>380011</v>
      </c>
      <c r="B194" s="60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IFERROR(VLOOKUP(B194,input_380011!L:R,7,FALSE),VLOOKUP(tables_380011!C194,input_380011!A:H,8,FALSE))</f>
        <v>40158</v>
      </c>
      <c r="P194" s="46">
        <f t="shared" ca="1" si="8"/>
        <v>5.3231707317073175E-3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input_380011!A$2</f>
        <v>380011</v>
      </c>
      <c r="B195" s="60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IFERROR(VLOOKUP(B195,input_380011!L:R,7,FALSE),VLOOKUP(tables_380011!C195,input_380011!A:H,8,FALSE))</f>
        <v>4462</v>
      </c>
      <c r="P195" s="46">
        <f t="shared" ref="P195:P258" ca="1" si="11">O195/SUM(O:O)</f>
        <v>5.9146341463414632E-4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hidden="1" customHeight="1" x14ac:dyDescent="0.15">
      <c r="A196" s="2" t="str">
        <f ca="1">input_380011!A$2</f>
        <v>380011</v>
      </c>
      <c r="B196" s="60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IFERROR(VLOOKUP(B196,input_380011!L:R,7,FALSE),VLOOKUP(tables_380011!C196,input_380011!A:H,8,FALSE))</f>
        <v>4674</v>
      </c>
      <c r="P196" s="46">
        <f t="shared" ca="1" si="11"/>
        <v>6.1956521739130437E-4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input_380011!A$2</f>
        <v>380011</v>
      </c>
      <c r="B197" s="60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IFERROR(VLOOKUP(B197,input_380011!L:R,7,FALSE),VLOOKUP(tables_380011!C197,input_380011!A:H,8,FALSE))</f>
        <v>246</v>
      </c>
      <c r="P197" s="46">
        <f t="shared" ca="1" si="11"/>
        <v>3.260869565217391E-5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hidden="1" customHeight="1" x14ac:dyDescent="0.15">
      <c r="A198" s="2" t="str">
        <f ca="1">input_380011!A$2</f>
        <v>380011</v>
      </c>
      <c r="B198" s="60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IFERROR(VLOOKUP(B198,input_380011!L:R,7,FALSE),VLOOKUP(tables_380011!C198,input_380011!A:H,8,FALSE))</f>
        <v>44620</v>
      </c>
      <c r="P198" s="46">
        <f t="shared" ca="1" si="11"/>
        <v>5.9146341463414635E-3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hidden="1" customHeight="1" x14ac:dyDescent="0.15">
      <c r="A199" s="2" t="str">
        <f ca="1">input_380011!A$2</f>
        <v>380011</v>
      </c>
      <c r="B199" s="60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IFERROR(VLOOKUP(B199,input_380011!L:R,7,FALSE),VLOOKUP(tables_380011!C199,input_380011!A:H,8,FALSE))</f>
        <v>40158</v>
      </c>
      <c r="P199" s="46">
        <f t="shared" ca="1" si="11"/>
        <v>5.3231707317073175E-3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input_380011!A$2</f>
        <v>380011</v>
      </c>
      <c r="B200" s="60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IFERROR(VLOOKUP(B200,input_380011!L:R,7,FALSE),VLOOKUP(tables_380011!C200,input_380011!A:H,8,FALSE))</f>
        <v>4462</v>
      </c>
      <c r="P200" s="46">
        <f t="shared" ca="1" si="11"/>
        <v>5.9146341463414632E-4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hidden="1" customHeight="1" x14ac:dyDescent="0.15">
      <c r="A201" s="2" t="str">
        <f ca="1">input_380011!A$2</f>
        <v>380011</v>
      </c>
      <c r="B201" s="60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IFERROR(VLOOKUP(B201,input_380011!L:R,7,FALSE),VLOOKUP(tables_380011!C201,input_380011!A:H,8,FALSE))</f>
        <v>4674</v>
      </c>
      <c r="P201" s="46">
        <f t="shared" ca="1" si="11"/>
        <v>6.1956521739130437E-4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input_380011!A$2</f>
        <v>380011</v>
      </c>
      <c r="B202" s="60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IFERROR(VLOOKUP(B202,input_380011!L:R,7,FALSE),VLOOKUP(tables_380011!C202,input_380011!A:H,8,FALSE))</f>
        <v>246</v>
      </c>
      <c r="P202" s="46">
        <f t="shared" ca="1" si="11"/>
        <v>3.260869565217391E-5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hidden="1" customHeight="1" x14ac:dyDescent="0.15">
      <c r="A203" s="2" t="str">
        <f ca="1">input_380011!A$2</f>
        <v>380011</v>
      </c>
      <c r="B203" s="60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IFERROR(VLOOKUP(B203,input_380011!L:R,7,FALSE),VLOOKUP(tables_380011!C203,input_380011!A:H,8,FALSE))</f>
        <v>44620</v>
      </c>
      <c r="P203" s="46">
        <f t="shared" ca="1" si="11"/>
        <v>5.9146341463414635E-3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hidden="1" customHeight="1" x14ac:dyDescent="0.15">
      <c r="A204" s="2" t="str">
        <f ca="1">input_380011!A$2</f>
        <v>380011</v>
      </c>
      <c r="B204" s="60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IFERROR(VLOOKUP(B204,input_380011!L:R,7,FALSE),VLOOKUP(tables_380011!C204,input_380011!A:H,8,FALSE))</f>
        <v>40158</v>
      </c>
      <c r="P204" s="46">
        <f t="shared" ca="1" si="11"/>
        <v>5.3231707317073175E-3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input_380011!A$2</f>
        <v>380011</v>
      </c>
      <c r="B205" s="60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IFERROR(VLOOKUP(B205,input_380011!L:R,7,FALSE),VLOOKUP(tables_380011!C205,input_380011!A:H,8,FALSE))</f>
        <v>4462</v>
      </c>
      <c r="P205" s="46">
        <f t="shared" ca="1" si="11"/>
        <v>5.9146341463414632E-4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hidden="1" customHeight="1" x14ac:dyDescent="0.15">
      <c r="A206" s="2" t="str">
        <f ca="1">input_380011!A$2</f>
        <v>380011</v>
      </c>
      <c r="B206" s="60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IFERROR(VLOOKUP(B206,input_380011!L:R,7,FALSE),VLOOKUP(tables_380011!C206,input_380011!A:H,8,FALSE))</f>
        <v>4674</v>
      </c>
      <c r="P206" s="46">
        <f t="shared" ca="1" si="11"/>
        <v>6.1956521739130437E-4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input_380011!A$2</f>
        <v>380011</v>
      </c>
      <c r="B207" s="60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IFERROR(VLOOKUP(B207,input_380011!L:R,7,FALSE),VLOOKUP(tables_380011!C207,input_380011!A:H,8,FALSE))</f>
        <v>246</v>
      </c>
      <c r="P207" s="46">
        <f t="shared" ca="1" si="11"/>
        <v>3.260869565217391E-5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hidden="1" customHeight="1" x14ac:dyDescent="0.15">
      <c r="A208" s="2" t="str">
        <f ca="1">input_380011!A$2</f>
        <v>380011</v>
      </c>
      <c r="B208" s="60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IFERROR(VLOOKUP(B208,input_380011!L:R,7,FALSE),VLOOKUP(tables_380011!C208,input_380011!A:H,8,FALSE))</f>
        <v>4674</v>
      </c>
      <c r="P208" s="46">
        <f t="shared" ca="1" si="11"/>
        <v>6.1956521739130437E-4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input_380011!A$2</f>
        <v>380011</v>
      </c>
      <c r="B209" s="60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IFERROR(VLOOKUP(B209,input_380011!L:R,7,FALSE),VLOOKUP(tables_380011!C209,input_380011!A:H,8,FALSE))</f>
        <v>246</v>
      </c>
      <c r="P209" s="46">
        <f t="shared" ca="1" si="11"/>
        <v>3.260869565217391E-5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hidden="1" customHeight="1" x14ac:dyDescent="0.15">
      <c r="A210" s="2" t="str">
        <f ca="1">input_380011!A$2</f>
        <v>380011</v>
      </c>
      <c r="B210" s="60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IFERROR(VLOOKUP(B210,input_380011!L:R,7,FALSE),VLOOKUP(tables_380011!C210,input_380011!A:H,8,FALSE))</f>
        <v>44620</v>
      </c>
      <c r="P210" s="46">
        <f t="shared" ca="1" si="11"/>
        <v>5.9146341463414635E-3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hidden="1" customHeight="1" x14ac:dyDescent="0.15">
      <c r="A211" s="2" t="str">
        <f ca="1">input_380011!A$2</f>
        <v>380011</v>
      </c>
      <c r="B211" s="60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IFERROR(VLOOKUP(B211,input_380011!L:R,7,FALSE),VLOOKUP(tables_380011!C211,input_380011!A:H,8,FALSE))</f>
        <v>40158</v>
      </c>
      <c r="P211" s="46">
        <f t="shared" ca="1" si="11"/>
        <v>5.3231707317073175E-3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input_380011!A$2</f>
        <v>380011</v>
      </c>
      <c r="B212" s="60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IFERROR(VLOOKUP(B212,input_380011!L:R,7,FALSE),VLOOKUP(tables_380011!C212,input_380011!A:H,8,FALSE))</f>
        <v>4462</v>
      </c>
      <c r="P212" s="46">
        <f t="shared" ca="1" si="11"/>
        <v>5.9146341463414632E-4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hidden="1" customHeight="1" x14ac:dyDescent="0.15">
      <c r="A213" s="2" t="str">
        <f ca="1">input_380011!A$2</f>
        <v>380011</v>
      </c>
      <c r="B213" s="60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IFERROR(VLOOKUP(B213,input_380011!L:R,7,FALSE),VLOOKUP(tables_380011!C213,input_380011!A:H,8,FALSE))</f>
        <v>4674</v>
      </c>
      <c r="P213" s="46">
        <f t="shared" ca="1" si="11"/>
        <v>6.1956521739130437E-4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input_380011!A$2</f>
        <v>380011</v>
      </c>
      <c r="B214" s="60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IFERROR(VLOOKUP(B214,input_380011!L:R,7,FALSE),VLOOKUP(tables_380011!C214,input_380011!A:H,8,FALSE))</f>
        <v>246</v>
      </c>
      <c r="P214" s="46">
        <f t="shared" ca="1" si="11"/>
        <v>3.260869565217391E-5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hidden="1" customHeight="1" x14ac:dyDescent="0.15">
      <c r="A215" s="2" t="str">
        <f ca="1">input_380011!A$2</f>
        <v>380011</v>
      </c>
      <c r="B215" s="60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IFERROR(VLOOKUP(B215,input_380011!L:R,7,FALSE),VLOOKUP(tables_380011!C215,input_380011!A:H,8,FALSE))</f>
        <v>4674</v>
      </c>
      <c r="P215" s="46">
        <f t="shared" ca="1" si="11"/>
        <v>6.1956521739130437E-4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input_380011!A$2</f>
        <v>380011</v>
      </c>
      <c r="B216" s="60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IFERROR(VLOOKUP(B216,input_380011!L:R,7,FALSE),VLOOKUP(tables_380011!C216,input_380011!A:H,8,FALSE))</f>
        <v>246</v>
      </c>
      <c r="P216" s="46">
        <f t="shared" ca="1" si="11"/>
        <v>3.260869565217391E-5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hidden="1" customHeight="1" x14ac:dyDescent="0.15">
      <c r="A217" s="2" t="str">
        <f ca="1">input_380011!A$2</f>
        <v>380011</v>
      </c>
      <c r="B217" s="60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IFERROR(VLOOKUP(B217,input_380011!L:R,7,FALSE),VLOOKUP(tables_380011!C217,input_380011!A:H,8,FALSE))</f>
        <v>44620</v>
      </c>
      <c r="P217" s="46">
        <f t="shared" ca="1" si="11"/>
        <v>5.9146341463414635E-3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hidden="1" customHeight="1" x14ac:dyDescent="0.15">
      <c r="A218" s="2" t="str">
        <f ca="1">input_380011!A$2</f>
        <v>380011</v>
      </c>
      <c r="B218" s="60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IFERROR(VLOOKUP(B218,input_380011!L:R,7,FALSE),VLOOKUP(tables_380011!C218,input_380011!A:H,8,FALSE))</f>
        <v>40158</v>
      </c>
      <c r="P218" s="46">
        <f t="shared" ca="1" si="11"/>
        <v>5.3231707317073175E-3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input_380011!A$2</f>
        <v>380011</v>
      </c>
      <c r="B219" s="60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IFERROR(VLOOKUP(B219,input_380011!L:R,7,FALSE),VLOOKUP(tables_380011!C219,input_380011!A:H,8,FALSE))</f>
        <v>4462</v>
      </c>
      <c r="P219" s="46">
        <f t="shared" ca="1" si="11"/>
        <v>5.9146341463414632E-4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hidden="1" customHeight="1" x14ac:dyDescent="0.15">
      <c r="A220" s="2" t="str">
        <f ca="1">input_380011!A$2</f>
        <v>380011</v>
      </c>
      <c r="B220" s="60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IFERROR(VLOOKUP(B220,input_380011!L:R,7,FALSE),VLOOKUP(tables_380011!C220,input_380011!A:H,8,FALSE))</f>
        <v>44620</v>
      </c>
      <c r="P220" s="46">
        <f t="shared" ca="1" si="11"/>
        <v>5.9146341463414635E-3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hidden="1" customHeight="1" x14ac:dyDescent="0.15">
      <c r="A221" s="2" t="str">
        <f ca="1">input_380011!A$2</f>
        <v>380011</v>
      </c>
      <c r="B221" s="60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IFERROR(VLOOKUP(B221,input_380011!L:R,7,FALSE),VLOOKUP(tables_380011!C221,input_380011!A:H,8,FALSE))</f>
        <v>40158</v>
      </c>
      <c r="P221" s="46">
        <f t="shared" ca="1" si="11"/>
        <v>5.3231707317073175E-3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input_380011!A$2</f>
        <v>380011</v>
      </c>
      <c r="B222" s="60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IFERROR(VLOOKUP(B222,input_380011!L:R,7,FALSE),VLOOKUP(tables_380011!C222,input_380011!A:H,8,FALSE))</f>
        <v>4462</v>
      </c>
      <c r="P222" s="46">
        <f t="shared" ca="1" si="11"/>
        <v>5.9146341463414632E-4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hidden="1" customHeight="1" x14ac:dyDescent="0.15">
      <c r="A223" s="2" t="str">
        <f ca="1">input_380011!A$2</f>
        <v>380011</v>
      </c>
      <c r="B223" s="60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IFERROR(VLOOKUP(B223,input_380011!L:R,7,FALSE),VLOOKUP(tables_380011!C223,input_380011!A:H,8,FALSE))</f>
        <v>4674</v>
      </c>
      <c r="P223" s="46">
        <f t="shared" ca="1" si="11"/>
        <v>6.1956521739130437E-4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input_380011!A$2</f>
        <v>380011</v>
      </c>
      <c r="B224" s="60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IFERROR(VLOOKUP(B224,input_380011!L:R,7,FALSE),VLOOKUP(tables_380011!C224,input_380011!A:H,8,FALSE))</f>
        <v>246</v>
      </c>
      <c r="P224" s="46">
        <f t="shared" ca="1" si="11"/>
        <v>3.260869565217391E-5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hidden="1" customHeight="1" x14ac:dyDescent="0.15">
      <c r="A225" s="2" t="str">
        <f ca="1">input_380011!A$2</f>
        <v>380011</v>
      </c>
      <c r="B225" s="60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IFERROR(VLOOKUP(B225,input_380011!L:R,7,FALSE),VLOOKUP(tables_380011!C225,input_380011!A:H,8,FALSE))</f>
        <v>44620</v>
      </c>
      <c r="P225" s="46">
        <f t="shared" ca="1" si="11"/>
        <v>5.9146341463414635E-3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hidden="1" customHeight="1" x14ac:dyDescent="0.15">
      <c r="A226" s="2" t="str">
        <f ca="1">input_380011!A$2</f>
        <v>380011</v>
      </c>
      <c r="B226" s="60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IFERROR(VLOOKUP(B226,input_380011!L:R,7,FALSE),VLOOKUP(tables_380011!C226,input_380011!A:H,8,FALSE))</f>
        <v>40158</v>
      </c>
      <c r="P226" s="46">
        <f t="shared" ca="1" si="11"/>
        <v>5.3231707317073175E-3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input_380011!A$2</f>
        <v>380011</v>
      </c>
      <c r="B227" s="60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IFERROR(VLOOKUP(B227,input_380011!L:R,7,FALSE),VLOOKUP(tables_380011!C227,input_380011!A:H,8,FALSE))</f>
        <v>4462</v>
      </c>
      <c r="P227" s="46">
        <f t="shared" ca="1" si="11"/>
        <v>5.9146341463414632E-4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hidden="1" customHeight="1" x14ac:dyDescent="0.15">
      <c r="A228" s="2" t="str">
        <f ca="1">input_380011!A$2</f>
        <v>380011</v>
      </c>
      <c r="B228" s="60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IFERROR(VLOOKUP(B228,input_380011!L:R,7,FALSE),VLOOKUP(tables_380011!C228,input_380011!A:H,8,FALSE))</f>
        <v>44620</v>
      </c>
      <c r="P228" s="46">
        <f t="shared" ca="1" si="11"/>
        <v>5.9146341463414635E-3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hidden="1" customHeight="1" x14ac:dyDescent="0.15">
      <c r="A229" s="2" t="str">
        <f ca="1">input_380011!A$2</f>
        <v>380011</v>
      </c>
      <c r="B229" s="60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IFERROR(VLOOKUP(B229,input_380011!L:R,7,FALSE),VLOOKUP(tables_380011!C229,input_380011!A:H,8,FALSE))</f>
        <v>40158</v>
      </c>
      <c r="P229" s="46">
        <f t="shared" ca="1" si="11"/>
        <v>5.3231707317073175E-3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input_380011!A$2</f>
        <v>380011</v>
      </c>
      <c r="B230" s="60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IFERROR(VLOOKUP(B230,input_380011!L:R,7,FALSE),VLOOKUP(tables_380011!C230,input_380011!A:H,8,FALSE))</f>
        <v>4462</v>
      </c>
      <c r="P230" s="46">
        <f t="shared" ca="1" si="11"/>
        <v>5.9146341463414632E-4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hidden="1" customHeight="1" x14ac:dyDescent="0.15">
      <c r="A231" s="2" t="str">
        <f ca="1">input_380011!A$2</f>
        <v>380011</v>
      </c>
      <c r="B231" s="60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IFERROR(VLOOKUP(B231,input_380011!L:R,7,FALSE),VLOOKUP(tables_380011!C231,input_380011!A:H,8,FALSE))</f>
        <v>4674</v>
      </c>
      <c r="P231" s="46">
        <f t="shared" ca="1" si="11"/>
        <v>6.1956521739130437E-4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input_380011!A$2</f>
        <v>380011</v>
      </c>
      <c r="B232" s="60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IFERROR(VLOOKUP(B232,input_380011!L:R,7,FALSE),VLOOKUP(tables_380011!C232,input_380011!A:H,8,FALSE))</f>
        <v>246</v>
      </c>
      <c r="P232" s="46">
        <f t="shared" ca="1" si="11"/>
        <v>3.260869565217391E-5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hidden="1" customHeight="1" x14ac:dyDescent="0.15">
      <c r="A233" s="2" t="str">
        <f ca="1">input_380011!A$2</f>
        <v>380011</v>
      </c>
      <c r="B233" s="60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IFERROR(VLOOKUP(B233,input_380011!L:R,7,FALSE),VLOOKUP(tables_380011!C233,input_380011!A:H,8,FALSE))</f>
        <v>44620</v>
      </c>
      <c r="P233" s="46">
        <f t="shared" ca="1" si="11"/>
        <v>5.9146341463414635E-3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hidden="1" customHeight="1" x14ac:dyDescent="0.15">
      <c r="A234" s="2" t="str">
        <f ca="1">input_380011!A$2</f>
        <v>380011</v>
      </c>
      <c r="B234" s="60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IFERROR(VLOOKUP(B234,input_380011!L:R,7,FALSE),VLOOKUP(tables_380011!C234,input_380011!A:H,8,FALSE))</f>
        <v>40158</v>
      </c>
      <c r="P234" s="46">
        <f t="shared" ca="1" si="11"/>
        <v>5.3231707317073175E-3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input_380011!A$2</f>
        <v>380011</v>
      </c>
      <c r="B235" s="60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IFERROR(VLOOKUP(B235,input_380011!L:R,7,FALSE),VLOOKUP(tables_380011!C235,input_380011!A:H,8,FALSE))</f>
        <v>4462</v>
      </c>
      <c r="P235" s="46">
        <f t="shared" ca="1" si="11"/>
        <v>5.9146341463414632E-4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hidden="1" customHeight="1" x14ac:dyDescent="0.15">
      <c r="A236" s="2" t="str">
        <f ca="1">input_380011!A$2</f>
        <v>380011</v>
      </c>
      <c r="B236" s="60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IFERROR(VLOOKUP(B236,input_380011!L:R,7,FALSE),VLOOKUP(tables_380011!C236,input_380011!A:H,8,FALSE))</f>
        <v>4674</v>
      </c>
      <c r="P236" s="46">
        <f t="shared" ca="1" si="11"/>
        <v>6.1956521739130437E-4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input_380011!A$2</f>
        <v>380011</v>
      </c>
      <c r="B237" s="60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IFERROR(VLOOKUP(B237,input_380011!L:R,7,FALSE),VLOOKUP(tables_380011!C237,input_380011!A:H,8,FALSE))</f>
        <v>246</v>
      </c>
      <c r="P237" s="46">
        <f t="shared" ca="1" si="11"/>
        <v>3.260869565217391E-5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hidden="1" customHeight="1" x14ac:dyDescent="0.15">
      <c r="A238" s="2" t="str">
        <f ca="1">input_380011!A$2</f>
        <v>380011</v>
      </c>
      <c r="B238" s="60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IFERROR(VLOOKUP(B238,input_380011!L:R,7,FALSE),VLOOKUP(tables_380011!C238,input_380011!A:H,8,FALSE))</f>
        <v>4674</v>
      </c>
      <c r="P238" s="46">
        <f t="shared" ca="1" si="11"/>
        <v>6.1956521739130437E-4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input_380011!A$2</f>
        <v>380011</v>
      </c>
      <c r="B239" s="60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IFERROR(VLOOKUP(B239,input_380011!L:R,7,FALSE),VLOOKUP(tables_380011!C239,input_380011!A:H,8,FALSE))</f>
        <v>246</v>
      </c>
      <c r="P239" s="46">
        <f t="shared" ca="1" si="11"/>
        <v>3.260869565217391E-5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hidden="1" customHeight="1" x14ac:dyDescent="0.15">
      <c r="A240" s="2" t="str">
        <f ca="1">input_380011!A$2</f>
        <v>380011</v>
      </c>
      <c r="B240" s="60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IFERROR(VLOOKUP(B240,input_380011!L:R,7,FALSE),VLOOKUP(tables_380011!C240,input_380011!A:H,8,FALSE))</f>
        <v>44620</v>
      </c>
      <c r="P240" s="46">
        <f t="shared" ca="1" si="11"/>
        <v>5.9146341463414635E-3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hidden="1" customHeight="1" x14ac:dyDescent="0.15">
      <c r="A241" s="2" t="str">
        <f ca="1">input_380011!A$2</f>
        <v>380011</v>
      </c>
      <c r="B241" s="60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IFERROR(VLOOKUP(B241,input_380011!L:R,7,FALSE),VLOOKUP(tables_380011!C241,input_380011!A:H,8,FALSE))</f>
        <v>40158</v>
      </c>
      <c r="P241" s="46">
        <f t="shared" ca="1" si="11"/>
        <v>5.3231707317073175E-3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input_380011!A$2</f>
        <v>380011</v>
      </c>
      <c r="B242" s="60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IFERROR(VLOOKUP(B242,input_380011!L:R,7,FALSE),VLOOKUP(tables_380011!C242,input_380011!A:H,8,FALSE))</f>
        <v>4462</v>
      </c>
      <c r="P242" s="46">
        <f t="shared" ca="1" si="11"/>
        <v>5.9146341463414632E-4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hidden="1" customHeight="1" x14ac:dyDescent="0.15">
      <c r="A243" s="2" t="str">
        <f ca="1">input_380011!A$2</f>
        <v>380011</v>
      </c>
      <c r="B243" s="60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IFERROR(VLOOKUP(B243,input_380011!L:R,7,FALSE),VLOOKUP(tables_380011!C243,input_380011!A:H,8,FALSE))</f>
        <v>44620</v>
      </c>
      <c r="P243" s="46">
        <f t="shared" ca="1" si="11"/>
        <v>5.9146341463414635E-3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hidden="1" customHeight="1" x14ac:dyDescent="0.15">
      <c r="A244" s="2" t="str">
        <f ca="1">input_380011!A$2</f>
        <v>380011</v>
      </c>
      <c r="B244" s="60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IFERROR(VLOOKUP(B244,input_380011!L:R,7,FALSE),VLOOKUP(tables_380011!C244,input_380011!A:H,8,FALSE))</f>
        <v>40158</v>
      </c>
      <c r="P244" s="46">
        <f t="shared" ca="1" si="11"/>
        <v>5.3231707317073175E-3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input_380011!A$2</f>
        <v>380011</v>
      </c>
      <c r="B245" s="60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IFERROR(VLOOKUP(B245,input_380011!L:R,7,FALSE),VLOOKUP(tables_380011!C245,input_380011!A:H,8,FALSE))</f>
        <v>4462</v>
      </c>
      <c r="P245" s="46">
        <f t="shared" ca="1" si="11"/>
        <v>5.9146341463414632E-4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hidden="1" customHeight="1" x14ac:dyDescent="0.15">
      <c r="A246" s="2" t="str">
        <f ca="1">input_380011!A$2</f>
        <v>380011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IFERROR(VLOOKUP(B246,input_380011!L:R,7,FALSE),VLOOKUP(tables_380011!C246,input_380011!A:H,8,FALSE))</f>
        <v>44620</v>
      </c>
      <c r="P246" s="46">
        <f t="shared" ca="1" si="11"/>
        <v>5.9146341463414635E-3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hidden="1" customHeight="1" x14ac:dyDescent="0.15">
      <c r="A247" s="2" t="str">
        <f ca="1">input_380011!A$2</f>
        <v>380011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IFERROR(VLOOKUP(B247,input_380011!L:R,7,FALSE),VLOOKUP(tables_380011!C247,input_380011!A:H,8,FALSE))</f>
        <v>40158</v>
      </c>
      <c r="P247" s="46">
        <f t="shared" ca="1" si="11"/>
        <v>5.3231707317073175E-3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input_380011!A$2</f>
        <v>380011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IFERROR(VLOOKUP(B248,input_380011!L:R,7,FALSE),VLOOKUP(tables_380011!C248,input_380011!A:H,8,FALSE))</f>
        <v>4462</v>
      </c>
      <c r="P248" s="46">
        <f t="shared" ca="1" si="11"/>
        <v>5.9146341463414632E-4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hidden="1" customHeight="1" x14ac:dyDescent="0.15">
      <c r="A249" s="2" t="str">
        <f ca="1">input_380011!A$2</f>
        <v>380011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IFERROR(VLOOKUP(B249,input_380011!L:R,7,FALSE),VLOOKUP(tables_380011!C249,input_380011!A:H,8,FALSE))</f>
        <v>44620</v>
      </c>
      <c r="P249" s="46">
        <f t="shared" ca="1" si="11"/>
        <v>5.9146341463414635E-3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hidden="1" customHeight="1" x14ac:dyDescent="0.15">
      <c r="A250" s="2" t="str">
        <f ca="1">input_380011!A$2</f>
        <v>380011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IFERROR(VLOOKUP(B250,input_380011!L:R,7,FALSE),VLOOKUP(tables_380011!C250,input_380011!A:H,8,FALSE))</f>
        <v>40158</v>
      </c>
      <c r="P250" s="46">
        <f t="shared" ca="1" si="11"/>
        <v>5.3231707317073175E-3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input_380011!A$2</f>
        <v>380011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IFERROR(VLOOKUP(B251,input_380011!L:R,7,FALSE),VLOOKUP(tables_380011!C251,input_380011!A:H,8,FALSE))</f>
        <v>4462</v>
      </c>
      <c r="P251" s="46">
        <f t="shared" ca="1" si="11"/>
        <v>5.9146341463414632E-4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hidden="1" customHeight="1" x14ac:dyDescent="0.15">
      <c r="A252" s="2" t="str">
        <f ca="1">input_380011!A$2</f>
        <v>380011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IFERROR(VLOOKUP(B252,input_380011!L:R,7,FALSE),VLOOKUP(tables_380011!C252,input_380011!A:H,8,FALSE))</f>
        <v>4674</v>
      </c>
      <c r="P252" s="46">
        <f t="shared" ca="1" si="11"/>
        <v>6.1956521739130437E-4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input_380011!A$2</f>
        <v>380011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IFERROR(VLOOKUP(B253,input_380011!L:R,7,FALSE),VLOOKUP(tables_380011!C253,input_380011!A:H,8,FALSE))</f>
        <v>246</v>
      </c>
      <c r="P253" s="46">
        <f t="shared" ca="1" si="11"/>
        <v>3.260869565217391E-5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hidden="1" customHeight="1" x14ac:dyDescent="0.15">
      <c r="A254" s="2" t="str">
        <f ca="1">input_380011!A$2</f>
        <v>380011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IFERROR(VLOOKUP(B254,input_380011!L:R,7,FALSE),VLOOKUP(tables_380011!C254,input_380011!A:H,8,FALSE))</f>
        <v>4674</v>
      </c>
      <c r="P254" s="46">
        <f t="shared" ca="1" si="11"/>
        <v>6.1956521739130437E-4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input_380011!A$2</f>
        <v>380011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IFERROR(VLOOKUP(B255,input_380011!L:R,7,FALSE),VLOOKUP(tables_380011!C255,input_380011!A:H,8,FALSE))</f>
        <v>246</v>
      </c>
      <c r="P255" s="46">
        <f t="shared" ca="1" si="11"/>
        <v>3.260869565217391E-5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hidden="1" customHeight="1" x14ac:dyDescent="0.15">
      <c r="A256" s="2" t="str">
        <f ca="1">input_380011!A$2</f>
        <v>380011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IFERROR(VLOOKUP(B256,input_380011!L:R,7,FALSE),VLOOKUP(tables_380011!C256,input_380011!A:H,8,FALSE))</f>
        <v>82397.600000000006</v>
      </c>
      <c r="P256" s="46">
        <f t="shared" ca="1" si="11"/>
        <v>1.0922269353128315E-2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input_380011!A$2</f>
        <v>380011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IFERROR(VLOOKUP(B257,input_380011!L:R,7,FALSE),VLOOKUP(tables_380011!C257,input_380011!A:H,8,FALSE))</f>
        <v>6842.4</v>
      </c>
      <c r="P257" s="46">
        <f t="shared" ca="1" si="11"/>
        <v>9.0699893955461294E-4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hidden="1" customHeight="1" x14ac:dyDescent="0.15">
      <c r="A258" s="2" t="str">
        <f ca="1">input_380011!A$2</f>
        <v>380011</v>
      </c>
      <c r="B258" s="60">
        <v>730</v>
      </c>
      <c r="C258" s="7" t="str">
        <f t="shared" ref="C258:C299" si="12">D258&amp;J258&amp;E258&amp;F258&amp;G258</f>
        <v>Premium4R3less</v>
      </c>
      <c r="D258" s="7" t="str">
        <f t="shared" ref="D258:D299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IFERROR(VLOOKUP(B258,input_380011!L:R,7,FALSE),VLOOKUP(tables_380011!C258,input_380011!A:H,8,FALSE))</f>
        <v>82397.600000000006</v>
      </c>
      <c r="P258" s="46">
        <f t="shared" ca="1" si="11"/>
        <v>1.0922269353128315E-2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input_380011!A$2</f>
        <v>380011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IFERROR(VLOOKUP(B259,input_380011!L:R,7,FALSE),VLOOKUP(tables_380011!C259,input_380011!A:H,8,FALSE))</f>
        <v>6842.4</v>
      </c>
      <c r="P259" s="46">
        <f t="shared" ref="P259:P299" ca="1" si="14">O259/SUM(O:O)</f>
        <v>9.0699893955461294E-4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input_380011!A$2</f>
        <v>380011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IFERROR(VLOOKUP(B260,input_380011!L:R,7,FALSE),VLOOKUP(tables_380011!C260,input_380011!A:H,8,FALSE))</f>
        <v>4920</v>
      </c>
      <c r="P260" s="46">
        <f t="shared" ca="1" si="14"/>
        <v>6.5217391304347831E-4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input_380011!A$2</f>
        <v>380011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IFERROR(VLOOKUP(B261,input_380011!L:R,7,FALSE),VLOOKUP(tables_380011!C261,input_380011!A:H,8,FALSE))</f>
        <v>4920</v>
      </c>
      <c r="P261" s="46">
        <f t="shared" ca="1" si="14"/>
        <v>6.5217391304347831E-4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hidden="1" customHeight="1" x14ac:dyDescent="0.15">
      <c r="A262" s="2" t="str">
        <f ca="1">input_380011!A$2</f>
        <v>380011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IFERROR(VLOOKUP(B262,input_380011!L:R,7,FALSE),VLOOKUP(tables_380011!C262,input_380011!A:H,8,FALSE))</f>
        <v>4674</v>
      </c>
      <c r="P262" s="46">
        <f t="shared" ca="1" si="14"/>
        <v>6.1956521739130437E-4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input_380011!A$2</f>
        <v>380011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IFERROR(VLOOKUP(B263,input_380011!L:R,7,FALSE),VLOOKUP(tables_380011!C263,input_380011!A:H,8,FALSE))</f>
        <v>246</v>
      </c>
      <c r="P263" s="46">
        <f t="shared" ca="1" si="14"/>
        <v>3.260869565217391E-5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hidden="1" customHeight="1" x14ac:dyDescent="0.15">
      <c r="A264" s="2" t="str">
        <f ca="1">input_380011!A$2</f>
        <v>380011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IFERROR(VLOOKUP(B264,input_380011!L:R,7,FALSE),VLOOKUP(tables_380011!C264,input_380011!A:H,8,FALSE))</f>
        <v>4674</v>
      </c>
      <c r="P264" s="46">
        <f t="shared" ca="1" si="14"/>
        <v>6.1956521739130437E-4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input_380011!A$2</f>
        <v>380011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IFERROR(VLOOKUP(B265,input_380011!L:R,7,FALSE),VLOOKUP(tables_380011!C265,input_380011!A:H,8,FALSE))</f>
        <v>246</v>
      </c>
      <c r="P265" s="46">
        <f t="shared" ca="1" si="14"/>
        <v>3.260869565217391E-5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hidden="1" customHeight="1" x14ac:dyDescent="0.15">
      <c r="A266" s="2" t="str">
        <f ca="1">input_380011!A$2</f>
        <v>380011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IFERROR(VLOOKUP(B266,input_380011!L:R,7,FALSE),VLOOKUP(tables_380011!C266,input_380011!A:H,8,FALSE))</f>
        <v>44620</v>
      </c>
      <c r="P266" s="46">
        <f t="shared" ca="1" si="14"/>
        <v>5.9146341463414635E-3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hidden="1" customHeight="1" x14ac:dyDescent="0.15">
      <c r="A267" s="2" t="str">
        <f ca="1">input_380011!A$2</f>
        <v>380011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IFERROR(VLOOKUP(B267,input_380011!L:R,7,FALSE),VLOOKUP(tables_380011!C267,input_380011!A:H,8,FALSE))</f>
        <v>40158</v>
      </c>
      <c r="P267" s="46">
        <f t="shared" ca="1" si="14"/>
        <v>5.3231707317073175E-3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input_380011!A$2</f>
        <v>380011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IFERROR(VLOOKUP(B268,input_380011!L:R,7,FALSE),VLOOKUP(tables_380011!C268,input_380011!A:H,8,FALSE))</f>
        <v>4462</v>
      </c>
      <c r="P268" s="46">
        <f t="shared" ca="1" si="14"/>
        <v>5.9146341463414632E-4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hidden="1" customHeight="1" x14ac:dyDescent="0.15">
      <c r="A269" s="2" t="str">
        <f ca="1">input_380011!A$2</f>
        <v>380011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IFERROR(VLOOKUP(B269,input_380011!L:R,7,FALSE),VLOOKUP(tables_380011!C269,input_380011!A:H,8,FALSE))</f>
        <v>44620</v>
      </c>
      <c r="P269" s="46">
        <f t="shared" ca="1" si="14"/>
        <v>5.9146341463414635E-3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hidden="1" customHeight="1" x14ac:dyDescent="0.15">
      <c r="A270" s="2" t="str">
        <f ca="1">input_380011!A$2</f>
        <v>380011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IFERROR(VLOOKUP(B270,input_380011!L:R,7,FALSE),VLOOKUP(tables_380011!C270,input_380011!A:H,8,FALSE))</f>
        <v>40158</v>
      </c>
      <c r="P270" s="46">
        <f t="shared" ca="1" si="14"/>
        <v>5.3231707317073175E-3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input_380011!A$2</f>
        <v>380011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IFERROR(VLOOKUP(B271,input_380011!L:R,7,FALSE),VLOOKUP(tables_380011!C271,input_380011!A:H,8,FALSE))</f>
        <v>4462</v>
      </c>
      <c r="P271" s="46">
        <f t="shared" ca="1" si="14"/>
        <v>5.9146341463414632E-4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input_380011!A$2</f>
        <v>380011</v>
      </c>
      <c r="B272" s="82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IFERROR(VLOOKUP(B272,input_380011!L:R,7,FALSE),VLOOKUP(tables_380011!C272,input_380011!A:H,8,FALSE))</f>
        <v>4920</v>
      </c>
      <c r="P272" s="46">
        <f t="shared" ca="1" si="14"/>
        <v>6.5217391304347831E-4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input_380011!A$2</f>
        <v>380011</v>
      </c>
      <c r="B273" s="82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IFERROR(VLOOKUP(B273,input_380011!L:R,7,FALSE),VLOOKUP(tables_380011!C273,input_380011!A:H,8,FALSE))</f>
        <v>4920</v>
      </c>
      <c r="P273" s="46">
        <f t="shared" ca="1" si="14"/>
        <v>6.5217391304347831E-4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hidden="1" customHeight="1" x14ac:dyDescent="0.15">
      <c r="A274" s="2" t="str">
        <f ca="1">input_380011!A$2</f>
        <v>380011</v>
      </c>
      <c r="B274" s="82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IFERROR(VLOOKUP(B274,input_380011!L:R,7,FALSE),VLOOKUP(tables_380011!C274,input_380011!A:H,8,FALSE))</f>
        <v>82397.600000000006</v>
      </c>
      <c r="P274" s="46">
        <f t="shared" ca="1" si="14"/>
        <v>1.0922269353128315E-2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input_380011!A$2</f>
        <v>380011</v>
      </c>
      <c r="B275" s="82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IFERROR(VLOOKUP(B275,input_380011!L:R,7,FALSE),VLOOKUP(tables_380011!C275,input_380011!A:H,8,FALSE))</f>
        <v>6842.4</v>
      </c>
      <c r="P275" s="46">
        <f t="shared" ca="1" si="14"/>
        <v>9.0699893955461294E-4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hidden="1" customHeight="1" x14ac:dyDescent="0.15">
      <c r="A276" s="2" t="str">
        <f ca="1">input_380011!A$2</f>
        <v>380011</v>
      </c>
      <c r="B276" s="82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IFERROR(VLOOKUP(B276,input_380011!L:R,7,FALSE),VLOOKUP(tables_380011!C276,input_380011!A:H,8,FALSE))</f>
        <v>82397.600000000006</v>
      </c>
      <c r="P276" s="46">
        <f t="shared" ca="1" si="14"/>
        <v>1.0922269353128315E-2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input_380011!A$2</f>
        <v>380011</v>
      </c>
      <c r="B277" s="82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IFERROR(VLOOKUP(B277,input_380011!L:R,7,FALSE),VLOOKUP(tables_380011!C277,input_380011!A:H,8,FALSE))</f>
        <v>6842.4</v>
      </c>
      <c r="P277" s="46">
        <f t="shared" ca="1" si="14"/>
        <v>9.0699893955461294E-4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hidden="1" customHeight="1" x14ac:dyDescent="0.15">
      <c r="A278" s="2" t="str">
        <f ca="1">input_380011!A$2</f>
        <v>380011</v>
      </c>
      <c r="B278" s="82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IFERROR(VLOOKUP(B278,input_380011!L:R,7,FALSE),VLOOKUP(tables_380011!C278,input_380011!A:H,8,FALSE))</f>
        <v>82397.600000000006</v>
      </c>
      <c r="P278" s="46">
        <f t="shared" ca="1" si="14"/>
        <v>1.0922269353128315E-2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input_380011!A$2</f>
        <v>380011</v>
      </c>
      <c r="B279" s="82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IFERROR(VLOOKUP(B279,input_380011!L:R,7,FALSE),VLOOKUP(tables_380011!C279,input_380011!A:H,8,FALSE))</f>
        <v>6842.4</v>
      </c>
      <c r="P279" s="46">
        <f t="shared" ca="1" si="14"/>
        <v>9.0699893955461294E-4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hidden="1" customHeight="1" x14ac:dyDescent="0.15">
      <c r="A280" s="2" t="str">
        <f ca="1">input_380011!A$2</f>
        <v>380011</v>
      </c>
      <c r="B280" s="82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IFERROR(VLOOKUP(B280,input_380011!L:R,7,FALSE),VLOOKUP(tables_380011!C280,input_380011!A:H,8,FALSE))</f>
        <v>82397.600000000006</v>
      </c>
      <c r="P280" s="46">
        <f t="shared" ca="1" si="14"/>
        <v>1.0922269353128315E-2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input_380011!A$2</f>
        <v>380011</v>
      </c>
      <c r="B281" s="82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IFERROR(VLOOKUP(B281,input_380011!L:R,7,FALSE),VLOOKUP(tables_380011!C281,input_380011!A:H,8,FALSE))</f>
        <v>6842.4</v>
      </c>
      <c r="P281" s="46">
        <f t="shared" ca="1" si="14"/>
        <v>9.0699893955461294E-4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input_380011!A$2</f>
        <v>380011</v>
      </c>
      <c r="B282" s="82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IFERROR(VLOOKUP(B282,input_380011!L:R,7,FALSE),VLOOKUP(tables_380011!C282,input_380011!A:H,8,FALSE))</f>
        <v>4920</v>
      </c>
      <c r="P282" s="46">
        <f t="shared" ca="1" si="14"/>
        <v>6.5217391304347831E-4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input_380011!A$2</f>
        <v>380011</v>
      </c>
      <c r="B283" s="82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IFERROR(VLOOKUP(B283,input_380011!L:R,7,FALSE),VLOOKUP(tables_380011!C283,input_380011!A:H,8,FALSE))</f>
        <v>4920</v>
      </c>
      <c r="P283" s="46">
        <f t="shared" ca="1" si="14"/>
        <v>6.5217391304347831E-4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input_380011!A$2</f>
        <v>380011</v>
      </c>
      <c r="B284" s="82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IFERROR(VLOOKUP(B284,input_380011!L:R,7,FALSE),VLOOKUP(tables_380011!C284,input_380011!A:H,8,FALSE))</f>
        <v>4920</v>
      </c>
      <c r="P284" s="46">
        <f t="shared" ca="1" si="14"/>
        <v>6.5217391304347831E-4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input_380011!A$2</f>
        <v>380011</v>
      </c>
      <c r="B285" s="82">
        <v>744</v>
      </c>
      <c r="C285" s="7" t="str">
        <f t="shared" si="12"/>
        <v>PremiumSS5R5only</v>
      </c>
      <c r="D285" s="7" t="str">
        <f t="shared" si="13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IFERROR(VLOOKUP(B285,input_380011!L:R,7,FALSE),VLOOKUP(tables_380011!C285,input_380011!A:H,8,FALSE))</f>
        <v>4920</v>
      </c>
      <c r="P285" s="46">
        <f t="shared" ca="1" si="14"/>
        <v>6.5217391304347831E-4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hidden="1" customHeight="1" x14ac:dyDescent="0.15">
      <c r="A286" s="2" t="str">
        <f ca="1">input_380011!A$2</f>
        <v>380011</v>
      </c>
      <c r="B286" s="82">
        <v>746</v>
      </c>
      <c r="C286" s="7" t="str">
        <f t="shared" si="12"/>
        <v>Premium4R3less</v>
      </c>
      <c r="D286" s="7" t="str">
        <f t="shared" si="13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IFERROR(VLOOKUP(B286,input_380011!L:R,7,FALSE),VLOOKUP(tables_380011!C286,input_380011!A:H,8,FALSE))</f>
        <v>82397.600000000006</v>
      </c>
      <c r="P286" s="46">
        <f t="shared" ca="1" si="14"/>
        <v>1.0922269353128315E-2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input_380011!A$2</f>
        <v>380011</v>
      </c>
      <c r="B287" s="82">
        <v>747</v>
      </c>
      <c r="C287" s="7" t="str">
        <f t="shared" si="12"/>
        <v>Premium5R3less</v>
      </c>
      <c r="D287" s="7" t="str">
        <f t="shared" si="13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IFERROR(VLOOKUP(B287,input_380011!L:R,7,FALSE),VLOOKUP(tables_380011!C287,input_380011!A:H,8,FALSE))</f>
        <v>6842.4</v>
      </c>
      <c r="P287" s="46">
        <f t="shared" ca="1" si="14"/>
        <v>9.0699893955461294E-4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hidden="1" customHeight="1" x14ac:dyDescent="0.15">
      <c r="A288" s="2" t="str">
        <f ca="1">input_380011!A$2</f>
        <v>380011</v>
      </c>
      <c r="B288" s="82">
        <v>748</v>
      </c>
      <c r="C288" s="7" t="str">
        <f t="shared" si="12"/>
        <v>Premium4R3less</v>
      </c>
      <c r="D288" s="7" t="str">
        <f t="shared" si="13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IFERROR(VLOOKUP(B288,input_380011!L:R,7,FALSE),VLOOKUP(tables_380011!C288,input_380011!A:H,8,FALSE))</f>
        <v>82397.600000000006</v>
      </c>
      <c r="P288" s="46">
        <f t="shared" ca="1" si="14"/>
        <v>1.0922269353128315E-2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input_380011!A$2</f>
        <v>380011</v>
      </c>
      <c r="B289" s="82">
        <v>749</v>
      </c>
      <c r="C289" s="7" t="str">
        <f t="shared" si="12"/>
        <v>Premium5R3less</v>
      </c>
      <c r="D289" s="7" t="str">
        <f t="shared" si="13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IFERROR(VLOOKUP(B289,input_380011!L:R,7,FALSE),VLOOKUP(tables_380011!C289,input_380011!A:H,8,FALSE))</f>
        <v>6842.4</v>
      </c>
      <c r="P289" s="46">
        <f t="shared" ca="1" si="14"/>
        <v>9.0699893955461294E-4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input_380011!A$2</f>
        <v>380011</v>
      </c>
      <c r="B290" s="82">
        <v>937</v>
      </c>
      <c r="C290" s="7" t="str">
        <f t="shared" si="12"/>
        <v>PremiumSS5R5only</v>
      </c>
      <c r="D290" s="7" t="str">
        <f t="shared" si="13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IFERROR(VLOOKUP(B290,input_380011!L:R,7,FALSE),VLOOKUP(tables_380011!C290,input_380011!A:H,8,FALSE))</f>
        <v>4920</v>
      </c>
      <c r="P290" s="46">
        <f t="shared" ca="1" si="14"/>
        <v>6.5217391304347831E-4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hidden="1" customHeight="1" x14ac:dyDescent="0.15">
      <c r="A291" s="2" t="str">
        <f ca="1">input_380011!A$2</f>
        <v>380011</v>
      </c>
      <c r="B291" s="82">
        <v>939</v>
      </c>
      <c r="C291" s="7" t="str">
        <f t="shared" si="12"/>
        <v>Premium4R3less</v>
      </c>
      <c r="D291" s="7" t="str">
        <f t="shared" si="13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IFERROR(VLOOKUP(B291,input_380011!L:R,7,FALSE),VLOOKUP(tables_380011!C291,input_380011!A:H,8,FALSE))</f>
        <v>82397.600000000006</v>
      </c>
      <c r="P291" s="46">
        <f t="shared" ca="1" si="14"/>
        <v>1.0922269353128315E-2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input_380011!A$2</f>
        <v>380011</v>
      </c>
      <c r="B292" s="82">
        <v>940</v>
      </c>
      <c r="C292" s="7" t="str">
        <f t="shared" si="12"/>
        <v>Premium5R3less</v>
      </c>
      <c r="D292" s="7" t="str">
        <f t="shared" si="13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IFERROR(VLOOKUP(B292,input_380011!L:R,7,FALSE),VLOOKUP(tables_380011!C292,input_380011!A:H,8,FALSE))</f>
        <v>6842.4</v>
      </c>
      <c r="P292" s="46">
        <f t="shared" ca="1" si="14"/>
        <v>9.0699893955461294E-4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input_380011!A$2</f>
        <v>380011</v>
      </c>
      <c r="B293" s="82">
        <v>941</v>
      </c>
      <c r="C293" s="7" t="str">
        <f t="shared" si="12"/>
        <v>PremiumSS5R5only</v>
      </c>
      <c r="D293" s="7" t="str">
        <f t="shared" si="13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IFERROR(VLOOKUP(B293,input_380011!L:R,7,FALSE),VLOOKUP(tables_380011!C293,input_380011!A:H,8,FALSE))</f>
        <v>4920</v>
      </c>
      <c r="P293" s="46">
        <f t="shared" ca="1" si="14"/>
        <v>6.5217391304347831E-4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input_380011!A$2</f>
        <v>380011</v>
      </c>
      <c r="B294" s="82">
        <v>943</v>
      </c>
      <c r="C294" s="7" t="str">
        <f t="shared" si="12"/>
        <v>PremiumSS5R5only</v>
      </c>
      <c r="D294" s="7" t="str">
        <f t="shared" si="13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IFERROR(VLOOKUP(B294,input_380011!L:R,7,FALSE),VLOOKUP(tables_380011!C294,input_380011!A:H,8,FALSE))</f>
        <v>4920</v>
      </c>
      <c r="P294" s="46">
        <f t="shared" ca="1" si="14"/>
        <v>6.5217391304347831E-4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input_380011!A$2</f>
        <v>380011</v>
      </c>
      <c r="B295" s="82">
        <v>1012</v>
      </c>
      <c r="C295" s="7" t="str">
        <f t="shared" si="12"/>
        <v>PremiumSS5R5only</v>
      </c>
      <c r="D295" s="7" t="str">
        <f t="shared" si="13"/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IFERROR(VLOOKUP(B295,input_380011!L:R,7,FALSE),VLOOKUP(tables_380011!C295,input_380011!A:H,8,FALSE))</f>
        <v>4920</v>
      </c>
      <c r="P295" s="46">
        <f t="shared" ca="1" si="14"/>
        <v>6.5217391304347831E-4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input_380011!A$2</f>
        <v>380011</v>
      </c>
      <c r="B296" s="82">
        <v>1014</v>
      </c>
      <c r="C296" s="7" t="str">
        <f t="shared" si="12"/>
        <v>PremiumSS5R5only</v>
      </c>
      <c r="D296" s="7" t="str">
        <f t="shared" si="13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IFERROR(VLOOKUP(B296,input_380011!L:R,7,FALSE),VLOOKUP(tables_380011!C296,input_380011!A:H,8,FALSE))</f>
        <v>4920</v>
      </c>
      <c r="P296" s="46">
        <f t="shared" ca="1" si="14"/>
        <v>6.5217391304347831E-4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hidden="1" customHeight="1" x14ac:dyDescent="0.15">
      <c r="A297" s="2" t="str">
        <f ca="1">input_380011!A$2</f>
        <v>380011</v>
      </c>
      <c r="B297" s="82">
        <v>1016</v>
      </c>
      <c r="C297" s="7" t="str">
        <f t="shared" si="12"/>
        <v>Premium4R3less</v>
      </c>
      <c r="D297" s="7" t="str">
        <f t="shared" si="13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IFERROR(VLOOKUP(B297,input_380011!L:R,7,FALSE),VLOOKUP(tables_380011!C297,input_380011!A:H,8,FALSE))</f>
        <v>82397.600000000006</v>
      </c>
      <c r="P297" s="46">
        <f t="shared" ca="1" si="14"/>
        <v>1.0922269353128315E-2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input_380011!A$2</f>
        <v>380011</v>
      </c>
      <c r="B298" s="82">
        <v>1017</v>
      </c>
      <c r="C298" s="7" t="str">
        <f t="shared" si="12"/>
        <v>Premium5R3less</v>
      </c>
      <c r="D298" s="7" t="str">
        <f t="shared" si="13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IFERROR(VLOOKUP(B298,input_380011!L:R,7,FALSE),VLOOKUP(tables_380011!C298,input_380011!A:H,8,FALSE))</f>
        <v>6842.4</v>
      </c>
      <c r="P298" s="46">
        <f t="shared" ca="1" si="14"/>
        <v>9.0699893955461294E-4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input_380011!A$2</f>
        <v>380011</v>
      </c>
      <c r="B299" s="82">
        <v>1018</v>
      </c>
      <c r="C299" s="7" t="str">
        <f t="shared" si="12"/>
        <v>PremiumSS5R5only</v>
      </c>
      <c r="D299" s="7" t="str">
        <f t="shared" si="13"/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IFERROR(VLOOKUP(B299,input_380011!L:R,7,FALSE),VLOOKUP(tables_380011!C299,input_380011!A:H,8,FALSE))</f>
        <v>4920</v>
      </c>
      <c r="P299" s="46">
        <f t="shared" ca="1" si="14"/>
        <v>6.5217391304347831E-4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</sheetData>
  <autoFilter ref="A1:V299">
    <filterColumn colId="9">
      <filters>
        <filter val="5"/>
      </filters>
    </filterColumn>
  </autoFilter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workbookViewId="0">
      <selection activeCell="F5" sqref="F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380100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VLOOKUP(L3,tables_380100!B:C,2,FALSE)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VLOOKUP(L4,tables_380100!B:C,2,FALSE)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1.1904761904761906E-3</v>
      </c>
      <c r="F5">
        <f>(COUNTIF(tables_380100!C:C,input_380100!A28)+COUNTIF(tables_380100!C:C,input_380100!A29))</f>
        <v>42</v>
      </c>
      <c r="H5" s="85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VLOOKUP(L5,tables_380100!B:C,2,FALSE)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1.1046511627906977E-2</v>
      </c>
      <c r="F6">
        <f>(COUNTIF(tables_380100!C:C,input_380100!A26)+COUNTIF(tables_380100!C:C,input_380100!A18)+COUNTIF(tables_380100!C:C,input_380100!A20)+COUNTIF(tables_380100!C:C,input_380100!A22))</f>
        <v>86</v>
      </c>
      <c r="H6" s="91">
        <v>0</v>
      </c>
      <c r="I6" s="31">
        <v>0</v>
      </c>
      <c r="L6" s="60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VLOOKUP(L6,tables_380100!B:C,2,FALSE)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VLOOKUP(L7,tables_380100!B:C,2,FALSE)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VLOOKUP(L8,tables_380100!B:C,2,FALSE)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VLOOKUP(L9,tables_380100!B:C,2,FALSE)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VLOOKUP(L10,tables_380100!B:C,2,FALSE)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8">
        <v>0.05</v>
      </c>
      <c r="C11" t="s">
        <v>255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VLOOKUP(L11,tables_380100!B:C,2,FALSE)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VLOOKUP(L12,tables_380100!B:C,2,FALSE)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VLOOKUP(L13,tables_380100!B:C,2,FALSE)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VLOOKUP(L14,tables_380100!B:C,2,FALSE)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VLOOKUP(L15,tables_380100!B:C,2,FALSE)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VLOOKUP(L16,tables_380100!B:C,2,FALSE)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3">
        <f>B$5-B19-B24</f>
        <v>0</v>
      </c>
      <c r="C17" s="86">
        <f t="shared" ref="C17:C31" si="2">SUMIF(Q:Q,A17,N:N)</f>
        <v>0</v>
      </c>
      <c r="D17" s="74">
        <f t="shared" ref="D17:D32" si="3">B17-C17</f>
        <v>0</v>
      </c>
      <c r="E17">
        <f>COUNTIF(tables_380100!C:C,input_380100!A17)-COUNTIF(Q:Q,A17)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VLOOKUP(L17,tables_380100!B:C,2,FALSE)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0.22093023255813954</v>
      </c>
      <c r="C18" s="86">
        <f t="shared" si="2"/>
        <v>0</v>
      </c>
      <c r="D18" s="74">
        <f t="shared" si="3"/>
        <v>0.22093023255813954</v>
      </c>
      <c r="E18">
        <f>COUNTIF(tables_380100!C:C,input_380100!A18)-COUNTIF(Q:Q,A18)</f>
        <v>20</v>
      </c>
      <c r="F18" s="43">
        <f>IFERROR(B18/E18,0)</f>
        <v>1.1046511627906977E-2</v>
      </c>
      <c r="G18">
        <f t="shared" si="4"/>
        <v>1596000</v>
      </c>
      <c r="H18">
        <f t="shared" si="5"/>
        <v>79800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VLOOKUP(L18,tables_380100!B:C,2,FALSE)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6">
        <f t="shared" si="2"/>
        <v>0</v>
      </c>
      <c r="D19" s="74">
        <f t="shared" si="3"/>
        <v>0</v>
      </c>
      <c r="E19">
        <f>COUNTIF(tables_380100!C:C,input_380100!A19)-COUNTIF(Q:Q,A19)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VLOOKUP(L19,tables_380100!B:C,2,FALSE)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56">
        <f>E$6*E20*B$6</f>
        <v>0.54569767441860462</v>
      </c>
      <c r="C20" s="86">
        <f t="shared" si="2"/>
        <v>0</v>
      </c>
      <c r="D20" s="74">
        <f t="shared" si="3"/>
        <v>0.54569767441860462</v>
      </c>
      <c r="E20">
        <f>COUNTIF(tables_380100!C:C,input_380100!A20)-COUNTIF(Q:Q,A20)</f>
        <v>52</v>
      </c>
      <c r="F20" s="43">
        <f t="shared" si="8"/>
        <v>1.0494186046511627E-2</v>
      </c>
      <c r="G20">
        <f t="shared" si="4"/>
        <v>3942119.9999999995</v>
      </c>
      <c r="H20">
        <f t="shared" si="5"/>
        <v>75810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VLOOKUP(L20,tables_380100!B:C,2,FALSE)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E$6*E21*B$7</f>
        <v>2.8720930232558142E-2</v>
      </c>
      <c r="C21" s="86">
        <f t="shared" si="2"/>
        <v>0</v>
      </c>
      <c r="D21" s="74">
        <f t="shared" si="3"/>
        <v>2.8720930232558142E-2</v>
      </c>
      <c r="E21">
        <f>COUNTIF(tables_380100!C:C,input_380100!A21)-COUNTIF(Q:Q,A21)</f>
        <v>52</v>
      </c>
      <c r="F21" s="43">
        <f t="shared" si="8"/>
        <v>5.5232558139534885E-4</v>
      </c>
      <c r="G21">
        <f t="shared" si="4"/>
        <v>207480.00000000003</v>
      </c>
      <c r="H21">
        <f t="shared" si="5"/>
        <v>3990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0.10972868217054264</v>
      </c>
      <c r="C22" s="86">
        <f t="shared" si="2"/>
        <v>0</v>
      </c>
      <c r="D22" s="74">
        <f t="shared" si="3"/>
        <v>0.10972868217054264</v>
      </c>
      <c r="E22">
        <f>COUNTIF(tables_380100!C:C,input_380100!A22)-COUNTIF(Q:Q,A22)</f>
        <v>10</v>
      </c>
      <c r="F22" s="43">
        <f t="shared" si="8"/>
        <v>1.0972868217054264E-2</v>
      </c>
      <c r="G22">
        <f t="shared" si="4"/>
        <v>792680</v>
      </c>
      <c r="H22">
        <f t="shared" si="5"/>
        <v>79268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B$7-B26-B28-B29-B21</f>
        <v>7.3643410852712241E-4</v>
      </c>
      <c r="C23" s="86">
        <f t="shared" si="2"/>
        <v>0</v>
      </c>
      <c r="D23" s="74">
        <f t="shared" si="3"/>
        <v>7.3643410852712241E-4</v>
      </c>
      <c r="E23">
        <f>COUNTIF(tables_380100!C:C,input_380100!A23)-COUNTIF(Q:Q,A23)</f>
        <v>10</v>
      </c>
      <c r="F23" s="43">
        <f t="shared" si="8"/>
        <v>7.3643410852712243E-5</v>
      </c>
      <c r="G23">
        <f t="shared" si="4"/>
        <v>5319.9999999999327</v>
      </c>
      <c r="H23">
        <f t="shared" si="5"/>
        <v>532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6">
        <f t="shared" si="2"/>
        <v>0</v>
      </c>
      <c r="D24" s="74">
        <f t="shared" si="3"/>
        <v>0</v>
      </c>
      <c r="E24">
        <f>COUNTIF(tables_380100!C:C,input_380100!A24)-COUNTIF(Q:Q,A24)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4.1976744186046508E-2</v>
      </c>
      <c r="C25" s="86">
        <f t="shared" si="2"/>
        <v>0</v>
      </c>
      <c r="D25" s="74">
        <f t="shared" si="3"/>
        <v>4.1976744186046508E-2</v>
      </c>
      <c r="E25">
        <f>COUNTIF(tables_380100!C:C,input_380100!A25)-COUNTIF(Q:Q,A25)</f>
        <v>4</v>
      </c>
      <c r="F25" s="43">
        <f t="shared" si="8"/>
        <v>1.0494186046511627E-2</v>
      </c>
      <c r="G25">
        <f t="shared" si="4"/>
        <v>303240</v>
      </c>
      <c r="H25">
        <f t="shared" si="5"/>
        <v>75810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2.2093023255813954E-3</v>
      </c>
      <c r="C26" s="86">
        <f t="shared" si="2"/>
        <v>0</v>
      </c>
      <c r="D26" s="74">
        <f t="shared" si="3"/>
        <v>2.2093023255813954E-3</v>
      </c>
      <c r="E26">
        <f>COUNTIF(tables_380100!C:C,input_380100!A26)-COUNTIF(Q:Q,A26)</f>
        <v>4</v>
      </c>
      <c r="F26" s="43">
        <f t="shared" si="8"/>
        <v>5.5232558139534885E-4</v>
      </c>
      <c r="G26">
        <f t="shared" si="4"/>
        <v>15960</v>
      </c>
      <c r="H26">
        <f t="shared" si="5"/>
        <v>3990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3.1666666666666669E-2</v>
      </c>
      <c r="C27" s="86">
        <f t="shared" si="2"/>
        <v>0</v>
      </c>
      <c r="D27" s="74">
        <f t="shared" si="3"/>
        <v>3.1666666666666669E-2</v>
      </c>
      <c r="E27">
        <f>COUNTIF(tables_380100!C:C,input_380100!A27)-COUNTIF(Q:Q,A27)</f>
        <v>28</v>
      </c>
      <c r="F27" s="43">
        <f>IFERROR(B27/E27,0)</f>
        <v>1.1309523809523811E-3</v>
      </c>
      <c r="G27">
        <f t="shared" si="4"/>
        <v>228760.00000000003</v>
      </c>
      <c r="H27">
        <f t="shared" si="5"/>
        <v>8170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1.666666666666667E-3</v>
      </c>
      <c r="C28" s="86">
        <f t="shared" si="2"/>
        <v>0</v>
      </c>
      <c r="D28" s="74">
        <f t="shared" si="3"/>
        <v>1.666666666666667E-3</v>
      </c>
      <c r="E28">
        <f>COUNTIF(tables_380100!C:C,input_380100!A28)-COUNTIF(Q:Q,A28)</f>
        <v>28</v>
      </c>
      <c r="F28" s="43">
        <f t="shared" si="8"/>
        <v>5.9523809523809537E-5</v>
      </c>
      <c r="G28">
        <f t="shared" si="4"/>
        <v>12040.000000000002</v>
      </c>
      <c r="H28">
        <f t="shared" si="5"/>
        <v>430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1.666666666666667E-2</v>
      </c>
      <c r="C29" s="86">
        <f t="shared" si="2"/>
        <v>0</v>
      </c>
      <c r="D29" s="74">
        <f t="shared" si="3"/>
        <v>1.666666666666667E-2</v>
      </c>
      <c r="E29">
        <f>COUNTIF(tables_380100!C:C,input_380100!A29)-COUNTIF(Q:Q,A29)</f>
        <v>14</v>
      </c>
      <c r="F29" s="43">
        <f t="shared" si="8"/>
        <v>1.1904761904761908E-3</v>
      </c>
      <c r="G29">
        <f t="shared" si="4"/>
        <v>120400.00000000003</v>
      </c>
      <c r="H29">
        <f t="shared" si="5"/>
        <v>8600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242</v>
      </c>
      <c r="B30" s="56">
        <f>0</f>
        <v>0</v>
      </c>
      <c r="C30" s="86">
        <f t="shared" si="2"/>
        <v>0</v>
      </c>
      <c r="D30" s="74">
        <f t="shared" si="3"/>
        <v>0</v>
      </c>
      <c r="E30">
        <f>COUNTIF(tables_380100!C:C,input_380100!A30)-COUNTIF(Q:Q,A30)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243</v>
      </c>
      <c r="B31" s="56">
        <v>0</v>
      </c>
      <c r="C31" s="86">
        <f t="shared" si="2"/>
        <v>0</v>
      </c>
      <c r="D31" s="74">
        <f t="shared" si="3"/>
        <v>0</v>
      </c>
      <c r="E31">
        <f>COUNTIF(tables_380100!C:C,input_380100!A31)-COUNTIF(Q:Q,A31)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0.99999999999999989</v>
      </c>
      <c r="C32" s="41">
        <f>SUM(C19:C31)</f>
        <v>0</v>
      </c>
      <c r="D32" s="42">
        <f t="shared" si="3"/>
        <v>0.99999999999999989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</f>
        <v>7224000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SUMIF(tables_380100!C:C,input_380100!A40,tables_380100!O:O)</f>
        <v>0</v>
      </c>
      <c r="C40" s="54">
        <f t="shared" ref="C40:C46" ca="1" si="9">B40/B$47</f>
        <v>0</v>
      </c>
      <c r="E40">
        <v>3</v>
      </c>
      <c r="F40">
        <f ca="1">SUMIF(tables_380100!J:J,input_380100!E40,tables_380100!O:O)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SUMIF(tables_380100!C:C,input_380100!A41,tables_380100!O:O)</f>
        <v>3942120</v>
      </c>
      <c r="C41" s="54">
        <f t="shared" ca="1" si="9"/>
        <v>0.8978954081632653</v>
      </c>
      <c r="E41">
        <v>4</v>
      </c>
      <c r="F41">
        <f ca="1">SUMIF(tables_380100!J:J,input_380100!E41,tables_380100!O:O)</f>
        <v>6862800</v>
      </c>
      <c r="G41">
        <f ca="1">F41/A36</f>
        <v>0.95</v>
      </c>
    </row>
    <row r="42" spans="1:7" x14ac:dyDescent="0.15">
      <c r="A42" s="33" t="s">
        <v>106</v>
      </c>
      <c r="B42">
        <f ca="1">SUMIF(tables_380100!C:C,input_380100!A42,tables_380100!O:O)</f>
        <v>228760</v>
      </c>
      <c r="C42" s="54">
        <f t="shared" ca="1" si="9"/>
        <v>5.2104591836734694E-2</v>
      </c>
      <c r="E42">
        <v>5</v>
      </c>
      <c r="F42">
        <f ca="1">SUMIF(tables_380100!J:J,input_380100!E42,tables_380100!O:O)</f>
        <v>361200</v>
      </c>
      <c r="G42">
        <f ca="1">F42/A36</f>
        <v>0.05</v>
      </c>
    </row>
    <row r="43" spans="1:7" x14ac:dyDescent="0.15">
      <c r="A43" s="33" t="s">
        <v>109</v>
      </c>
      <c r="B43">
        <f>SUMIF(tables_380100!C:C,input_380100!A43,tables_380100!O:O)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SUMIF(tables_380100!C:C,input_380100!A44,tables_380100!O:O)</f>
        <v>207480</v>
      </c>
      <c r="C44" s="54">
        <f t="shared" ca="1" si="9"/>
        <v>4.7257653061224487E-2</v>
      </c>
      <c r="E44" t="s">
        <v>54</v>
      </c>
      <c r="F44" s="55"/>
    </row>
    <row r="45" spans="1:7" x14ac:dyDescent="0.15">
      <c r="A45" s="33" t="s">
        <v>107</v>
      </c>
      <c r="B45">
        <f ca="1">SUMIF(tables_380100!C:C,input_380100!A45,tables_380100!O:O)</f>
        <v>12040</v>
      </c>
      <c r="C45" s="54">
        <f t="shared" ca="1" si="9"/>
        <v>2.7423469387755101E-3</v>
      </c>
      <c r="E45" t="s">
        <v>204</v>
      </c>
      <c r="F45" s="55">
        <f ca="1">SUMIF(tables_380100!I:I,input_380100!E45,tables_380100!P:P)</f>
        <v>0.22093023255813957</v>
      </c>
    </row>
    <row r="46" spans="1:7" x14ac:dyDescent="0.15">
      <c r="A46" s="33" t="s">
        <v>108</v>
      </c>
      <c r="B46">
        <f>SUMIF(tables_380100!C:C,input_380100!A46,tables_380100!O:O)</f>
        <v>0</v>
      </c>
      <c r="C46" s="54">
        <f t="shared" ca="1" si="9"/>
        <v>0</v>
      </c>
      <c r="E46" t="s">
        <v>205</v>
      </c>
      <c r="F46" s="55">
        <f ca="1">SUMIF(tables_380100!I:I,input_380100!E46,tables_380100!P:P)</f>
        <v>0.22093023255813943</v>
      </c>
    </row>
    <row r="47" spans="1:7" x14ac:dyDescent="0.15">
      <c r="A47" s="39" t="s">
        <v>59</v>
      </c>
      <c r="B47">
        <f ca="1">SUM(B40:B46)</f>
        <v>4390400</v>
      </c>
      <c r="C47" s="55">
        <f ca="1">SUM(C40:C46)</f>
        <v>1</v>
      </c>
      <c r="E47" t="s">
        <v>206</v>
      </c>
      <c r="F47" s="55">
        <f ca="1">SUMIF(tables_380100!I:I,input_380100!E47,tables_380100!P:P)</f>
        <v>0.50813953488372099</v>
      </c>
    </row>
    <row r="48" spans="1:7" x14ac:dyDescent="0.15">
      <c r="E48" t="s">
        <v>207</v>
      </c>
      <c r="F48" s="55">
        <f ca="1">SUMIF(tables_380100!I:I,input_380100!E48,tables_380100!P:P)</f>
        <v>5.000000000000001E-2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299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Q30" sqref="Q3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input_380100!A$2</f>
        <v>380100</v>
      </c>
      <c r="B2" s="60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IFERROR(VLOOKUP(B2,input_380100!L:R,7,FALSE),VLOOKUP(tables_380100!C2,input_380100!A:H,8,FALSE))</f>
        <v>0</v>
      </c>
      <c r="P2" s="46">
        <f t="shared" ref="P2:P65" ca="1" si="2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input_380100!A$2</f>
        <v>380100</v>
      </c>
      <c r="B3" s="60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IFERROR(VLOOKUP(B3,input_380100!L:R,7,FALSE),VLOOKUP(tables_380100!C3,input_380100!A:H,8,FALSE))</f>
        <v>79800</v>
      </c>
      <c r="P3" s="46">
        <f t="shared" ca="1" si="2"/>
        <v>1.1046511627906977E-2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input_380100!A$2</f>
        <v>380100</v>
      </c>
      <c r="B4" s="60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IFERROR(VLOOKUP(B4,input_380100!L:R,7,FALSE),VLOOKUP(tables_380100!C4,input_380100!A:H,8,FALSE))</f>
        <v>0</v>
      </c>
      <c r="P4" s="46">
        <f t="shared" ca="1" si="2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input_380100!A$2</f>
        <v>380100</v>
      </c>
      <c r="B5" s="60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IFERROR(VLOOKUP(B5,input_380100!L:R,7,FALSE),VLOOKUP(tables_380100!C5,input_380100!A:H,8,FALSE))</f>
        <v>79800</v>
      </c>
      <c r="P5" s="46">
        <f t="shared" ca="1" si="2"/>
        <v>1.1046511627906977E-2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input_380100!A$2</f>
        <v>380100</v>
      </c>
      <c r="B6" s="60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IFERROR(VLOOKUP(B6,input_380100!L:R,7,FALSE),VLOOKUP(tables_380100!C6,input_380100!A:H,8,FALSE))</f>
        <v>0</v>
      </c>
      <c r="P6" s="46">
        <f t="shared" ca="1" si="2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input_380100!A$2</f>
        <v>380100</v>
      </c>
      <c r="B7" s="60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IFERROR(VLOOKUP(B7,input_380100!L:R,7,FALSE),VLOOKUP(tables_380100!C7,input_380100!A:H,8,FALSE))</f>
        <v>79800</v>
      </c>
      <c r="P7" s="46">
        <f t="shared" ca="1" si="2"/>
        <v>1.1046511627906977E-2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input_380100!A$2</f>
        <v>380100</v>
      </c>
      <c r="B8" s="60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IFERROR(VLOOKUP(B8,input_380100!L:R,7,FALSE),VLOOKUP(tables_380100!C8,input_380100!A:H,8,FALSE))</f>
        <v>0</v>
      </c>
      <c r="P8" s="46">
        <f t="shared" ca="1" si="2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input_380100!A$2</f>
        <v>380100</v>
      </c>
      <c r="B9" s="60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IFERROR(VLOOKUP(B9,input_380100!L:R,7,FALSE),VLOOKUP(tables_380100!C9,input_380100!A:H,8,FALSE))</f>
        <v>79800</v>
      </c>
      <c r="P9" s="46">
        <f t="shared" ca="1" si="2"/>
        <v>1.1046511627906977E-2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input_380100!A$2</f>
        <v>380100</v>
      </c>
      <c r="B10" s="60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IFERROR(VLOOKUP(B10,input_380100!L:R,7,FALSE),VLOOKUP(tables_380100!C10,input_380100!A:H,8,FALSE))</f>
        <v>0</v>
      </c>
      <c r="P10" s="46">
        <f t="shared" ca="1" si="2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input_380100!A$2</f>
        <v>380100</v>
      </c>
      <c r="B11" s="60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IFERROR(VLOOKUP(B11,input_380100!L:R,7,FALSE),VLOOKUP(tables_380100!C11,input_380100!A:H,8,FALSE))</f>
        <v>79800</v>
      </c>
      <c r="P11" s="46">
        <f t="shared" ca="1" si="2"/>
        <v>1.1046511627906977E-2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input_380100!A$2</f>
        <v>380100</v>
      </c>
      <c r="B12" s="96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IFERROR(VLOOKUP(B12,input_380100!L:R,7,FALSE),VLOOKUP(tables_380100!C12,input_380100!A:H,8,FALSE))</f>
        <v>0</v>
      </c>
      <c r="P12" s="46">
        <f t="shared" ca="1" si="2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input_380100!A$2</f>
        <v>380100</v>
      </c>
      <c r="B13" s="96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IFERROR(VLOOKUP(B13,input_380100!L:R,7,FALSE),VLOOKUP(tables_380100!C13,input_380100!A:H,8,FALSE))</f>
        <v>79800</v>
      </c>
      <c r="P13" s="46">
        <f t="shared" ca="1" si="2"/>
        <v>1.1046511627906977E-2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input_380100!A$2</f>
        <v>380100</v>
      </c>
      <c r="B14" s="60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IFERROR(VLOOKUP(B14,input_380100!L:R,7,FALSE),VLOOKUP(tables_380100!C14,input_380100!A:H,8,FALSE))</f>
        <v>0</v>
      </c>
      <c r="P14" s="46">
        <f t="shared" ca="1" si="2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input_380100!A$2</f>
        <v>380100</v>
      </c>
      <c r="B15" s="60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IFERROR(VLOOKUP(B15,input_380100!L:R,7,FALSE),VLOOKUP(tables_380100!C15,input_380100!A:H,8,FALSE))</f>
        <v>79800</v>
      </c>
      <c r="P15" s="46">
        <f t="shared" ca="1" si="2"/>
        <v>1.1046511627906977E-2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input_380100!A$2</f>
        <v>380100</v>
      </c>
      <c r="B16" s="97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IFERROR(VLOOKUP(B16,input_380100!L:R,7,FALSE),VLOOKUP(tables_380100!C16,input_380100!A:H,8,FALSE))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input_380100!A$2</f>
        <v>380100</v>
      </c>
      <c r="B17" s="98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IFERROR(VLOOKUP(B17,input_380100!L:R,7,FALSE),VLOOKUP(tables_380100!C17,input_380100!A:H,8,FALSE))</f>
        <v>79800</v>
      </c>
      <c r="P17" s="46">
        <f t="shared" ca="1" si="2"/>
        <v>1.1046511627906977E-2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input_380100!A$2</f>
        <v>380100</v>
      </c>
      <c r="B18" s="60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IFERROR(VLOOKUP(B18,input_380100!L:R,7,FALSE),VLOOKUP(tables_380100!C18,input_380100!A:H,8,FALSE))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input_380100!A$2</f>
        <v>380100</v>
      </c>
      <c r="B19" s="60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IFERROR(VLOOKUP(B19,input_380100!L:R,7,FALSE),VLOOKUP(tables_380100!C19,input_380100!A:H,8,FALSE))</f>
        <v>79800</v>
      </c>
      <c r="P19" s="46">
        <f t="shared" ca="1" si="2"/>
        <v>1.1046511627906977E-2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input_380100!A$2</f>
        <v>380100</v>
      </c>
      <c r="B20" s="97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IFERROR(VLOOKUP(B20,input_380100!L:R,7,FALSE),VLOOKUP(tables_380100!C20,input_380100!A:H,8,FALSE))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input_380100!A$2</f>
        <v>380100</v>
      </c>
      <c r="B21" s="60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IFERROR(VLOOKUP(B21,input_380100!L:R,7,FALSE),VLOOKUP(tables_380100!C21,input_380100!A:H,8,FALSE))</f>
        <v>79800</v>
      </c>
      <c r="P21" s="46">
        <f t="shared" ca="1" si="2"/>
        <v>1.1046511627906977E-2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input_380100!A$2</f>
        <v>380100</v>
      </c>
      <c r="B22" s="60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IFERROR(VLOOKUP(B22,input_380100!L:R,7,FALSE),VLOOKUP(tables_380100!C22,input_380100!A:H,8,FALSE))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input_380100!A$2</f>
        <v>380100</v>
      </c>
      <c r="B23" s="60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IFERROR(VLOOKUP(B23,input_380100!L:R,7,FALSE),VLOOKUP(tables_380100!C23,input_380100!A:H,8,FALSE))</f>
        <v>79800</v>
      </c>
      <c r="P23" s="46">
        <f t="shared" ca="1" si="2"/>
        <v>1.1046511627906977E-2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input_380100!A$2</f>
        <v>380100</v>
      </c>
      <c r="B24" s="60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IFERROR(VLOOKUP(B24,input_380100!L:R,7,FALSE),VLOOKUP(tables_380100!C24,input_380100!A:H,8,FALSE))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input_380100!A$2</f>
        <v>380100</v>
      </c>
      <c r="B25" s="60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IFERROR(VLOOKUP(B25,input_380100!L:R,7,FALSE),VLOOKUP(tables_380100!C25,input_380100!A:H,8,FALSE))</f>
        <v>79800</v>
      </c>
      <c r="P25" s="46">
        <f t="shared" ca="1" si="2"/>
        <v>1.1046511627906977E-2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input_380100!A$2</f>
        <v>380100</v>
      </c>
      <c r="B26" s="60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IFERROR(VLOOKUP(B26,input_380100!L:R,7,FALSE),VLOOKUP(tables_380100!C26,input_380100!A:H,8,FALSE))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input_380100!A$2</f>
        <v>380100</v>
      </c>
      <c r="B27" s="60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IFERROR(VLOOKUP(B27,input_380100!L:R,7,FALSE),VLOOKUP(tables_380100!C27,input_380100!A:H,8,FALSE))</f>
        <v>79800</v>
      </c>
      <c r="P27" s="46">
        <f t="shared" ca="1" si="2"/>
        <v>1.1046511627906977E-2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input_380100!A$2</f>
        <v>380100</v>
      </c>
      <c r="B28" s="60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IFERROR(VLOOKUP(B28,input_380100!L:R,7,FALSE),VLOOKUP(tables_380100!C28,input_380100!A:H,8,FALSE))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input_380100!A$2</f>
        <v>380100</v>
      </c>
      <c r="B29" s="60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IFERROR(VLOOKUP(B29,input_380100!L:R,7,FALSE),VLOOKUP(tables_380100!C29,input_380100!A:H,8,FALSE))</f>
        <v>79800</v>
      </c>
      <c r="P29" s="46">
        <f t="shared" ca="1" si="2"/>
        <v>1.1046511627906977E-2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input_380100!A$2</f>
        <v>380100</v>
      </c>
      <c r="B30" s="60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IFERROR(VLOOKUP(B30,input_380100!L:R,7,FALSE),VLOOKUP(tables_380100!C30,input_380100!A:H,8,FALSE))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input_380100!A$2</f>
        <v>380100</v>
      </c>
      <c r="B31" s="60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IFERROR(VLOOKUP(B31,input_380100!L:R,7,FALSE),VLOOKUP(tables_380100!C31,input_380100!A:H,8,FALSE))</f>
        <v>79800</v>
      </c>
      <c r="P31" s="46">
        <f t="shared" ca="1" si="2"/>
        <v>1.1046511627906977E-2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input_380100!A$2</f>
        <v>380100</v>
      </c>
      <c r="B32" s="60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IFERROR(VLOOKUP(B32,input_380100!L:R,7,FALSE),VLOOKUP(tables_380100!C32,input_380100!A:H,8,FALSE))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input_380100!A$2</f>
        <v>380100</v>
      </c>
      <c r="B33" s="60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IFERROR(VLOOKUP(B33,input_380100!L:R,7,FALSE),VLOOKUP(tables_380100!C33,input_380100!A:H,8,FALSE))</f>
        <v>79800</v>
      </c>
      <c r="P33" s="46">
        <f t="shared" ca="1" si="2"/>
        <v>1.1046511627906977E-2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input_380100!A$2</f>
        <v>380100</v>
      </c>
      <c r="B34" s="60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IFERROR(VLOOKUP(B34,input_380100!L:R,7,FALSE),VLOOKUP(tables_380100!C34,input_380100!A:H,8,FALSE))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input_380100!A$2</f>
        <v>380100</v>
      </c>
      <c r="B35" s="60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IFERROR(VLOOKUP(B35,input_380100!L:R,7,FALSE),VLOOKUP(tables_380100!C35,input_380100!A:H,8,FALSE))</f>
        <v>79800</v>
      </c>
      <c r="P35" s="46">
        <f t="shared" ca="1" si="2"/>
        <v>1.1046511627906977E-2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input_380100!A$2</f>
        <v>380100</v>
      </c>
      <c r="B36" s="60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IFERROR(VLOOKUP(B36,input_380100!L:R,7,FALSE),VLOOKUP(tables_380100!C36,input_380100!A:H,8,FALSE))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input_380100!A$2</f>
        <v>380100</v>
      </c>
      <c r="B37" s="60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IFERROR(VLOOKUP(B37,input_380100!L:R,7,FALSE),VLOOKUP(tables_380100!C37,input_380100!A:H,8,FALSE))</f>
        <v>79800</v>
      </c>
      <c r="P37" s="46">
        <f t="shared" ca="1" si="2"/>
        <v>1.1046511627906977E-2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input_380100!A$2</f>
        <v>380100</v>
      </c>
      <c r="B38" s="60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IFERROR(VLOOKUP(B38,input_380100!L:R,7,FALSE),VLOOKUP(tables_380100!C38,input_380100!A:H,8,FALSE))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input_380100!A$2</f>
        <v>380100</v>
      </c>
      <c r="B39" s="60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IFERROR(VLOOKUP(B39,input_380100!L:R,7,FALSE),VLOOKUP(tables_380100!C39,input_380100!A:H,8,FALSE))</f>
        <v>79800</v>
      </c>
      <c r="P39" s="46">
        <f t="shared" ca="1" si="2"/>
        <v>1.1046511627906977E-2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input_380100!A$2</f>
        <v>380100</v>
      </c>
      <c r="B40" s="60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IFERROR(VLOOKUP(B40,input_380100!L:R,7,FALSE),VLOOKUP(tables_380100!C40,input_380100!A:H,8,FALSE))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input_380100!A$2</f>
        <v>380100</v>
      </c>
      <c r="B41" s="60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IFERROR(VLOOKUP(B41,input_380100!L:R,7,FALSE),VLOOKUP(tables_380100!C41,input_380100!A:H,8,FALSE))</f>
        <v>79800</v>
      </c>
      <c r="P41" s="46">
        <f t="shared" ca="1" si="2"/>
        <v>1.1046511627906977E-2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input_380100!A$2</f>
        <v>380100</v>
      </c>
      <c r="B42" s="60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IFERROR(VLOOKUP(B42,input_380100!L:R,7,FALSE),VLOOKUP(tables_380100!C42,input_380100!A:H,8,FALSE))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input_380100!A$2</f>
        <v>380100</v>
      </c>
      <c r="B43" s="60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IFERROR(VLOOKUP(B43,input_380100!L:R,7,FALSE),VLOOKUP(tables_380100!C43,input_380100!A:H,8,FALSE))</f>
        <v>75810</v>
      </c>
      <c r="P43" s="46">
        <f t="shared" ca="1" si="2"/>
        <v>1.0494186046511629E-2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input_380100!A$2</f>
        <v>380100</v>
      </c>
      <c r="B44" s="60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IFERROR(VLOOKUP(B44,input_380100!L:R,7,FALSE),VLOOKUP(tables_380100!C44,input_380100!A:H,8,FALSE))</f>
        <v>3990</v>
      </c>
      <c r="P44" s="46">
        <f t="shared" ca="1" si="2"/>
        <v>5.5232558139534885E-4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input_380100!A$2</f>
        <v>380100</v>
      </c>
      <c r="B45" s="60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IFERROR(VLOOKUP(B45,input_380100!L:R,7,FALSE),VLOOKUP(tables_380100!C45,input_380100!A:H,8,FALSE))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input_380100!A$2</f>
        <v>380100</v>
      </c>
      <c r="B46" s="60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IFERROR(VLOOKUP(B46,input_380100!L:R,7,FALSE),VLOOKUP(tables_380100!C46,input_380100!A:H,8,FALSE))</f>
        <v>75810</v>
      </c>
      <c r="P46" s="46">
        <f t="shared" ca="1" si="2"/>
        <v>1.0494186046511629E-2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input_380100!A$2</f>
        <v>380100</v>
      </c>
      <c r="B47" s="60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IFERROR(VLOOKUP(B47,input_380100!L:R,7,FALSE),VLOOKUP(tables_380100!C47,input_380100!A:H,8,FALSE))</f>
        <v>3990</v>
      </c>
      <c r="P47" s="46">
        <f t="shared" ca="1" si="2"/>
        <v>5.5232558139534885E-4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input_380100!A$2</f>
        <v>380100</v>
      </c>
      <c r="B48" s="60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IFERROR(VLOOKUP(B48,input_380100!L:R,7,FALSE),VLOOKUP(tables_380100!C48,input_380100!A:H,8,FALSE))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input_380100!A$2</f>
        <v>380100</v>
      </c>
      <c r="B49" s="60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IFERROR(VLOOKUP(B49,input_380100!L:R,7,FALSE),VLOOKUP(tables_380100!C49,input_380100!A:H,8,FALSE))</f>
        <v>75810</v>
      </c>
      <c r="P49" s="46">
        <f t="shared" ca="1" si="2"/>
        <v>1.0494186046511629E-2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input_380100!A$2</f>
        <v>380100</v>
      </c>
      <c r="B50" s="60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IFERROR(VLOOKUP(B50,input_380100!L:R,7,FALSE),VLOOKUP(tables_380100!C50,input_380100!A:H,8,FALSE))</f>
        <v>3990</v>
      </c>
      <c r="P50" s="46">
        <f t="shared" ca="1" si="2"/>
        <v>5.5232558139534885E-4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input_380100!A$2</f>
        <v>380100</v>
      </c>
      <c r="B51" s="60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IFERROR(VLOOKUP(B51,input_380100!L:R,7,FALSE),VLOOKUP(tables_380100!C51,input_380100!A:H,8,FALSE))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input_380100!A$2</f>
        <v>380100</v>
      </c>
      <c r="B52" s="60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IFERROR(VLOOKUP(B52,input_380100!L:R,7,FALSE),VLOOKUP(tables_380100!C52,input_380100!A:H,8,FALSE))</f>
        <v>75810</v>
      </c>
      <c r="P52" s="46">
        <f t="shared" ca="1" si="2"/>
        <v>1.0494186046511629E-2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input_380100!A$2</f>
        <v>380100</v>
      </c>
      <c r="B53" s="60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IFERROR(VLOOKUP(B53,input_380100!L:R,7,FALSE),VLOOKUP(tables_380100!C53,input_380100!A:H,8,FALSE))</f>
        <v>3990</v>
      </c>
      <c r="P53" s="46">
        <f t="shared" ca="1" si="2"/>
        <v>5.5232558139534885E-4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input_380100!A$2</f>
        <v>380100</v>
      </c>
      <c r="B54" s="60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IFERROR(VLOOKUP(B54,input_380100!L:R,7,FALSE),VLOOKUP(tables_380100!C54,input_380100!A:H,8,FALSE))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input_380100!A$2</f>
        <v>380100</v>
      </c>
      <c r="B55" s="60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IFERROR(VLOOKUP(B55,input_380100!L:R,7,FALSE),VLOOKUP(tables_380100!C55,input_380100!A:H,8,FALSE))</f>
        <v>75810</v>
      </c>
      <c r="P55" s="46">
        <f t="shared" ca="1" si="2"/>
        <v>1.0494186046511629E-2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input_380100!A$2</f>
        <v>380100</v>
      </c>
      <c r="B56" s="60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IFERROR(VLOOKUP(B56,input_380100!L:R,7,FALSE),VLOOKUP(tables_380100!C56,input_380100!A:H,8,FALSE))</f>
        <v>3990</v>
      </c>
      <c r="P56" s="46">
        <f t="shared" ca="1" si="2"/>
        <v>5.5232558139534885E-4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input_380100!A$2</f>
        <v>380100</v>
      </c>
      <c r="B57" s="60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IFERROR(VLOOKUP(B57,input_380100!L:R,7,FALSE),VLOOKUP(tables_380100!C57,input_380100!A:H,8,FALSE))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input_380100!A$2</f>
        <v>380100</v>
      </c>
      <c r="B58" s="60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IFERROR(VLOOKUP(B58,input_380100!L:R,7,FALSE),VLOOKUP(tables_380100!C58,input_380100!A:H,8,FALSE))</f>
        <v>75810</v>
      </c>
      <c r="P58" s="46">
        <f t="shared" ca="1" si="2"/>
        <v>1.0494186046511629E-2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input_380100!A$2</f>
        <v>380100</v>
      </c>
      <c r="B59" s="60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IFERROR(VLOOKUP(B59,input_380100!L:R,7,FALSE),VLOOKUP(tables_380100!C59,input_380100!A:H,8,FALSE))</f>
        <v>3990</v>
      </c>
      <c r="P59" s="46">
        <f t="shared" ca="1" si="2"/>
        <v>5.5232558139534885E-4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input_380100!A$2</f>
        <v>380100</v>
      </c>
      <c r="B60" s="60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IFERROR(VLOOKUP(B60,input_380100!L:R,7,FALSE),VLOOKUP(tables_380100!C60,input_380100!A:H,8,FALSE))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input_380100!A$2</f>
        <v>380100</v>
      </c>
      <c r="B61" s="60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IFERROR(VLOOKUP(B61,input_380100!L:R,7,FALSE),VLOOKUP(tables_380100!C61,input_380100!A:H,8,FALSE))</f>
        <v>75810</v>
      </c>
      <c r="P61" s="46">
        <f t="shared" ca="1" si="2"/>
        <v>1.0494186046511629E-2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input_380100!A$2</f>
        <v>380100</v>
      </c>
      <c r="B62" s="96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IFERROR(VLOOKUP(B62,input_380100!L:R,7,FALSE),VLOOKUP(tables_380100!C62,input_380100!A:H,8,FALSE))</f>
        <v>3990</v>
      </c>
      <c r="P62" s="46">
        <f t="shared" ca="1" si="2"/>
        <v>5.5232558139534885E-4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input_380100!A$2</f>
        <v>380100</v>
      </c>
      <c r="B63" s="96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IFERROR(VLOOKUP(B63,input_380100!L:R,7,FALSE),VLOOKUP(tables_380100!C63,input_380100!A:H,8,FALSE))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input_380100!A$2</f>
        <v>380100</v>
      </c>
      <c r="B64" s="96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IFERROR(VLOOKUP(B64,input_380100!L:R,7,FALSE),VLOOKUP(tables_380100!C64,input_380100!A:H,8,FALSE))</f>
        <v>75810</v>
      </c>
      <c r="P64" s="46">
        <f t="shared" ca="1" si="2"/>
        <v>1.0494186046511629E-2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input_380100!A$2</f>
        <v>380100</v>
      </c>
      <c r="B65" s="96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IFERROR(VLOOKUP(B65,input_380100!L:R,7,FALSE),VLOOKUP(tables_380100!C65,input_380100!A:H,8,FALSE))</f>
        <v>3990</v>
      </c>
      <c r="P65" s="46">
        <f t="shared" ca="1" si="2"/>
        <v>5.5232558139534885E-4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input_380100!A$2</f>
        <v>380100</v>
      </c>
      <c r="B66" s="60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IFERROR(VLOOKUP(B66,input_380100!L:R,7,FALSE),VLOOKUP(tables_380100!C66,input_380100!A:H,8,FALSE))</f>
        <v>0</v>
      </c>
      <c r="P66" s="46">
        <f t="shared" ref="P66:P129" ca="1" si="5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input_380100!A$2</f>
        <v>380100</v>
      </c>
      <c r="B67" s="60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IFERROR(VLOOKUP(B67,input_380100!L:R,7,FALSE),VLOOKUP(tables_380100!C67,input_380100!A:H,8,FALSE))</f>
        <v>75810</v>
      </c>
      <c r="P67" s="46">
        <f t="shared" ca="1" si="5"/>
        <v>1.0494186046511629E-2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input_380100!A$2</f>
        <v>380100</v>
      </c>
      <c r="B68" s="60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IFERROR(VLOOKUP(B68,input_380100!L:R,7,FALSE),VLOOKUP(tables_380100!C68,input_380100!A:H,8,FALSE))</f>
        <v>3990</v>
      </c>
      <c r="P68" s="46">
        <f t="shared" ca="1" si="5"/>
        <v>5.5232558139534885E-4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input_380100!A$2</f>
        <v>380100</v>
      </c>
      <c r="B69" s="60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IFERROR(VLOOKUP(B69,input_380100!L:R,7,FALSE),VLOOKUP(tables_380100!C69,input_380100!A:H,8,FALSE))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input_380100!A$2</f>
        <v>380100</v>
      </c>
      <c r="B70" s="97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IFERROR(VLOOKUP(B70,input_380100!L:R,7,FALSE),VLOOKUP(tables_380100!C70,input_380100!A:H,8,FALSE))</f>
        <v>75810</v>
      </c>
      <c r="P70" s="46">
        <f t="shared" ca="1" si="5"/>
        <v>1.0494186046511629E-2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input_380100!A$2</f>
        <v>380100</v>
      </c>
      <c r="B71" s="60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IFERROR(VLOOKUP(B71,input_380100!L:R,7,FALSE),VLOOKUP(tables_380100!C71,input_380100!A:H,8,FALSE))</f>
        <v>3990</v>
      </c>
      <c r="P71" s="46">
        <f t="shared" ca="1" si="5"/>
        <v>5.5232558139534885E-4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input_380100!A$2</f>
        <v>380100</v>
      </c>
      <c r="B72" s="97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IFERROR(VLOOKUP(B72,input_380100!L:R,7,FALSE),VLOOKUP(tables_380100!C72,input_380100!A:H,8,FALSE))</f>
        <v>0</v>
      </c>
      <c r="P72" s="46">
        <f t="shared" ca="1" si="5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input_380100!A$2</f>
        <v>380100</v>
      </c>
      <c r="B73" s="98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IFERROR(VLOOKUP(B73,input_380100!L:R,7,FALSE),VLOOKUP(tables_380100!C73,input_380100!A:H,8,FALSE))</f>
        <v>75810</v>
      </c>
      <c r="P73" s="46">
        <f t="shared" ca="1" si="5"/>
        <v>1.0494186046511629E-2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input_380100!A$2</f>
        <v>380100</v>
      </c>
      <c r="B74" s="60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IFERROR(VLOOKUP(B74,input_380100!L:R,7,FALSE),VLOOKUP(tables_380100!C74,input_380100!A:H,8,FALSE))</f>
        <v>3990</v>
      </c>
      <c r="P74" s="46">
        <f t="shared" ca="1" si="5"/>
        <v>5.5232558139534885E-4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input_380100!A$2</f>
        <v>380100</v>
      </c>
      <c r="B75" s="60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IFERROR(VLOOKUP(B75,input_380100!L:R,7,FALSE),VLOOKUP(tables_380100!C75,input_380100!A:H,8,FALSE))</f>
        <v>0</v>
      </c>
      <c r="P75" s="46">
        <f t="shared" ca="1" si="5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input_380100!A$2</f>
        <v>380100</v>
      </c>
      <c r="B76" s="60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IFERROR(VLOOKUP(B76,input_380100!L:R,7,FALSE),VLOOKUP(tables_380100!C76,input_380100!A:H,8,FALSE))</f>
        <v>75810</v>
      </c>
      <c r="P76" s="46">
        <f t="shared" ca="1" si="5"/>
        <v>1.0494186046511629E-2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input_380100!A$2</f>
        <v>380100</v>
      </c>
      <c r="B77" s="82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IFERROR(VLOOKUP(B77,input_380100!L:R,7,FALSE),VLOOKUP(tables_380100!C77,input_380100!A:H,8,FALSE))</f>
        <v>3990</v>
      </c>
      <c r="P77" s="46">
        <f t="shared" ca="1" si="5"/>
        <v>5.5232558139534885E-4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input_380100!A$2</f>
        <v>380100</v>
      </c>
      <c r="B78" s="82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IFERROR(VLOOKUP(B78,input_380100!L:R,7,FALSE),VLOOKUP(tables_380100!C78,input_380100!A:H,8,FALSE))</f>
        <v>0</v>
      </c>
      <c r="P78" s="46">
        <f t="shared" ca="1" si="5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input_380100!A$2</f>
        <v>380100</v>
      </c>
      <c r="B79" s="82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IFERROR(VLOOKUP(B79,input_380100!L:R,7,FALSE),VLOOKUP(tables_380100!C79,input_380100!A:H,8,FALSE))</f>
        <v>75810</v>
      </c>
      <c r="P79" s="46">
        <f t="shared" ca="1" si="5"/>
        <v>1.0494186046511629E-2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input_380100!A$2</f>
        <v>380100</v>
      </c>
      <c r="B80" s="82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IFERROR(VLOOKUP(B80,input_380100!L:R,7,FALSE),VLOOKUP(tables_380100!C80,input_380100!A:H,8,FALSE))</f>
        <v>3990</v>
      </c>
      <c r="P80" s="46">
        <f t="shared" ca="1" si="5"/>
        <v>5.5232558139534885E-4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input_380100!A$2</f>
        <v>380100</v>
      </c>
      <c r="B81" s="82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IFERROR(VLOOKUP(B81,input_380100!L:R,7,FALSE),VLOOKUP(tables_380100!C81,input_380100!A:H,8,FALSE))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input_380100!A$2</f>
        <v>380100</v>
      </c>
      <c r="B82" s="82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IFERROR(VLOOKUP(B82,input_380100!L:R,7,FALSE),VLOOKUP(tables_380100!C82,input_380100!A:H,8,FALSE))</f>
        <v>75810</v>
      </c>
      <c r="P82" s="46">
        <f t="shared" ca="1" si="5"/>
        <v>1.0494186046511629E-2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input_380100!A$2</f>
        <v>380100</v>
      </c>
      <c r="B83" s="82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IFERROR(VLOOKUP(B83,input_380100!L:R,7,FALSE),VLOOKUP(tables_380100!C83,input_380100!A:H,8,FALSE))</f>
        <v>3990</v>
      </c>
      <c r="P83" s="46">
        <f t="shared" ca="1" si="5"/>
        <v>5.5232558139534885E-4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input_380100!A$2</f>
        <v>380100</v>
      </c>
      <c r="B84" s="82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IFERROR(VLOOKUP(B84,input_380100!L:R,7,FALSE),VLOOKUP(tables_380100!C84,input_380100!A:H,8,FALSE))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input_380100!A$2</f>
        <v>380100</v>
      </c>
      <c r="B85" s="82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IFERROR(VLOOKUP(B85,input_380100!L:R,7,FALSE),VLOOKUP(tables_380100!C85,input_380100!A:H,8,FALSE))</f>
        <v>75810</v>
      </c>
      <c r="P85" s="46">
        <f t="shared" ca="1" si="5"/>
        <v>1.0494186046511629E-2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input_380100!A$2</f>
        <v>380100</v>
      </c>
      <c r="B86" s="82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IFERROR(VLOOKUP(B86,input_380100!L:R,7,FALSE),VLOOKUP(tables_380100!C86,input_380100!A:H,8,FALSE))</f>
        <v>3990</v>
      </c>
      <c r="P86" s="46">
        <f t="shared" ca="1" si="5"/>
        <v>5.5232558139534885E-4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input_380100!A$2</f>
        <v>380100</v>
      </c>
      <c r="B87" s="82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IFERROR(VLOOKUP(B87,input_380100!L:R,7,FALSE),VLOOKUP(tables_380100!C87,input_380100!A:H,8,FALSE))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input_380100!A$2</f>
        <v>380100</v>
      </c>
      <c r="B88" s="82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IFERROR(VLOOKUP(B88,input_380100!L:R,7,FALSE),VLOOKUP(tables_380100!C88,input_380100!A:H,8,FALSE))</f>
        <v>75810</v>
      </c>
      <c r="P88" s="46">
        <f t="shared" ca="1" si="5"/>
        <v>1.0494186046511629E-2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input_380100!A$2</f>
        <v>380100</v>
      </c>
      <c r="B89" s="82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IFERROR(VLOOKUP(B89,input_380100!L:R,7,FALSE),VLOOKUP(tables_380100!C89,input_380100!A:H,8,FALSE))</f>
        <v>3990</v>
      </c>
      <c r="P89" s="46">
        <f t="shared" ca="1" si="5"/>
        <v>5.5232558139534885E-4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input_380100!A$2</f>
        <v>380100</v>
      </c>
      <c r="B90" s="82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IFERROR(VLOOKUP(B90,input_380100!L:R,7,FALSE),VLOOKUP(tables_380100!C90,input_380100!A:H,8,FALSE))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input_380100!A$2</f>
        <v>380100</v>
      </c>
      <c r="B91" s="82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IFERROR(VLOOKUP(B91,input_380100!L:R,7,FALSE),VLOOKUP(tables_380100!C91,input_380100!A:H,8,FALSE))</f>
        <v>75810</v>
      </c>
      <c r="P91" s="46">
        <f t="shared" ca="1" si="5"/>
        <v>1.0494186046511629E-2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input_380100!A$2</f>
        <v>380100</v>
      </c>
      <c r="B92" s="82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IFERROR(VLOOKUP(B92,input_380100!L:R,7,FALSE),VLOOKUP(tables_380100!C92,input_380100!A:H,8,FALSE))</f>
        <v>3990</v>
      </c>
      <c r="P92" s="46">
        <f t="shared" ca="1" si="5"/>
        <v>5.5232558139534885E-4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input_380100!A$2</f>
        <v>380100</v>
      </c>
      <c r="B93" s="82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IFERROR(VLOOKUP(B93,input_380100!L:R,7,FALSE),VLOOKUP(tables_380100!C93,input_380100!A:H,8,FALSE))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input_380100!A$2</f>
        <v>380100</v>
      </c>
      <c r="B94" s="82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IFERROR(VLOOKUP(B94,input_380100!L:R,7,FALSE),VLOOKUP(tables_380100!C94,input_380100!A:H,8,FALSE))</f>
        <v>75810</v>
      </c>
      <c r="P94" s="46">
        <f t="shared" ca="1" si="5"/>
        <v>1.0494186046511629E-2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input_380100!A$2</f>
        <v>380100</v>
      </c>
      <c r="B95" s="82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IFERROR(VLOOKUP(B95,input_380100!L:R,7,FALSE),VLOOKUP(tables_380100!C95,input_380100!A:H,8,FALSE))</f>
        <v>3990</v>
      </c>
      <c r="P95" s="46">
        <f t="shared" ca="1" si="5"/>
        <v>5.5232558139534885E-4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input_380100!A$2</f>
        <v>380100</v>
      </c>
      <c r="B96" s="82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IFERROR(VLOOKUP(B96,input_380100!L:R,7,FALSE),VLOOKUP(tables_380100!C96,input_380100!A:H,8,FALSE))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input_380100!A$2</f>
        <v>380100</v>
      </c>
      <c r="B97" s="82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IFERROR(VLOOKUP(B97,input_380100!L:R,7,FALSE),VLOOKUP(tables_380100!C97,input_380100!A:H,8,FALSE))</f>
        <v>75810</v>
      </c>
      <c r="P97" s="46">
        <f t="shared" ca="1" si="5"/>
        <v>1.0494186046511629E-2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input_380100!A$2</f>
        <v>380100</v>
      </c>
      <c r="B98" s="82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IFERROR(VLOOKUP(B98,input_380100!L:R,7,FALSE),VLOOKUP(tables_380100!C98,input_380100!A:H,8,FALSE))</f>
        <v>3990</v>
      </c>
      <c r="P98" s="46">
        <f t="shared" ca="1" si="5"/>
        <v>5.5232558139534885E-4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input_380100!A$2</f>
        <v>380100</v>
      </c>
      <c r="B99" s="82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IFERROR(VLOOKUP(B99,input_380100!L:R,7,FALSE),VLOOKUP(tables_380100!C99,input_380100!A:H,8,FALSE))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input_380100!A$2</f>
        <v>380100</v>
      </c>
      <c r="B100" s="82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IFERROR(VLOOKUP(B100,input_380100!L:R,7,FALSE),VLOOKUP(tables_380100!C100,input_380100!A:H,8,FALSE))</f>
        <v>75810</v>
      </c>
      <c r="P100" s="46">
        <f t="shared" ca="1" si="5"/>
        <v>1.0494186046511629E-2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input_380100!A$2</f>
        <v>380100</v>
      </c>
      <c r="B101" s="82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IFERROR(VLOOKUP(B101,input_380100!L:R,7,FALSE),VLOOKUP(tables_380100!C101,input_380100!A:H,8,FALSE))</f>
        <v>3990</v>
      </c>
      <c r="P101" s="46">
        <f t="shared" ca="1" si="5"/>
        <v>5.5232558139534885E-4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input_380100!A$2</f>
        <v>380100</v>
      </c>
      <c r="B102" s="82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IFERROR(VLOOKUP(B102,input_380100!L:R,7,FALSE),VLOOKUP(tables_380100!C102,input_380100!A:H,8,FALSE))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input_380100!A$2</f>
        <v>380100</v>
      </c>
      <c r="B103" s="82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IFERROR(VLOOKUP(B103,input_380100!L:R,7,FALSE),VLOOKUP(tables_380100!C103,input_380100!A:H,8,FALSE))</f>
        <v>75810</v>
      </c>
      <c r="P103" s="46">
        <f t="shared" ca="1" si="5"/>
        <v>1.0494186046511629E-2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input_380100!A$2</f>
        <v>380100</v>
      </c>
      <c r="B104" s="82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IFERROR(VLOOKUP(B104,input_380100!L:R,7,FALSE),VLOOKUP(tables_380100!C104,input_380100!A:H,8,FALSE))</f>
        <v>3990</v>
      </c>
      <c r="P104" s="46">
        <f t="shared" ca="1" si="5"/>
        <v>5.5232558139534885E-4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input_380100!A$2</f>
        <v>380100</v>
      </c>
      <c r="B105" s="82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IFERROR(VLOOKUP(B105,input_380100!L:R,7,FALSE),VLOOKUP(tables_380100!C105,input_380100!A:H,8,FALSE))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input_380100!A$2</f>
        <v>380100</v>
      </c>
      <c r="B106" s="82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IFERROR(VLOOKUP(B106,input_380100!L:R,7,FALSE),VLOOKUP(tables_380100!C106,input_380100!A:H,8,FALSE))</f>
        <v>75810</v>
      </c>
      <c r="P106" s="46">
        <f t="shared" ca="1" si="5"/>
        <v>1.0494186046511629E-2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input_380100!A$2</f>
        <v>380100</v>
      </c>
      <c r="B107" s="82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IFERROR(VLOOKUP(B107,input_380100!L:R,7,FALSE),VLOOKUP(tables_380100!C107,input_380100!A:H,8,FALSE))</f>
        <v>3990</v>
      </c>
      <c r="P107" s="46">
        <f t="shared" ca="1" si="5"/>
        <v>5.5232558139534885E-4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input_380100!A$2</f>
        <v>380100</v>
      </c>
      <c r="B108" s="82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IFERROR(VLOOKUP(B108,input_380100!L:R,7,FALSE),VLOOKUP(tables_380100!C108,input_380100!A:H,8,FALSE))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input_380100!A$2</f>
        <v>380100</v>
      </c>
      <c r="B109" s="82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IFERROR(VLOOKUP(B109,input_380100!L:R,7,FALSE),VLOOKUP(tables_380100!C109,input_380100!A:H,8,FALSE))</f>
        <v>75810</v>
      </c>
      <c r="P109" s="46">
        <f t="shared" ca="1" si="5"/>
        <v>1.0494186046511629E-2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input_380100!A$2</f>
        <v>380100</v>
      </c>
      <c r="B110" s="82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IFERROR(VLOOKUP(B110,input_380100!L:R,7,FALSE),VLOOKUP(tables_380100!C110,input_380100!A:H,8,FALSE))</f>
        <v>3990</v>
      </c>
      <c r="P110" s="46">
        <f t="shared" ca="1" si="5"/>
        <v>5.5232558139534885E-4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input_380100!A$2</f>
        <v>380100</v>
      </c>
      <c r="B111" s="82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IFERROR(VLOOKUP(B111,input_380100!L:R,7,FALSE),VLOOKUP(tables_380100!C111,input_380100!A:H,8,FALSE))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input_380100!A$2</f>
        <v>380100</v>
      </c>
      <c r="B112" s="82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IFERROR(VLOOKUP(B112,input_380100!L:R,7,FALSE),VLOOKUP(tables_380100!C112,input_380100!A:H,8,FALSE))</f>
        <v>75810</v>
      </c>
      <c r="P112" s="46">
        <f t="shared" ca="1" si="5"/>
        <v>1.0494186046511629E-2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input_380100!A$2</f>
        <v>380100</v>
      </c>
      <c r="B113" s="82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IFERROR(VLOOKUP(B113,input_380100!L:R,7,FALSE),VLOOKUP(tables_380100!C113,input_380100!A:H,8,FALSE))</f>
        <v>3990</v>
      </c>
      <c r="P113" s="46">
        <f t="shared" ca="1" si="5"/>
        <v>5.5232558139534885E-4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input_380100!A$2</f>
        <v>380100</v>
      </c>
      <c r="B114" s="82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IFERROR(VLOOKUP(B114,input_380100!L:R,7,FALSE),VLOOKUP(tables_380100!C114,input_380100!A:H,8,FALSE))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input_380100!A$2</f>
        <v>380100</v>
      </c>
      <c r="B115" s="82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IFERROR(VLOOKUP(B115,input_380100!L:R,7,FALSE),VLOOKUP(tables_380100!C115,input_380100!A:H,8,FALSE))</f>
        <v>75810</v>
      </c>
      <c r="P115" s="46">
        <f t="shared" ca="1" si="5"/>
        <v>1.0494186046511629E-2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input_380100!A$2</f>
        <v>380100</v>
      </c>
      <c r="B116" s="82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IFERROR(VLOOKUP(B116,input_380100!L:R,7,FALSE),VLOOKUP(tables_380100!C116,input_380100!A:H,8,FALSE))</f>
        <v>3990</v>
      </c>
      <c r="P116" s="46">
        <f t="shared" ca="1" si="5"/>
        <v>5.5232558139534885E-4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input_380100!A$2</f>
        <v>380100</v>
      </c>
      <c r="B117" s="82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IFERROR(VLOOKUP(B117,input_380100!L:R,7,FALSE),VLOOKUP(tables_380100!C117,input_380100!A:H,8,FALSE))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input_380100!A$2</f>
        <v>380100</v>
      </c>
      <c r="B118" s="82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IFERROR(VLOOKUP(B118,input_380100!L:R,7,FALSE),VLOOKUP(tables_380100!C118,input_380100!A:H,8,FALSE))</f>
        <v>75810</v>
      </c>
      <c r="P118" s="46">
        <f t="shared" ca="1" si="5"/>
        <v>1.0494186046511629E-2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input_380100!A$2</f>
        <v>380100</v>
      </c>
      <c r="B119" s="82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IFERROR(VLOOKUP(B119,input_380100!L:R,7,FALSE),VLOOKUP(tables_380100!C119,input_380100!A:H,8,FALSE))</f>
        <v>3990</v>
      </c>
      <c r="P119" s="46">
        <f t="shared" ca="1" si="5"/>
        <v>5.5232558139534885E-4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input_380100!A$2</f>
        <v>380100</v>
      </c>
      <c r="B120" s="82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IFERROR(VLOOKUP(B120,input_380100!L:R,7,FALSE),VLOOKUP(tables_380100!C120,input_380100!A:H,8,FALSE))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input_380100!A$2</f>
        <v>380100</v>
      </c>
      <c r="B121" s="82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IFERROR(VLOOKUP(B121,input_380100!L:R,7,FALSE),VLOOKUP(tables_380100!C121,input_380100!A:H,8,FALSE))</f>
        <v>75810</v>
      </c>
      <c r="P121" s="46">
        <f t="shared" ca="1" si="5"/>
        <v>1.0494186046511629E-2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input_380100!A$2</f>
        <v>380100</v>
      </c>
      <c r="B122" s="82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IFERROR(VLOOKUP(B122,input_380100!L:R,7,FALSE),VLOOKUP(tables_380100!C122,input_380100!A:H,8,FALSE))</f>
        <v>3990</v>
      </c>
      <c r="P122" s="46">
        <f t="shared" ca="1" si="5"/>
        <v>5.5232558139534885E-4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input_380100!A$2</f>
        <v>380100</v>
      </c>
      <c r="B123" s="82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IFERROR(VLOOKUP(B123,input_380100!L:R,7,FALSE),VLOOKUP(tables_380100!C123,input_380100!A:H,8,FALSE))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input_380100!A$2</f>
        <v>380100</v>
      </c>
      <c r="B124" s="82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IFERROR(VLOOKUP(B124,input_380100!L:R,7,FALSE),VLOOKUP(tables_380100!C124,input_380100!A:H,8,FALSE))</f>
        <v>75810</v>
      </c>
      <c r="P124" s="46">
        <f t="shared" ca="1" si="5"/>
        <v>1.0494186046511629E-2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input_380100!A$2</f>
        <v>380100</v>
      </c>
      <c r="B125" s="60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IFERROR(VLOOKUP(B125,input_380100!L:R,7,FALSE),VLOOKUP(tables_380100!C125,input_380100!A:H,8,FALSE))</f>
        <v>3990</v>
      </c>
      <c r="P125" s="46">
        <f t="shared" ca="1" si="5"/>
        <v>5.5232558139534885E-4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input_380100!A$2</f>
        <v>380100</v>
      </c>
      <c r="B126" s="60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IFERROR(VLOOKUP(B126,input_380100!L:R,7,FALSE),VLOOKUP(tables_380100!C126,input_380100!A:H,8,FALSE))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input_380100!A$2</f>
        <v>380100</v>
      </c>
      <c r="B127" s="60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IFERROR(VLOOKUP(B127,input_380100!L:R,7,FALSE),VLOOKUP(tables_380100!C127,input_380100!A:H,8,FALSE))</f>
        <v>75810</v>
      </c>
      <c r="P127" s="46">
        <f t="shared" ca="1" si="5"/>
        <v>1.0494186046511629E-2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input_380100!A$2</f>
        <v>380100</v>
      </c>
      <c r="B128" s="60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IFERROR(VLOOKUP(B128,input_380100!L:R,7,FALSE),VLOOKUP(tables_380100!C128,input_380100!A:H,8,FALSE))</f>
        <v>3990</v>
      </c>
      <c r="P128" s="46">
        <f t="shared" ca="1" si="5"/>
        <v>5.5232558139534885E-4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input_380100!A$2</f>
        <v>380100</v>
      </c>
      <c r="B129" s="60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IFERROR(VLOOKUP(B129,input_380100!L:R,7,FALSE),VLOOKUP(tables_380100!C129,input_380100!A:H,8,FALSE))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input_380100!A$2</f>
        <v>380100</v>
      </c>
      <c r="B130" s="60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IFERROR(VLOOKUP(B130,input_380100!L:R,7,FALSE),VLOOKUP(tables_380100!C130,input_380100!A:H,8,FALSE))</f>
        <v>75810</v>
      </c>
      <c r="P130" s="46">
        <f t="shared" ref="P130:P193" ca="1" si="8">O130/SUM(O:O)</f>
        <v>1.0494186046511629E-2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input_380100!A$2</f>
        <v>380100</v>
      </c>
      <c r="B131" s="60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IFERROR(VLOOKUP(B131,input_380100!L:R,7,FALSE),VLOOKUP(tables_380100!C131,input_380100!A:H,8,FALSE))</f>
        <v>3990</v>
      </c>
      <c r="P131" s="46">
        <f t="shared" ca="1" si="8"/>
        <v>5.5232558139534885E-4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input_380100!A$2</f>
        <v>380100</v>
      </c>
      <c r="B132" s="60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IFERROR(VLOOKUP(B132,input_380100!L:R,7,FALSE),VLOOKUP(tables_380100!C132,input_380100!A:H,8,FALSE))</f>
        <v>0</v>
      </c>
      <c r="P132" s="46">
        <f t="shared" ca="1" si="8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input_380100!A$2</f>
        <v>380100</v>
      </c>
      <c r="B133" s="60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IFERROR(VLOOKUP(B133,input_380100!L:R,7,FALSE),VLOOKUP(tables_380100!C133,input_380100!A:H,8,FALSE))</f>
        <v>75810</v>
      </c>
      <c r="P133" s="46">
        <f t="shared" ca="1" si="8"/>
        <v>1.0494186046511629E-2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input_380100!A$2</f>
        <v>380100</v>
      </c>
      <c r="B134" s="60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IFERROR(VLOOKUP(B134,input_380100!L:R,7,FALSE),VLOOKUP(tables_380100!C134,input_380100!A:H,8,FALSE))</f>
        <v>3990</v>
      </c>
      <c r="P134" s="46">
        <f t="shared" ca="1" si="8"/>
        <v>5.5232558139534885E-4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input_380100!A$2</f>
        <v>380100</v>
      </c>
      <c r="B135" s="60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IFERROR(VLOOKUP(B135,input_380100!L:R,7,FALSE),VLOOKUP(tables_380100!C135,input_380100!A:H,8,FALSE))</f>
        <v>0</v>
      </c>
      <c r="P135" s="46">
        <f t="shared" ca="1" si="8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input_380100!A$2</f>
        <v>380100</v>
      </c>
      <c r="B136" s="96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IFERROR(VLOOKUP(B136,input_380100!L:R,7,FALSE),VLOOKUP(tables_380100!C136,input_380100!A:H,8,FALSE))</f>
        <v>75810</v>
      </c>
      <c r="P136" s="46">
        <f t="shared" ca="1" si="8"/>
        <v>1.0494186046511629E-2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input_380100!A$2</f>
        <v>380100</v>
      </c>
      <c r="B137" s="96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IFERROR(VLOOKUP(B137,input_380100!L:R,7,FALSE),VLOOKUP(tables_380100!C137,input_380100!A:H,8,FALSE))</f>
        <v>3990</v>
      </c>
      <c r="P137" s="46">
        <f t="shared" ca="1" si="8"/>
        <v>5.5232558139534885E-4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input_380100!A$2</f>
        <v>380100</v>
      </c>
      <c r="B138" s="60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IFERROR(VLOOKUP(B138,input_380100!L:R,7,FALSE),VLOOKUP(tables_380100!C138,input_380100!A:H,8,FALSE))</f>
        <v>8170</v>
      </c>
      <c r="P138" s="46">
        <f t="shared" ca="1" si="8"/>
        <v>1.1309523809523809E-3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input_380100!A$2</f>
        <v>380100</v>
      </c>
      <c r="B139" s="60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IFERROR(VLOOKUP(B139,input_380100!L:R,7,FALSE),VLOOKUP(tables_380100!C139,input_380100!A:H,8,FALSE))</f>
        <v>430</v>
      </c>
      <c r="P139" s="46">
        <f t="shared" ca="1" si="8"/>
        <v>5.9523809523809524E-5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input_380100!A$2</f>
        <v>380100</v>
      </c>
      <c r="B140" s="60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IFERROR(VLOOKUP(B140,input_380100!L:R,7,FALSE),VLOOKUP(tables_380100!C140,input_380100!A:H,8,FALSE))</f>
        <v>8170</v>
      </c>
      <c r="P140" s="46">
        <f t="shared" ca="1" si="8"/>
        <v>1.1309523809523809E-3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input_380100!A$2</f>
        <v>380100</v>
      </c>
      <c r="B141" s="60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IFERROR(VLOOKUP(B141,input_380100!L:R,7,FALSE),VLOOKUP(tables_380100!C141,input_380100!A:H,8,FALSE))</f>
        <v>430</v>
      </c>
      <c r="P141" s="46">
        <f t="shared" ca="1" si="8"/>
        <v>5.9523809523809524E-5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input_380100!A$2</f>
        <v>380100</v>
      </c>
      <c r="B142" s="60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IFERROR(VLOOKUP(B142,input_380100!L:R,7,FALSE),VLOOKUP(tables_380100!C142,input_380100!A:H,8,FALSE))</f>
        <v>8170</v>
      </c>
      <c r="P142" s="46">
        <f t="shared" ca="1" si="8"/>
        <v>1.1309523809523809E-3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input_380100!A$2</f>
        <v>380100</v>
      </c>
      <c r="B143" s="60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IFERROR(VLOOKUP(B143,input_380100!L:R,7,FALSE),VLOOKUP(tables_380100!C143,input_380100!A:H,8,FALSE))</f>
        <v>430</v>
      </c>
      <c r="P143" s="46">
        <f t="shared" ca="1" si="8"/>
        <v>5.9523809523809524E-5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input_380100!A$2</f>
        <v>380100</v>
      </c>
      <c r="B144" s="60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IFERROR(VLOOKUP(B144,input_380100!L:R,7,FALSE),VLOOKUP(tables_380100!C144,input_380100!A:H,8,FALSE))</f>
        <v>8170</v>
      </c>
      <c r="P144" s="46">
        <f t="shared" ca="1" si="8"/>
        <v>1.1309523809523809E-3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input_380100!A$2</f>
        <v>380100</v>
      </c>
      <c r="B145" s="60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IFERROR(VLOOKUP(B145,input_380100!L:R,7,FALSE),VLOOKUP(tables_380100!C145,input_380100!A:H,8,FALSE))</f>
        <v>430</v>
      </c>
      <c r="P145" s="46">
        <f t="shared" ca="1" si="8"/>
        <v>5.9523809523809524E-5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input_380100!A$2</f>
        <v>380100</v>
      </c>
      <c r="B146" s="60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IFERROR(VLOOKUP(B146,input_380100!L:R,7,FALSE),VLOOKUP(tables_380100!C146,input_380100!A:H,8,FALSE))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input_380100!A$2</f>
        <v>380100</v>
      </c>
      <c r="B147" s="60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IFERROR(VLOOKUP(B147,input_380100!L:R,7,FALSE),VLOOKUP(tables_380100!C147,input_380100!A:H,8,FALSE))</f>
        <v>75810</v>
      </c>
      <c r="P147" s="46">
        <f t="shared" ca="1" si="8"/>
        <v>1.0494186046511629E-2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input_380100!A$2</f>
        <v>380100</v>
      </c>
      <c r="B148" s="60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IFERROR(VLOOKUP(B148,input_380100!L:R,7,FALSE),VLOOKUP(tables_380100!C148,input_380100!A:H,8,FALSE))</f>
        <v>3990</v>
      </c>
      <c r="P148" s="46">
        <f t="shared" ca="1" si="8"/>
        <v>5.5232558139534885E-4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input_380100!A$2</f>
        <v>380100</v>
      </c>
      <c r="B149" s="60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IFERROR(VLOOKUP(B149,input_380100!L:R,7,FALSE),VLOOKUP(tables_380100!C149,input_380100!A:H,8,FALSE))</f>
        <v>8170</v>
      </c>
      <c r="P149" s="46">
        <f t="shared" ca="1" si="8"/>
        <v>1.1309523809523809E-3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input_380100!A$2</f>
        <v>380100</v>
      </c>
      <c r="B150" s="60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IFERROR(VLOOKUP(B150,input_380100!L:R,7,FALSE),VLOOKUP(tables_380100!C150,input_380100!A:H,8,FALSE))</f>
        <v>430</v>
      </c>
      <c r="P150" s="46">
        <f t="shared" ca="1" si="8"/>
        <v>5.9523809523809524E-5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input_380100!A$2</f>
        <v>380100</v>
      </c>
      <c r="B151" s="60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IFERROR(VLOOKUP(B151,input_380100!L:R,7,FALSE),VLOOKUP(tables_380100!C151,input_380100!A:H,8,FALSE))</f>
        <v>8170</v>
      </c>
      <c r="P151" s="46">
        <f t="shared" ca="1" si="8"/>
        <v>1.1309523809523809E-3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input_380100!A$2</f>
        <v>380100</v>
      </c>
      <c r="B152" s="60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IFERROR(VLOOKUP(B152,input_380100!L:R,7,FALSE),VLOOKUP(tables_380100!C152,input_380100!A:H,8,FALSE))</f>
        <v>430</v>
      </c>
      <c r="P152" s="46">
        <f t="shared" ca="1" si="8"/>
        <v>5.9523809523809524E-5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input_380100!A$2</f>
        <v>380100</v>
      </c>
      <c r="B153" s="60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IFERROR(VLOOKUP(B153,input_380100!L:R,7,FALSE),VLOOKUP(tables_380100!C153,input_380100!A:H,8,FALSE))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input_380100!A$2</f>
        <v>380100</v>
      </c>
      <c r="B154" s="60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IFERROR(VLOOKUP(B154,input_380100!L:R,7,FALSE),VLOOKUP(tables_380100!C154,input_380100!A:H,8,FALSE))</f>
        <v>75810</v>
      </c>
      <c r="P154" s="46">
        <f t="shared" ca="1" si="8"/>
        <v>1.0494186046511629E-2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input_380100!A$2</f>
        <v>380100</v>
      </c>
      <c r="B155" s="60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IFERROR(VLOOKUP(B155,input_380100!L:R,7,FALSE),VLOOKUP(tables_380100!C155,input_380100!A:H,8,FALSE))</f>
        <v>3990</v>
      </c>
      <c r="P155" s="46">
        <f t="shared" ca="1" si="8"/>
        <v>5.5232558139534885E-4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input_380100!A$2</f>
        <v>380100</v>
      </c>
      <c r="B156" s="60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IFERROR(VLOOKUP(B156,input_380100!L:R,7,FALSE),VLOOKUP(tables_380100!C156,input_380100!A:H,8,FALSE))</f>
        <v>8170</v>
      </c>
      <c r="P156" s="46">
        <f t="shared" ca="1" si="8"/>
        <v>1.1309523809523809E-3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input_380100!A$2</f>
        <v>380100</v>
      </c>
      <c r="B157" s="60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IFERROR(VLOOKUP(B157,input_380100!L:R,7,FALSE),VLOOKUP(tables_380100!C157,input_380100!A:H,8,FALSE))</f>
        <v>430</v>
      </c>
      <c r="P157" s="46">
        <f t="shared" ca="1" si="8"/>
        <v>5.9523809523809524E-5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input_380100!A$2</f>
        <v>380100</v>
      </c>
      <c r="B158" s="60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IFERROR(VLOOKUP(B158,input_380100!L:R,7,FALSE),VLOOKUP(tables_380100!C158,input_380100!A:H,8,FALSE))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input_380100!A$2</f>
        <v>380100</v>
      </c>
      <c r="B159" s="60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IFERROR(VLOOKUP(B159,input_380100!L:R,7,FALSE),VLOOKUP(tables_380100!C159,input_380100!A:H,8,FALSE))</f>
        <v>75810</v>
      </c>
      <c r="P159" s="46">
        <f t="shared" ca="1" si="8"/>
        <v>1.0494186046511629E-2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input_380100!A$2</f>
        <v>380100</v>
      </c>
      <c r="B160" s="60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IFERROR(VLOOKUP(B160,input_380100!L:R,7,FALSE),VLOOKUP(tables_380100!C160,input_380100!A:H,8,FALSE))</f>
        <v>3990</v>
      </c>
      <c r="P160" s="46">
        <f t="shared" ca="1" si="8"/>
        <v>5.5232558139534885E-4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input_380100!A$2</f>
        <v>380100</v>
      </c>
      <c r="B161" s="60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IFERROR(VLOOKUP(B161,input_380100!L:R,7,FALSE),VLOOKUP(tables_380100!C161,input_380100!A:H,8,FALSE))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input_380100!A$2</f>
        <v>380100</v>
      </c>
      <c r="B162" s="60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IFERROR(VLOOKUP(B162,input_380100!L:R,7,FALSE),VLOOKUP(tables_380100!C162,input_380100!A:H,8,FALSE))</f>
        <v>75810</v>
      </c>
      <c r="P162" s="46">
        <f t="shared" ca="1" si="8"/>
        <v>1.0494186046511629E-2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input_380100!A$2</f>
        <v>380100</v>
      </c>
      <c r="B163" s="60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IFERROR(VLOOKUP(B163,input_380100!L:R,7,FALSE),VLOOKUP(tables_380100!C163,input_380100!A:H,8,FALSE))</f>
        <v>3990</v>
      </c>
      <c r="P163" s="46">
        <f t="shared" ca="1" si="8"/>
        <v>5.5232558139534885E-4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input_380100!A$2</f>
        <v>380100</v>
      </c>
      <c r="B164" s="60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IFERROR(VLOOKUP(B164,input_380100!L:R,7,FALSE),VLOOKUP(tables_380100!C164,input_380100!A:H,8,FALSE))</f>
        <v>8170</v>
      </c>
      <c r="P164" s="46">
        <f t="shared" ca="1" si="8"/>
        <v>1.1309523809523809E-3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input_380100!A$2</f>
        <v>380100</v>
      </c>
      <c r="B165" s="60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IFERROR(VLOOKUP(B165,input_380100!L:R,7,FALSE),VLOOKUP(tables_380100!C165,input_380100!A:H,8,FALSE))</f>
        <v>430</v>
      </c>
      <c r="P165" s="46">
        <f t="shared" ca="1" si="8"/>
        <v>5.9523809523809524E-5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input_380100!A$2</f>
        <v>380100</v>
      </c>
      <c r="B166" s="60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IFERROR(VLOOKUP(B166,input_380100!L:R,7,FALSE),VLOOKUP(tables_380100!C166,input_380100!A:H,8,FALSE))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input_380100!A$2</f>
        <v>380100</v>
      </c>
      <c r="B167" s="60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IFERROR(VLOOKUP(B167,input_380100!L:R,7,FALSE),VLOOKUP(tables_380100!C167,input_380100!A:H,8,FALSE))</f>
        <v>75810</v>
      </c>
      <c r="P167" s="46">
        <f t="shared" ca="1" si="8"/>
        <v>1.0494186046511629E-2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input_380100!A$2</f>
        <v>380100</v>
      </c>
      <c r="B168" s="60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IFERROR(VLOOKUP(B168,input_380100!L:R,7,FALSE),VLOOKUP(tables_380100!C168,input_380100!A:H,8,FALSE))</f>
        <v>3990</v>
      </c>
      <c r="P168" s="46">
        <f t="shared" ca="1" si="8"/>
        <v>5.5232558139534885E-4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input_380100!A$2</f>
        <v>380100</v>
      </c>
      <c r="B169" s="60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IFERROR(VLOOKUP(B169,input_380100!L:R,7,FALSE),VLOOKUP(tables_380100!C169,input_380100!A:H,8,FALSE))</f>
        <v>8170</v>
      </c>
      <c r="P169" s="46">
        <f t="shared" ca="1" si="8"/>
        <v>1.1309523809523809E-3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input_380100!A$2</f>
        <v>380100</v>
      </c>
      <c r="B170" s="60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IFERROR(VLOOKUP(B170,input_380100!L:R,7,FALSE),VLOOKUP(tables_380100!C170,input_380100!A:H,8,FALSE))</f>
        <v>430</v>
      </c>
      <c r="P170" s="46">
        <f t="shared" ca="1" si="8"/>
        <v>5.9523809523809524E-5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input_380100!A$2</f>
        <v>380100</v>
      </c>
      <c r="B171" s="60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IFERROR(VLOOKUP(B171,input_380100!L:R,7,FALSE),VLOOKUP(tables_380100!C171,input_380100!A:H,8,FALSE))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input_380100!A$2</f>
        <v>380100</v>
      </c>
      <c r="B172" s="60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IFERROR(VLOOKUP(B172,input_380100!L:R,7,FALSE),VLOOKUP(tables_380100!C172,input_380100!A:H,8,FALSE))</f>
        <v>75810</v>
      </c>
      <c r="P172" s="46">
        <f t="shared" ca="1" si="8"/>
        <v>1.0494186046511629E-2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input_380100!A$2</f>
        <v>380100</v>
      </c>
      <c r="B173" s="60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IFERROR(VLOOKUP(B173,input_380100!L:R,7,FALSE),VLOOKUP(tables_380100!C173,input_380100!A:H,8,FALSE))</f>
        <v>3990</v>
      </c>
      <c r="P173" s="46">
        <f t="shared" ca="1" si="8"/>
        <v>5.5232558139534885E-4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input_380100!A$2</f>
        <v>380100</v>
      </c>
      <c r="B174" s="60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IFERROR(VLOOKUP(B174,input_380100!L:R,7,FALSE),VLOOKUP(tables_380100!C174,input_380100!A:H,8,FALSE))</f>
        <v>8170</v>
      </c>
      <c r="P174" s="46">
        <f t="shared" ca="1" si="8"/>
        <v>1.1309523809523809E-3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input_380100!A$2</f>
        <v>380100</v>
      </c>
      <c r="B175" s="60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IFERROR(VLOOKUP(B175,input_380100!L:R,7,FALSE),VLOOKUP(tables_380100!C175,input_380100!A:H,8,FALSE))</f>
        <v>430</v>
      </c>
      <c r="P175" s="46">
        <f t="shared" ca="1" si="8"/>
        <v>5.9523809523809524E-5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input_380100!A$2</f>
        <v>380100</v>
      </c>
      <c r="B176" s="60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IFERROR(VLOOKUP(B176,input_380100!L:R,7,FALSE),VLOOKUP(tables_380100!C176,input_380100!A:H,8,FALSE))</f>
        <v>8170</v>
      </c>
      <c r="P176" s="46">
        <f t="shared" ca="1" si="8"/>
        <v>1.1309523809523809E-3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input_380100!A$2</f>
        <v>380100</v>
      </c>
      <c r="B177" s="60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IFERROR(VLOOKUP(B177,input_380100!L:R,7,FALSE),VLOOKUP(tables_380100!C177,input_380100!A:H,8,FALSE))</f>
        <v>430</v>
      </c>
      <c r="P177" s="46">
        <f t="shared" ca="1" si="8"/>
        <v>5.9523809523809524E-5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input_380100!A$2</f>
        <v>380100</v>
      </c>
      <c r="B178" s="60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IFERROR(VLOOKUP(B178,input_380100!L:R,7,FALSE),VLOOKUP(tables_380100!C178,input_380100!A:H,8,FALSE))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input_380100!A$2</f>
        <v>380100</v>
      </c>
      <c r="B179" s="60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IFERROR(VLOOKUP(B179,input_380100!L:R,7,FALSE),VLOOKUP(tables_380100!C179,input_380100!A:H,8,FALSE))</f>
        <v>75810</v>
      </c>
      <c r="P179" s="46">
        <f t="shared" ca="1" si="8"/>
        <v>1.0494186046511629E-2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input_380100!A$2</f>
        <v>380100</v>
      </c>
      <c r="B180" s="60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IFERROR(VLOOKUP(B180,input_380100!L:R,7,FALSE),VLOOKUP(tables_380100!C180,input_380100!A:H,8,FALSE))</f>
        <v>3990</v>
      </c>
      <c r="P180" s="46">
        <f t="shared" ca="1" si="8"/>
        <v>5.5232558139534885E-4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input_380100!A$2</f>
        <v>380100</v>
      </c>
      <c r="B181" s="60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IFERROR(VLOOKUP(B181,input_380100!L:R,7,FALSE),VLOOKUP(tables_380100!C181,input_380100!A:H,8,FALSE))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input_380100!A$2</f>
        <v>380100</v>
      </c>
      <c r="B182" s="60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IFERROR(VLOOKUP(B182,input_380100!L:R,7,FALSE),VLOOKUP(tables_380100!C182,input_380100!A:H,8,FALSE))</f>
        <v>75810</v>
      </c>
      <c r="P182" s="46">
        <f t="shared" ca="1" si="8"/>
        <v>1.0494186046511629E-2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input_380100!A$2</f>
        <v>380100</v>
      </c>
      <c r="B183" s="60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IFERROR(VLOOKUP(B183,input_380100!L:R,7,FALSE),VLOOKUP(tables_380100!C183,input_380100!A:H,8,FALSE))</f>
        <v>3990</v>
      </c>
      <c r="P183" s="46">
        <f t="shared" ca="1" si="8"/>
        <v>5.5232558139534885E-4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input_380100!A$2</f>
        <v>380100</v>
      </c>
      <c r="B184" s="60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IFERROR(VLOOKUP(B184,input_380100!L:R,7,FALSE),VLOOKUP(tables_380100!C184,input_380100!A:H,8,FALSE))</f>
        <v>8170</v>
      </c>
      <c r="P184" s="46">
        <f t="shared" ca="1" si="8"/>
        <v>1.1309523809523809E-3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input_380100!A$2</f>
        <v>380100</v>
      </c>
      <c r="B185" s="60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IFERROR(VLOOKUP(B185,input_380100!L:R,7,FALSE),VLOOKUP(tables_380100!C185,input_380100!A:H,8,FALSE))</f>
        <v>430</v>
      </c>
      <c r="P185" s="46">
        <f t="shared" ca="1" si="8"/>
        <v>5.9523809523809524E-5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input_380100!A$2</f>
        <v>380100</v>
      </c>
      <c r="B186" s="96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IFERROR(VLOOKUP(B186,input_380100!L:R,7,FALSE),VLOOKUP(tables_380100!C186,input_380100!A:H,8,FALSE))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input_380100!A$2</f>
        <v>380100</v>
      </c>
      <c r="B187" s="96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IFERROR(VLOOKUP(B187,input_380100!L:R,7,FALSE),VLOOKUP(tables_380100!C187,input_380100!A:H,8,FALSE))</f>
        <v>75810</v>
      </c>
      <c r="P187" s="46">
        <f t="shared" ca="1" si="8"/>
        <v>1.0494186046511629E-2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input_380100!A$2</f>
        <v>380100</v>
      </c>
      <c r="B188" s="96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IFERROR(VLOOKUP(B188,input_380100!L:R,7,FALSE),VLOOKUP(tables_380100!C188,input_380100!A:H,8,FALSE))</f>
        <v>3990</v>
      </c>
      <c r="P188" s="46">
        <f t="shared" ca="1" si="8"/>
        <v>5.5232558139534885E-4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input_380100!A$2</f>
        <v>380100</v>
      </c>
      <c r="B189" s="96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IFERROR(VLOOKUP(B189,input_380100!L:R,7,FALSE),VLOOKUP(tables_380100!C189,input_380100!A:H,8,FALSE))</f>
        <v>8170</v>
      </c>
      <c r="P189" s="46">
        <f t="shared" ca="1" si="8"/>
        <v>1.1309523809523809E-3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input_380100!A$2</f>
        <v>380100</v>
      </c>
      <c r="B190" s="60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IFERROR(VLOOKUP(B190,input_380100!L:R,7,FALSE),VLOOKUP(tables_380100!C190,input_380100!A:H,8,FALSE))</f>
        <v>430</v>
      </c>
      <c r="P190" s="46">
        <f t="shared" ca="1" si="8"/>
        <v>5.9523809523809524E-5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input_380100!A$2</f>
        <v>380100</v>
      </c>
      <c r="B191" s="60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IFERROR(VLOOKUP(B191,input_380100!L:R,7,FALSE),VLOOKUP(tables_380100!C191,input_380100!A:H,8,FALSE))</f>
        <v>8170</v>
      </c>
      <c r="P191" s="46">
        <f t="shared" ca="1" si="8"/>
        <v>1.1309523809523809E-3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input_380100!A$2</f>
        <v>380100</v>
      </c>
      <c r="B192" s="60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IFERROR(VLOOKUP(B192,input_380100!L:R,7,FALSE),VLOOKUP(tables_380100!C192,input_380100!A:H,8,FALSE))</f>
        <v>430</v>
      </c>
      <c r="P192" s="46">
        <f t="shared" ca="1" si="8"/>
        <v>5.9523809523809524E-5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input_380100!A$2</f>
        <v>380100</v>
      </c>
      <c r="B193" s="60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IFERROR(VLOOKUP(B193,input_380100!L:R,7,FALSE),VLOOKUP(tables_380100!C193,input_380100!A:H,8,FALSE))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input_380100!A$2</f>
        <v>380100</v>
      </c>
      <c r="B194" s="60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IFERROR(VLOOKUP(B194,input_380100!L:R,7,FALSE),VLOOKUP(tables_380100!C194,input_380100!A:H,8,FALSE))</f>
        <v>75810</v>
      </c>
      <c r="P194" s="46">
        <f t="shared" ref="P194:P257" ca="1" si="11">O194/SUM(O:O)</f>
        <v>1.0494186046511629E-2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input_380100!A$2</f>
        <v>380100</v>
      </c>
      <c r="B195" s="60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IFERROR(VLOOKUP(B195,input_380100!L:R,7,FALSE),VLOOKUP(tables_380100!C195,input_380100!A:H,8,FALSE))</f>
        <v>3990</v>
      </c>
      <c r="P195" s="46">
        <f t="shared" ca="1" si="11"/>
        <v>5.5232558139534885E-4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input_380100!A$2</f>
        <v>380100</v>
      </c>
      <c r="B196" s="60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IFERROR(VLOOKUP(B196,input_380100!L:R,7,FALSE),VLOOKUP(tables_380100!C196,input_380100!A:H,8,FALSE))</f>
        <v>8170</v>
      </c>
      <c r="P196" s="46">
        <f t="shared" ca="1" si="11"/>
        <v>1.1309523809523809E-3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input_380100!A$2</f>
        <v>380100</v>
      </c>
      <c r="B197" s="60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IFERROR(VLOOKUP(B197,input_380100!L:R,7,FALSE),VLOOKUP(tables_380100!C197,input_380100!A:H,8,FALSE))</f>
        <v>430</v>
      </c>
      <c r="P197" s="46">
        <f t="shared" ca="1" si="11"/>
        <v>5.9523809523809524E-5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input_380100!A$2</f>
        <v>380100</v>
      </c>
      <c r="B198" s="60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IFERROR(VLOOKUP(B198,input_380100!L:R,7,FALSE),VLOOKUP(tables_380100!C198,input_380100!A:H,8,FALSE))</f>
        <v>0</v>
      </c>
      <c r="P198" s="46">
        <f t="shared" ca="1" si="11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input_380100!A$2</f>
        <v>380100</v>
      </c>
      <c r="B199" s="60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IFERROR(VLOOKUP(B199,input_380100!L:R,7,FALSE),VLOOKUP(tables_380100!C199,input_380100!A:H,8,FALSE))</f>
        <v>75810</v>
      </c>
      <c r="P199" s="46">
        <f t="shared" ca="1" si="11"/>
        <v>1.0494186046511629E-2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input_380100!A$2</f>
        <v>380100</v>
      </c>
      <c r="B200" s="60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IFERROR(VLOOKUP(B200,input_380100!L:R,7,FALSE),VLOOKUP(tables_380100!C200,input_380100!A:H,8,FALSE))</f>
        <v>3990</v>
      </c>
      <c r="P200" s="46">
        <f t="shared" ca="1" si="11"/>
        <v>5.5232558139534885E-4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input_380100!A$2</f>
        <v>380100</v>
      </c>
      <c r="B201" s="60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IFERROR(VLOOKUP(B201,input_380100!L:R,7,FALSE),VLOOKUP(tables_380100!C201,input_380100!A:H,8,FALSE))</f>
        <v>8170</v>
      </c>
      <c r="P201" s="46">
        <f t="shared" ca="1" si="11"/>
        <v>1.1309523809523809E-3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input_380100!A$2</f>
        <v>380100</v>
      </c>
      <c r="B202" s="60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IFERROR(VLOOKUP(B202,input_380100!L:R,7,FALSE),VLOOKUP(tables_380100!C202,input_380100!A:H,8,FALSE))</f>
        <v>430</v>
      </c>
      <c r="P202" s="46">
        <f t="shared" ca="1" si="11"/>
        <v>5.9523809523809524E-5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input_380100!A$2</f>
        <v>380100</v>
      </c>
      <c r="B203" s="60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IFERROR(VLOOKUP(B203,input_380100!L:R,7,FALSE),VLOOKUP(tables_380100!C203,input_380100!A:H,8,FALSE))</f>
        <v>0</v>
      </c>
      <c r="P203" s="46">
        <f t="shared" ca="1" si="11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input_380100!A$2</f>
        <v>380100</v>
      </c>
      <c r="B204" s="60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IFERROR(VLOOKUP(B204,input_380100!L:R,7,FALSE),VLOOKUP(tables_380100!C204,input_380100!A:H,8,FALSE))</f>
        <v>75810</v>
      </c>
      <c r="P204" s="46">
        <f t="shared" ca="1" si="11"/>
        <v>1.0494186046511629E-2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input_380100!A$2</f>
        <v>380100</v>
      </c>
      <c r="B205" s="60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IFERROR(VLOOKUP(B205,input_380100!L:R,7,FALSE),VLOOKUP(tables_380100!C205,input_380100!A:H,8,FALSE))</f>
        <v>3990</v>
      </c>
      <c r="P205" s="46">
        <f t="shared" ca="1" si="11"/>
        <v>5.5232558139534885E-4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input_380100!A$2</f>
        <v>380100</v>
      </c>
      <c r="B206" s="60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IFERROR(VLOOKUP(B206,input_380100!L:R,7,FALSE),VLOOKUP(tables_380100!C206,input_380100!A:H,8,FALSE))</f>
        <v>8170</v>
      </c>
      <c r="P206" s="46">
        <f t="shared" ca="1" si="11"/>
        <v>1.1309523809523809E-3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input_380100!A$2</f>
        <v>380100</v>
      </c>
      <c r="B207" s="60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IFERROR(VLOOKUP(B207,input_380100!L:R,7,FALSE),VLOOKUP(tables_380100!C207,input_380100!A:H,8,FALSE))</f>
        <v>430</v>
      </c>
      <c r="P207" s="46">
        <f t="shared" ca="1" si="11"/>
        <v>5.9523809523809524E-5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input_380100!A$2</f>
        <v>380100</v>
      </c>
      <c r="B208" s="60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IFERROR(VLOOKUP(B208,input_380100!L:R,7,FALSE),VLOOKUP(tables_380100!C208,input_380100!A:H,8,FALSE))</f>
        <v>8170</v>
      </c>
      <c r="P208" s="46">
        <f t="shared" ca="1" si="11"/>
        <v>1.1309523809523809E-3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input_380100!A$2</f>
        <v>380100</v>
      </c>
      <c r="B209" s="60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IFERROR(VLOOKUP(B209,input_380100!L:R,7,FALSE),VLOOKUP(tables_380100!C209,input_380100!A:H,8,FALSE))</f>
        <v>430</v>
      </c>
      <c r="P209" s="46">
        <f t="shared" ca="1" si="11"/>
        <v>5.9523809523809524E-5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input_380100!A$2</f>
        <v>380100</v>
      </c>
      <c r="B210" s="60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IFERROR(VLOOKUP(B210,input_380100!L:R,7,FALSE),VLOOKUP(tables_380100!C210,input_380100!A:H,8,FALSE))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input_380100!A$2</f>
        <v>380100</v>
      </c>
      <c r="B211" s="60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IFERROR(VLOOKUP(B211,input_380100!L:R,7,FALSE),VLOOKUP(tables_380100!C211,input_380100!A:H,8,FALSE))</f>
        <v>75810</v>
      </c>
      <c r="P211" s="46">
        <f t="shared" ca="1" si="11"/>
        <v>1.0494186046511629E-2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input_380100!A$2</f>
        <v>380100</v>
      </c>
      <c r="B212" s="60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IFERROR(VLOOKUP(B212,input_380100!L:R,7,FALSE),VLOOKUP(tables_380100!C212,input_380100!A:H,8,FALSE))</f>
        <v>3990</v>
      </c>
      <c r="P212" s="46">
        <f t="shared" ca="1" si="11"/>
        <v>5.5232558139534885E-4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input_380100!A$2</f>
        <v>380100</v>
      </c>
      <c r="B213" s="60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IFERROR(VLOOKUP(B213,input_380100!L:R,7,FALSE),VLOOKUP(tables_380100!C213,input_380100!A:H,8,FALSE))</f>
        <v>8170</v>
      </c>
      <c r="P213" s="46">
        <f t="shared" ca="1" si="11"/>
        <v>1.1309523809523809E-3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input_380100!A$2</f>
        <v>380100</v>
      </c>
      <c r="B214" s="60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IFERROR(VLOOKUP(B214,input_380100!L:R,7,FALSE),VLOOKUP(tables_380100!C214,input_380100!A:H,8,FALSE))</f>
        <v>430</v>
      </c>
      <c r="P214" s="46">
        <f t="shared" ca="1" si="11"/>
        <v>5.9523809523809524E-5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input_380100!A$2</f>
        <v>380100</v>
      </c>
      <c r="B215" s="60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IFERROR(VLOOKUP(B215,input_380100!L:R,7,FALSE),VLOOKUP(tables_380100!C215,input_380100!A:H,8,FALSE))</f>
        <v>8170</v>
      </c>
      <c r="P215" s="46">
        <f t="shared" ca="1" si="11"/>
        <v>1.1309523809523809E-3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input_380100!A$2</f>
        <v>380100</v>
      </c>
      <c r="B216" s="60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IFERROR(VLOOKUP(B216,input_380100!L:R,7,FALSE),VLOOKUP(tables_380100!C216,input_380100!A:H,8,FALSE))</f>
        <v>430</v>
      </c>
      <c r="P216" s="46">
        <f t="shared" ca="1" si="11"/>
        <v>5.9523809523809524E-5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input_380100!A$2</f>
        <v>380100</v>
      </c>
      <c r="B217" s="60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IFERROR(VLOOKUP(B217,input_380100!L:R,7,FALSE),VLOOKUP(tables_380100!C217,input_380100!A:H,8,FALSE))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input_380100!A$2</f>
        <v>380100</v>
      </c>
      <c r="B218" s="60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IFERROR(VLOOKUP(B218,input_380100!L:R,7,FALSE),VLOOKUP(tables_380100!C218,input_380100!A:H,8,FALSE))</f>
        <v>75810</v>
      </c>
      <c r="P218" s="46">
        <f t="shared" ca="1" si="11"/>
        <v>1.0494186046511629E-2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input_380100!A$2</f>
        <v>380100</v>
      </c>
      <c r="B219" s="60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IFERROR(VLOOKUP(B219,input_380100!L:R,7,FALSE),VLOOKUP(tables_380100!C219,input_380100!A:H,8,FALSE))</f>
        <v>3990</v>
      </c>
      <c r="P219" s="46">
        <f t="shared" ca="1" si="11"/>
        <v>5.5232558139534885E-4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input_380100!A$2</f>
        <v>380100</v>
      </c>
      <c r="B220" s="60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IFERROR(VLOOKUP(B220,input_380100!L:R,7,FALSE),VLOOKUP(tables_380100!C220,input_380100!A:H,8,FALSE))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input_380100!A$2</f>
        <v>380100</v>
      </c>
      <c r="B221" s="60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IFERROR(VLOOKUP(B221,input_380100!L:R,7,FALSE),VLOOKUP(tables_380100!C221,input_380100!A:H,8,FALSE))</f>
        <v>75810</v>
      </c>
      <c r="P221" s="46">
        <f t="shared" ca="1" si="11"/>
        <v>1.0494186046511629E-2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input_380100!A$2</f>
        <v>380100</v>
      </c>
      <c r="B222" s="60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IFERROR(VLOOKUP(B222,input_380100!L:R,7,FALSE),VLOOKUP(tables_380100!C222,input_380100!A:H,8,FALSE))</f>
        <v>3990</v>
      </c>
      <c r="P222" s="46">
        <f t="shared" ca="1" si="11"/>
        <v>5.5232558139534885E-4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input_380100!A$2</f>
        <v>380100</v>
      </c>
      <c r="B223" s="60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IFERROR(VLOOKUP(B223,input_380100!L:R,7,FALSE),VLOOKUP(tables_380100!C223,input_380100!A:H,8,FALSE))</f>
        <v>8170</v>
      </c>
      <c r="P223" s="46">
        <f t="shared" ca="1" si="11"/>
        <v>1.1309523809523809E-3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input_380100!A$2</f>
        <v>380100</v>
      </c>
      <c r="B224" s="60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IFERROR(VLOOKUP(B224,input_380100!L:R,7,FALSE),VLOOKUP(tables_380100!C224,input_380100!A:H,8,FALSE))</f>
        <v>430</v>
      </c>
      <c r="P224" s="46">
        <f t="shared" ca="1" si="11"/>
        <v>5.9523809523809524E-5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input_380100!A$2</f>
        <v>380100</v>
      </c>
      <c r="B225" s="60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IFERROR(VLOOKUP(B225,input_380100!L:R,7,FALSE),VLOOKUP(tables_380100!C225,input_380100!A:H,8,FALSE))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input_380100!A$2</f>
        <v>380100</v>
      </c>
      <c r="B226" s="60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IFERROR(VLOOKUP(B226,input_380100!L:R,7,FALSE),VLOOKUP(tables_380100!C226,input_380100!A:H,8,FALSE))</f>
        <v>75810</v>
      </c>
      <c r="P226" s="46">
        <f t="shared" ca="1" si="11"/>
        <v>1.0494186046511629E-2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input_380100!A$2</f>
        <v>380100</v>
      </c>
      <c r="B227" s="60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IFERROR(VLOOKUP(B227,input_380100!L:R,7,FALSE),VLOOKUP(tables_380100!C227,input_380100!A:H,8,FALSE))</f>
        <v>3990</v>
      </c>
      <c r="P227" s="46">
        <f t="shared" ca="1" si="11"/>
        <v>5.5232558139534885E-4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input_380100!A$2</f>
        <v>380100</v>
      </c>
      <c r="B228" s="60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IFERROR(VLOOKUP(B228,input_380100!L:R,7,FALSE),VLOOKUP(tables_380100!C228,input_380100!A:H,8,FALSE))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input_380100!A$2</f>
        <v>380100</v>
      </c>
      <c r="B229" s="60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IFERROR(VLOOKUP(B229,input_380100!L:R,7,FALSE),VLOOKUP(tables_380100!C229,input_380100!A:H,8,FALSE))</f>
        <v>75810</v>
      </c>
      <c r="P229" s="46">
        <f t="shared" ca="1" si="11"/>
        <v>1.0494186046511629E-2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input_380100!A$2</f>
        <v>380100</v>
      </c>
      <c r="B230" s="60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IFERROR(VLOOKUP(B230,input_380100!L:R,7,FALSE),VLOOKUP(tables_380100!C230,input_380100!A:H,8,FALSE))</f>
        <v>3990</v>
      </c>
      <c r="P230" s="46">
        <f t="shared" ca="1" si="11"/>
        <v>5.5232558139534885E-4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input_380100!A$2</f>
        <v>380100</v>
      </c>
      <c r="B231" s="60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IFERROR(VLOOKUP(B231,input_380100!L:R,7,FALSE),VLOOKUP(tables_380100!C231,input_380100!A:H,8,FALSE))</f>
        <v>8170</v>
      </c>
      <c r="P231" s="46">
        <f t="shared" ca="1" si="11"/>
        <v>1.1309523809523809E-3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input_380100!A$2</f>
        <v>380100</v>
      </c>
      <c r="B232" s="60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IFERROR(VLOOKUP(B232,input_380100!L:R,7,FALSE),VLOOKUP(tables_380100!C232,input_380100!A:H,8,FALSE))</f>
        <v>430</v>
      </c>
      <c r="P232" s="46">
        <f t="shared" ca="1" si="11"/>
        <v>5.9523809523809524E-5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input_380100!A$2</f>
        <v>380100</v>
      </c>
      <c r="B233" s="60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IFERROR(VLOOKUP(B233,input_380100!L:R,7,FALSE),VLOOKUP(tables_380100!C233,input_380100!A:H,8,FALSE))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input_380100!A$2</f>
        <v>380100</v>
      </c>
      <c r="B234" s="60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IFERROR(VLOOKUP(B234,input_380100!L:R,7,FALSE),VLOOKUP(tables_380100!C234,input_380100!A:H,8,FALSE))</f>
        <v>75810</v>
      </c>
      <c r="P234" s="46">
        <f t="shared" ca="1" si="11"/>
        <v>1.0494186046511629E-2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input_380100!A$2</f>
        <v>380100</v>
      </c>
      <c r="B235" s="60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IFERROR(VLOOKUP(B235,input_380100!L:R,7,FALSE),VLOOKUP(tables_380100!C235,input_380100!A:H,8,FALSE))</f>
        <v>3990</v>
      </c>
      <c r="P235" s="46">
        <f t="shared" ca="1" si="11"/>
        <v>5.5232558139534885E-4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input_380100!A$2</f>
        <v>380100</v>
      </c>
      <c r="B236" s="60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IFERROR(VLOOKUP(B236,input_380100!L:R,7,FALSE),VLOOKUP(tables_380100!C236,input_380100!A:H,8,FALSE))</f>
        <v>8170</v>
      </c>
      <c r="P236" s="46">
        <f t="shared" ca="1" si="11"/>
        <v>1.1309523809523809E-3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input_380100!A$2</f>
        <v>380100</v>
      </c>
      <c r="B237" s="60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IFERROR(VLOOKUP(B237,input_380100!L:R,7,FALSE),VLOOKUP(tables_380100!C237,input_380100!A:H,8,FALSE))</f>
        <v>430</v>
      </c>
      <c r="P237" s="46">
        <f t="shared" ca="1" si="11"/>
        <v>5.9523809523809524E-5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input_380100!A$2</f>
        <v>380100</v>
      </c>
      <c r="B238" s="60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IFERROR(VLOOKUP(B238,input_380100!L:R,7,FALSE),VLOOKUP(tables_380100!C238,input_380100!A:H,8,FALSE))</f>
        <v>8170</v>
      </c>
      <c r="P238" s="46">
        <f t="shared" ca="1" si="11"/>
        <v>1.1309523809523809E-3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input_380100!A$2</f>
        <v>380100</v>
      </c>
      <c r="B239" s="60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IFERROR(VLOOKUP(B239,input_380100!L:R,7,FALSE),VLOOKUP(tables_380100!C239,input_380100!A:H,8,FALSE))</f>
        <v>430</v>
      </c>
      <c r="P239" s="46">
        <f t="shared" ca="1" si="11"/>
        <v>5.9523809523809524E-5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input_380100!A$2</f>
        <v>380100</v>
      </c>
      <c r="B240" s="60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IFERROR(VLOOKUP(B240,input_380100!L:R,7,FALSE),VLOOKUP(tables_380100!C240,input_380100!A:H,8,FALSE))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input_380100!A$2</f>
        <v>380100</v>
      </c>
      <c r="B241" s="60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IFERROR(VLOOKUP(B241,input_380100!L:R,7,FALSE),VLOOKUP(tables_380100!C241,input_380100!A:H,8,FALSE))</f>
        <v>75810</v>
      </c>
      <c r="P241" s="46">
        <f t="shared" ca="1" si="11"/>
        <v>1.0494186046511629E-2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input_380100!A$2</f>
        <v>380100</v>
      </c>
      <c r="B242" s="60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IFERROR(VLOOKUP(B242,input_380100!L:R,7,FALSE),VLOOKUP(tables_380100!C242,input_380100!A:H,8,FALSE))</f>
        <v>3990</v>
      </c>
      <c r="P242" s="46">
        <f t="shared" ca="1" si="11"/>
        <v>5.5232558139534885E-4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input_380100!A$2</f>
        <v>380100</v>
      </c>
      <c r="B243" s="60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IFERROR(VLOOKUP(B243,input_380100!L:R,7,FALSE),VLOOKUP(tables_380100!C243,input_380100!A:H,8,FALSE))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input_380100!A$2</f>
        <v>380100</v>
      </c>
      <c r="B244" s="60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IFERROR(VLOOKUP(B244,input_380100!L:R,7,FALSE),VLOOKUP(tables_380100!C244,input_380100!A:H,8,FALSE))</f>
        <v>75810</v>
      </c>
      <c r="P244" s="46">
        <f t="shared" ca="1" si="11"/>
        <v>1.0494186046511629E-2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input_380100!A$2</f>
        <v>380100</v>
      </c>
      <c r="B245" s="60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IFERROR(VLOOKUP(B245,input_380100!L:R,7,FALSE),VLOOKUP(tables_380100!C245,input_380100!A:H,8,FALSE))</f>
        <v>3990</v>
      </c>
      <c r="P245" s="46">
        <f t="shared" ca="1" si="11"/>
        <v>5.5232558139534885E-4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input_380100!A$2</f>
        <v>380100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IFERROR(VLOOKUP(B246,input_380100!L:R,7,FALSE),VLOOKUP(tables_380100!C246,input_380100!A:H,8,FALSE))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input_380100!A$2</f>
        <v>380100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IFERROR(VLOOKUP(B247,input_380100!L:R,7,FALSE),VLOOKUP(tables_380100!C247,input_380100!A:H,8,FALSE))</f>
        <v>75810</v>
      </c>
      <c r="P247" s="46">
        <f t="shared" ca="1" si="11"/>
        <v>1.0494186046511629E-2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input_380100!A$2</f>
        <v>380100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IFERROR(VLOOKUP(B248,input_380100!L:R,7,FALSE),VLOOKUP(tables_380100!C248,input_380100!A:H,8,FALSE))</f>
        <v>3990</v>
      </c>
      <c r="P248" s="46">
        <f t="shared" ca="1" si="11"/>
        <v>5.5232558139534885E-4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input_380100!A$2</f>
        <v>380100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IFERROR(VLOOKUP(B249,input_380100!L:R,7,FALSE),VLOOKUP(tables_380100!C249,input_380100!A:H,8,FALSE))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input_380100!A$2</f>
        <v>380100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IFERROR(VLOOKUP(B250,input_380100!L:R,7,FALSE),VLOOKUP(tables_380100!C250,input_380100!A:H,8,FALSE))</f>
        <v>75810</v>
      </c>
      <c r="P250" s="46">
        <f t="shared" ca="1" si="11"/>
        <v>1.0494186046511629E-2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input_380100!A$2</f>
        <v>380100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IFERROR(VLOOKUP(B251,input_380100!L:R,7,FALSE),VLOOKUP(tables_380100!C251,input_380100!A:H,8,FALSE))</f>
        <v>3990</v>
      </c>
      <c r="P251" s="46">
        <f t="shared" ca="1" si="11"/>
        <v>5.5232558139534885E-4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input_380100!A$2</f>
        <v>380100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IFERROR(VLOOKUP(B252,input_380100!L:R,7,FALSE),VLOOKUP(tables_380100!C252,input_380100!A:H,8,FALSE))</f>
        <v>8170</v>
      </c>
      <c r="P252" s="46">
        <f t="shared" ca="1" si="11"/>
        <v>1.1309523809523809E-3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input_380100!A$2</f>
        <v>380100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IFERROR(VLOOKUP(B253,input_380100!L:R,7,FALSE),VLOOKUP(tables_380100!C253,input_380100!A:H,8,FALSE))</f>
        <v>430</v>
      </c>
      <c r="P253" s="46">
        <f t="shared" ca="1" si="11"/>
        <v>5.9523809523809524E-5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input_380100!A$2</f>
        <v>380100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IFERROR(VLOOKUP(B254,input_380100!L:R,7,FALSE),VLOOKUP(tables_380100!C254,input_380100!A:H,8,FALSE))</f>
        <v>8170</v>
      </c>
      <c r="P254" s="46">
        <f t="shared" ca="1" si="11"/>
        <v>1.1309523809523809E-3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input_380100!A$2</f>
        <v>380100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IFERROR(VLOOKUP(B255,input_380100!L:R,7,FALSE),VLOOKUP(tables_380100!C255,input_380100!A:H,8,FALSE))</f>
        <v>430</v>
      </c>
      <c r="P255" s="46">
        <f t="shared" ca="1" si="11"/>
        <v>5.9523809523809524E-5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input_380100!A$2</f>
        <v>380100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IFERROR(VLOOKUP(B256,input_380100!L:R,7,FALSE),VLOOKUP(tables_380100!C256,input_380100!A:H,8,FALSE))</f>
        <v>79268</v>
      </c>
      <c r="P256" s="46">
        <f t="shared" ca="1" si="11"/>
        <v>1.0972868217054264E-2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input_380100!A$2</f>
        <v>380100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IFERROR(VLOOKUP(B257,input_380100!L:R,7,FALSE),VLOOKUP(tables_380100!C257,input_380100!A:H,8,FALSE))</f>
        <v>532</v>
      </c>
      <c r="P257" s="46">
        <f t="shared" ca="1" si="11"/>
        <v>7.3643410852713178E-5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input_380100!A$2</f>
        <v>380100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ref="D258:D283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IFERROR(VLOOKUP(B258,input_380100!L:R,7,FALSE),VLOOKUP(tables_380100!C258,input_380100!A:H,8,FALSE))</f>
        <v>79268</v>
      </c>
      <c r="P258" s="46">
        <f t="shared" ref="P258:P299" ca="1" si="14">O258/SUM(O:O)</f>
        <v>1.0972868217054264E-2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input_380100!A$2</f>
        <v>380100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IFERROR(VLOOKUP(B259,input_380100!L:R,7,FALSE),VLOOKUP(tables_380100!C259,input_380100!A:H,8,FALSE))</f>
        <v>532</v>
      </c>
      <c r="P259" s="46">
        <f t="shared" ca="1" si="14"/>
        <v>7.3643410852713178E-5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input_380100!A$2</f>
        <v>380100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IFERROR(VLOOKUP(B260,input_380100!L:R,7,FALSE),VLOOKUP(tables_380100!C260,input_380100!A:H,8,FALSE))</f>
        <v>8600</v>
      </c>
      <c r="P260" s="46">
        <f t="shared" ca="1" si="14"/>
        <v>1.1904761904761906E-3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input_380100!A$2</f>
        <v>380100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IFERROR(VLOOKUP(B261,input_380100!L:R,7,FALSE),VLOOKUP(tables_380100!C261,input_380100!A:H,8,FALSE))</f>
        <v>8600</v>
      </c>
      <c r="P261" s="46">
        <f t="shared" ca="1" si="14"/>
        <v>1.1904761904761906E-3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input_380100!A$2</f>
        <v>380100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IFERROR(VLOOKUP(B262,input_380100!L:R,7,FALSE),VLOOKUP(tables_380100!C262,input_380100!A:H,8,FALSE))</f>
        <v>8170</v>
      </c>
      <c r="P262" s="46">
        <f t="shared" ca="1" si="14"/>
        <v>1.1309523809523809E-3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input_380100!A$2</f>
        <v>380100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IFERROR(VLOOKUP(B263,input_380100!L:R,7,FALSE),VLOOKUP(tables_380100!C263,input_380100!A:H,8,FALSE))</f>
        <v>430</v>
      </c>
      <c r="P263" s="46">
        <f t="shared" ca="1" si="14"/>
        <v>5.9523809523809524E-5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input_380100!A$2</f>
        <v>380100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IFERROR(VLOOKUP(B264,input_380100!L:R,7,FALSE),VLOOKUP(tables_380100!C264,input_380100!A:H,8,FALSE))</f>
        <v>8170</v>
      </c>
      <c r="P264" s="46">
        <f t="shared" ca="1" si="14"/>
        <v>1.1309523809523809E-3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input_380100!A$2</f>
        <v>380100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IFERROR(VLOOKUP(B265,input_380100!L:R,7,FALSE),VLOOKUP(tables_380100!C265,input_380100!A:H,8,FALSE))</f>
        <v>430</v>
      </c>
      <c r="P265" s="46">
        <f t="shared" ca="1" si="14"/>
        <v>5.9523809523809524E-5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input_380100!A$2</f>
        <v>380100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IFERROR(VLOOKUP(B266,input_380100!L:R,7,FALSE),VLOOKUP(tables_380100!C266,input_380100!A:H,8,FALSE))</f>
        <v>0</v>
      </c>
      <c r="P266" s="46">
        <f t="shared" ca="1" si="14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input_380100!A$2</f>
        <v>380100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IFERROR(VLOOKUP(B267,input_380100!L:R,7,FALSE),VLOOKUP(tables_380100!C267,input_380100!A:H,8,FALSE))</f>
        <v>75810</v>
      </c>
      <c r="P267" s="46">
        <f t="shared" ca="1" si="14"/>
        <v>1.0494186046511629E-2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input_380100!A$2</f>
        <v>380100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IFERROR(VLOOKUP(B268,input_380100!L:R,7,FALSE),VLOOKUP(tables_380100!C268,input_380100!A:H,8,FALSE))</f>
        <v>3990</v>
      </c>
      <c r="P268" s="46">
        <f t="shared" ca="1" si="14"/>
        <v>5.5232558139534885E-4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input_380100!A$2</f>
        <v>380100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IFERROR(VLOOKUP(B269,input_380100!L:R,7,FALSE),VLOOKUP(tables_380100!C269,input_380100!A:H,8,FALSE))</f>
        <v>0</v>
      </c>
      <c r="P269" s="46">
        <f t="shared" ca="1" si="14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input_380100!A$2</f>
        <v>380100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IFERROR(VLOOKUP(B270,input_380100!L:R,7,FALSE),VLOOKUP(tables_380100!C270,input_380100!A:H,8,FALSE))</f>
        <v>75810</v>
      </c>
      <c r="P270" s="46">
        <f t="shared" ca="1" si="14"/>
        <v>1.0494186046511629E-2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input_380100!A$2</f>
        <v>380100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IFERROR(VLOOKUP(B271,input_380100!L:R,7,FALSE),VLOOKUP(tables_380100!C271,input_380100!A:H,8,FALSE))</f>
        <v>3990</v>
      </c>
      <c r="P271" s="46">
        <f t="shared" ca="1" si="14"/>
        <v>5.5232558139534885E-4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input_380100!A$2</f>
        <v>380100</v>
      </c>
      <c r="B272" s="82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IFERROR(VLOOKUP(B272,input_380100!L:R,7,FALSE),VLOOKUP(tables_380100!C272,input_380100!A:H,8,FALSE))</f>
        <v>8600</v>
      </c>
      <c r="P272" s="46">
        <f t="shared" ca="1" si="14"/>
        <v>1.1904761904761906E-3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input_380100!A$2</f>
        <v>380100</v>
      </c>
      <c r="B273" s="82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IFERROR(VLOOKUP(B273,input_380100!L:R,7,FALSE),VLOOKUP(tables_380100!C273,input_380100!A:H,8,FALSE))</f>
        <v>8600</v>
      </c>
      <c r="P273" s="46">
        <f t="shared" ca="1" si="14"/>
        <v>1.1904761904761906E-3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input_380100!A$2</f>
        <v>380100</v>
      </c>
      <c r="B274" s="82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IFERROR(VLOOKUP(B274,input_380100!L:R,7,FALSE),VLOOKUP(tables_380100!C274,input_380100!A:H,8,FALSE))</f>
        <v>79268</v>
      </c>
      <c r="P274" s="46">
        <f t="shared" ca="1" si="14"/>
        <v>1.0972868217054264E-2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input_380100!A$2</f>
        <v>380100</v>
      </c>
      <c r="B275" s="82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IFERROR(VLOOKUP(B275,input_380100!L:R,7,FALSE),VLOOKUP(tables_380100!C275,input_380100!A:H,8,FALSE))</f>
        <v>532</v>
      </c>
      <c r="P275" s="46">
        <f t="shared" ca="1" si="14"/>
        <v>7.3643410852713178E-5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input_380100!A$2</f>
        <v>380100</v>
      </c>
      <c r="B276" s="82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IFERROR(VLOOKUP(B276,input_380100!L:R,7,FALSE),VLOOKUP(tables_380100!C276,input_380100!A:H,8,FALSE))</f>
        <v>79268</v>
      </c>
      <c r="P276" s="46">
        <f t="shared" ca="1" si="14"/>
        <v>1.0972868217054264E-2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input_380100!A$2</f>
        <v>380100</v>
      </c>
      <c r="B277" s="82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IFERROR(VLOOKUP(B277,input_380100!L:R,7,FALSE),VLOOKUP(tables_380100!C277,input_380100!A:H,8,FALSE))</f>
        <v>532</v>
      </c>
      <c r="P277" s="46">
        <f t="shared" ca="1" si="14"/>
        <v>7.3643410852713178E-5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input_380100!A$2</f>
        <v>380100</v>
      </c>
      <c r="B278" s="82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IFERROR(VLOOKUP(B278,input_380100!L:R,7,FALSE),VLOOKUP(tables_380100!C278,input_380100!A:H,8,FALSE))</f>
        <v>79268</v>
      </c>
      <c r="P278" s="46">
        <f t="shared" ca="1" si="14"/>
        <v>1.0972868217054264E-2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input_380100!A$2</f>
        <v>380100</v>
      </c>
      <c r="B279" s="82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IFERROR(VLOOKUP(B279,input_380100!L:R,7,FALSE),VLOOKUP(tables_380100!C279,input_380100!A:H,8,FALSE))</f>
        <v>532</v>
      </c>
      <c r="P279" s="46">
        <f t="shared" ca="1" si="14"/>
        <v>7.3643410852713178E-5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input_380100!A$2</f>
        <v>380100</v>
      </c>
      <c r="B280" s="82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IFERROR(VLOOKUP(B280,input_380100!L:R,7,FALSE),VLOOKUP(tables_380100!C280,input_380100!A:H,8,FALSE))</f>
        <v>79268</v>
      </c>
      <c r="P280" s="46">
        <f t="shared" ca="1" si="14"/>
        <v>1.0972868217054264E-2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input_380100!A$2</f>
        <v>380100</v>
      </c>
      <c r="B281" s="82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IFERROR(VLOOKUP(B281,input_380100!L:R,7,FALSE),VLOOKUP(tables_380100!C281,input_380100!A:H,8,FALSE))</f>
        <v>532</v>
      </c>
      <c r="P281" s="46">
        <f t="shared" ca="1" si="14"/>
        <v>7.3643410852713178E-5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input_380100!A$2</f>
        <v>380100</v>
      </c>
      <c r="B282" s="82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IFERROR(VLOOKUP(B282,input_380100!L:R,7,FALSE),VLOOKUP(tables_380100!C282,input_380100!A:H,8,FALSE))</f>
        <v>8600</v>
      </c>
      <c r="P282" s="46">
        <f t="shared" ca="1" si="14"/>
        <v>1.1904761904761906E-3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input_380100!A$2</f>
        <v>380100</v>
      </c>
      <c r="B283" s="82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IFERROR(VLOOKUP(B283,input_380100!L:R,7,FALSE),VLOOKUP(tables_380100!C283,input_380100!A:H,8,FALSE))</f>
        <v>8600</v>
      </c>
      <c r="P283" s="46">
        <f t="shared" ca="1" si="14"/>
        <v>1.1904761904761906E-3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input_380100!A$2</f>
        <v>380100</v>
      </c>
      <c r="B284" s="82">
        <v>742</v>
      </c>
      <c r="C284" s="7" t="str">
        <f t="shared" ref="C284" si="15">D284&amp;J284&amp;E284&amp;F284&amp;G284</f>
        <v>PremiumSS5R5only</v>
      </c>
      <c r="D284" s="7" t="str">
        <f t="shared" ref="D284" si="16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IFERROR(VLOOKUP(B284,input_380100!L:R,7,FALSE),VLOOKUP(tables_380100!C284,input_380100!A:H,8,FALSE))</f>
        <v>8600</v>
      </c>
      <c r="P284" s="46">
        <f t="shared" ca="1" si="14"/>
        <v>1.1904761904761906E-3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input_380100!A$2</f>
        <v>380100</v>
      </c>
      <c r="B285" s="82">
        <v>744</v>
      </c>
      <c r="C285" s="7" t="str">
        <f t="shared" ref="C285:C286" si="17">D285&amp;J285&amp;E285&amp;F285&amp;G285</f>
        <v>PremiumSS5R5only</v>
      </c>
      <c r="D285" s="7" t="str">
        <f t="shared" ref="D285:D286" si="18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IFERROR(VLOOKUP(B285,input_380100!L:R,7,FALSE),VLOOKUP(tables_380100!C285,input_380100!A:H,8,FALSE))</f>
        <v>8600</v>
      </c>
      <c r="P285" s="46">
        <f t="shared" ca="1" si="14"/>
        <v>1.1904761904761906E-3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input_380100!A$2</f>
        <v>380100</v>
      </c>
      <c r="B286" s="82">
        <v>746</v>
      </c>
      <c r="C286" s="7" t="str">
        <f t="shared" si="17"/>
        <v>Premium4R3less</v>
      </c>
      <c r="D286" s="7" t="str">
        <f t="shared" si="18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IFERROR(VLOOKUP(B286,input_380100!L:R,7,FALSE),VLOOKUP(tables_380100!C286,input_380100!A:H,8,FALSE))</f>
        <v>79268</v>
      </c>
      <c r="P286" s="46">
        <f t="shared" ca="1" si="14"/>
        <v>1.0972868217054264E-2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input_380100!A$2</f>
        <v>380100</v>
      </c>
      <c r="B287" s="82">
        <v>747</v>
      </c>
      <c r="C287" s="7" t="str">
        <f t="shared" ref="C287:C289" si="19">D287&amp;J287&amp;E287&amp;F287&amp;G287</f>
        <v>Premium5R3less</v>
      </c>
      <c r="D287" s="7" t="str">
        <f t="shared" ref="D287:D289" si="20">IF(I287="PremiumSS",I287,IF(I287="PremiumSSS",I287,IF(I287="PremiumW",I287,"Premium")))</f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IFERROR(VLOOKUP(B287,input_380100!L:R,7,FALSE),VLOOKUP(tables_380100!C287,input_380100!A:H,8,FALSE))</f>
        <v>532</v>
      </c>
      <c r="P287" s="46">
        <f t="shared" ca="1" si="14"/>
        <v>7.3643410852713178E-5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input_380100!A$2</f>
        <v>380100</v>
      </c>
      <c r="B288" s="82">
        <v>748</v>
      </c>
      <c r="C288" s="7" t="str">
        <f t="shared" si="19"/>
        <v>Premium4R3less</v>
      </c>
      <c r="D288" s="7" t="str">
        <f t="shared" si="20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IFERROR(VLOOKUP(B288,input_380100!L:R,7,FALSE),VLOOKUP(tables_380100!C288,input_380100!A:H,8,FALSE))</f>
        <v>79268</v>
      </c>
      <c r="P288" s="46">
        <f t="shared" ca="1" si="14"/>
        <v>1.0972868217054264E-2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input_380100!A$2</f>
        <v>380100</v>
      </c>
      <c r="B289" s="82">
        <v>749</v>
      </c>
      <c r="C289" s="7" t="str">
        <f t="shared" si="19"/>
        <v>Premium5R3less</v>
      </c>
      <c r="D289" s="7" t="str">
        <f t="shared" si="20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IFERROR(VLOOKUP(B289,input_380100!L:R,7,FALSE),VLOOKUP(tables_380100!C289,input_380100!A:H,8,FALSE))</f>
        <v>532</v>
      </c>
      <c r="P289" s="46">
        <f t="shared" ca="1" si="14"/>
        <v>7.3643410852713178E-5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input_380100!A$2</f>
        <v>380100</v>
      </c>
      <c r="B290" s="82">
        <v>937</v>
      </c>
      <c r="C290" s="7" t="str">
        <f t="shared" ref="C290:C294" si="21">D290&amp;J290&amp;E290&amp;F290&amp;G290</f>
        <v>PremiumSS5R5only</v>
      </c>
      <c r="D290" s="7" t="str">
        <f t="shared" ref="D290:D294" si="22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IFERROR(VLOOKUP(B290,input_380100!L:R,7,FALSE),VLOOKUP(tables_380100!C290,input_380100!A:H,8,FALSE))</f>
        <v>8600</v>
      </c>
      <c r="P290" s="46">
        <f t="shared" ca="1" si="14"/>
        <v>1.1904761904761906E-3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input_380100!A$2</f>
        <v>380100</v>
      </c>
      <c r="B291" s="82">
        <v>939</v>
      </c>
      <c r="C291" s="7" t="str">
        <f t="shared" si="21"/>
        <v>Premium4R3less</v>
      </c>
      <c r="D291" s="7" t="str">
        <f t="shared" si="22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IFERROR(VLOOKUP(B291,input_380100!L:R,7,FALSE),VLOOKUP(tables_380100!C291,input_380100!A:H,8,FALSE))</f>
        <v>79268</v>
      </c>
      <c r="P291" s="46">
        <f t="shared" ca="1" si="14"/>
        <v>1.0972868217054264E-2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input_380100!A$2</f>
        <v>380100</v>
      </c>
      <c r="B292" s="82">
        <v>940</v>
      </c>
      <c r="C292" s="7" t="str">
        <f t="shared" si="21"/>
        <v>Premium5R3less</v>
      </c>
      <c r="D292" s="7" t="str">
        <f t="shared" si="22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IFERROR(VLOOKUP(B292,input_380100!L:R,7,FALSE),VLOOKUP(tables_380100!C292,input_380100!A:H,8,FALSE))</f>
        <v>532</v>
      </c>
      <c r="P292" s="46">
        <f t="shared" ca="1" si="14"/>
        <v>7.3643410852713178E-5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input_380100!A$2</f>
        <v>380100</v>
      </c>
      <c r="B293" s="82">
        <v>941</v>
      </c>
      <c r="C293" s="7" t="str">
        <f t="shared" si="21"/>
        <v>PremiumSS5R5only</v>
      </c>
      <c r="D293" s="7" t="str">
        <f t="shared" si="22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IFERROR(VLOOKUP(B293,input_380100!L:R,7,FALSE),VLOOKUP(tables_380100!C293,input_380100!A:H,8,FALSE))</f>
        <v>8600</v>
      </c>
      <c r="P293" s="46">
        <f t="shared" ca="1" si="14"/>
        <v>1.1904761904761906E-3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input_380100!A$2</f>
        <v>380100</v>
      </c>
      <c r="B294" s="82">
        <v>943</v>
      </c>
      <c r="C294" s="7" t="str">
        <f t="shared" si="21"/>
        <v>PremiumSS5R5only</v>
      </c>
      <c r="D294" s="7" t="str">
        <f t="shared" si="22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IFERROR(VLOOKUP(B294,input_380100!L:R,7,FALSE),VLOOKUP(tables_380100!C294,input_380100!A:H,8,FALSE))</f>
        <v>8600</v>
      </c>
      <c r="P294" s="46">
        <f t="shared" ca="1" si="14"/>
        <v>1.1904761904761906E-3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input_380100!A$2</f>
        <v>380100</v>
      </c>
      <c r="B295" s="82">
        <v>1012</v>
      </c>
      <c r="C295" s="7" t="str">
        <f t="shared" ref="C295:C299" si="23">D295&amp;J295&amp;E295&amp;F295&amp;G295</f>
        <v>PremiumSS5R5only</v>
      </c>
      <c r="D295" s="7" t="str">
        <f t="shared" ref="D295:D299" si="24">IF(I295="PremiumSS",I295,IF(I295="PremiumSSS",I295,IF(I295="PremiumW",I295,"Premium")))</f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IFERROR(VLOOKUP(B295,input_380100!L:R,7,FALSE),VLOOKUP(tables_380100!C295,input_380100!A:H,8,FALSE))</f>
        <v>8600</v>
      </c>
      <c r="P295" s="46">
        <f t="shared" ca="1" si="14"/>
        <v>1.1904761904761906E-3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input_380100!A$2</f>
        <v>380100</v>
      </c>
      <c r="B296" s="82">
        <v>1014</v>
      </c>
      <c r="C296" s="7" t="str">
        <f t="shared" si="23"/>
        <v>PremiumSS5R5only</v>
      </c>
      <c r="D296" s="7" t="str">
        <f t="shared" si="24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IFERROR(VLOOKUP(B296,input_380100!L:R,7,FALSE),VLOOKUP(tables_380100!C296,input_380100!A:H,8,FALSE))</f>
        <v>8600</v>
      </c>
      <c r="P296" s="46">
        <f t="shared" ca="1" si="14"/>
        <v>1.1904761904761906E-3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input_380100!A$2</f>
        <v>380100</v>
      </c>
      <c r="B297" s="82">
        <v>1016</v>
      </c>
      <c r="C297" s="7" t="str">
        <f t="shared" si="23"/>
        <v>Premium4R3less</v>
      </c>
      <c r="D297" s="7" t="str">
        <f t="shared" si="24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IFERROR(VLOOKUP(B297,input_380100!L:R,7,FALSE),VLOOKUP(tables_380100!C297,input_380100!A:H,8,FALSE))</f>
        <v>79268</v>
      </c>
      <c r="P297" s="46">
        <f t="shared" ca="1" si="14"/>
        <v>1.0972868217054264E-2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input_380100!A$2</f>
        <v>380100</v>
      </c>
      <c r="B298" s="82">
        <v>1017</v>
      </c>
      <c r="C298" s="7" t="str">
        <f t="shared" si="23"/>
        <v>Premium5R3less</v>
      </c>
      <c r="D298" s="7" t="str">
        <f t="shared" si="24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IFERROR(VLOOKUP(B298,input_380100!L:R,7,FALSE),VLOOKUP(tables_380100!C298,input_380100!A:H,8,FALSE))</f>
        <v>532</v>
      </c>
      <c r="P298" s="46">
        <f t="shared" ca="1" si="14"/>
        <v>7.3643410852713178E-5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input_380100!A$2</f>
        <v>380100</v>
      </c>
      <c r="B299" s="82">
        <v>1018</v>
      </c>
      <c r="C299" s="7" t="str">
        <f t="shared" si="23"/>
        <v>PremiumSS5R5only</v>
      </c>
      <c r="D299" s="7" t="str">
        <f t="shared" si="24"/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IFERROR(VLOOKUP(B299,input_380100!L:R,7,FALSE),VLOOKUP(tables_380100!C299,input_380100!A:H,8,FALSE))</f>
        <v>8600</v>
      </c>
      <c r="P299" s="46">
        <f t="shared" ca="1" si="14"/>
        <v>1.1904761904761906E-3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6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A3" sqref="A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3.5976562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88" t="s">
        <v>260</v>
      </c>
      <c r="B2" s="60">
        <v>937</v>
      </c>
      <c r="C2" s="7" t="str">
        <f t="shared" ref="C2:C3" si="0">D2&amp;J2&amp;E2&amp;F2&amp;G2</f>
        <v>PremiumSS5R5only</v>
      </c>
      <c r="D2" s="7" t="str">
        <f t="shared" ref="D2:D3" si="1">IF(I2="PremiumSS",I2,IF(I2="PremiumSSS",I2,IF(I2="PremiumW",I2,"Premium")))</f>
        <v>PremiumSS</v>
      </c>
      <c r="E2" s="7" t="str">
        <f>IF(COUNTIF('R6追加前'!A:A,B2)=0,IF(I2="PremiumSS","R5only","R3less"),"")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ナポレオン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balance</v>
      </c>
      <c r="M2" s="7" t="str">
        <f>VLOOKUP(B2,[1]characters!$A:$M,13,FALSE)</f>
        <v>human</v>
      </c>
      <c r="N2" s="7" t="str">
        <f>VLOOKUP(B2,[1]characters!$A:$G,7,FALSE)</f>
        <v>男性</v>
      </c>
      <c r="O2" s="45">
        <v>150</v>
      </c>
      <c r="P2" s="46">
        <f>O2/SUM(O:O)</f>
        <v>0.15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88" t="s">
        <v>260</v>
      </c>
      <c r="B3" s="60">
        <v>939</v>
      </c>
      <c r="C3" s="7" t="str">
        <f t="shared" si="0"/>
        <v>Premium4R3less</v>
      </c>
      <c r="D3" s="7" t="str">
        <f t="shared" si="1"/>
        <v>Premium</v>
      </c>
      <c r="E3" s="7" t="str">
        <f>IF(COUNTIF('R6追加前'!A:A,B3)=0,IF(I3="PremiumSS","R5only","R3less"),"")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バスティーユ</v>
      </c>
      <c r="I3" s="7" t="str">
        <f>VLOOKUP(B3,[1]characters!$A:$J,10,FALSE)</f>
        <v>PremiumS</v>
      </c>
      <c r="J3" s="7">
        <f>VLOOKUP(B3,[1]characters!$A:$I,9,FALSE)</f>
        <v>4</v>
      </c>
      <c r="K3" s="7" t="str">
        <f>VLOOKUP(B3,[1]characters!$A:$H,8,FALSE)</f>
        <v>green</v>
      </c>
      <c r="L3" s="7" t="str">
        <f>VLOOKUP(B3,[1]characters!$A:$K,11,FALSE)</f>
        <v>hp</v>
      </c>
      <c r="M3" s="7" t="str">
        <f>VLOOKUP(B3,[1]characters!$A:$M,13,FALSE)</f>
        <v>unknown</v>
      </c>
      <c r="N3" s="7" t="str">
        <f>VLOOKUP(B3,[1]characters!$A:$G,7,FALSE)</f>
        <v>男性</v>
      </c>
      <c r="O3" s="45">
        <v>200</v>
      </c>
      <c r="P3" s="46">
        <f>O3/SUM(O:O)</f>
        <v>0.2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88" t="s">
        <v>260</v>
      </c>
      <c r="B4" s="60">
        <v>940</v>
      </c>
      <c r="C4" s="7" t="str">
        <f t="shared" ref="C4:C6" si="2">D4&amp;J4&amp;E4&amp;F4&amp;G4</f>
        <v>Premium5R3less</v>
      </c>
      <c r="D4" s="7" t="str">
        <f t="shared" ref="D4:D6" si="3">IF(I4="PremiumSS",I4,IF(I4="PremiumSSS",I4,IF(I4="PremiumW",I4,"Premium")))</f>
        <v>Premium</v>
      </c>
      <c r="E4" s="7" t="str">
        <f>IF(COUNTIF('R6追加前'!A:A,B4)=0,IF(I4="PremiumSS","R5only","R3less"),"")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不壊の大要塞 バスティーユ</v>
      </c>
      <c r="I4" s="7" t="str">
        <f>VLOOKUP(B4,[1]characters!$A:$J,10,FALSE)</f>
        <v>PremiumS</v>
      </c>
      <c r="J4" s="7">
        <f>VLOOKUP(B4,[1]characters!$A:$I,9,FALSE)</f>
        <v>5</v>
      </c>
      <c r="K4" s="7" t="str">
        <f>VLOOKUP(B4,[1]characters!$A:$H,8,FALSE)</f>
        <v>green</v>
      </c>
      <c r="L4" s="7" t="str">
        <f>VLOOKUP(B4,[1]characters!$A:$K,11,FALSE)</f>
        <v>hp</v>
      </c>
      <c r="M4" s="7" t="str">
        <f>VLOOKUP(B4,[1]characters!$A:$M,13,FALSE)</f>
        <v>unknown</v>
      </c>
      <c r="N4" s="7" t="str">
        <f>VLOOKUP(B4,[1]characters!$A:$G,7,FALSE)</f>
        <v>男性</v>
      </c>
      <c r="O4" s="45">
        <v>250</v>
      </c>
      <c r="P4" s="46">
        <f>O4/SUM(O:O)</f>
        <v>0.25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88" t="s">
        <v>260</v>
      </c>
      <c r="B5" s="90">
        <v>941</v>
      </c>
      <c r="C5" s="7" t="str">
        <f t="shared" si="2"/>
        <v>PremiumSS5R5only</v>
      </c>
      <c r="D5" s="7" t="str">
        <f t="shared" si="3"/>
        <v>PremiumSS</v>
      </c>
      <c r="E5" s="7" t="str">
        <f>IF(COUNTIF('R6追加前'!A:A,B5)=0,IF(I5="PremiumSS","R5only","R3less"),"")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アントワネット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technical</v>
      </c>
      <c r="M5" s="7" t="str">
        <f>VLOOKUP(B5,[1]characters!$A:$M,13,FALSE)</f>
        <v>human</v>
      </c>
      <c r="N5" s="7" t="str">
        <f>VLOOKUP(B5,[1]characters!$A:$G,7,FALSE)</f>
        <v>男性</v>
      </c>
      <c r="O5" s="45">
        <v>200</v>
      </c>
      <c r="P5" s="46">
        <f>O5/SUM(O:O)</f>
        <v>0.2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88" t="s">
        <v>260</v>
      </c>
      <c r="B6" s="90">
        <v>943</v>
      </c>
      <c r="C6" s="7" t="str">
        <f t="shared" si="2"/>
        <v>PremiumSS5R5only</v>
      </c>
      <c r="D6" s="7" t="str">
        <f t="shared" si="3"/>
        <v>PremiumSS</v>
      </c>
      <c r="E6" s="7" t="str">
        <f>IF(COUNTIF('R6追加前'!A:A,B6)=0,IF(I6="PremiumSS","R5only","R3less"),"")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サンソン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yellow</v>
      </c>
      <c r="L6" s="7" t="str">
        <f>VLOOKUP(B6,[1]characters!$A:$K,11,FALSE)</f>
        <v>attack</v>
      </c>
      <c r="M6" s="7" t="str">
        <f>VLOOKUP(B6,[1]characters!$A:$M,13,FALSE)</f>
        <v>human</v>
      </c>
      <c r="N6" s="7" t="str">
        <f>VLOOKUP(B6,[1]characters!$A:$G,7,FALSE)</f>
        <v>男性</v>
      </c>
      <c r="O6" s="45">
        <v>200</v>
      </c>
      <c r="P6" s="46">
        <f>O6/SUM(O:O)</f>
        <v>0.2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</sheetData>
  <autoFilter ref="A1:V6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I20" sqref="I2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9" t="s">
        <v>248</v>
      </c>
      <c r="B2" s="79" t="s">
        <v>249</v>
      </c>
      <c r="C2" s="80" t="s">
        <v>244</v>
      </c>
      <c r="D2" s="80">
        <v>125</v>
      </c>
      <c r="E2" s="80">
        <v>1</v>
      </c>
      <c r="F2" s="80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0" t="s">
        <v>214</v>
      </c>
      <c r="O2" s="80" t="s">
        <v>246</v>
      </c>
      <c r="P2" s="80" t="s">
        <v>247</v>
      </c>
      <c r="Q2" s="81" t="s">
        <v>251</v>
      </c>
    </row>
    <row r="3" spans="1:17" ht="21" customHeight="1" x14ac:dyDescent="0.15">
      <c r="A3" s="79" t="s">
        <v>253</v>
      </c>
      <c r="B3" s="79" t="s">
        <v>250</v>
      </c>
      <c r="C3" s="1" t="s">
        <v>241</v>
      </c>
      <c r="D3" s="1">
        <v>125</v>
      </c>
      <c r="E3" s="1">
        <v>3</v>
      </c>
      <c r="F3" s="1">
        <v>1</v>
      </c>
      <c r="G3" s="87">
        <v>0</v>
      </c>
      <c r="H3" s="87">
        <v>0</v>
      </c>
      <c r="I3" s="87">
        <v>0</v>
      </c>
      <c r="J3" s="87">
        <v>0</v>
      </c>
      <c r="K3" s="87">
        <v>1</v>
      </c>
      <c r="L3" s="87">
        <v>1</v>
      </c>
      <c r="M3" s="87">
        <v>1</v>
      </c>
      <c r="N3" s="80" t="s">
        <v>214</v>
      </c>
      <c r="O3" s="80" t="s">
        <v>245</v>
      </c>
      <c r="P3" s="80" t="s">
        <v>247</v>
      </c>
      <c r="Q3" s="81" t="s">
        <v>252</v>
      </c>
    </row>
    <row r="4" spans="1:17" ht="21" customHeight="1" x14ac:dyDescent="0.15">
      <c r="A4" s="79"/>
      <c r="B4" s="79"/>
      <c r="G4" s="87"/>
      <c r="H4" s="87"/>
      <c r="I4" s="87"/>
      <c r="J4" s="87"/>
      <c r="K4" s="87"/>
      <c r="L4" s="87"/>
      <c r="M4" s="87"/>
      <c r="N4" s="80"/>
      <c r="O4" s="80"/>
      <c r="P4" s="80"/>
      <c r="Q4" s="81"/>
    </row>
    <row r="5" spans="1:17" ht="21" customHeight="1" x14ac:dyDescent="0.15">
      <c r="A5" s="79"/>
      <c r="B5" s="79"/>
      <c r="G5" s="87"/>
      <c r="H5" s="87"/>
      <c r="I5" s="87"/>
      <c r="J5" s="87"/>
      <c r="K5" s="87"/>
      <c r="L5" s="87"/>
      <c r="M5" s="87"/>
      <c r="N5" s="80"/>
      <c r="O5" s="80"/>
      <c r="P5" s="80"/>
      <c r="Q5" s="81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F26" sqref="F2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確率の考え方</vt:lpstr>
      <vt:lpstr>Sheet1</vt:lpstr>
      <vt:lpstr>output</vt:lpstr>
      <vt:lpstr>input_380010</vt:lpstr>
      <vt:lpstr>input_380011</vt:lpstr>
      <vt:lpstr>tables_380010</vt:lpstr>
      <vt:lpstr>tables_380011</vt:lpstr>
      <vt:lpstr>input_380100</vt:lpstr>
      <vt:lpstr>tables_380100</vt:lpstr>
      <vt:lpstr>tables_settle_378100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2016-08-03T11:32:35Z</dcterms:modified>
</cp:coreProperties>
</file>