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424100" sheetId="157" r:id="rId4"/>
    <sheet name="tables_424100" sheetId="158" r:id="rId5"/>
    <sheet name="tables_settle_424105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tables_424100!$A$1:$V$294</definedName>
    <definedName name="_xlnm._FilterDatabase" localSheetId="5" hidden="1">tables_settle_424105!$A$1:$V$1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0" i="157" l="1"/>
  <c r="B21" i="157"/>
  <c r="A2" i="157"/>
  <c r="O3" i="158"/>
  <c r="O5" i="158"/>
  <c r="O7" i="158"/>
  <c r="O9" i="158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G20" i="157"/>
  <c r="H20" i="157"/>
  <c r="O52" i="158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8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F41" i="157"/>
  <c r="G41" i="157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1" i="157"/>
  <c r="E20" i="157"/>
  <c r="F5" i="157"/>
  <c r="A36" i="157"/>
  <c r="E18" i="157"/>
  <c r="E19" i="157"/>
  <c r="B19" i="157"/>
  <c r="E24" i="157"/>
  <c r="B24" i="157"/>
  <c r="B17" i="157"/>
  <c r="B18" i="157"/>
  <c r="G18" i="157"/>
  <c r="H18" i="157"/>
  <c r="G17" i="157"/>
  <c r="E17" i="157"/>
  <c r="H17" i="157"/>
  <c r="G24" i="157"/>
  <c r="H24" i="157"/>
  <c r="E25" i="157"/>
  <c r="B25" i="157"/>
  <c r="G25" i="157"/>
  <c r="H25" i="157"/>
  <c r="E26" i="157"/>
  <c r="B26" i="157"/>
  <c r="G26" i="157"/>
  <c r="H26" i="157"/>
  <c r="G19" i="157"/>
  <c r="H19" i="157"/>
  <c r="R3" i="157"/>
  <c r="E27" i="157"/>
  <c r="E5" i="157"/>
  <c r="B27" i="157"/>
  <c r="G27" i="157"/>
  <c r="H27" i="157"/>
  <c r="R4" i="157"/>
  <c r="E28" i="157"/>
  <c r="B28" i="157"/>
  <c r="G28" i="157"/>
  <c r="H28" i="157"/>
  <c r="R7" i="157"/>
  <c r="R8" i="157"/>
  <c r="R5" i="157"/>
  <c r="R6" i="157"/>
  <c r="E22" i="157"/>
  <c r="E23" i="157"/>
  <c r="B23" i="157"/>
  <c r="B22" i="157"/>
  <c r="G22" i="157"/>
  <c r="H22" i="157"/>
  <c r="G23" i="157"/>
  <c r="H23" i="157"/>
  <c r="E29" i="157"/>
  <c r="B29" i="157"/>
  <c r="G29" i="157"/>
  <c r="H29" i="157"/>
  <c r="R9" i="157"/>
  <c r="F42" i="157"/>
  <c r="G42" i="157"/>
  <c r="I6" i="159"/>
  <c r="D6" i="159"/>
  <c r="J6" i="159"/>
  <c r="E6" i="159"/>
  <c r="F6" i="159"/>
  <c r="C6" i="159"/>
  <c r="H6" i="159"/>
  <c r="K6" i="159"/>
  <c r="L6" i="159"/>
  <c r="M6" i="159"/>
  <c r="N6" i="159"/>
  <c r="P6" i="159"/>
  <c r="I7" i="159"/>
  <c r="D7" i="159"/>
  <c r="J7" i="159"/>
  <c r="E7" i="159"/>
  <c r="F7" i="159"/>
  <c r="C7" i="159"/>
  <c r="H7" i="159"/>
  <c r="K7" i="159"/>
  <c r="L7" i="159"/>
  <c r="M7" i="159"/>
  <c r="N7" i="159"/>
  <c r="P7" i="159"/>
  <c r="I8" i="159"/>
  <c r="D8" i="159"/>
  <c r="J8" i="159"/>
  <c r="E8" i="159"/>
  <c r="F8" i="159"/>
  <c r="C8" i="159"/>
  <c r="H8" i="159"/>
  <c r="K8" i="159"/>
  <c r="L8" i="159"/>
  <c r="M8" i="159"/>
  <c r="N8" i="159"/>
  <c r="P8" i="159"/>
  <c r="I4" i="159"/>
  <c r="D4" i="159"/>
  <c r="J4" i="159"/>
  <c r="E4" i="159"/>
  <c r="F4" i="159"/>
  <c r="C4" i="159"/>
  <c r="H4" i="159"/>
  <c r="K4" i="159"/>
  <c r="L4" i="159"/>
  <c r="M4" i="159"/>
  <c r="N4" i="159"/>
  <c r="P4" i="159"/>
  <c r="I5" i="159"/>
  <c r="D5" i="159"/>
  <c r="J5" i="159"/>
  <c r="E5" i="159"/>
  <c r="F5" i="159"/>
  <c r="C5" i="159"/>
  <c r="H5" i="159"/>
  <c r="K5" i="159"/>
  <c r="L5" i="159"/>
  <c r="M5" i="159"/>
  <c r="N5" i="159"/>
  <c r="P5" i="159"/>
  <c r="B6" i="157"/>
  <c r="B30" i="157"/>
  <c r="C3" i="103"/>
  <c r="E3" i="103"/>
  <c r="F315" i="158"/>
  <c r="H315" i="158"/>
  <c r="K315" i="158"/>
  <c r="L315" i="158"/>
  <c r="M315" i="158"/>
  <c r="N315" i="158"/>
  <c r="F316" i="158"/>
  <c r="F317" i="158"/>
  <c r="F318" i="158"/>
  <c r="F319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F310" i="158"/>
  <c r="H310" i="158"/>
  <c r="K310" i="158"/>
  <c r="L310" i="158"/>
  <c r="M310" i="158"/>
  <c r="N310" i="158"/>
  <c r="F311" i="158"/>
  <c r="F312" i="158"/>
  <c r="F313" i="158"/>
  <c r="F314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I2" i="159"/>
  <c r="D2" i="159"/>
  <c r="E2" i="159"/>
  <c r="I3" i="159"/>
  <c r="D3" i="159"/>
  <c r="E3" i="159"/>
  <c r="A305" i="158"/>
  <c r="F305" i="158"/>
  <c r="H305" i="158"/>
  <c r="K305" i="158"/>
  <c r="L305" i="158"/>
  <c r="M305" i="158"/>
  <c r="N305" i="158"/>
  <c r="F306" i="158"/>
  <c r="F307" i="158"/>
  <c r="F308" i="158"/>
  <c r="F309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C4" i="103"/>
  <c r="E4" i="103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A300" i="158"/>
  <c r="F300" i="158"/>
  <c r="H300" i="158"/>
  <c r="K300" i="158"/>
  <c r="L300" i="158"/>
  <c r="M300" i="158"/>
  <c r="N300" i="158"/>
  <c r="F301" i="158"/>
  <c r="F302" i="158"/>
  <c r="F303" i="158"/>
  <c r="F304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2" i="157"/>
  <c r="B43" i="157"/>
  <c r="B45" i="157"/>
  <c r="B46" i="157"/>
  <c r="F40" i="157"/>
  <c r="G40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R20" i="157"/>
  <c r="P20" i="157"/>
  <c r="O20" i="157"/>
  <c r="M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  <c r="D21" i="157"/>
  <c r="F21" i="157"/>
  <c r="I21" i="157"/>
  <c r="J21" i="157"/>
  <c r="B44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F48" i="157"/>
  <c r="F47" i="157"/>
  <c r="B41" i="157"/>
  <c r="B47" i="157"/>
  <c r="C40" i="157"/>
  <c r="C41" i="157"/>
  <c r="C42" i="157"/>
  <c r="C43" i="157"/>
  <c r="C44" i="157"/>
  <c r="C45" i="157"/>
  <c r="C46" i="157"/>
  <c r="C47" i="157"/>
  <c r="F46" i="157"/>
  <c r="F45" i="157"/>
  <c r="B32" i="157"/>
  <c r="D32" i="157"/>
  <c r="D20" i="157"/>
  <c r="F20" i="157"/>
  <c r="I20" i="157"/>
  <c r="J20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<sst xmlns="http://schemas.openxmlformats.org/spreadsheetml/2006/main" count="420" uniqueCount="255">
  <si>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</si>
  <si>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</si>
  <si>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</si>
  <si>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</si>
  <si>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</si>
  <si>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</si>
  <si>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</si>
  <si>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</si>
  <si>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</si>
  <si>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</si>
  <si>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</si>
  <si>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</si>
  <si>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</si>
  <si>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</si>
  <si>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</si>
  <si>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</si>
  <si>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</si>
  <si>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</si>
  <si>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</si>
  <si>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</si>
  <si>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</si>
  <si>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</si>
  <si>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</si>
  <si>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</si>
  <si>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</si>
  <si>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</si>
  <si>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</si>
  <si>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</si>
  <si>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</si>
  <si>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</si>
  <si>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</si>
  <si>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</si>
  <si>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</si>
  <si>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</si>
  <si>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</si>
  <si>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</si>
  <si>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</si>
  <si>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</si>
  <si>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</si>
  <si>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</si>
  <si>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</si>
  <si>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</si>
  <si>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</si>
  <si>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</si>
  <si>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</si>
  <si>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</si>
  <si>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</si>
  <si>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</si>
  <si>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</si>
  <si>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</si>
  <si>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</si>
  <si>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</si>
  <si>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</si>
  <si>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</si>
  <si>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</si>
  <si>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</si>
  <si>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</si>
  <si>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</si>
  <si>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</si>
  <si>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</si>
  <si>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</si>
  <si>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</si>
  <si>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</si>
  <si>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</si>
  <si>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</si>
  <si>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</si>
  <si>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</si>
  <si>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</si>
  <si>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</si>
  <si>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</si>
  <si>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</si>
  <si>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</si>
  <si>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</si>
  <si>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</si>
  <si>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</si>
  <si>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</si>
  <si>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</si>
  <si>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</si>
  <si>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</si>
  <si>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</si>
  <si>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</si>
  <si>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</si>
  <si>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</si>
  <si>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</si>
  <si>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</si>
  <si>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</si>
  <si>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</si>
  <si>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</si>
  <si>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</si>
  <si>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</si>
  <si>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</si>
  <si>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</si>
  <si>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</si>
  <si>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</si>
  <si>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</si>
  <si>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</si>
  <si>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</si>
  <si>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</si>
  <si>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</si>
  <si>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</si>
  <si>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</si>
  <si>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</si>
  <si>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</si>
  <si>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</si>
  <si>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</si>
  <si>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</si>
  <si>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</si>
  <si>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</si>
  <si>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</si>
  <si>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</si>
  <si>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</si>
  <si>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</si>
  <si>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</si>
  <si>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</si>
  <si>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</si>
  <si>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</si>
  <si>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</si>
  <si>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</si>
  <si>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</si>
  <si>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</si>
  <si>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</si>
  <si>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</si>
  <si>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</si>
  <si>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</si>
  <si>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</si>
  <si>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</si>
  <si>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</si>
  <si>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</si>
  <si>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</si>
  <si>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</si>
  <si>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</si>
  <si>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</si>
  <si>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</si>
  <si>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</si>
  <si>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</si>
  <si>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</si>
  <si>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</si>
  <si>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</si>
  <si>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</si>
  <si>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</si>
  <si>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</si>
  <si>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</si>
  <si>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</si>
  <si>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</si>
  <si>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</si>
  <si>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</si>
  <si>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</si>
  <si>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</si>
  <si>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</si>
  <si>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</si>
  <si>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</si>
  <si>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</si>
  <si>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</si>
  <si>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</si>
  <si>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</si>
  <si>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</si>
  <si>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</si>
  <si>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</si>
  <si>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</si>
  <si>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</si>
  <si>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</si>
  <si>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</si>
  <si>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</si>
  <si>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</si>
  <si>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</si>
  <si>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</si>
  <si>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</si>
  <si>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</si>
  <si>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</si>
  <si>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</si>
  <si>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</si>
  <si>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</si>
  <si>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</si>
  <si>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</si>
  <si>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</si>
  <si>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</si>
  <si>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</si>
  <si>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</si>
  <si>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</si>
  <si>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</si>
  <si>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</si>
  <si>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</si>
  <si>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</si>
  <si>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</si>
  <si>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</si>
  <si>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</si>
  <si>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</si>
  <si>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</si>
  <si>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</si>
  <si>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</si>
  <si>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</si>
  <si>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</si>
  <si>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</si>
  <si>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</si>
  <si>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</si>
  <si>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</si>
  <si>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</si>
  <si>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</si>
  <si>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</si>
  <si>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</si>
  <si>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</si>
  <si>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</si>
  <si>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</si>
  <si>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</si>
  <si>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</si>
  <si>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</si>
  <si>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</si>
  <si>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</si>
  <si>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</si>
  <si>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</si>
  <si>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</si>
  <si>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</si>
  <si>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</si>
  <si>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</si>
  <si>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</si>
  <si>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</si>
  <si>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</si>
  <si>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</si>
  <si>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</si>
  <si>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</si>
  <si>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</si>
  <si>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</si>
  <si>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</si>
  <si>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</si>
  <si>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</si>
  <si>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</si>
  <si>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</si>
  <si>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</si>
  <si>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</si>
  <si>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</si>
  <si>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</si>
  <si>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</si>
  <si>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</si>
  <si>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</si>
  <si>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</si>
  <si>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</si>
  <si>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</si>
  <si>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</si>
  <si>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</si>
  <si>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</si>
  <si>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</si>
  <si>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</si>
  <si>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</si>
  <si>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</si>
  <si>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</si>
  <si>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</si>
  <si>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</si>
  <si>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gacha_select_tables_</t>
    <phoneticPr fontId="22"/>
  </si>
  <si>
    <t>tables_422011</t>
  </si>
  <si>
    <t>old</t>
    <phoneticPr fontId="22"/>
  </si>
  <si>
    <t>gacha_settle_tables_</t>
    <phoneticPr fontId="22"/>
  </si>
  <si>
    <t>.tmp</t>
    <phoneticPr fontId="55"/>
  </si>
  <si>
    <t>old</t>
    <phoneticPr fontId="22"/>
  </si>
  <si>
    <t>tables_424100</t>
    <phoneticPr fontId="22"/>
  </si>
  <si>
    <t>tables_settle_424105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</si>
</sst>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</cellStyleXfs>
  <cellXfs count="102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28" fillId="25" borderId="1" xfId="0" applyFont="1" applyFill="1" applyBorder="1" applyAlignment="1">
      <alignment vertical="center"/>
    </xf>
    <xf numFmtId="0" fontId="5" fillId="0" borderId="1" xfId="2978" applyFont="1" applyBorder="1"/>
    <xf numFmtId="0" fontId="4" fillId="4" borderId="1" xfId="2978" applyFont="1" applyFill="1" applyBorder="1"/>
    <xf numFmtId="0" fontId="3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0" fontId="27" fillId="0" borderId="1" xfId="2" applyFont="1" applyFill="1" applyBorder="1" applyAlignment="1">
      <alignment horizontal="left" vertical="center"/>
    </xf>
    <xf numFmtId="0" fontId="27" fillId="0" borderId="1" xfId="2" applyFont="1" applyFill="1" applyBorder="1" applyAlignment="1">
      <alignment vertical="center"/>
    </xf>
    <xf numFmtId="177" fontId="0" fillId="0" borderId="0" xfId="0" applyNumberFormat="1"/>
    <xf numFmtId="180" fontId="0" fillId="4" borderId="1" xfId="0" applyNumberFormat="1" applyFill="1" applyBorder="1"/>
    <xf numFmtId="0" fontId="2" fillId="4" borderId="1" xfId="2978" applyFont="1" applyFill="1" applyBorder="1"/>
    <xf numFmtId="183" fontId="0" fillId="0" borderId="0" xfId="0" applyNumberFormat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balance</v>
          </cell>
          <cell r="L956" t="str">
            <v>バランスタイプ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balance</v>
          </cell>
          <cell r="L957" t="str">
            <v>バランスタイプ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マクローリン超覚醒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balance</v>
          </cell>
          <cell r="L958" t="str">
            <v>バランスタイプ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technical</v>
          </cell>
          <cell r="L1146" t="str">
            <v>テクニカルタイプ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technical</v>
          </cell>
          <cell r="L1147" t="str">
            <v>テクニカルタイプ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technical</v>
          </cell>
          <cell r="L1152" t="str">
            <v>テクニカルタイプ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technical</v>
          </cell>
          <cell r="L1153" t="str">
            <v>テクニカルタイプ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technical</v>
          </cell>
          <cell r="L1154" t="str">
            <v>テクニカルタイプ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technical</v>
          </cell>
          <cell r="L1155" t="str">
            <v>テクニカルタイプ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1179</v>
          </cell>
          <cell r="B1160" t="str">
            <v>ja</v>
          </cell>
          <cell r="C1160" t="str">
            <v>厳核なる巨大炉 ハイゼンベルク</v>
          </cell>
          <cell r="D1160" t="str">
            <v>各属性相性良3・黄・R558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green</v>
          </cell>
          <cell r="I1160">
            <v>6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1181</v>
          </cell>
          <cell r="B1161" t="str">
            <v>ja</v>
          </cell>
          <cell r="C1161" t="str">
            <v>永存の究極論 ユークリッド</v>
          </cell>
          <cell r="D1161" t="str">
            <v>超覚醒ハーシェル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blue</v>
          </cell>
          <cell r="I1161">
            <v>6</v>
          </cell>
          <cell r="J1161" t="str">
            <v>PremiumSSS</v>
          </cell>
          <cell r="K1161" t="str">
            <v>balance</v>
          </cell>
          <cell r="L1161" t="str">
            <v>バランスタイプ</v>
          </cell>
          <cell r="M1161" t="str">
            <v>academia</v>
          </cell>
        </row>
        <row r="1162">
          <cell r="A1162">
            <v>1184</v>
          </cell>
          <cell r="B1162" t="str">
            <v>ja</v>
          </cell>
          <cell r="C1162" t="str">
            <v>電装の烙雷芯 ファラデー</v>
          </cell>
          <cell r="D1162" t="str">
            <v>超覚醒ハーシェル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6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1185</v>
          </cell>
          <cell r="B1163" t="str">
            <v>ja</v>
          </cell>
          <cell r="C1163" t="str">
            <v>兆銀河団の星観者 ハーシェル</v>
          </cell>
          <cell r="D1163" t="str">
            <v>超覚醒ハーシェル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heal</v>
          </cell>
          <cell r="L1163" t="str">
            <v>回復タイプ</v>
          </cell>
          <cell r="M1163" t="str">
            <v>academia</v>
          </cell>
        </row>
        <row r="1164">
          <cell r="A1164">
            <v>6001</v>
          </cell>
          <cell r="B1164" t="str">
            <v>ja</v>
          </cell>
          <cell r="C1164" t="str">
            <v>ジェリー</v>
          </cell>
          <cell r="D1164" t="str">
            <v>ノーマルクエスト</v>
          </cell>
          <cell r="E1164" t="str">
            <v>QoH</v>
          </cell>
          <cell r="F1164" t="str">
            <v>世界観</v>
          </cell>
          <cell r="G1164" t="str">
            <v>不明</v>
          </cell>
          <cell r="H1164" t="str">
            <v>red</v>
          </cell>
          <cell r="I1164">
            <v>1</v>
          </cell>
          <cell r="J1164" t="str">
            <v>Drop1T</v>
          </cell>
          <cell r="K1164" t="str">
            <v>ra</v>
          </cell>
          <cell r="L1164" t="str">
            <v>ラグランジュチャレンジ</v>
          </cell>
          <cell r="M1164" t="str">
            <v>unknown</v>
          </cell>
        </row>
        <row r="1165">
          <cell r="A1165">
            <v>6002</v>
          </cell>
          <cell r="B1165" t="str">
            <v>ja</v>
          </cell>
          <cell r="C1165" t="str">
            <v>ヨシタカ</v>
          </cell>
          <cell r="D1165" t="str">
            <v>ノーマルクエスト</v>
          </cell>
          <cell r="E1165" t="str">
            <v>アバター</v>
          </cell>
          <cell r="F1165" t="str">
            <v>世界観</v>
          </cell>
          <cell r="G1165" t="str">
            <v>男性</v>
          </cell>
          <cell r="H1165" t="str">
            <v>red</v>
          </cell>
          <cell r="I1165">
            <v>2</v>
          </cell>
          <cell r="J1165" t="str">
            <v>Drop1N</v>
          </cell>
          <cell r="K1165" t="str">
            <v>ra</v>
          </cell>
          <cell r="L1165" t="str">
            <v>ラグランジュチャレンジ</v>
          </cell>
          <cell r="M1165" t="str">
            <v>human</v>
          </cell>
        </row>
        <row r="1166">
          <cell r="A1166">
            <v>6003</v>
          </cell>
          <cell r="B1166" t="str">
            <v>ja</v>
          </cell>
          <cell r="C1166" t="str">
            <v>朱雀</v>
          </cell>
          <cell r="D1166" t="str">
            <v>リンクガチャ:4神</v>
          </cell>
          <cell r="E1166" t="str">
            <v>守護神</v>
          </cell>
          <cell r="F1166" t="str">
            <v>格好いい</v>
          </cell>
          <cell r="G1166" t="str">
            <v>不明</v>
          </cell>
          <cell r="H1166" t="str">
            <v>red</v>
          </cell>
          <cell r="I1166">
            <v>3</v>
          </cell>
          <cell r="J1166" t="str">
            <v>Drop2N</v>
          </cell>
          <cell r="K1166" t="str">
            <v>ra</v>
          </cell>
          <cell r="L1166" t="str">
            <v>ラグランジュチャレンジ</v>
          </cell>
          <cell r="M1166" t="str">
            <v>animal</v>
          </cell>
        </row>
        <row r="1167">
          <cell r="A1167">
            <v>6004</v>
          </cell>
          <cell r="B1167" t="str">
            <v>ja</v>
          </cell>
          <cell r="C1167" t="str">
            <v>ブレット</v>
          </cell>
          <cell r="D1167" t="str">
            <v>ノーマルクエスト</v>
          </cell>
          <cell r="E1167" t="str">
            <v>アバター</v>
          </cell>
          <cell r="F1167" t="str">
            <v>世界観</v>
          </cell>
          <cell r="G1167" t="str">
            <v>不明</v>
          </cell>
          <cell r="H1167" t="str">
            <v>red</v>
          </cell>
          <cell r="I1167">
            <v>1</v>
          </cell>
          <cell r="J1167" t="str">
            <v>Drop1W</v>
          </cell>
          <cell r="K1167" t="str">
            <v>ra</v>
          </cell>
          <cell r="L1167" t="str">
            <v>ラグランジュチャレンジ</v>
          </cell>
          <cell r="M1167" t="str">
            <v>animal</v>
          </cell>
        </row>
        <row r="1168">
          <cell r="A1168">
            <v>6005</v>
          </cell>
          <cell r="B1168" t="str">
            <v>ja</v>
          </cell>
          <cell r="C1168" t="str">
            <v>孤神 テティス</v>
          </cell>
          <cell r="D1168" t="str">
            <v>初期ガチャ</v>
          </cell>
          <cell r="E1168" t="str">
            <v>管理者</v>
          </cell>
          <cell r="F1168" t="str">
            <v>美しい</v>
          </cell>
          <cell r="G1168" t="str">
            <v>女性</v>
          </cell>
          <cell r="H1168" t="str">
            <v>blue</v>
          </cell>
          <cell r="I1168">
            <v>4</v>
          </cell>
          <cell r="J1168" t="str">
            <v>PremiumN</v>
          </cell>
          <cell r="K1168" t="str">
            <v>ra</v>
          </cell>
          <cell r="L1168" t="str">
            <v>ラグランジュチャレンジ</v>
          </cell>
          <cell r="M1168" t="str">
            <v>god</v>
          </cell>
        </row>
        <row r="1169">
          <cell r="A1169">
            <v>6006</v>
          </cell>
          <cell r="B1169" t="str">
            <v>ja</v>
          </cell>
          <cell r="C1169" t="str">
            <v>海底の孤高神 テティス</v>
          </cell>
          <cell r="D1169" t="str">
            <v>初期ガチャ</v>
          </cell>
          <cell r="E1169" t="str">
            <v>管理者</v>
          </cell>
          <cell r="F1169" t="str">
            <v>美しい</v>
          </cell>
          <cell r="G1169" t="str">
            <v>女性</v>
          </cell>
          <cell r="H1169" t="str">
            <v>blue</v>
          </cell>
          <cell r="I1169">
            <v>5</v>
          </cell>
          <cell r="J1169" t="str">
            <v>PremiumN</v>
          </cell>
          <cell r="K1169" t="str">
            <v>ra</v>
          </cell>
          <cell r="L1169" t="str">
            <v>ラグランジュチャレンジ</v>
          </cell>
          <cell r="M1169" t="str">
            <v>god</v>
          </cell>
        </row>
        <row r="1170">
          <cell r="A1170">
            <v>6007</v>
          </cell>
          <cell r="B1170" t="str">
            <v>ja</v>
          </cell>
          <cell r="C1170" t="str">
            <v>番犬 ケルベロス</v>
          </cell>
          <cell r="D1170" t="str">
            <v>初期ガチャ</v>
          </cell>
          <cell r="E1170" t="str">
            <v>破界者</v>
          </cell>
          <cell r="F1170" t="str">
            <v>可愛い</v>
          </cell>
          <cell r="G1170" t="str">
            <v>女性</v>
          </cell>
          <cell r="H1170" t="str">
            <v>red</v>
          </cell>
          <cell r="I1170">
            <v>4</v>
          </cell>
          <cell r="J1170" t="str">
            <v>PremiumN</v>
          </cell>
          <cell r="K1170" t="str">
            <v>ra</v>
          </cell>
          <cell r="L1170" t="str">
            <v>ラグランジュチャレンジ</v>
          </cell>
          <cell r="M1170" t="str">
            <v>animal</v>
          </cell>
        </row>
        <row r="1171">
          <cell r="A1171">
            <v>6008</v>
          </cell>
          <cell r="B1171" t="str">
            <v>ja</v>
          </cell>
          <cell r="C1171" t="str">
            <v>焔神 プロメテウス</v>
          </cell>
          <cell r="D1171" t="str">
            <v>初期ガチャ</v>
          </cell>
          <cell r="E1171" t="str">
            <v>管理者</v>
          </cell>
          <cell r="F1171" t="str">
            <v>格好いい</v>
          </cell>
          <cell r="G1171" t="str">
            <v>男性</v>
          </cell>
          <cell r="H1171" t="str">
            <v>red</v>
          </cell>
          <cell r="I1171">
            <v>4</v>
          </cell>
          <cell r="J1171" t="str">
            <v>PremiumN</v>
          </cell>
          <cell r="K1171" t="str">
            <v>ra</v>
          </cell>
          <cell r="L1171" t="str">
            <v>ラグランジュチャレンジ</v>
          </cell>
          <cell r="M1171" t="str">
            <v>god</v>
          </cell>
        </row>
        <row r="1172">
          <cell r="A1172">
            <v>6009</v>
          </cell>
          <cell r="B1172" t="str">
            <v>ja</v>
          </cell>
          <cell r="C1172" t="str">
            <v>超越自我 ラグランジュ</v>
          </cell>
          <cell r="D1172" t="str">
            <v>ガチャ:フィーバーフェス02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5</v>
          </cell>
          <cell r="J1172" t="str">
            <v>PremiumSSS</v>
          </cell>
          <cell r="K1172" t="str">
            <v>ra</v>
          </cell>
          <cell r="L1172" t="str">
            <v>ラグランジュチャレンジ</v>
          </cell>
          <cell r="M1172" t="str">
            <v>human</v>
          </cell>
        </row>
        <row r="1173">
          <cell r="A1173">
            <v>6010</v>
          </cell>
          <cell r="B1173" t="str">
            <v>ja</v>
          </cell>
          <cell r="C1173" t="str">
            <v>超越凌駕 ラグランジュ</v>
          </cell>
          <cell r="D1173" t="str">
            <v>ガチャ:フィーバーフェス02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6</v>
          </cell>
          <cell r="J1173" t="str">
            <v>PremiumSSS</v>
          </cell>
          <cell r="K1173" t="str">
            <v>ra</v>
          </cell>
          <cell r="L1173" t="str">
            <v>ラグランジュチャレンジ</v>
          </cell>
          <cell r="M1173" t="str">
            <v>human</v>
          </cell>
        </row>
        <row r="1174">
          <cell r="A1174">
            <v>6011</v>
          </cell>
          <cell r="B1174" t="str">
            <v>ja</v>
          </cell>
          <cell r="C1174" t="str">
            <v>パトドッグリーダー ポチ</v>
          </cell>
          <cell r="D1174" t="str">
            <v>ガチャ:フィーバーフェス02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blue</v>
          </cell>
          <cell r="I1174">
            <v>2</v>
          </cell>
          <cell r="J1174" t="str">
            <v>Drop1T</v>
          </cell>
          <cell r="K1174" t="str">
            <v>ra002</v>
          </cell>
          <cell r="L1174" t="str">
            <v>ユークリッドチャレンジ</v>
          </cell>
          <cell r="M1174" t="str">
            <v>unknown</v>
          </cell>
        </row>
        <row r="1175">
          <cell r="A1175">
            <v>6012</v>
          </cell>
          <cell r="B1175" t="str">
            <v>ja</v>
          </cell>
          <cell r="C1175" t="str">
            <v>ミミ</v>
          </cell>
          <cell r="D1175" t="str">
            <v>ガチャ:フィーバーフェス02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yellow</v>
          </cell>
          <cell r="I1175">
            <v>1</v>
          </cell>
          <cell r="J1175" t="str">
            <v>Drop1W</v>
          </cell>
          <cell r="K1175" t="str">
            <v>ra002</v>
          </cell>
          <cell r="L1175" t="str">
            <v>ユークリッドチャレンジ</v>
          </cell>
          <cell r="M1175" t="str">
            <v>animal</v>
          </cell>
        </row>
        <row r="1176">
          <cell r="A1176">
            <v>6013</v>
          </cell>
          <cell r="B1176" t="str">
            <v>ja</v>
          </cell>
          <cell r="C1176" t="str">
            <v>護衛機人 スケアクロウ</v>
          </cell>
          <cell r="D1176" t="str">
            <v>ガチャ:フィーバーフェス02</v>
          </cell>
          <cell r="E1176" t="str">
            <v>執行者</v>
          </cell>
          <cell r="F1176" t="str">
            <v>格好いい</v>
          </cell>
          <cell r="G1176" t="str">
            <v>男性</v>
          </cell>
          <cell r="H1176" t="str">
            <v>blue</v>
          </cell>
          <cell r="I1176">
            <v>2</v>
          </cell>
          <cell r="J1176" t="str">
            <v>Drop1N</v>
          </cell>
          <cell r="K1176" t="str">
            <v>ra002</v>
          </cell>
          <cell r="L1176" t="str">
            <v>ユークリッドチャレンジ</v>
          </cell>
          <cell r="M1176" t="str">
            <v>machine</v>
          </cell>
        </row>
        <row r="1177">
          <cell r="A1177">
            <v>6014</v>
          </cell>
          <cell r="B1177" t="str">
            <v>ja</v>
          </cell>
          <cell r="C1177" t="str">
            <v>月下の人狼 ローレンス</v>
          </cell>
          <cell r="D1177" t="str">
            <v>ガチャ:フィーバーフェス02</v>
          </cell>
          <cell r="E1177" t="str">
            <v>執行者</v>
          </cell>
          <cell r="F1177" t="str">
            <v>格好いい</v>
          </cell>
          <cell r="G1177" t="str">
            <v>男性</v>
          </cell>
          <cell r="H1177" t="str">
            <v>blue</v>
          </cell>
          <cell r="I1177">
            <v>4</v>
          </cell>
          <cell r="J1177" t="str">
            <v>PremiumW</v>
          </cell>
          <cell r="K1177" t="str">
            <v>ra002</v>
          </cell>
          <cell r="L1177" t="str">
            <v>ユークリッドチャレンジ</v>
          </cell>
          <cell r="M1177" t="str">
            <v>animal</v>
          </cell>
        </row>
        <row r="1178">
          <cell r="A1178">
            <v>6015</v>
          </cell>
          <cell r="B1178" t="str">
            <v>ja</v>
          </cell>
          <cell r="C1178" t="str">
            <v>フレイヤ</v>
          </cell>
          <cell r="D1178" t="str">
            <v>ガチャ:フィーバーフェス02</v>
          </cell>
          <cell r="E1178" t="str">
            <v>執行者</v>
          </cell>
          <cell r="F1178" t="str">
            <v>格好いい</v>
          </cell>
          <cell r="G1178" t="str">
            <v>男性</v>
          </cell>
          <cell r="H1178" t="str">
            <v>blue</v>
          </cell>
          <cell r="I1178">
            <v>4</v>
          </cell>
          <cell r="J1178" t="str">
            <v>PremiumSS</v>
          </cell>
          <cell r="K1178" t="str">
            <v>ra002</v>
          </cell>
          <cell r="L1178" t="str">
            <v>ユークリッドチャレンジ</v>
          </cell>
          <cell r="M1178" t="str">
            <v>animal</v>
          </cell>
        </row>
        <row r="1179">
          <cell r="A1179">
            <v>6016</v>
          </cell>
          <cell r="B1179" t="str">
            <v>ja</v>
          </cell>
          <cell r="C1179" t="str">
            <v>根原論理 ユークリッド</v>
          </cell>
          <cell r="D1179" t="str">
            <v>ガチャ:フィーバーフェス02</v>
          </cell>
          <cell r="E1179" t="str">
            <v>執行者</v>
          </cell>
          <cell r="F1179" t="str">
            <v>格好いい</v>
          </cell>
          <cell r="G1179" t="str">
            <v>男性</v>
          </cell>
          <cell r="H1179" t="str">
            <v>blue</v>
          </cell>
          <cell r="I1179">
            <v>5</v>
          </cell>
          <cell r="J1179" t="str">
            <v>PremiumSSS</v>
          </cell>
          <cell r="K1179" t="str">
            <v>ra002</v>
          </cell>
          <cell r="L1179" t="str">
            <v>ユークリッドチャレンジ</v>
          </cell>
          <cell r="M1179" t="str">
            <v>human</v>
          </cell>
        </row>
        <row r="1180">
          <cell r="A1180">
            <v>6017</v>
          </cell>
          <cell r="B1180" t="str">
            <v>ja</v>
          </cell>
          <cell r="C1180" t="str">
            <v>不朽の極論 ユークリッド</v>
          </cell>
          <cell r="D1180" t="str">
            <v>ガチャ:フィーバーフェス02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blue</v>
          </cell>
          <cell r="I1180">
            <v>6</v>
          </cell>
          <cell r="J1180" t="str">
            <v>PremiumSSS</v>
          </cell>
          <cell r="K1180" t="str">
            <v>ra002</v>
          </cell>
          <cell r="L1180" t="str">
            <v>ユークリッドチャレンジ</v>
          </cell>
          <cell r="M1180" t="str">
            <v>human</v>
          </cell>
        </row>
        <row r="1181">
          <cell r="A1181">
            <v>6018</v>
          </cell>
          <cell r="B1181" t="str">
            <v>ja</v>
          </cell>
          <cell r="C1181" t="str">
            <v>ハヅル</v>
          </cell>
          <cell r="D1181" t="str">
            <v>ガチャ:フィーバーフェス02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red</v>
          </cell>
          <cell r="I1181">
            <v>4</v>
          </cell>
          <cell r="J1181" t="str">
            <v>PremiumSS</v>
          </cell>
          <cell r="K1181" t="str">
            <v>ra002</v>
          </cell>
          <cell r="L1181" t="str">
            <v>ユークリッドチャレンジ</v>
          </cell>
          <cell r="M1181" t="str">
            <v>animal</v>
          </cell>
        </row>
        <row r="1182">
          <cell r="A1182">
            <v>6019</v>
          </cell>
          <cell r="B1182" t="str">
            <v>ja</v>
          </cell>
          <cell r="C1182" t="str">
            <v>天織羽鶴 ハヅル</v>
          </cell>
          <cell r="D1182" t="str">
            <v>ガチャ:フィーバーフェス02</v>
          </cell>
          <cell r="E1182" t="str">
            <v>執行者</v>
          </cell>
          <cell r="F1182" t="str">
            <v>格好いい</v>
          </cell>
          <cell r="G1182" t="str">
            <v>男性</v>
          </cell>
          <cell r="H1182" t="str">
            <v>red</v>
          </cell>
          <cell r="I1182">
            <v>5</v>
          </cell>
          <cell r="J1182" t="str">
            <v>PremiumSS</v>
          </cell>
          <cell r="K1182" t="str">
            <v>ra002</v>
          </cell>
          <cell r="L1182" t="str">
            <v>ユークリッドチャレンジ</v>
          </cell>
          <cell r="M1182" t="str">
            <v>animal</v>
          </cell>
        </row>
        <row r="1183">
          <cell r="A1183">
            <v>6020</v>
          </cell>
          <cell r="B1183" t="str">
            <v>ja</v>
          </cell>
          <cell r="C1183" t="str">
            <v>ミズチ</v>
          </cell>
          <cell r="D1183" t="str">
            <v>ガチャ:フィーバーフェス02</v>
          </cell>
          <cell r="E1183" t="str">
            <v>執行者</v>
          </cell>
          <cell r="F1183" t="str">
            <v>格好いい</v>
          </cell>
          <cell r="G1183" t="str">
            <v>男性</v>
          </cell>
          <cell r="H1183" t="str">
            <v>blue</v>
          </cell>
          <cell r="I1183">
            <v>4</v>
          </cell>
          <cell r="J1183" t="str">
            <v>PremiumS</v>
          </cell>
          <cell r="K1183" t="str">
            <v>ra002</v>
          </cell>
          <cell r="L1183" t="str">
            <v>ユークリッドチャレンジ</v>
          </cell>
          <cell r="M1183" t="str">
            <v>dragon</v>
          </cell>
        </row>
        <row r="1184">
          <cell r="A1184">
            <v>8001</v>
          </cell>
          <cell r="B1184" t="str">
            <v>ja</v>
          </cell>
          <cell r="C1184" t="str">
            <v>媽祖</v>
          </cell>
          <cell r="D1184" t="str">
            <v>イベント:ミクコラボ01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yellow</v>
          </cell>
          <cell r="I1184">
            <v>5</v>
          </cell>
          <cell r="J1184" t="str">
            <v>PremiumSS</v>
          </cell>
          <cell r="K1184" t="str">
            <v>attack</v>
          </cell>
          <cell r="L1184" t="str">
            <v>攻撃タイプ</v>
          </cell>
          <cell r="M1184" t="str">
            <v>god</v>
          </cell>
        </row>
        <row r="1185">
          <cell r="A1185">
            <v>8002</v>
          </cell>
          <cell r="B1185" t="str">
            <v>ja</v>
          </cell>
          <cell r="C1185" t="str">
            <v>天后 媽祖</v>
          </cell>
          <cell r="D1185" t="str">
            <v>イベント:ミクコラボ01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yellow</v>
          </cell>
          <cell r="I1185">
            <v>6</v>
          </cell>
          <cell r="J1185" t="str">
            <v>PremiumSS</v>
          </cell>
          <cell r="K1185" t="str">
            <v>attack</v>
          </cell>
          <cell r="L1185" t="str">
            <v>攻撃タイプ</v>
          </cell>
          <cell r="M1185" t="str">
            <v>god</v>
          </cell>
        </row>
        <row r="1186">
          <cell r="A1186">
            <v>8003</v>
          </cell>
          <cell r="B1186" t="str">
            <v>ja</v>
          </cell>
          <cell r="C1186" t="str">
            <v>蛟龍</v>
          </cell>
          <cell r="D1186" t="str">
            <v>イベント:ミクコラボ01</v>
          </cell>
          <cell r="E1186" t="str">
            <v>執行者</v>
          </cell>
          <cell r="F1186" t="str">
            <v>格好いい</v>
          </cell>
          <cell r="G1186" t="str">
            <v>不明</v>
          </cell>
          <cell r="H1186" t="str">
            <v>blue</v>
          </cell>
          <cell r="I1186">
            <v>5</v>
          </cell>
          <cell r="J1186" t="str">
            <v>DropWizS</v>
          </cell>
          <cell r="K1186" t="str">
            <v>hp</v>
          </cell>
          <cell r="L1186" t="str">
            <v>体力タイプ</v>
          </cell>
          <cell r="M1186" t="str">
            <v>dragon</v>
          </cell>
        </row>
        <row r="1187">
          <cell r="A1187">
            <v>8004</v>
          </cell>
          <cell r="B1187" t="str">
            <v>ja</v>
          </cell>
          <cell r="C1187" t="str">
            <v>深海蛟龍怪‧晏公</v>
          </cell>
          <cell r="D1187" t="str">
            <v>イベント:ミクコラボ01</v>
          </cell>
          <cell r="E1187" t="str">
            <v>執行者</v>
          </cell>
          <cell r="F1187" t="str">
            <v>格好いい</v>
          </cell>
          <cell r="G1187" t="str">
            <v>不明</v>
          </cell>
          <cell r="H1187" t="str">
            <v>blue</v>
          </cell>
          <cell r="I1187">
            <v>6</v>
          </cell>
          <cell r="J1187" t="str">
            <v>DropWizS</v>
          </cell>
          <cell r="K1187" t="str">
            <v>hp</v>
          </cell>
          <cell r="L1187" t="str">
            <v>体力タイプ</v>
          </cell>
          <cell r="M1187" t="str">
            <v>dragon</v>
          </cell>
        </row>
        <row r="1188">
          <cell r="A1188">
            <v>8005</v>
          </cell>
          <cell r="B1188" t="str">
            <v>ja</v>
          </cell>
          <cell r="C1188" t="str">
            <v>三蔵法師</v>
          </cell>
          <cell r="D1188" t="str">
            <v>イベント:ミクコラボ01</v>
          </cell>
          <cell r="E1188" t="str">
            <v>執行者</v>
          </cell>
          <cell r="F1188" t="str">
            <v>格好いい</v>
          </cell>
          <cell r="G1188" t="str">
            <v>不明</v>
          </cell>
          <cell r="H1188" t="str">
            <v>blue</v>
          </cell>
          <cell r="I1188">
            <v>5</v>
          </cell>
          <cell r="J1188" t="str">
            <v>PremiumSS</v>
          </cell>
          <cell r="K1188" t="str">
            <v>balance</v>
          </cell>
          <cell r="L1188" t="str">
            <v>バランスタイプ</v>
          </cell>
          <cell r="M1188" t="str">
            <v>human</v>
          </cell>
        </row>
        <row r="1189">
          <cell r="A1189">
            <v>8006</v>
          </cell>
          <cell r="B1189" t="str">
            <v>ja</v>
          </cell>
          <cell r="C1189" t="str">
            <v>三蔵法師</v>
          </cell>
          <cell r="D1189" t="str">
            <v>イベント:ミクコラボ01</v>
          </cell>
          <cell r="E1189" t="str">
            <v>執行者</v>
          </cell>
          <cell r="F1189" t="str">
            <v>格好いい</v>
          </cell>
          <cell r="G1189" t="str">
            <v>不明</v>
          </cell>
          <cell r="H1189" t="str">
            <v>blue</v>
          </cell>
          <cell r="I1189">
            <v>6</v>
          </cell>
          <cell r="J1189" t="str">
            <v>PremiumSS</v>
          </cell>
          <cell r="K1189" t="str">
            <v>balance</v>
          </cell>
          <cell r="L1189" t="str">
            <v>バランスタイプ</v>
          </cell>
          <cell r="M1189" t="str">
            <v>human</v>
          </cell>
        </row>
        <row r="1190">
          <cell r="A1190">
            <v>8007</v>
          </cell>
          <cell r="B1190" t="str">
            <v>ja</v>
          </cell>
          <cell r="C1190" t="str">
            <v>孫悟空</v>
          </cell>
          <cell r="D1190" t="str">
            <v>イベント:ミクコラボ01</v>
          </cell>
          <cell r="E1190" t="str">
            <v>執行者</v>
          </cell>
          <cell r="F1190" t="str">
            <v>格好いい</v>
          </cell>
          <cell r="G1190" t="str">
            <v>不明</v>
          </cell>
          <cell r="H1190" t="str">
            <v>red</v>
          </cell>
          <cell r="I1190">
            <v>5</v>
          </cell>
          <cell r="J1190" t="str">
            <v>DropWizS</v>
          </cell>
          <cell r="K1190" t="str">
            <v>attack</v>
          </cell>
          <cell r="L1190" t="str">
            <v>攻撃タイプ</v>
          </cell>
          <cell r="M1190" t="str">
            <v>animal</v>
          </cell>
        </row>
        <row r="1191">
          <cell r="A1191">
            <v>8008</v>
          </cell>
          <cell r="B1191" t="str">
            <v>ja</v>
          </cell>
          <cell r="C1191" t="str">
            <v>孫悟空</v>
          </cell>
          <cell r="D1191" t="str">
            <v>イベント:ミクコラボ01</v>
          </cell>
          <cell r="E1191" t="str">
            <v>執行者</v>
          </cell>
          <cell r="F1191" t="str">
            <v>格好いい</v>
          </cell>
          <cell r="G1191" t="str">
            <v>不明</v>
          </cell>
          <cell r="H1191" t="str">
            <v>red</v>
          </cell>
          <cell r="I1191">
            <v>6</v>
          </cell>
          <cell r="J1191" t="str">
            <v>DropWizS</v>
          </cell>
          <cell r="K1191" t="str">
            <v>attack</v>
          </cell>
          <cell r="L1191" t="str">
            <v>攻撃タイプ</v>
          </cell>
          <cell r="M1191" t="str">
            <v>animal</v>
          </cell>
        </row>
        <row r="1192">
          <cell r="A1192">
            <v>8009</v>
          </cell>
          <cell r="B1192" t="str">
            <v>ja</v>
          </cell>
          <cell r="C1192" t="str">
            <v>西王娘娘</v>
          </cell>
          <cell r="D1192" t="str">
            <v>イベント:ミクコラボ01</v>
          </cell>
          <cell r="E1192" t="str">
            <v>執行者</v>
          </cell>
          <cell r="F1192" t="str">
            <v>格好いい</v>
          </cell>
          <cell r="G1192" t="str">
            <v>不明</v>
          </cell>
          <cell r="H1192" t="str">
            <v>green</v>
          </cell>
          <cell r="I1192">
            <v>5</v>
          </cell>
          <cell r="J1192" t="str">
            <v>PremiumSS</v>
          </cell>
          <cell r="K1192" t="str">
            <v>attack</v>
          </cell>
          <cell r="L1192" t="str">
            <v>攻撃タイプ</v>
          </cell>
          <cell r="M1192" t="str">
            <v>god</v>
          </cell>
        </row>
        <row r="1193">
          <cell r="A1193">
            <v>8010</v>
          </cell>
          <cell r="B1193" t="str">
            <v>ja</v>
          </cell>
          <cell r="C1193" t="str">
            <v>西王娘娘</v>
          </cell>
          <cell r="D1193" t="str">
            <v>イベント:ミクコラボ01</v>
          </cell>
          <cell r="E1193" t="str">
            <v>執行者</v>
          </cell>
          <cell r="F1193" t="str">
            <v>格好いい</v>
          </cell>
          <cell r="G1193" t="str">
            <v>不明</v>
          </cell>
          <cell r="H1193" t="str">
            <v>green</v>
          </cell>
          <cell r="I1193">
            <v>6</v>
          </cell>
          <cell r="J1193" t="str">
            <v>PremiumSS</v>
          </cell>
          <cell r="K1193" t="str">
            <v>attack</v>
          </cell>
          <cell r="L1193" t="str">
            <v>攻撃タイプ</v>
          </cell>
          <cell r="M1193" t="str">
            <v>god</v>
          </cell>
        </row>
        <row r="1194">
          <cell r="A1194">
            <v>8011</v>
          </cell>
          <cell r="B1194" t="str">
            <v>ja</v>
          </cell>
          <cell r="C1194" t="str">
            <v>月下老人</v>
          </cell>
          <cell r="D1194" t="str">
            <v>イベント:ミクコラボ01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5</v>
          </cell>
          <cell r="J1194" t="str">
            <v>DropWizS</v>
          </cell>
          <cell r="K1194" t="str">
            <v>balance</v>
          </cell>
          <cell r="L1194" t="str">
            <v>バランスタイプ</v>
          </cell>
          <cell r="M1194" t="str">
            <v>god</v>
          </cell>
        </row>
        <row r="1195">
          <cell r="A1195">
            <v>8012</v>
          </cell>
          <cell r="B1195" t="str">
            <v>ja</v>
          </cell>
          <cell r="C1195" t="str">
            <v>良緣祈福 月下老人</v>
          </cell>
          <cell r="D1195" t="str">
            <v>イベント:ミクコラボ01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yellow</v>
          </cell>
          <cell r="I1195">
            <v>6</v>
          </cell>
          <cell r="J1195" t="str">
            <v>DropWizS</v>
          </cell>
          <cell r="K1195" t="str">
            <v>balance</v>
          </cell>
          <cell r="L1195" t="str">
            <v>バランスタイプ</v>
          </cell>
          <cell r="M1195" t="str">
            <v>god</v>
          </cell>
        </row>
        <row r="1196">
          <cell r="A1196">
            <v>8013</v>
          </cell>
          <cell r="B1196" t="str">
            <v>ja</v>
          </cell>
          <cell r="C1196" t="str">
            <v>初音ミクV3</v>
          </cell>
          <cell r="D1196" t="str">
            <v>初音ミクV3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yellow</v>
          </cell>
          <cell r="I1196">
            <v>4</v>
          </cell>
          <cell r="J1196" t="str">
            <v>DropWizS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8014</v>
          </cell>
          <cell r="B1197" t="str">
            <v>ja</v>
          </cell>
          <cell r="C1197" t="str">
            <v>初音ミクV3</v>
          </cell>
          <cell r="D1197" t="str">
            <v>初音ミクV3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yellow</v>
          </cell>
          <cell r="I1197">
            <v>5</v>
          </cell>
          <cell r="J1197" t="str">
            <v>DropWizS</v>
          </cell>
          <cell r="K1197" t="str">
            <v>balance</v>
          </cell>
          <cell r="L1197" t="str">
            <v>バランスタイプ</v>
          </cell>
          <cell r="M1197" t="str">
            <v>unknown</v>
          </cell>
        </row>
        <row r="1198">
          <cell r="A1198">
            <v>8015</v>
          </cell>
          <cell r="B1198" t="str">
            <v>ja</v>
          </cell>
          <cell r="C1198" t="str">
            <v>初音ミク・アペンド</v>
          </cell>
          <cell r="D1198" t="str">
            <v>初音ミク・アペンド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green</v>
          </cell>
          <cell r="I1198">
            <v>4</v>
          </cell>
          <cell r="J1198" t="str">
            <v>PremiumSSS</v>
          </cell>
          <cell r="K1198" t="str">
            <v>technical</v>
          </cell>
          <cell r="L1198" t="str">
            <v>テクニカルタイプ</v>
          </cell>
          <cell r="M1198" t="str">
            <v>unknown</v>
          </cell>
        </row>
        <row r="1199">
          <cell r="A1199">
            <v>8016</v>
          </cell>
          <cell r="B1199" t="str">
            <v>ja</v>
          </cell>
          <cell r="C1199" t="str">
            <v>初音ミク・アペンド</v>
          </cell>
          <cell r="D1199" t="str">
            <v>初音ミク・アペンド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green</v>
          </cell>
          <cell r="I1199">
            <v>5</v>
          </cell>
          <cell r="J1199" t="str">
            <v>PremiumSSS</v>
          </cell>
          <cell r="K1199" t="str">
            <v>technical</v>
          </cell>
          <cell r="L1199" t="str">
            <v>テクニカルタイプ</v>
          </cell>
          <cell r="M1199" t="str">
            <v>unknown</v>
          </cell>
        </row>
        <row r="1200">
          <cell r="A1200">
            <v>8017</v>
          </cell>
          <cell r="B1200" t="str">
            <v>ja</v>
          </cell>
          <cell r="C1200" t="str">
            <v>初音ミク</v>
          </cell>
          <cell r="D1200" t="str">
            <v>初音ミク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4</v>
          </cell>
          <cell r="J1200" t="str">
            <v>PremiumSSS</v>
          </cell>
          <cell r="K1200" t="str">
            <v>balance</v>
          </cell>
          <cell r="L1200" t="str">
            <v>バランスタイプ</v>
          </cell>
          <cell r="M1200" t="str">
            <v>unknown</v>
          </cell>
        </row>
        <row r="1201">
          <cell r="A1201">
            <v>8018</v>
          </cell>
          <cell r="B1201" t="str">
            <v>ja</v>
          </cell>
          <cell r="C1201" t="str">
            <v>初音ミク</v>
          </cell>
          <cell r="D1201" t="str">
            <v>初音ミク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5</v>
          </cell>
          <cell r="J1201" t="str">
            <v>PremiumSSS</v>
          </cell>
          <cell r="K1201" t="str">
            <v>balance</v>
          </cell>
          <cell r="L1201" t="str">
            <v>バランスタイプ</v>
          </cell>
          <cell r="M1201" t="str">
            <v>unknown</v>
          </cell>
        </row>
        <row r="1202">
          <cell r="A1202">
            <v>8019</v>
          </cell>
          <cell r="B1202" t="str">
            <v>ja</v>
          </cell>
          <cell r="C1202" t="str">
            <v>鏡音リン</v>
          </cell>
          <cell r="D1202" t="str">
            <v>鏡音リン</v>
          </cell>
          <cell r="E1202" t="str">
            <v>執行者</v>
          </cell>
          <cell r="F1202" t="str">
            <v>格好いい</v>
          </cell>
          <cell r="G1202" t="str">
            <v>男性</v>
          </cell>
          <cell r="H1202" t="str">
            <v>yellow</v>
          </cell>
          <cell r="I1202">
            <v>4</v>
          </cell>
          <cell r="J1202" t="str">
            <v>PremiumSS</v>
          </cell>
          <cell r="K1202" t="str">
            <v>balance</v>
          </cell>
          <cell r="L1202" t="str">
            <v>バランスタイプ</v>
          </cell>
          <cell r="M1202" t="str">
            <v>unknown</v>
          </cell>
        </row>
        <row r="1203">
          <cell r="A1203">
            <v>8020</v>
          </cell>
          <cell r="B1203" t="str">
            <v>ja</v>
          </cell>
          <cell r="C1203" t="str">
            <v>鏡音リン</v>
          </cell>
          <cell r="D1203" t="str">
            <v>鏡音リン</v>
          </cell>
          <cell r="E1203" t="str">
            <v>執行者</v>
          </cell>
          <cell r="F1203" t="str">
            <v>格好いい</v>
          </cell>
          <cell r="G1203" t="str">
            <v>男性</v>
          </cell>
          <cell r="H1203" t="str">
            <v>yellow</v>
          </cell>
          <cell r="I1203">
            <v>5</v>
          </cell>
          <cell r="J1203" t="str">
            <v>PremiumSS</v>
          </cell>
          <cell r="K1203" t="str">
            <v>balance</v>
          </cell>
          <cell r="L1203" t="str">
            <v>バランスタイプ</v>
          </cell>
          <cell r="M1203" t="str">
            <v>unknown</v>
          </cell>
        </row>
        <row r="1204">
          <cell r="A1204">
            <v>8021</v>
          </cell>
          <cell r="B1204" t="str">
            <v>ja</v>
          </cell>
          <cell r="C1204" t="str">
            <v>鏡音レン</v>
          </cell>
          <cell r="D1204" t="str">
            <v>鏡音レン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yellow</v>
          </cell>
          <cell r="I1204">
            <v>4</v>
          </cell>
          <cell r="J1204" t="str">
            <v>PremiumSS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8022</v>
          </cell>
          <cell r="B1205" t="str">
            <v>ja</v>
          </cell>
          <cell r="C1205" t="str">
            <v>鏡音レン</v>
          </cell>
          <cell r="D1205" t="str">
            <v>鏡音レン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yellow</v>
          </cell>
          <cell r="I1205">
            <v>5</v>
          </cell>
          <cell r="J1205" t="str">
            <v>PremiumSS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8023</v>
          </cell>
          <cell r="B1206" t="str">
            <v>ja</v>
          </cell>
          <cell r="C1206" t="str">
            <v>巡音ルカ</v>
          </cell>
          <cell r="D1206" t="str">
            <v>巡音ルカ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red</v>
          </cell>
          <cell r="I1206">
            <v>3</v>
          </cell>
          <cell r="J1206" t="str">
            <v>PremiumS</v>
          </cell>
          <cell r="K1206" t="str">
            <v>attack</v>
          </cell>
          <cell r="L1206" t="str">
            <v>攻撃タイプ</v>
          </cell>
          <cell r="M1206" t="str">
            <v>unknown</v>
          </cell>
        </row>
        <row r="1207">
          <cell r="A1207">
            <v>8024</v>
          </cell>
          <cell r="B1207" t="str">
            <v>ja</v>
          </cell>
          <cell r="C1207" t="str">
            <v>巡音ルカ</v>
          </cell>
          <cell r="D1207" t="str">
            <v>巡音ルカ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red</v>
          </cell>
          <cell r="I1207">
            <v>4</v>
          </cell>
          <cell r="J1207" t="str">
            <v>PremiumS</v>
          </cell>
          <cell r="K1207" t="str">
            <v>attack</v>
          </cell>
          <cell r="L1207" t="str">
            <v>攻撃タイプ</v>
          </cell>
          <cell r="M1207" t="str">
            <v>unknown</v>
          </cell>
        </row>
        <row r="1208">
          <cell r="A1208">
            <v>8025</v>
          </cell>
          <cell r="B1208" t="str">
            <v>ja</v>
          </cell>
          <cell r="C1208" t="str">
            <v>MEIKO</v>
          </cell>
          <cell r="D1208" t="str">
            <v>MEIKO</v>
          </cell>
          <cell r="E1208" t="str">
            <v>執行者</v>
          </cell>
          <cell r="F1208" t="str">
            <v>格好いい</v>
          </cell>
          <cell r="G1208" t="str">
            <v>男性</v>
          </cell>
          <cell r="H1208" t="str">
            <v>red</v>
          </cell>
          <cell r="I1208">
            <v>3</v>
          </cell>
          <cell r="J1208" t="str">
            <v>PremiumS</v>
          </cell>
          <cell r="K1208" t="str">
            <v>hp</v>
          </cell>
          <cell r="L1208" t="str">
            <v>体力タイプ</v>
          </cell>
          <cell r="M1208" t="str">
            <v>unknown</v>
          </cell>
        </row>
        <row r="1209">
          <cell r="A1209">
            <v>8026</v>
          </cell>
          <cell r="B1209" t="str">
            <v>ja</v>
          </cell>
          <cell r="C1209" t="str">
            <v>MEIKO</v>
          </cell>
          <cell r="D1209" t="str">
            <v>MEIKO</v>
          </cell>
          <cell r="E1209" t="str">
            <v>執行者</v>
          </cell>
          <cell r="F1209" t="str">
            <v>格好いい</v>
          </cell>
          <cell r="G1209" t="str">
            <v>男性</v>
          </cell>
          <cell r="H1209" t="str">
            <v>red</v>
          </cell>
          <cell r="I1209">
            <v>4</v>
          </cell>
          <cell r="J1209" t="str">
            <v>PremiumS</v>
          </cell>
          <cell r="K1209" t="str">
            <v>hp</v>
          </cell>
          <cell r="L1209" t="str">
            <v>体力タイプ</v>
          </cell>
          <cell r="M1209" t="str">
            <v>unknown</v>
          </cell>
        </row>
        <row r="1210">
          <cell r="A1210">
            <v>8027</v>
          </cell>
          <cell r="B1210" t="str">
            <v>ja</v>
          </cell>
          <cell r="C1210" t="str">
            <v>KAITO</v>
          </cell>
          <cell r="D1210" t="str">
            <v>KAITO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blue</v>
          </cell>
          <cell r="I1210">
            <v>3</v>
          </cell>
          <cell r="J1210" t="str">
            <v>PremiumS</v>
          </cell>
          <cell r="K1210" t="str">
            <v>technical</v>
          </cell>
          <cell r="L1210" t="str">
            <v>テクニカルタイプ</v>
          </cell>
          <cell r="M1210" t="str">
            <v>unknown</v>
          </cell>
        </row>
        <row r="1211">
          <cell r="A1211">
            <v>8028</v>
          </cell>
          <cell r="B1211" t="str">
            <v>ja</v>
          </cell>
          <cell r="C1211" t="str">
            <v>KAITO</v>
          </cell>
          <cell r="D1211" t="str">
            <v>KAITO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blue</v>
          </cell>
          <cell r="I1211">
            <v>4</v>
          </cell>
          <cell r="J1211" t="str">
            <v>PremiumS</v>
          </cell>
          <cell r="K1211" t="str">
            <v>technical</v>
          </cell>
          <cell r="L1211" t="str">
            <v>テクニカルタイプ</v>
          </cell>
          <cell r="M1211" t="str">
            <v>unknown</v>
          </cell>
        </row>
        <row r="1212">
          <cell r="A1212">
            <v>8029</v>
          </cell>
          <cell r="B1212" t="str">
            <v>ja</v>
          </cell>
          <cell r="C1212" t="str">
            <v>Expoミク</v>
          </cell>
          <cell r="D1212" t="str">
            <v>Expoミク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blue</v>
          </cell>
          <cell r="I1212">
            <v>4</v>
          </cell>
          <cell r="J1212" t="str">
            <v>Drop2N</v>
          </cell>
          <cell r="K1212" t="str">
            <v>heal</v>
          </cell>
          <cell r="L1212" t="str">
            <v>回復タイプ</v>
          </cell>
          <cell r="M1212" t="str">
            <v>unknown</v>
          </cell>
        </row>
        <row r="1213">
          <cell r="A1213">
            <v>8030</v>
          </cell>
          <cell r="B1213" t="str">
            <v>ja</v>
          </cell>
          <cell r="C1213" t="str">
            <v>Expoミク</v>
          </cell>
          <cell r="D1213" t="str">
            <v>Expoミク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4</v>
          </cell>
          <cell r="J1213" t="str">
            <v>Drop2N</v>
          </cell>
          <cell r="K1213" t="str">
            <v>heal</v>
          </cell>
          <cell r="L1213" t="str">
            <v>回復タイプ</v>
          </cell>
          <cell r="M1213" t="str">
            <v>unknown</v>
          </cell>
        </row>
        <row r="1214">
          <cell r="A1214">
            <v>8031</v>
          </cell>
          <cell r="B1214" t="str">
            <v>ja</v>
          </cell>
          <cell r="C1214" t="str">
            <v>閻羅王</v>
          </cell>
          <cell r="D1214" t="str">
            <v>Expoミク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5</v>
          </cell>
          <cell r="J1214" t="str">
            <v>PremiumSS</v>
          </cell>
          <cell r="K1214" t="str">
            <v>balance</v>
          </cell>
          <cell r="L1214" t="str">
            <v>バランスタイプ</v>
          </cell>
          <cell r="M1214" t="str">
            <v>god</v>
          </cell>
        </row>
        <row r="1215">
          <cell r="A1215">
            <v>8032</v>
          </cell>
          <cell r="B1215" t="str">
            <v>ja</v>
          </cell>
          <cell r="C1215" t="str">
            <v>十殿閻羅王</v>
          </cell>
          <cell r="D1215" t="str">
            <v>Expoミク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6</v>
          </cell>
          <cell r="J1215" t="str">
            <v>PremiumSS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8033</v>
          </cell>
          <cell r="B1216" t="str">
            <v>ja</v>
          </cell>
          <cell r="C1216" t="str">
            <v>牛頭馬面</v>
          </cell>
          <cell r="D1216" t="str">
            <v>Expoミク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green</v>
          </cell>
          <cell r="I1216">
            <v>5</v>
          </cell>
          <cell r="J1216" t="str">
            <v>DropWizS</v>
          </cell>
          <cell r="K1216" t="str">
            <v>attack</v>
          </cell>
          <cell r="L1216" t="str">
            <v>攻撃タイプ</v>
          </cell>
          <cell r="M1216" t="str">
            <v>god</v>
          </cell>
        </row>
        <row r="1217">
          <cell r="A1217">
            <v>8034</v>
          </cell>
          <cell r="B1217" t="str">
            <v>ja</v>
          </cell>
          <cell r="C1217" t="str">
            <v>牛頭馬面</v>
          </cell>
          <cell r="D1217" t="str">
            <v>Expoミク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green</v>
          </cell>
          <cell r="I1217">
            <v>6</v>
          </cell>
          <cell r="J1217" t="str">
            <v>DropWizS</v>
          </cell>
          <cell r="K1217" t="str">
            <v>attack</v>
          </cell>
          <cell r="L1217" t="str">
            <v>攻撃タイプ</v>
          </cell>
          <cell r="M1217" t="str">
            <v>god</v>
          </cell>
        </row>
        <row r="1218">
          <cell r="A1218">
            <v>8035</v>
          </cell>
          <cell r="B1218" t="str">
            <v>ja</v>
          </cell>
          <cell r="C1218" t="str">
            <v>嫦娥</v>
          </cell>
          <cell r="D1218" t="str">
            <v>Expoミク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blue</v>
          </cell>
          <cell r="I1218">
            <v>4</v>
          </cell>
          <cell r="J1218" t="str">
            <v>Drop2N</v>
          </cell>
          <cell r="K1218" t="str">
            <v>heal</v>
          </cell>
          <cell r="L1218" t="str">
            <v>回復タイプ</v>
          </cell>
          <cell r="M1218" t="str">
            <v>unknown</v>
          </cell>
        </row>
        <row r="1219">
          <cell r="A1219">
            <v>8036</v>
          </cell>
          <cell r="B1219" t="str">
            <v>ja</v>
          </cell>
          <cell r="C1219" t="str">
            <v>嫦娥</v>
          </cell>
          <cell r="D1219" t="str">
            <v>Expoミク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blue</v>
          </cell>
          <cell r="I1219">
            <v>4</v>
          </cell>
          <cell r="J1219" t="str">
            <v>Drop2N</v>
          </cell>
          <cell r="K1219" t="str">
            <v>heal</v>
          </cell>
          <cell r="L1219" t="str">
            <v>回復タイプ</v>
          </cell>
          <cell r="M1219" t="str">
            <v>unknown</v>
          </cell>
        </row>
        <row r="1220">
          <cell r="A1220">
            <v>8037</v>
          </cell>
          <cell r="B1220" t="str">
            <v>ja</v>
          </cell>
          <cell r="C1220" t="str">
            <v>后羿</v>
          </cell>
          <cell r="D1220" t="str">
            <v>Expoミク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blue</v>
          </cell>
          <cell r="I1220">
            <v>4</v>
          </cell>
          <cell r="J1220" t="str">
            <v>Drop2N</v>
          </cell>
          <cell r="K1220" t="str">
            <v>heal</v>
          </cell>
          <cell r="L1220" t="str">
            <v>回復タイプ</v>
          </cell>
          <cell r="M1220" t="str">
            <v>unknown</v>
          </cell>
        </row>
        <row r="1221">
          <cell r="A1221">
            <v>8038</v>
          </cell>
          <cell r="B1221" t="str">
            <v>ja</v>
          </cell>
          <cell r="C1221" t="str">
            <v>后羿</v>
          </cell>
          <cell r="D1221" t="str">
            <v>Expoミク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blue</v>
          </cell>
          <cell r="I1221">
            <v>4</v>
          </cell>
          <cell r="J1221" t="str">
            <v>Drop2N</v>
          </cell>
          <cell r="K1221" t="str">
            <v>heal</v>
          </cell>
          <cell r="L1221" t="str">
            <v>回復タイプ</v>
          </cell>
          <cell r="M1221" t="str">
            <v>unknown</v>
          </cell>
        </row>
        <row r="1222">
          <cell r="A1222">
            <v>8039</v>
          </cell>
          <cell r="B1222" t="str">
            <v>ja</v>
          </cell>
          <cell r="C1222" t="str">
            <v>何仙姑</v>
          </cell>
          <cell r="D1222" t="str">
            <v>Expoミク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blue</v>
          </cell>
          <cell r="I1222">
            <v>4</v>
          </cell>
          <cell r="J1222" t="str">
            <v>Drop2N</v>
          </cell>
          <cell r="K1222" t="str">
            <v>heal</v>
          </cell>
          <cell r="L1222" t="str">
            <v>回復タイプ</v>
          </cell>
          <cell r="M1222" t="str">
            <v>unknown</v>
          </cell>
        </row>
        <row r="1223">
          <cell r="A1223">
            <v>8040</v>
          </cell>
          <cell r="B1223" t="str">
            <v>ja</v>
          </cell>
          <cell r="C1223" t="str">
            <v>何仙姑</v>
          </cell>
          <cell r="D1223" t="str">
            <v>Expoミク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blue</v>
          </cell>
          <cell r="I1223">
            <v>4</v>
          </cell>
          <cell r="J1223" t="str">
            <v>Drop2N</v>
          </cell>
          <cell r="K1223" t="str">
            <v>heal</v>
          </cell>
          <cell r="L1223" t="str">
            <v>回復タイプ</v>
          </cell>
          <cell r="M1223" t="str">
            <v>unknown</v>
          </cell>
        </row>
        <row r="1224">
          <cell r="A1224">
            <v>8041</v>
          </cell>
          <cell r="B1224" t="str">
            <v>ja</v>
          </cell>
          <cell r="C1224" t="str">
            <v>藍采和</v>
          </cell>
          <cell r="D1224" t="str">
            <v>Expoミク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blue</v>
          </cell>
          <cell r="I1224">
            <v>4</v>
          </cell>
          <cell r="J1224" t="str">
            <v>Drop2N</v>
          </cell>
          <cell r="K1224" t="str">
            <v>heal</v>
          </cell>
          <cell r="L1224" t="str">
            <v>回復タイプ</v>
          </cell>
          <cell r="M1224" t="str">
            <v>unknown</v>
          </cell>
        </row>
        <row r="1225">
          <cell r="A1225">
            <v>8042</v>
          </cell>
          <cell r="B1225" t="str">
            <v>ja</v>
          </cell>
          <cell r="C1225" t="str">
            <v>藍采和</v>
          </cell>
          <cell r="D1225" t="str">
            <v>Expoミク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blue</v>
          </cell>
          <cell r="I1225">
            <v>4</v>
          </cell>
          <cell r="J1225" t="str">
            <v>Drop2N</v>
          </cell>
          <cell r="K1225" t="str">
            <v>heal</v>
          </cell>
          <cell r="L1225" t="str">
            <v>回復タイプ</v>
          </cell>
          <cell r="M1225" t="str">
            <v>unknown</v>
          </cell>
        </row>
        <row r="1226">
          <cell r="A1226">
            <v>8043</v>
          </cell>
          <cell r="B1226" t="str">
            <v>ja</v>
          </cell>
          <cell r="C1226" t="str">
            <v>サンリオキャラ大集合+アザゼル</v>
          </cell>
          <cell r="D1226" t="str">
            <v>サンリオキャラ大集合+アザゼル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5</v>
          </cell>
          <cell r="J1226" t="str">
            <v>DropWizS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8044</v>
          </cell>
          <cell r="B1227" t="str">
            <v>ja</v>
          </cell>
          <cell r="C1227" t="str">
            <v>サンリオキャラ大集合+アザゼル</v>
          </cell>
          <cell r="D1227" t="str">
            <v>サンリオキャラ大集合+アザゼル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6</v>
          </cell>
          <cell r="J1227" t="str">
            <v>DropWizS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8045</v>
          </cell>
          <cell r="B1228" t="str">
            <v>ja</v>
          </cell>
          <cell r="C1228" t="str">
            <v>ニムダ_サンリオキャラ混じり</v>
          </cell>
          <cell r="D1228" t="str">
            <v>ニムダ_サンリオキャラ混じり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yellow</v>
          </cell>
          <cell r="I1228">
            <v>4</v>
          </cell>
          <cell r="J1228" t="str">
            <v>Drop2N</v>
          </cell>
          <cell r="K1228" t="str">
            <v>technical</v>
          </cell>
          <cell r="L1228" t="str">
            <v>テクニカルタイプ</v>
          </cell>
          <cell r="M1228" t="str">
            <v>ss</v>
          </cell>
        </row>
        <row r="1229">
          <cell r="A1229">
            <v>8046</v>
          </cell>
          <cell r="B1229" t="str">
            <v>ja</v>
          </cell>
          <cell r="C1229" t="str">
            <v>ニムダ_サンリオキャラ混じり</v>
          </cell>
          <cell r="D1229" t="str">
            <v>ニムダ_サンリオキャラ混じり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yellow</v>
          </cell>
          <cell r="I1229">
            <v>5</v>
          </cell>
          <cell r="J1229" t="str">
            <v>Drop2N</v>
          </cell>
          <cell r="K1229" t="str">
            <v>technical</v>
          </cell>
          <cell r="L1229" t="str">
            <v>テクニカルタイプ</v>
          </cell>
          <cell r="M1229" t="str">
            <v>ss</v>
          </cell>
        </row>
        <row r="1230">
          <cell r="A1230">
            <v>8047</v>
          </cell>
          <cell r="B1230" t="str">
            <v>ja</v>
          </cell>
          <cell r="C1230" t="str">
            <v>ハローキティ</v>
          </cell>
          <cell r="D1230" t="str">
            <v>ハローキティ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red</v>
          </cell>
          <cell r="I1230">
            <v>4</v>
          </cell>
          <cell r="J1230" t="str">
            <v>Drop2N</v>
          </cell>
          <cell r="K1230" t="str">
            <v>balance</v>
          </cell>
          <cell r="L1230" t="str">
            <v>バランスタイプ</v>
          </cell>
          <cell r="M1230" t="str">
            <v>ss</v>
          </cell>
        </row>
        <row r="1231">
          <cell r="A1231">
            <v>8048</v>
          </cell>
          <cell r="B1231" t="str">
            <v>ja</v>
          </cell>
          <cell r="C1231" t="str">
            <v>ハローキティ</v>
          </cell>
          <cell r="D1231" t="str">
            <v>ハローキティ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red</v>
          </cell>
          <cell r="I1231">
            <v>5</v>
          </cell>
          <cell r="J1231" t="str">
            <v>Drop2N</v>
          </cell>
          <cell r="K1231" t="str">
            <v>balance</v>
          </cell>
          <cell r="L1231" t="str">
            <v>バランスタイプ</v>
          </cell>
          <cell r="M1231" t="str">
            <v>ss</v>
          </cell>
        </row>
        <row r="1232">
          <cell r="A1232">
            <v>8049</v>
          </cell>
          <cell r="B1232" t="str">
            <v>ja</v>
          </cell>
          <cell r="C1232" t="str">
            <v>KIRIMIちゃん</v>
          </cell>
          <cell r="D1232" t="str">
            <v>KIRIMIちゃん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red</v>
          </cell>
          <cell r="I1232">
            <v>4</v>
          </cell>
          <cell r="J1232" t="str">
            <v>Drop2N</v>
          </cell>
          <cell r="K1232" t="str">
            <v>hp</v>
          </cell>
          <cell r="L1232" t="str">
            <v>体力タイプ</v>
          </cell>
          <cell r="M1232" t="str">
            <v>ss</v>
          </cell>
        </row>
        <row r="1233">
          <cell r="A1233">
            <v>8050</v>
          </cell>
          <cell r="B1233" t="str">
            <v>ja</v>
          </cell>
          <cell r="C1233" t="str">
            <v>KIRIMIちゃん</v>
          </cell>
          <cell r="D1233" t="str">
            <v>KIRIMIちゃん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red</v>
          </cell>
          <cell r="I1233">
            <v>5</v>
          </cell>
          <cell r="J1233" t="str">
            <v>Drop2N</v>
          </cell>
          <cell r="K1233" t="str">
            <v>hp</v>
          </cell>
          <cell r="L1233" t="str">
            <v>体力タイプ</v>
          </cell>
          <cell r="M1233" t="str">
            <v>ss</v>
          </cell>
        </row>
        <row r="1234">
          <cell r="A1234">
            <v>8051</v>
          </cell>
          <cell r="B1234" t="str">
            <v>ja</v>
          </cell>
          <cell r="C1234" t="str">
            <v>ハローキティのリボン</v>
          </cell>
          <cell r="D1234" t="str">
            <v>ハローキティのリボン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red</v>
          </cell>
          <cell r="I1234">
            <v>5</v>
          </cell>
          <cell r="J1234" t="str">
            <v>Drop2N</v>
          </cell>
          <cell r="K1234" t="str">
            <v>evolution</v>
          </cell>
          <cell r="L1234" t="str">
            <v>覚醒素材タイプ</v>
          </cell>
          <cell r="M1234" t="str">
            <v>ss</v>
          </cell>
        </row>
        <row r="1235">
          <cell r="A1235">
            <v>8052</v>
          </cell>
          <cell r="B1235" t="str">
            <v>ja</v>
          </cell>
          <cell r="C1235" t="str">
            <v>ママの作ったアップルパイ</v>
          </cell>
          <cell r="D1235" t="str">
            <v>ママの作ったアップルパイ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red</v>
          </cell>
          <cell r="I1235">
            <v>4</v>
          </cell>
          <cell r="J1235" t="str">
            <v>Drop2N</v>
          </cell>
          <cell r="K1235" t="str">
            <v>evolution</v>
          </cell>
          <cell r="L1235" t="str">
            <v>覚醒素材タイプ</v>
          </cell>
          <cell r="M1235" t="str">
            <v>ss</v>
          </cell>
        </row>
        <row r="1236">
          <cell r="A1236">
            <v>8053</v>
          </cell>
          <cell r="B1236" t="str">
            <v>ja</v>
          </cell>
          <cell r="C1236" t="str">
            <v>D.R.T.H__キティコスプレ</v>
          </cell>
          <cell r="D1236" t="str">
            <v>D.R.T.H__キティコスプレ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red</v>
          </cell>
          <cell r="I1236">
            <v>5</v>
          </cell>
          <cell r="J1236" t="str">
            <v>PremiumSS</v>
          </cell>
          <cell r="K1236" t="str">
            <v>balance</v>
          </cell>
          <cell r="L1236" t="str">
            <v>バランスタイプ</v>
          </cell>
          <cell r="M1236" t="str">
            <v>ss</v>
          </cell>
        </row>
        <row r="1237">
          <cell r="A1237">
            <v>8054</v>
          </cell>
          <cell r="B1237" t="str">
            <v>ja</v>
          </cell>
          <cell r="C1237" t="str">
            <v>D.R.T.H__キティコスプレ</v>
          </cell>
          <cell r="D1237" t="str">
            <v>D.R.T.H__キティコスプレ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red</v>
          </cell>
          <cell r="I1237">
            <v>6</v>
          </cell>
          <cell r="J1237" t="str">
            <v>PremiumSS</v>
          </cell>
          <cell r="K1237" t="str">
            <v>balance</v>
          </cell>
          <cell r="L1237" t="str">
            <v>バランスタイプ</v>
          </cell>
          <cell r="M1237" t="str">
            <v>ss</v>
          </cell>
        </row>
        <row r="1238">
          <cell r="A1238">
            <v>8055</v>
          </cell>
          <cell r="B1238" t="str">
            <v>ja</v>
          </cell>
          <cell r="C1238" t="str">
            <v>マイメロディ</v>
          </cell>
          <cell r="D1238" t="str">
            <v>マイメロディ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red</v>
          </cell>
          <cell r="I1238">
            <v>4</v>
          </cell>
          <cell r="J1238" t="str">
            <v>PremiumS</v>
          </cell>
          <cell r="K1238" t="str">
            <v>attack</v>
          </cell>
          <cell r="L1238" t="str">
            <v>攻撃タイプ</v>
          </cell>
          <cell r="M1238" t="str">
            <v>ss</v>
          </cell>
        </row>
        <row r="1239">
          <cell r="A1239">
            <v>8056</v>
          </cell>
          <cell r="B1239" t="str">
            <v>ja</v>
          </cell>
          <cell r="C1239" t="str">
            <v>マイメロディ</v>
          </cell>
          <cell r="D1239" t="str">
            <v>マイメロディ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red</v>
          </cell>
          <cell r="I1239">
            <v>5</v>
          </cell>
          <cell r="J1239" t="str">
            <v>PremiumS</v>
          </cell>
          <cell r="K1239" t="str">
            <v>attack</v>
          </cell>
          <cell r="L1239" t="str">
            <v>攻撃タイプ</v>
          </cell>
          <cell r="M1239" t="str">
            <v>ss</v>
          </cell>
        </row>
        <row r="1240">
          <cell r="A1240">
            <v>8057</v>
          </cell>
          <cell r="B1240" t="str">
            <v>ja</v>
          </cell>
          <cell r="C1240" t="str">
            <v>ニーベルゲン_シナモロールコスプレ</v>
          </cell>
          <cell r="D1240" t="str">
            <v>ニーベルゲン_シナモロールコスプレ</v>
          </cell>
          <cell r="E1240" t="str">
            <v>執行者</v>
          </cell>
          <cell r="F1240" t="str">
            <v>格好いい</v>
          </cell>
          <cell r="G1240" t="str">
            <v>女性</v>
          </cell>
          <cell r="H1240" t="str">
            <v>green</v>
          </cell>
          <cell r="I1240">
            <v>4</v>
          </cell>
          <cell r="J1240" t="str">
            <v>PremiumS</v>
          </cell>
          <cell r="K1240" t="str">
            <v>balance</v>
          </cell>
          <cell r="L1240" t="str">
            <v>バランスタイプ</v>
          </cell>
          <cell r="M1240" t="str">
            <v>ss</v>
          </cell>
        </row>
        <row r="1241">
          <cell r="A1241">
            <v>8058</v>
          </cell>
          <cell r="B1241" t="str">
            <v>ja</v>
          </cell>
          <cell r="C1241" t="str">
            <v>ニーベルゲン_シナモロールコスプレ</v>
          </cell>
          <cell r="D1241" t="str">
            <v>ニーベルゲン_シナモロールコスプレ</v>
          </cell>
          <cell r="E1241" t="str">
            <v>執行者</v>
          </cell>
          <cell r="F1241" t="str">
            <v>格好いい</v>
          </cell>
          <cell r="G1241" t="str">
            <v>女性</v>
          </cell>
          <cell r="H1241" t="str">
            <v>green</v>
          </cell>
          <cell r="I1241">
            <v>5</v>
          </cell>
          <cell r="J1241" t="str">
            <v>PremiumS</v>
          </cell>
          <cell r="K1241" t="str">
            <v>balance</v>
          </cell>
          <cell r="L1241" t="str">
            <v>バランスタイプ</v>
          </cell>
          <cell r="M1241" t="str">
            <v>ss</v>
          </cell>
        </row>
        <row r="1242">
          <cell r="A1242">
            <v>8059</v>
          </cell>
          <cell r="B1242" t="str">
            <v>ja</v>
          </cell>
          <cell r="C1242" t="str">
            <v>カカシ_マイメロディコスプレ</v>
          </cell>
          <cell r="D1242" t="str">
            <v>カカシ_マイメロディコスプレ</v>
          </cell>
          <cell r="E1242" t="str">
            <v>執行者</v>
          </cell>
          <cell r="F1242" t="str">
            <v>格好いい</v>
          </cell>
          <cell r="G1242" t="str">
            <v>女性</v>
          </cell>
          <cell r="H1242" t="str">
            <v>green</v>
          </cell>
          <cell r="I1242">
            <v>4</v>
          </cell>
          <cell r="J1242" t="str">
            <v>PremiumS</v>
          </cell>
          <cell r="K1242" t="str">
            <v>technical</v>
          </cell>
          <cell r="L1242" t="str">
            <v>テクニカルタイプ</v>
          </cell>
          <cell r="M1242" t="str">
            <v>ss</v>
          </cell>
        </row>
        <row r="1243">
          <cell r="A1243">
            <v>8060</v>
          </cell>
          <cell r="B1243" t="str">
            <v>ja</v>
          </cell>
          <cell r="C1243" t="str">
            <v>カカシ_マイメロディコスプレ</v>
          </cell>
          <cell r="D1243" t="str">
            <v>カカシ_マイメロディコスプレ</v>
          </cell>
          <cell r="E1243" t="str">
            <v>執行者</v>
          </cell>
          <cell r="F1243" t="str">
            <v>格好いい</v>
          </cell>
          <cell r="G1243" t="str">
            <v>女性</v>
          </cell>
          <cell r="H1243" t="str">
            <v>green</v>
          </cell>
          <cell r="I1243">
            <v>5</v>
          </cell>
          <cell r="J1243" t="str">
            <v>PremiumS</v>
          </cell>
          <cell r="K1243" t="str">
            <v>technical</v>
          </cell>
          <cell r="L1243" t="str">
            <v>テクニカルタイプ</v>
          </cell>
          <cell r="M1243" t="str">
            <v>ss</v>
          </cell>
        </row>
        <row r="1244">
          <cell r="A1244">
            <v>8061</v>
          </cell>
          <cell r="B1244" t="str">
            <v>ja</v>
          </cell>
          <cell r="C1244" t="str">
            <v>ケロケロけろっぴ</v>
          </cell>
          <cell r="D1244" t="str">
            <v>ケロケロけろっぴ</v>
          </cell>
          <cell r="E1244" t="str">
            <v>執行者</v>
          </cell>
          <cell r="F1244" t="str">
            <v>格好いい</v>
          </cell>
          <cell r="G1244" t="str">
            <v>女性</v>
          </cell>
          <cell r="H1244" t="str">
            <v>green</v>
          </cell>
          <cell r="I1244">
            <v>3</v>
          </cell>
          <cell r="J1244" t="str">
            <v>PremiumS</v>
          </cell>
          <cell r="K1244" t="str">
            <v>balance</v>
          </cell>
          <cell r="L1244" t="str">
            <v>バランスタイプ</v>
          </cell>
          <cell r="M1244" t="str">
            <v>ss</v>
          </cell>
        </row>
        <row r="1245">
          <cell r="A1245">
            <v>8062</v>
          </cell>
          <cell r="B1245" t="str">
            <v>ja</v>
          </cell>
          <cell r="C1245" t="str">
            <v>ケロケロけろっぴ</v>
          </cell>
          <cell r="D1245" t="str">
            <v>ケロケロけろっぴ</v>
          </cell>
          <cell r="E1245" t="str">
            <v>執行者</v>
          </cell>
          <cell r="F1245" t="str">
            <v>格好いい</v>
          </cell>
          <cell r="G1245" t="str">
            <v>女性</v>
          </cell>
          <cell r="H1245" t="str">
            <v>green</v>
          </cell>
          <cell r="I1245">
            <v>4</v>
          </cell>
          <cell r="J1245" t="str">
            <v>PremiumS</v>
          </cell>
          <cell r="K1245" t="str">
            <v>balance</v>
          </cell>
          <cell r="L1245" t="str">
            <v>バランスタイプ</v>
          </cell>
          <cell r="M1245" t="str">
            <v>ss</v>
          </cell>
        </row>
        <row r="1246">
          <cell r="A1246">
            <v>8063</v>
          </cell>
          <cell r="B1246" t="str">
            <v>ja</v>
          </cell>
          <cell r="C1246" t="str">
            <v>モルドレッド_ポムポムプリンコスプレ</v>
          </cell>
          <cell r="D1246" t="str">
            <v>モルドレッド_ポムポムプリンコスプレ</v>
          </cell>
          <cell r="E1246" t="str">
            <v>執行者</v>
          </cell>
          <cell r="F1246" t="str">
            <v>格好いい</v>
          </cell>
          <cell r="G1246" t="str">
            <v>女性</v>
          </cell>
          <cell r="H1246" t="str">
            <v>blue</v>
          </cell>
          <cell r="I1246">
            <v>5</v>
          </cell>
          <cell r="J1246" t="str">
            <v>PremiumSS</v>
          </cell>
          <cell r="K1246" t="str">
            <v>heal</v>
          </cell>
          <cell r="L1246" t="str">
            <v>回復タイプ</v>
          </cell>
          <cell r="M1246" t="str">
            <v>ss</v>
          </cell>
        </row>
        <row r="1247">
          <cell r="A1247">
            <v>8064</v>
          </cell>
          <cell r="B1247" t="str">
            <v>ja</v>
          </cell>
          <cell r="C1247" t="str">
            <v>モルドレッド_ポムポムプリンコスプレ</v>
          </cell>
          <cell r="D1247" t="str">
            <v>モルドレッド_ポムポムプリンコスプレ</v>
          </cell>
          <cell r="E1247" t="str">
            <v>執行者</v>
          </cell>
          <cell r="F1247" t="str">
            <v>格好いい</v>
          </cell>
          <cell r="G1247" t="str">
            <v>女性</v>
          </cell>
          <cell r="H1247" t="str">
            <v>blue</v>
          </cell>
          <cell r="I1247">
            <v>6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ss</v>
          </cell>
        </row>
        <row r="1248">
          <cell r="A1248">
            <v>8065</v>
          </cell>
          <cell r="B1248" t="str">
            <v>ja</v>
          </cell>
          <cell r="C1248" t="str">
            <v>クロミ</v>
          </cell>
          <cell r="D1248" t="str">
            <v>クロミ</v>
          </cell>
          <cell r="E1248" t="str">
            <v>執行者</v>
          </cell>
          <cell r="F1248" t="str">
            <v>格好いい</v>
          </cell>
          <cell r="G1248" t="str">
            <v>女性</v>
          </cell>
          <cell r="H1248" t="str">
            <v>blue</v>
          </cell>
          <cell r="I1248">
            <v>3</v>
          </cell>
          <cell r="J1248" t="str">
            <v>PremiumS</v>
          </cell>
          <cell r="K1248" t="str">
            <v>technical</v>
          </cell>
          <cell r="L1248" t="str">
            <v>テクニカルタイプ</v>
          </cell>
          <cell r="M1248" t="str">
            <v>ss</v>
          </cell>
        </row>
        <row r="1249">
          <cell r="A1249">
            <v>8066</v>
          </cell>
          <cell r="B1249" t="str">
            <v>ja</v>
          </cell>
          <cell r="C1249" t="str">
            <v>クロミ</v>
          </cell>
          <cell r="D1249" t="str">
            <v>クロミ</v>
          </cell>
          <cell r="E1249" t="str">
            <v>執行者</v>
          </cell>
          <cell r="F1249" t="str">
            <v>格好いい</v>
          </cell>
          <cell r="G1249" t="str">
            <v>女性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technical</v>
          </cell>
          <cell r="L1249" t="str">
            <v>テクニカルタイプ</v>
          </cell>
          <cell r="M1249" t="str">
            <v>ss</v>
          </cell>
        </row>
        <row r="1250">
          <cell r="A1250">
            <v>8067</v>
          </cell>
          <cell r="B1250" t="str">
            <v>ja</v>
          </cell>
          <cell r="C1250" t="str">
            <v>バッドばつ丸</v>
          </cell>
          <cell r="D1250" t="str">
            <v>バッドばつ丸</v>
          </cell>
          <cell r="E1250" t="str">
            <v>執行者</v>
          </cell>
          <cell r="F1250" t="str">
            <v>格好いい</v>
          </cell>
          <cell r="G1250" t="str">
            <v>女性</v>
          </cell>
          <cell r="H1250" t="str">
            <v>blue</v>
          </cell>
          <cell r="I1250">
            <v>3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ss</v>
          </cell>
        </row>
        <row r="1251">
          <cell r="A1251">
            <v>8068</v>
          </cell>
          <cell r="B1251" t="str">
            <v>ja</v>
          </cell>
          <cell r="C1251" t="str">
            <v>バッドばつ丸</v>
          </cell>
          <cell r="D1251" t="str">
            <v>バッドばつ丸</v>
          </cell>
          <cell r="E1251" t="str">
            <v>執行者</v>
          </cell>
          <cell r="F1251" t="str">
            <v>格好いい</v>
          </cell>
          <cell r="G1251" t="str">
            <v>女性</v>
          </cell>
          <cell r="H1251" t="str">
            <v>blue</v>
          </cell>
          <cell r="I1251">
            <v>4</v>
          </cell>
          <cell r="J1251" t="str">
            <v>PremiumS</v>
          </cell>
          <cell r="K1251" t="str">
            <v>attack</v>
          </cell>
          <cell r="L1251" t="str">
            <v>攻撃タイプ</v>
          </cell>
          <cell r="M1251" t="str">
            <v>ss</v>
          </cell>
        </row>
        <row r="1252">
          <cell r="A1252">
            <v>8069</v>
          </cell>
          <cell r="B1252" t="str">
            <v>ja</v>
          </cell>
          <cell r="C1252" t="str">
            <v>シナモロール</v>
          </cell>
          <cell r="D1252" t="str">
            <v>シナモロール</v>
          </cell>
          <cell r="E1252" t="str">
            <v>執行者</v>
          </cell>
          <cell r="F1252" t="str">
            <v>格好いい</v>
          </cell>
          <cell r="G1252" t="str">
            <v>女性</v>
          </cell>
          <cell r="H1252" t="str">
            <v>yellow</v>
          </cell>
          <cell r="I1252">
            <v>4</v>
          </cell>
          <cell r="J1252" t="str">
            <v>PremiumS</v>
          </cell>
          <cell r="K1252" t="str">
            <v>heal</v>
          </cell>
          <cell r="L1252" t="str">
            <v>回復タイプ</v>
          </cell>
          <cell r="M1252" t="str">
            <v>ss</v>
          </cell>
        </row>
        <row r="1253">
          <cell r="A1253">
            <v>8070</v>
          </cell>
          <cell r="B1253" t="str">
            <v>ja</v>
          </cell>
          <cell r="C1253" t="str">
            <v>シナモロール</v>
          </cell>
          <cell r="D1253" t="str">
            <v>シナモロール</v>
          </cell>
          <cell r="E1253" t="str">
            <v>執行者</v>
          </cell>
          <cell r="F1253" t="str">
            <v>格好いい</v>
          </cell>
          <cell r="G1253" t="str">
            <v>女性</v>
          </cell>
          <cell r="H1253" t="str">
            <v>yellow</v>
          </cell>
          <cell r="I1253">
            <v>5</v>
          </cell>
          <cell r="J1253" t="str">
            <v>PremiumS</v>
          </cell>
          <cell r="K1253" t="str">
            <v>heal</v>
          </cell>
          <cell r="L1253" t="str">
            <v>回復タイプ</v>
          </cell>
          <cell r="M1253" t="str">
            <v>ss</v>
          </cell>
        </row>
        <row r="1254">
          <cell r="A1254">
            <v>8071</v>
          </cell>
          <cell r="B1254" t="str">
            <v>ja</v>
          </cell>
          <cell r="C1254" t="str">
            <v>ポムポムプリン</v>
          </cell>
          <cell r="D1254" t="str">
            <v>ポムポムプリン</v>
          </cell>
          <cell r="E1254" t="str">
            <v>執行者</v>
          </cell>
          <cell r="F1254" t="str">
            <v>格好いい</v>
          </cell>
          <cell r="G1254" t="str">
            <v>女性</v>
          </cell>
          <cell r="H1254" t="str">
            <v>yellow</v>
          </cell>
          <cell r="I1254">
            <v>3</v>
          </cell>
          <cell r="J1254" t="str">
            <v>PremiumS</v>
          </cell>
          <cell r="K1254" t="str">
            <v>hp</v>
          </cell>
          <cell r="L1254" t="str">
            <v>体力タイプ</v>
          </cell>
          <cell r="M1254" t="str">
            <v>ss</v>
          </cell>
        </row>
        <row r="1255">
          <cell r="A1255">
            <v>8072</v>
          </cell>
          <cell r="B1255" t="str">
            <v>ja</v>
          </cell>
          <cell r="C1255" t="str">
            <v>ポムポムプリン</v>
          </cell>
          <cell r="D1255" t="str">
            <v>ポムポムプリン</v>
          </cell>
          <cell r="E1255" t="str">
            <v>執行者</v>
          </cell>
          <cell r="F1255" t="str">
            <v>格好いい</v>
          </cell>
          <cell r="G1255" t="str">
            <v>女性</v>
          </cell>
          <cell r="H1255" t="str">
            <v>yellow</v>
          </cell>
          <cell r="I1255">
            <v>4</v>
          </cell>
          <cell r="J1255" t="str">
            <v>PremiumS</v>
          </cell>
          <cell r="K1255" t="str">
            <v>hp</v>
          </cell>
          <cell r="L1255" t="str">
            <v>体力タイプ</v>
          </cell>
          <cell r="M1255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12" sqref="F1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252</v>
      </c>
      <c r="B2" s="61" t="s">
        <v>110</v>
      </c>
      <c r="C2" s="50" t="str">
        <f t="shared" ref="C2:C3" si="0">RIGHT(F2,6)</f>
        <v>424100</v>
      </c>
      <c r="D2" s="19" t="s">
        <v>45</v>
      </c>
      <c r="E2" s="17" t="str">
        <f t="shared" ref="E2:E3" si="1">B2&amp;C2&amp;D2</f>
        <v>gacha_select_tables_424100.tmp</v>
      </c>
      <c r="F2" s="100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4" t="s">
        <v>249</v>
      </c>
      <c r="B3" s="95" t="s">
        <v>250</v>
      </c>
      <c r="C3" s="93" t="str">
        <f t="shared" si="0"/>
        <v>424105</v>
      </c>
      <c r="D3" s="19" t="s">
        <v>251</v>
      </c>
      <c r="E3" s="17" t="str">
        <f t="shared" si="1"/>
        <v>gacha_settle_tables_424105.tmp</v>
      </c>
      <c r="F3" s="100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6" t="s">
        <v>241</v>
      </c>
      <c r="B4" s="91" t="s">
        <v>247</v>
      </c>
      <c r="C4" s="50" t="str">
        <f>RIGHT(F4,6)</f>
        <v>422011</v>
      </c>
      <c r="D4" s="19" t="s">
        <v>45</v>
      </c>
      <c r="E4" s="17" t="str">
        <f>B4&amp;C4&amp;D4</f>
        <v>gacha_select_tables_422011.tmp</v>
      </c>
      <c r="F4" s="92" t="s">
        <v>248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ref="C5:C7" si="2">RIGHT(F5,6)</f>
        <v>363104</v>
      </c>
      <c r="D5" s="19" t="s">
        <v>45</v>
      </c>
      <c r="E5" s="17" t="str">
        <f t="shared" ref="E5:E7" si="3">B5&amp;C5&amp;D5</f>
        <v>gacha_select_tables_363104.tmp</v>
      </c>
      <c r="F5" s="89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89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3"/>
        <v>gacha_select_tables_363100.tmp</v>
      </c>
      <c r="F7" s="89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4" t="s">
        <v>252</v>
      </c>
      <c r="B8" s="27" t="s">
        <v>50</v>
      </c>
      <c r="C8" s="32">
        <v>424</v>
      </c>
      <c r="D8" s="19" t="s">
        <v>46</v>
      </c>
      <c r="E8" s="17" t="str">
        <f t="shared" ref="E8:E10" si="6">B8&amp;C8&amp;D8</f>
        <v>gacha_bonus_tables_424.tmp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4" t="s">
        <v>246</v>
      </c>
      <c r="B9" s="19" t="s">
        <v>48</v>
      </c>
      <c r="C9" s="32">
        <v>424</v>
      </c>
      <c r="D9" s="19" t="s">
        <v>46</v>
      </c>
      <c r="E9" s="17" t="str">
        <f t="shared" si="6"/>
        <v>gifts_tmp_424.tmp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4" t="s">
        <v>252</v>
      </c>
      <c r="B10" s="19" t="s">
        <v>49</v>
      </c>
      <c r="C10" s="32">
        <v>424</v>
      </c>
      <c r="D10" s="19" t="s">
        <v>46</v>
      </c>
      <c r="E10" s="17" t="str">
        <f t="shared" si="6"/>
        <v>gifts_i18n_424.tmp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abSelected="1" workbookViewId="0">
      <selection activeCell="B21" sqref="B21"/>
    </sheetView>
  </sheetViews>
  <sheetFormatPr baseColWidth="12" defaultRowHeight="14" x14ac:dyDescent="0.15"/>
  <cols>
    <col min="1" max="2" width="24.19921875" bestFit="1" customWidth="1"/>
    <col min="3" max="3" width="21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424100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VLOOKUP(L3,tables_424100!B:C,2,FALSE)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VLOOKUP(L4,tables_424100!B:C,2,FALSE)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9.2592592592592596E-4</v>
      </c>
      <c r="F5">
        <f>(COUNTIF(tables_424100!C:C,input_424100!A28)+COUNTIF(tables_424100!C:C,input_424100!A29))</f>
        <v>54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VLOOKUP(L5,tables_424100!B:C,2,FALSE)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0.95</v>
      </c>
      <c r="D6" t="s">
        <v>202</v>
      </c>
      <c r="E6" s="76">
        <f>(B10-H6)/(F6-I6)</f>
        <v>1.0555555555555556E-2</v>
      </c>
      <c r="F6">
        <f>(COUNTIF(tables_424100!C:C,input_424100!A25)+COUNTIF(tables_424100!C:C,input_424100!A18)+COUNTIF(tables_424100!C:C,input_424100!A20)+COUNTIF(tables_424100!C:C,input_424100!A22))</f>
        <v>90</v>
      </c>
      <c r="H6" s="88">
        <v>0</v>
      </c>
      <c r="I6" s="31">
        <v>0</v>
      </c>
      <c r="L6" s="90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VLOOKUP(L6,tables_424100!B:C,2,FALSE)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VLOOKUP(L7,tables_424100!B:C,2,FALSE)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VLOOKUP(L8,tables_424100!B:C,2,FALSE)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VLOOKUP(L9,tables_424100!B:C,2,FALSE)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COUNTIF(tables_424100!C:C,input_424100!A17)-COUNTIF(Q:Q,A17)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0.21111111111111111</v>
      </c>
      <c r="C18" s="85">
        <f t="shared" si="2"/>
        <v>0</v>
      </c>
      <c r="D18" s="74">
        <f t="shared" si="3"/>
        <v>0.21111111111111111</v>
      </c>
      <c r="E18">
        <f>COUNTIF(tables_424100!C:C,input_424100!A18)-COUNTIF(Q:Q,A18)</f>
        <v>20</v>
      </c>
      <c r="F18" s="43">
        <f>IFERROR(B18/E18,0)</f>
        <v>1.0555555555555556E-2</v>
      </c>
      <c r="G18">
        <f t="shared" si="4"/>
        <v>1140000</v>
      </c>
      <c r="H18">
        <f t="shared" si="5"/>
        <v>57000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COUNTIF(tables_424100!C:C,input_424100!A19)-COUNTIF(Q:Q,A19)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82">
        <f>E$6*E20*B$6+E34</f>
        <v>0.53375925925925916</v>
      </c>
      <c r="C20" s="85">
        <f t="shared" si="2"/>
        <v>0</v>
      </c>
      <c r="D20" s="74">
        <f t="shared" si="3"/>
        <v>0.53375925925925916</v>
      </c>
      <c r="E20">
        <f>COUNTIF(tables_424100!C:C,input_424100!A20)-COUNTIF(Q:Q,A20)</f>
        <v>52</v>
      </c>
      <c r="F20" s="43">
        <f t="shared" si="8"/>
        <v>1.0264601139601138E-2</v>
      </c>
      <c r="G20">
        <f t="shared" si="4"/>
        <v>2882299.9999999995</v>
      </c>
      <c r="H20">
        <f t="shared" si="5"/>
        <v>55428.846149999998</v>
      </c>
      <c r="I20">
        <f t="shared" si="6"/>
        <v>0.84614999999757856</v>
      </c>
      <c r="J20">
        <f t="shared" si="7"/>
        <v>1.1818235537468083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99">
        <f>E$6*E21*B$7-E34</f>
        <v>1.5129629629629666E-2</v>
      </c>
      <c r="C21" s="85">
        <f t="shared" si="2"/>
        <v>0</v>
      </c>
      <c r="D21" s="74">
        <f t="shared" si="3"/>
        <v>1.5129629629629666E-2</v>
      </c>
      <c r="E21">
        <f>COUNTIF(tables_424100!C:C,input_424100!A21)-COUNTIF(Q:Q,A21)</f>
        <v>52</v>
      </c>
      <c r="F21" s="43">
        <f t="shared" si="8"/>
        <v>2.9095441595441664E-4</v>
      </c>
      <c r="G21">
        <f t="shared" si="4"/>
        <v>81700.000000000204</v>
      </c>
      <c r="H21">
        <f t="shared" si="5"/>
        <v>1571.1538499999999</v>
      </c>
      <c r="I21">
        <f t="shared" si="6"/>
        <v>0.15384999999992033</v>
      </c>
      <c r="J21">
        <f t="shared" si="7"/>
        <v>6.4998375040657645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0.1403888888888889</v>
      </c>
      <c r="C22" s="85">
        <f t="shared" si="2"/>
        <v>0</v>
      </c>
      <c r="D22" s="74">
        <f t="shared" si="3"/>
        <v>0.1403888888888889</v>
      </c>
      <c r="E22">
        <f>COUNTIF(tables_424100!C:C,input_424100!A22)-COUNTIF(Q:Q,A22)</f>
        <v>14</v>
      </c>
      <c r="F22" s="43">
        <f t="shared" si="8"/>
        <v>1.0027777777777778E-2</v>
      </c>
      <c r="G22">
        <f t="shared" si="4"/>
        <v>758100</v>
      </c>
      <c r="H22">
        <f t="shared" si="5"/>
        <v>54150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7.3888888888888893E-3</v>
      </c>
      <c r="C23" s="85">
        <f t="shared" si="2"/>
        <v>0</v>
      </c>
      <c r="D23" s="74">
        <f t="shared" si="3"/>
        <v>7.3888888888888893E-3</v>
      </c>
      <c r="E23">
        <f>COUNTIF(tables_424100!C:C,input_424100!A23)-COUNTIF(Q:Q,A23)</f>
        <v>14</v>
      </c>
      <c r="F23" s="43">
        <f t="shared" si="8"/>
        <v>5.2777777777777784E-4</v>
      </c>
      <c r="G23">
        <f t="shared" si="4"/>
        <v>39900</v>
      </c>
      <c r="H23">
        <f t="shared" si="5"/>
        <v>2850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COUNTIF(tables_424100!C:C,input_424100!A24)-COUNTIF(Q:Q,A24)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4.0111111111111111E-2</v>
      </c>
      <c r="C25" s="85">
        <f t="shared" si="2"/>
        <v>0</v>
      </c>
      <c r="D25" s="74">
        <f t="shared" si="3"/>
        <v>4.0111111111111111E-2</v>
      </c>
      <c r="E25">
        <f>COUNTIF(tables_424100!C:C,input_424100!A25)-COUNTIF(Q:Q,A25)</f>
        <v>4</v>
      </c>
      <c r="F25" s="43">
        <f t="shared" si="8"/>
        <v>1.0027777777777778E-2</v>
      </c>
      <c r="G25">
        <f t="shared" si="4"/>
        <v>216600</v>
      </c>
      <c r="H25">
        <f t="shared" si="5"/>
        <v>54150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2.1111111111111113E-3</v>
      </c>
      <c r="C26" s="85">
        <f t="shared" si="2"/>
        <v>0</v>
      </c>
      <c r="D26" s="74">
        <f t="shared" si="3"/>
        <v>2.1111111111111113E-3</v>
      </c>
      <c r="E26">
        <f>COUNTIF(tables_424100!C:C,input_424100!A26)-COUNTIF(Q:Q,A26)</f>
        <v>4</v>
      </c>
      <c r="F26" s="43">
        <f t="shared" si="8"/>
        <v>5.2777777777777784E-4</v>
      </c>
      <c r="G26">
        <f t="shared" si="4"/>
        <v>11400.000000000002</v>
      </c>
      <c r="H26">
        <f t="shared" si="5"/>
        <v>2850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2.462962962962963E-2</v>
      </c>
      <c r="C27" s="85">
        <f t="shared" si="2"/>
        <v>0</v>
      </c>
      <c r="D27" s="74">
        <f t="shared" si="3"/>
        <v>2.462962962962963E-2</v>
      </c>
      <c r="E27">
        <f>COUNTIF(tables_424100!C:C,input_424100!A27)-COUNTIF(Q:Q,A27)</f>
        <v>28</v>
      </c>
      <c r="F27" s="43">
        <f>IFERROR(B27/E27,0)</f>
        <v>8.7962962962962962E-4</v>
      </c>
      <c r="G27">
        <f t="shared" si="4"/>
        <v>133000</v>
      </c>
      <c r="H27">
        <f t="shared" si="5"/>
        <v>4750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1.2962962962962965E-3</v>
      </c>
      <c r="C28" s="85">
        <f t="shared" si="2"/>
        <v>0</v>
      </c>
      <c r="D28" s="74">
        <f t="shared" si="3"/>
        <v>1.2962962962962965E-3</v>
      </c>
      <c r="E28">
        <f>COUNTIF(tables_424100!C:C,input_424100!A28)-COUNTIF(Q:Q,A28)</f>
        <v>28</v>
      </c>
      <c r="F28" s="43">
        <f t="shared" si="8"/>
        <v>4.6296296296296301E-5</v>
      </c>
      <c r="G28">
        <f t="shared" si="4"/>
        <v>7000.0000000000009</v>
      </c>
      <c r="H28">
        <f t="shared" si="5"/>
        <v>250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2.4074074074074074E-2</v>
      </c>
      <c r="C29" s="85">
        <f t="shared" si="2"/>
        <v>0</v>
      </c>
      <c r="D29" s="74">
        <f t="shared" si="3"/>
        <v>2.4074074074074074E-2</v>
      </c>
      <c r="E29">
        <f>COUNTIF(tables_424100!C:C,input_424100!A29)-COUNTIF(Q:Q,A29)</f>
        <v>26</v>
      </c>
      <c r="F29" s="43">
        <f t="shared" si="8"/>
        <v>9.2592592592592596E-4</v>
      </c>
      <c r="G29">
        <f t="shared" si="4"/>
        <v>130000</v>
      </c>
      <c r="H29">
        <f t="shared" si="5"/>
        <v>5000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COUNTIF(tables_424100!C:C,input_424100!A30)-COUNTIF(Q:Q,A30)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COUNTIF(tables_424100!C:C,input_424100!A31)-COUNTIF(Q:Q,A31)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C34" s="98"/>
      <c r="E34" s="101">
        <v>1.2314814814814778E-2</v>
      </c>
      <c r="G34" s="101"/>
    </row>
    <row r="35" spans="1:7" x14ac:dyDescent="0.15">
      <c r="A35" t="s">
        <v>73</v>
      </c>
    </row>
    <row r="36" spans="1:7" x14ac:dyDescent="0.15">
      <c r="A36" s="31">
        <f>LCM(F5-I5,F6-I6)*1000*2*2*5</f>
        <v>5400000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SUMIF(tables_424100!C:C,input_424100!A40,tables_424100!O:O)</f>
        <v>0</v>
      </c>
      <c r="C40" s="54">
        <f t="shared" ref="C40:C46" ca="1" si="9">B40/B$47</f>
        <v>0</v>
      </c>
      <c r="E40">
        <v>3</v>
      </c>
      <c r="F40">
        <f ca="1">SUMIF(tables_424100!J:J,input_424100!E40,tables_424100!O:O)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SUMIF(tables_424100!C:C,input_424100!A41,tables_424100!O:O)</f>
        <v>2882299.9998000036</v>
      </c>
      <c r="C41" s="54">
        <f t="shared" ca="1" si="9"/>
        <v>0.92857603086340212</v>
      </c>
      <c r="E41">
        <v>4</v>
      </c>
      <c r="F41">
        <f ca="1">SUMIF(tables_424100!J:J,input_424100!E41,tables_424100!O:O)</f>
        <v>5129999.999800005</v>
      </c>
      <c r="G41">
        <f ca="1">F41/A36</f>
        <v>0.94999999996296391</v>
      </c>
    </row>
    <row r="42" spans="1:7" x14ac:dyDescent="0.15">
      <c r="A42" s="33" t="s">
        <v>106</v>
      </c>
      <c r="B42">
        <f ca="1">SUMIF(tables_424100!C:C,input_424100!A42,tables_424100!O:O)</f>
        <v>133000</v>
      </c>
      <c r="C42" s="54">
        <f t="shared" ca="1" si="9"/>
        <v>4.2847938144329849E-2</v>
      </c>
      <c r="E42">
        <v>5</v>
      </c>
      <c r="F42">
        <f ca="1">SUMIF(tables_424100!J:J,input_424100!E42,tables_424100!O:O)</f>
        <v>270000.00020000007</v>
      </c>
      <c r="G42">
        <f ca="1">F42/A36</f>
        <v>5.000000003703705E-2</v>
      </c>
    </row>
    <row r="43" spans="1:7" x14ac:dyDescent="0.15">
      <c r="A43" s="33" t="s">
        <v>109</v>
      </c>
      <c r="B43">
        <f>SUMIF(tables_424100!C:C,input_424100!A43,tables_424100!O:O)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SUMIF(tables_424100!C:C,input_424100!A44,tables_424100!O:O)</f>
        <v>81700.000200000068</v>
      </c>
      <c r="C44" s="54">
        <f t="shared" ca="1" si="9"/>
        <v>2.6320876353092774E-2</v>
      </c>
      <c r="E44" t="s">
        <v>54</v>
      </c>
      <c r="F44" s="55"/>
    </row>
    <row r="45" spans="1:7" x14ac:dyDescent="0.15">
      <c r="A45" s="33" t="s">
        <v>107</v>
      </c>
      <c r="B45">
        <f ca="1">SUMIF(tables_424100!C:C,input_424100!A45,tables_424100!O:O)</f>
        <v>7000</v>
      </c>
      <c r="C45" s="54">
        <f t="shared" ca="1" si="9"/>
        <v>2.2551546391752549E-3</v>
      </c>
      <c r="E45" t="s">
        <v>204</v>
      </c>
      <c r="F45" s="55">
        <f ca="1">SUMIF(tables_424100!I:I,input_424100!E45,tables_424100!P:P)</f>
        <v>0.21111111111111122</v>
      </c>
    </row>
    <row r="46" spans="1:7" x14ac:dyDescent="0.15">
      <c r="A46" s="33" t="s">
        <v>108</v>
      </c>
      <c r="B46">
        <f>SUMIF(tables_424100!C:C,input_424100!A46,tables_424100!O:O)</f>
        <v>0</v>
      </c>
      <c r="C46" s="54">
        <f t="shared" ca="1" si="9"/>
        <v>0</v>
      </c>
      <c r="E46" t="s">
        <v>205</v>
      </c>
      <c r="F46" s="55">
        <f ca="1">SUMIF(tables_424100!I:I,input_424100!E46,tables_424100!P:P)</f>
        <v>0.21111111111111097</v>
      </c>
    </row>
    <row r="47" spans="1:7" x14ac:dyDescent="0.15">
      <c r="A47" s="39" t="s">
        <v>59</v>
      </c>
      <c r="B47">
        <f ca="1">SUM(B40:B46)</f>
        <v>3104000.0000000037</v>
      </c>
      <c r="C47" s="55">
        <f ca="1">SUM(C40:C46)</f>
        <v>1</v>
      </c>
      <c r="E47" t="s">
        <v>206</v>
      </c>
      <c r="F47" s="55">
        <f ca="1">SUMIF(tables_424100!I:I,input_424100!E47,tables_424100!P:P)</f>
        <v>0.52777777777777779</v>
      </c>
    </row>
    <row r="48" spans="1:7" x14ac:dyDescent="0.15">
      <c r="E48" t="s">
        <v>207</v>
      </c>
      <c r="F48" s="55">
        <f ca="1">SUMIF(tables_424100!I:I,input_424100!E48,tables_424100!P:P)</f>
        <v>4.7222222222222263E-2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19"/>
  <sheetViews>
    <sheetView showGridLines="0" topLeftCell="B1" zoomScale="75" zoomScaleNormal="75" zoomScalePageLayoutView="75" workbookViewId="0">
      <pane ySplit="1" topLeftCell="A145" activePane="bottomLeft" state="frozen"/>
      <selection activeCell="H276" sqref="H276"/>
      <selection pane="bottomLeft" activeCell="H170" sqref="H17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input_424100!A$2</f>
        <v>424100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IFERROR(VLOOKUP(B2,input_424100!L:R,7,FALSE),VLOOKUP(tables_424100!C2,input_424100!A:H,8,FALSE))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input_424100!A$2</f>
        <v>424100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IFERROR(VLOOKUP(B3,input_424100!L:R,7,FALSE),VLOOKUP(tables_424100!C3,input_424100!A:H,8,FALSE))</f>
        <v>57000</v>
      </c>
      <c r="P3" s="46">
        <f t="shared" ca="1" si="1"/>
        <v>1.0555555555555556E-2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input_424100!A$2</f>
        <v>424100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IFERROR(VLOOKUP(B4,input_424100!L:R,7,FALSE),VLOOKUP(tables_424100!C4,input_424100!A:H,8,FALSE))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input_424100!A$2</f>
        <v>424100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IFERROR(VLOOKUP(B5,input_424100!L:R,7,FALSE),VLOOKUP(tables_424100!C5,input_424100!A:H,8,FALSE))</f>
        <v>57000</v>
      </c>
      <c r="P5" s="46">
        <f t="shared" ca="1" si="1"/>
        <v>1.0555555555555556E-2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input_424100!A$2</f>
        <v>424100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IFERROR(VLOOKUP(B6,input_424100!L:R,7,FALSE),VLOOKUP(tables_424100!C6,input_424100!A:H,8,FALSE))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input_424100!A$2</f>
        <v>424100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IFERROR(VLOOKUP(B7,input_424100!L:R,7,FALSE),VLOOKUP(tables_424100!C7,input_424100!A:H,8,FALSE))</f>
        <v>57000</v>
      </c>
      <c r="P7" s="46">
        <f t="shared" ca="1" si="1"/>
        <v>1.0555555555555556E-2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input_424100!A$2</f>
        <v>424100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IFERROR(VLOOKUP(B8,input_424100!L:R,7,FALSE),VLOOKUP(tables_424100!C8,input_424100!A:H,8,FALSE))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input_424100!A$2</f>
        <v>424100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IFERROR(VLOOKUP(B9,input_424100!L:R,7,FALSE),VLOOKUP(tables_424100!C9,input_424100!A:H,8,FALSE))</f>
        <v>57000</v>
      </c>
      <c r="P9" s="46">
        <f t="shared" ca="1" si="1"/>
        <v>1.0555555555555556E-2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input_424100!A$2</f>
        <v>424100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IFERROR(VLOOKUP(B10,input_424100!L:R,7,FALSE),VLOOKUP(tables_424100!C10,input_424100!A:H,8,FALSE))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input_424100!A$2</f>
        <v>424100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IFERROR(VLOOKUP(B11,input_424100!L:R,7,FALSE),VLOOKUP(tables_424100!C11,input_424100!A:H,8,FALSE))</f>
        <v>57000</v>
      </c>
      <c r="P11" s="46">
        <f t="shared" ca="1" si="1"/>
        <v>1.0555555555555556E-2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input_424100!A$2</f>
        <v>424100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IFERROR(VLOOKUP(B12,input_424100!L:R,7,FALSE),VLOOKUP(tables_424100!C12,input_424100!A:H,8,FALSE))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input_424100!A$2</f>
        <v>424100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IFERROR(VLOOKUP(B13,input_424100!L:R,7,FALSE),VLOOKUP(tables_424100!C13,input_424100!A:H,8,FALSE))</f>
        <v>57000</v>
      </c>
      <c r="P13" s="46">
        <f t="shared" ca="1" si="1"/>
        <v>1.0555555555555556E-2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input_424100!A$2</f>
        <v>424100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IFERROR(VLOOKUP(B14,input_424100!L:R,7,FALSE),VLOOKUP(tables_424100!C14,input_424100!A:H,8,FALSE))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input_424100!A$2</f>
        <v>424100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IFERROR(VLOOKUP(B15,input_424100!L:R,7,FALSE),VLOOKUP(tables_424100!C15,input_424100!A:H,8,FALSE))</f>
        <v>57000</v>
      </c>
      <c r="P15" s="46">
        <f t="shared" ca="1" si="1"/>
        <v>1.0555555555555556E-2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input_424100!A$2</f>
        <v>424100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IFERROR(VLOOKUP(B16,input_424100!L:R,7,FALSE),VLOOKUP(tables_424100!C16,input_424100!A:H,8,FALSE))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input_424100!A$2</f>
        <v>424100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IFERROR(VLOOKUP(B17,input_424100!L:R,7,FALSE),VLOOKUP(tables_424100!C17,input_424100!A:H,8,FALSE))</f>
        <v>57000</v>
      </c>
      <c r="P17" s="46">
        <f t="shared" ca="1" si="1"/>
        <v>1.0555555555555556E-2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input_424100!A$2</f>
        <v>424100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IFERROR(VLOOKUP(B18,input_424100!L:R,7,FALSE),VLOOKUP(tables_424100!C18,input_424100!A:H,8,FALSE))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input_424100!A$2</f>
        <v>424100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IFERROR(VLOOKUP(B19,input_424100!L:R,7,FALSE),VLOOKUP(tables_424100!C19,input_424100!A:H,8,FALSE))</f>
        <v>57000</v>
      </c>
      <c r="P19" s="46">
        <f t="shared" ca="1" si="1"/>
        <v>1.0555555555555556E-2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input_424100!A$2</f>
        <v>424100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IFERROR(VLOOKUP(B20,input_424100!L:R,7,FALSE),VLOOKUP(tables_424100!C20,input_424100!A:H,8,FALSE))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input_424100!A$2</f>
        <v>424100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IFERROR(VLOOKUP(B21,input_424100!L:R,7,FALSE),VLOOKUP(tables_424100!C21,input_424100!A:H,8,FALSE))</f>
        <v>57000</v>
      </c>
      <c r="P21" s="46">
        <f t="shared" ca="1" si="1"/>
        <v>1.0555555555555556E-2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input_424100!A$2</f>
        <v>424100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IFERROR(VLOOKUP(B22,input_424100!L:R,7,FALSE),VLOOKUP(tables_424100!C22,input_424100!A:H,8,FALSE))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input_424100!A$2</f>
        <v>424100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IFERROR(VLOOKUP(B23,input_424100!L:R,7,FALSE),VLOOKUP(tables_424100!C23,input_424100!A:H,8,FALSE))</f>
        <v>57000</v>
      </c>
      <c r="P23" s="46">
        <f t="shared" ca="1" si="1"/>
        <v>1.0555555555555556E-2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input_424100!A$2</f>
        <v>424100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IFERROR(VLOOKUP(B24,input_424100!L:R,7,FALSE),VLOOKUP(tables_424100!C24,input_424100!A:H,8,FALSE))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input_424100!A$2</f>
        <v>424100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IFERROR(VLOOKUP(B25,input_424100!L:R,7,FALSE),VLOOKUP(tables_424100!C25,input_424100!A:H,8,FALSE))</f>
        <v>57000</v>
      </c>
      <c r="P25" s="46">
        <f t="shared" ca="1" si="1"/>
        <v>1.0555555555555556E-2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input_424100!A$2</f>
        <v>424100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IFERROR(VLOOKUP(B26,input_424100!L:R,7,FALSE),VLOOKUP(tables_424100!C26,input_424100!A:H,8,FALSE))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input_424100!A$2</f>
        <v>424100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IFERROR(VLOOKUP(B27,input_424100!L:R,7,FALSE),VLOOKUP(tables_424100!C27,input_424100!A:H,8,FALSE))</f>
        <v>57000</v>
      </c>
      <c r="P27" s="46">
        <f t="shared" ca="1" si="1"/>
        <v>1.0555555555555556E-2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input_424100!A$2</f>
        <v>424100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IFERROR(VLOOKUP(B28,input_424100!L:R,7,FALSE),VLOOKUP(tables_424100!C28,input_424100!A:H,8,FALSE))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input_424100!A$2</f>
        <v>424100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IFERROR(VLOOKUP(B29,input_424100!L:R,7,FALSE),VLOOKUP(tables_424100!C29,input_424100!A:H,8,FALSE))</f>
        <v>57000</v>
      </c>
      <c r="P29" s="46">
        <f t="shared" ca="1" si="1"/>
        <v>1.0555555555555556E-2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input_424100!A$2</f>
        <v>424100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IFERROR(VLOOKUP(B30,input_424100!L:R,7,FALSE),VLOOKUP(tables_424100!C30,input_424100!A:H,8,FALSE))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input_424100!A$2</f>
        <v>424100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IFERROR(VLOOKUP(B31,input_424100!L:R,7,FALSE),VLOOKUP(tables_424100!C31,input_424100!A:H,8,FALSE))</f>
        <v>57000</v>
      </c>
      <c r="P31" s="46">
        <f t="shared" ca="1" si="1"/>
        <v>1.0555555555555556E-2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input_424100!A$2</f>
        <v>424100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IFERROR(VLOOKUP(B32,input_424100!L:R,7,FALSE),VLOOKUP(tables_424100!C32,input_424100!A:H,8,FALSE))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input_424100!A$2</f>
        <v>424100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IFERROR(VLOOKUP(B33,input_424100!L:R,7,FALSE),VLOOKUP(tables_424100!C33,input_424100!A:H,8,FALSE))</f>
        <v>57000</v>
      </c>
      <c r="P33" s="46">
        <f t="shared" ca="1" si="1"/>
        <v>1.0555555555555556E-2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input_424100!A$2</f>
        <v>424100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IFERROR(VLOOKUP(B34,input_424100!L:R,7,FALSE),VLOOKUP(tables_424100!C34,input_424100!A:H,8,FALSE))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input_424100!A$2</f>
        <v>424100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IFERROR(VLOOKUP(B35,input_424100!L:R,7,FALSE),VLOOKUP(tables_424100!C35,input_424100!A:H,8,FALSE))</f>
        <v>57000</v>
      </c>
      <c r="P35" s="46">
        <f t="shared" ca="1" si="1"/>
        <v>1.0555555555555556E-2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input_424100!A$2</f>
        <v>424100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IFERROR(VLOOKUP(B36,input_424100!L:R,7,FALSE),VLOOKUP(tables_424100!C36,input_424100!A:H,8,FALSE))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input_424100!A$2</f>
        <v>424100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IFERROR(VLOOKUP(B37,input_424100!L:R,7,FALSE),VLOOKUP(tables_424100!C37,input_424100!A:H,8,FALSE))</f>
        <v>57000</v>
      </c>
      <c r="P37" s="46">
        <f t="shared" ca="1" si="1"/>
        <v>1.0555555555555556E-2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input_424100!A$2</f>
        <v>424100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IFERROR(VLOOKUP(B38,input_424100!L:R,7,FALSE),VLOOKUP(tables_424100!C38,input_424100!A:H,8,FALSE))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input_424100!A$2</f>
        <v>424100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IFERROR(VLOOKUP(B39,input_424100!L:R,7,FALSE),VLOOKUP(tables_424100!C39,input_424100!A:H,8,FALSE))</f>
        <v>57000</v>
      </c>
      <c r="P39" s="46">
        <f t="shared" ca="1" si="1"/>
        <v>1.0555555555555556E-2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input_424100!A$2</f>
        <v>424100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IFERROR(VLOOKUP(B40,input_424100!L:R,7,FALSE),VLOOKUP(tables_424100!C40,input_424100!A:H,8,FALSE))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input_424100!A$2</f>
        <v>424100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IFERROR(VLOOKUP(B41,input_424100!L:R,7,FALSE),VLOOKUP(tables_424100!C41,input_424100!A:H,8,FALSE))</f>
        <v>57000</v>
      </c>
      <c r="P41" s="46">
        <f t="shared" ca="1" si="1"/>
        <v>1.0555555555555556E-2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input_424100!A$2</f>
        <v>424100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IFERROR(VLOOKUP(B42,input_424100!L:R,7,FALSE),VLOOKUP(tables_424100!C42,input_424100!A:H,8,FALSE))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input_424100!A$2</f>
        <v>424100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IFERROR(VLOOKUP(B43,input_424100!L:R,7,FALSE),VLOOKUP(tables_424100!C43,input_424100!A:H,8,FALSE))</f>
        <v>54150</v>
      </c>
      <c r="P43" s="46">
        <f t="shared" ca="1" si="1"/>
        <v>1.0027777777777778E-2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input_424100!A$2</f>
        <v>424100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IFERROR(VLOOKUP(B44,input_424100!L:R,7,FALSE),VLOOKUP(tables_424100!C44,input_424100!A:H,8,FALSE))</f>
        <v>2850</v>
      </c>
      <c r="P44" s="46">
        <f t="shared" ca="1" si="1"/>
        <v>5.2777777777777773E-4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input_424100!A$2</f>
        <v>424100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IFERROR(VLOOKUP(B45,input_424100!L:R,7,FALSE),VLOOKUP(tables_424100!C45,input_424100!A:H,8,FALSE))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input_424100!A$2</f>
        <v>424100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IFERROR(VLOOKUP(B46,input_424100!L:R,7,FALSE),VLOOKUP(tables_424100!C46,input_424100!A:H,8,FALSE))</f>
        <v>54150</v>
      </c>
      <c r="P46" s="46">
        <f t="shared" ca="1" si="1"/>
        <v>1.0027777777777778E-2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input_424100!A$2</f>
        <v>424100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IFERROR(VLOOKUP(B47,input_424100!L:R,7,FALSE),VLOOKUP(tables_424100!C47,input_424100!A:H,8,FALSE))</f>
        <v>2850</v>
      </c>
      <c r="P47" s="46">
        <f t="shared" ca="1" si="1"/>
        <v>5.2777777777777773E-4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input_424100!A$2</f>
        <v>424100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IFERROR(VLOOKUP(B48,input_424100!L:R,7,FALSE),VLOOKUP(tables_424100!C48,input_424100!A:H,8,FALSE))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input_424100!A$2</f>
        <v>424100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IFERROR(VLOOKUP(B49,input_424100!L:R,7,FALSE),VLOOKUP(tables_424100!C49,input_424100!A:H,8,FALSE))</f>
        <v>54150</v>
      </c>
      <c r="P49" s="46">
        <f t="shared" ca="1" si="1"/>
        <v>1.0027777777777778E-2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input_424100!A$2</f>
        <v>424100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IFERROR(VLOOKUP(B50,input_424100!L:R,7,FALSE),VLOOKUP(tables_424100!C50,input_424100!A:H,8,FALSE))</f>
        <v>2850</v>
      </c>
      <c r="P50" s="46">
        <f t="shared" ca="1" si="1"/>
        <v>5.2777777777777773E-4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input_424100!A$2</f>
        <v>424100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IFERROR(VLOOKUP(B51,input_424100!L:R,7,FALSE),VLOOKUP(tables_424100!C51,input_424100!A:H,8,FALSE))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input_424100!A$2</f>
        <v>424100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IFERROR(VLOOKUP(B52,input_424100!L:R,7,FALSE),VLOOKUP(tables_424100!C52,input_424100!A:H,8,FALSE))</f>
        <v>55428.846149999998</v>
      </c>
      <c r="P52" s="46">
        <f t="shared" ca="1" si="1"/>
        <v>1.0264601138888888E-2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input_424100!A$2</f>
        <v>424100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IFERROR(VLOOKUP(B53,input_424100!L:R,7,FALSE),VLOOKUP(tables_424100!C53,input_424100!A:H,8,FALSE))</f>
        <v>1571.1538499999999</v>
      </c>
      <c r="P53" s="46">
        <f t="shared" ca="1" si="1"/>
        <v>2.9095441666666667E-4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input_424100!A$2</f>
        <v>424100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IFERROR(VLOOKUP(B54,input_424100!L:R,7,FALSE),VLOOKUP(tables_424100!C54,input_424100!A:H,8,FALSE))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input_424100!A$2</f>
        <v>424100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IFERROR(VLOOKUP(B55,input_424100!L:R,7,FALSE),VLOOKUP(tables_424100!C55,input_424100!A:H,8,FALSE))</f>
        <v>55428.846149999998</v>
      </c>
      <c r="P55" s="46">
        <f t="shared" ca="1" si="1"/>
        <v>1.0264601138888888E-2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input_424100!A$2</f>
        <v>424100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IFERROR(VLOOKUP(B56,input_424100!L:R,7,FALSE),VLOOKUP(tables_424100!C56,input_424100!A:H,8,FALSE))</f>
        <v>1571.1538499999999</v>
      </c>
      <c r="P56" s="46">
        <f t="shared" ca="1" si="1"/>
        <v>2.9095441666666667E-4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input_424100!A$2</f>
        <v>424100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IFERROR(VLOOKUP(B57,input_424100!L:R,7,FALSE),VLOOKUP(tables_424100!C57,input_424100!A:H,8,FALSE))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input_424100!A$2</f>
        <v>424100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IFERROR(VLOOKUP(B58,input_424100!L:R,7,FALSE),VLOOKUP(tables_424100!C58,input_424100!A:H,8,FALSE))</f>
        <v>55428.846149999998</v>
      </c>
      <c r="P58" s="46">
        <f t="shared" ca="1" si="1"/>
        <v>1.0264601138888888E-2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input_424100!A$2</f>
        <v>424100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IFERROR(VLOOKUP(B59,input_424100!L:R,7,FALSE),VLOOKUP(tables_424100!C59,input_424100!A:H,8,FALSE))</f>
        <v>1571.1538499999999</v>
      </c>
      <c r="P59" s="46">
        <f t="shared" ca="1" si="1"/>
        <v>2.9095441666666667E-4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input_424100!A$2</f>
        <v>424100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IFERROR(VLOOKUP(B60,input_424100!L:R,7,FALSE),VLOOKUP(tables_424100!C60,input_424100!A:H,8,FALSE))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input_424100!A$2</f>
        <v>424100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IFERROR(VLOOKUP(B61,input_424100!L:R,7,FALSE),VLOOKUP(tables_424100!C61,input_424100!A:H,8,FALSE))</f>
        <v>55428.846149999998</v>
      </c>
      <c r="P61" s="46">
        <f t="shared" ca="1" si="1"/>
        <v>1.0264601138888888E-2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input_424100!A$2</f>
        <v>424100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IFERROR(VLOOKUP(B62,input_424100!L:R,7,FALSE),VLOOKUP(tables_424100!C62,input_424100!A:H,8,FALSE))</f>
        <v>1571.1538499999999</v>
      </c>
      <c r="P62" s="46">
        <f t="shared" ca="1" si="1"/>
        <v>2.9095441666666667E-4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input_424100!A$2</f>
        <v>424100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IFERROR(VLOOKUP(B63,input_424100!L:R,7,FALSE),VLOOKUP(tables_424100!C63,input_424100!A:H,8,FALSE))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input_424100!A$2</f>
        <v>424100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IFERROR(VLOOKUP(B64,input_424100!L:R,7,FALSE),VLOOKUP(tables_424100!C64,input_424100!A:H,8,FALSE))</f>
        <v>55428.846149999998</v>
      </c>
      <c r="P64" s="46">
        <f t="shared" ca="1" si="1"/>
        <v>1.0264601138888888E-2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input_424100!A$2</f>
        <v>424100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IFERROR(VLOOKUP(B65,input_424100!L:R,7,FALSE),VLOOKUP(tables_424100!C65,input_424100!A:H,8,FALSE))</f>
        <v>1571.1538499999999</v>
      </c>
      <c r="P65" s="46">
        <f t="shared" ca="1" si="1"/>
        <v>2.9095441666666667E-4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input_424100!A$2</f>
        <v>424100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IFERROR(VLOOKUP(B66,input_424100!L:R,7,FALSE),VLOOKUP(tables_424100!C66,input_424100!A:H,8,FALSE))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input_424100!A$2</f>
        <v>424100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IFERROR(VLOOKUP(B67,input_424100!L:R,7,FALSE),VLOOKUP(tables_424100!C67,input_424100!A:H,8,FALSE))</f>
        <v>55428.846149999998</v>
      </c>
      <c r="P67" s="46">
        <f t="shared" ca="1" si="4"/>
        <v>1.0264601138888888E-2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input_424100!A$2</f>
        <v>424100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IFERROR(VLOOKUP(B68,input_424100!L:R,7,FALSE),VLOOKUP(tables_424100!C68,input_424100!A:H,8,FALSE))</f>
        <v>1571.1538499999999</v>
      </c>
      <c r="P68" s="46">
        <f t="shared" ca="1" si="4"/>
        <v>2.9095441666666667E-4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input_424100!A$2</f>
        <v>424100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IFERROR(VLOOKUP(B69,input_424100!L:R,7,FALSE),VLOOKUP(tables_424100!C69,input_424100!A:H,8,FALSE))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input_424100!A$2</f>
        <v>424100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IFERROR(VLOOKUP(B70,input_424100!L:R,7,FALSE),VLOOKUP(tables_424100!C70,input_424100!A:H,8,FALSE))</f>
        <v>55428.846149999998</v>
      </c>
      <c r="P70" s="46">
        <f t="shared" ca="1" si="4"/>
        <v>1.0264601138888888E-2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input_424100!A$2</f>
        <v>424100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IFERROR(VLOOKUP(B71,input_424100!L:R,7,FALSE),VLOOKUP(tables_424100!C71,input_424100!A:H,8,FALSE))</f>
        <v>1571.1538499999999</v>
      </c>
      <c r="P71" s="46">
        <f t="shared" ca="1" si="4"/>
        <v>2.9095441666666667E-4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input_424100!A$2</f>
        <v>424100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IFERROR(VLOOKUP(B72,input_424100!L:R,7,FALSE),VLOOKUP(tables_424100!C72,input_424100!A:H,8,FALSE))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input_424100!A$2</f>
        <v>424100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IFERROR(VLOOKUP(B73,input_424100!L:R,7,FALSE),VLOOKUP(tables_424100!C73,input_424100!A:H,8,FALSE))</f>
        <v>55428.846149999998</v>
      </c>
      <c r="P73" s="46">
        <f t="shared" ca="1" si="4"/>
        <v>1.0264601138888888E-2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input_424100!A$2</f>
        <v>424100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IFERROR(VLOOKUP(B74,input_424100!L:R,7,FALSE),VLOOKUP(tables_424100!C74,input_424100!A:H,8,FALSE))</f>
        <v>1571.1538499999999</v>
      </c>
      <c r="P74" s="46">
        <f t="shared" ca="1" si="4"/>
        <v>2.9095441666666667E-4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input_424100!A$2</f>
        <v>424100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IFERROR(VLOOKUP(B75,input_424100!L:R,7,FALSE),VLOOKUP(tables_424100!C75,input_424100!A:H,8,FALSE))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input_424100!A$2</f>
        <v>424100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IFERROR(VLOOKUP(B76,input_424100!L:R,7,FALSE),VLOOKUP(tables_424100!C76,input_424100!A:H,8,FALSE))</f>
        <v>55428.846149999998</v>
      </c>
      <c r="P76" s="46">
        <f t="shared" ca="1" si="4"/>
        <v>1.0264601138888888E-2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input_424100!A$2</f>
        <v>424100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IFERROR(VLOOKUP(B77,input_424100!L:R,7,FALSE),VLOOKUP(tables_424100!C77,input_424100!A:H,8,FALSE))</f>
        <v>1571.1538499999999</v>
      </c>
      <c r="P77" s="46">
        <f t="shared" ca="1" si="4"/>
        <v>2.9095441666666667E-4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input_424100!A$2</f>
        <v>424100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IFERROR(VLOOKUP(B78,input_424100!L:R,7,FALSE),VLOOKUP(tables_424100!C78,input_424100!A:H,8,FALSE))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input_424100!A$2</f>
        <v>424100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IFERROR(VLOOKUP(B79,input_424100!L:R,7,FALSE),VLOOKUP(tables_424100!C79,input_424100!A:H,8,FALSE))</f>
        <v>55428.846149999998</v>
      </c>
      <c r="P79" s="46">
        <f t="shared" ca="1" si="4"/>
        <v>1.0264601138888888E-2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input_424100!A$2</f>
        <v>424100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IFERROR(VLOOKUP(B80,input_424100!L:R,7,FALSE),VLOOKUP(tables_424100!C80,input_424100!A:H,8,FALSE))</f>
        <v>1571.1538499999999</v>
      </c>
      <c r="P80" s="46">
        <f t="shared" ca="1" si="4"/>
        <v>2.9095441666666667E-4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input_424100!A$2</f>
        <v>424100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IFERROR(VLOOKUP(B81,input_424100!L:R,7,FALSE),VLOOKUP(tables_424100!C81,input_424100!A:H,8,FALSE))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input_424100!A$2</f>
        <v>424100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IFERROR(VLOOKUP(B82,input_424100!L:R,7,FALSE),VLOOKUP(tables_424100!C82,input_424100!A:H,8,FALSE))</f>
        <v>55428.846149999998</v>
      </c>
      <c r="P82" s="46">
        <f t="shared" ca="1" si="4"/>
        <v>1.0264601138888888E-2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input_424100!A$2</f>
        <v>424100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IFERROR(VLOOKUP(B83,input_424100!L:R,7,FALSE),VLOOKUP(tables_424100!C83,input_424100!A:H,8,FALSE))</f>
        <v>1571.1538499999999</v>
      </c>
      <c r="P83" s="46">
        <f t="shared" ca="1" si="4"/>
        <v>2.9095441666666667E-4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input_424100!A$2</f>
        <v>424100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IFERROR(VLOOKUP(B84,input_424100!L:R,7,FALSE),VLOOKUP(tables_424100!C84,input_424100!A:H,8,FALSE))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input_424100!A$2</f>
        <v>424100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IFERROR(VLOOKUP(B85,input_424100!L:R,7,FALSE),VLOOKUP(tables_424100!C85,input_424100!A:H,8,FALSE))</f>
        <v>55428.846149999998</v>
      </c>
      <c r="P85" s="46">
        <f t="shared" ca="1" si="4"/>
        <v>1.0264601138888888E-2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input_424100!A$2</f>
        <v>424100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IFERROR(VLOOKUP(B86,input_424100!L:R,7,FALSE),VLOOKUP(tables_424100!C86,input_424100!A:H,8,FALSE))</f>
        <v>1571.1538499999999</v>
      </c>
      <c r="P86" s="46">
        <f t="shared" ca="1" si="4"/>
        <v>2.9095441666666667E-4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input_424100!A$2</f>
        <v>424100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IFERROR(VLOOKUP(B87,input_424100!L:R,7,FALSE),VLOOKUP(tables_424100!C87,input_424100!A:H,8,FALSE))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input_424100!A$2</f>
        <v>424100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IFERROR(VLOOKUP(B88,input_424100!L:R,7,FALSE),VLOOKUP(tables_424100!C88,input_424100!A:H,8,FALSE))</f>
        <v>55428.846149999998</v>
      </c>
      <c r="P88" s="46">
        <f t="shared" ca="1" si="4"/>
        <v>1.0264601138888888E-2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input_424100!A$2</f>
        <v>424100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IFERROR(VLOOKUP(B89,input_424100!L:R,7,FALSE),VLOOKUP(tables_424100!C89,input_424100!A:H,8,FALSE))</f>
        <v>1571.1538499999999</v>
      </c>
      <c r="P89" s="46">
        <f t="shared" ca="1" si="4"/>
        <v>2.9095441666666667E-4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input_424100!A$2</f>
        <v>424100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IFERROR(VLOOKUP(B90,input_424100!L:R,7,FALSE),VLOOKUP(tables_424100!C90,input_424100!A:H,8,FALSE))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input_424100!A$2</f>
        <v>424100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IFERROR(VLOOKUP(B91,input_424100!L:R,7,FALSE),VLOOKUP(tables_424100!C91,input_424100!A:H,8,FALSE))</f>
        <v>55428.846149999998</v>
      </c>
      <c r="P91" s="46">
        <f t="shared" ca="1" si="4"/>
        <v>1.0264601138888888E-2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input_424100!A$2</f>
        <v>424100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IFERROR(VLOOKUP(B92,input_424100!L:R,7,FALSE),VLOOKUP(tables_424100!C92,input_424100!A:H,8,FALSE))</f>
        <v>1571.1538499999999</v>
      </c>
      <c r="P92" s="46">
        <f t="shared" ca="1" si="4"/>
        <v>2.9095441666666667E-4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input_424100!A$2</f>
        <v>424100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IFERROR(VLOOKUP(B93,input_424100!L:R,7,FALSE),VLOOKUP(tables_424100!C93,input_424100!A:H,8,FALSE))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input_424100!A$2</f>
        <v>424100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IFERROR(VLOOKUP(B94,input_424100!L:R,7,FALSE),VLOOKUP(tables_424100!C94,input_424100!A:H,8,FALSE))</f>
        <v>55428.846149999998</v>
      </c>
      <c r="P94" s="46">
        <f t="shared" ca="1" si="4"/>
        <v>1.0264601138888888E-2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input_424100!A$2</f>
        <v>424100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IFERROR(VLOOKUP(B95,input_424100!L:R,7,FALSE),VLOOKUP(tables_424100!C95,input_424100!A:H,8,FALSE))</f>
        <v>1571.1538499999999</v>
      </c>
      <c r="P95" s="46">
        <f t="shared" ca="1" si="4"/>
        <v>2.9095441666666667E-4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input_424100!A$2</f>
        <v>424100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IFERROR(VLOOKUP(B96,input_424100!L:R,7,FALSE),VLOOKUP(tables_424100!C96,input_424100!A:H,8,FALSE))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input_424100!A$2</f>
        <v>424100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IFERROR(VLOOKUP(B97,input_424100!L:R,7,FALSE),VLOOKUP(tables_424100!C97,input_424100!A:H,8,FALSE))</f>
        <v>55428.846149999998</v>
      </c>
      <c r="P97" s="46">
        <f t="shared" ca="1" si="4"/>
        <v>1.0264601138888888E-2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input_424100!A$2</f>
        <v>424100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IFERROR(VLOOKUP(B98,input_424100!L:R,7,FALSE),VLOOKUP(tables_424100!C98,input_424100!A:H,8,FALSE))</f>
        <v>1571.1538499999999</v>
      </c>
      <c r="P98" s="46">
        <f t="shared" ca="1" si="4"/>
        <v>2.9095441666666667E-4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input_424100!A$2</f>
        <v>424100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IFERROR(VLOOKUP(B99,input_424100!L:R,7,FALSE),VLOOKUP(tables_424100!C99,input_424100!A:H,8,FALSE))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input_424100!A$2</f>
        <v>424100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IFERROR(VLOOKUP(B100,input_424100!L:R,7,FALSE),VLOOKUP(tables_424100!C100,input_424100!A:H,8,FALSE))</f>
        <v>55428.846149999998</v>
      </c>
      <c r="P100" s="46">
        <f t="shared" ca="1" si="4"/>
        <v>1.0264601138888888E-2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input_424100!A$2</f>
        <v>424100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IFERROR(VLOOKUP(B101,input_424100!L:R,7,FALSE),VLOOKUP(tables_424100!C101,input_424100!A:H,8,FALSE))</f>
        <v>1571.1538499999999</v>
      </c>
      <c r="P101" s="46">
        <f t="shared" ca="1" si="4"/>
        <v>2.9095441666666667E-4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input_424100!A$2</f>
        <v>424100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IFERROR(VLOOKUP(B102,input_424100!L:R,7,FALSE),VLOOKUP(tables_424100!C102,input_424100!A:H,8,FALSE))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input_424100!A$2</f>
        <v>424100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IFERROR(VLOOKUP(B103,input_424100!L:R,7,FALSE),VLOOKUP(tables_424100!C103,input_424100!A:H,8,FALSE))</f>
        <v>55428.846149999998</v>
      </c>
      <c r="P103" s="46">
        <f t="shared" ca="1" si="4"/>
        <v>1.0264601138888888E-2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input_424100!A$2</f>
        <v>424100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IFERROR(VLOOKUP(B104,input_424100!L:R,7,FALSE),VLOOKUP(tables_424100!C104,input_424100!A:H,8,FALSE))</f>
        <v>1571.1538499999999</v>
      </c>
      <c r="P104" s="46">
        <f t="shared" ca="1" si="4"/>
        <v>2.9095441666666667E-4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input_424100!A$2</f>
        <v>424100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IFERROR(VLOOKUP(B105,input_424100!L:R,7,FALSE),VLOOKUP(tables_424100!C105,input_424100!A:H,8,FALSE))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input_424100!A$2</f>
        <v>424100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IFERROR(VLOOKUP(B106,input_424100!L:R,7,FALSE),VLOOKUP(tables_424100!C106,input_424100!A:H,8,FALSE))</f>
        <v>55428.846149999998</v>
      </c>
      <c r="P106" s="46">
        <f t="shared" ca="1" si="4"/>
        <v>1.0264601138888888E-2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input_424100!A$2</f>
        <v>424100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IFERROR(VLOOKUP(B107,input_424100!L:R,7,FALSE),VLOOKUP(tables_424100!C107,input_424100!A:H,8,FALSE))</f>
        <v>1571.1538499999999</v>
      </c>
      <c r="P107" s="46">
        <f t="shared" ca="1" si="4"/>
        <v>2.9095441666666667E-4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input_424100!A$2</f>
        <v>424100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IFERROR(VLOOKUP(B108,input_424100!L:R,7,FALSE),VLOOKUP(tables_424100!C108,input_424100!A:H,8,FALSE))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input_424100!A$2</f>
        <v>424100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IFERROR(VLOOKUP(B109,input_424100!L:R,7,FALSE),VLOOKUP(tables_424100!C109,input_424100!A:H,8,FALSE))</f>
        <v>55428.846149999998</v>
      </c>
      <c r="P109" s="46">
        <f t="shared" ca="1" si="4"/>
        <v>1.0264601138888888E-2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input_424100!A$2</f>
        <v>424100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IFERROR(VLOOKUP(B110,input_424100!L:R,7,FALSE),VLOOKUP(tables_424100!C110,input_424100!A:H,8,FALSE))</f>
        <v>1571.1538499999999</v>
      </c>
      <c r="P110" s="46">
        <f t="shared" ca="1" si="4"/>
        <v>2.9095441666666667E-4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input_424100!A$2</f>
        <v>424100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IFERROR(VLOOKUP(B111,input_424100!L:R,7,FALSE),VLOOKUP(tables_424100!C111,input_424100!A:H,8,FALSE))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input_424100!A$2</f>
        <v>424100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IFERROR(VLOOKUP(B112,input_424100!L:R,7,FALSE),VLOOKUP(tables_424100!C112,input_424100!A:H,8,FALSE))</f>
        <v>54150</v>
      </c>
      <c r="P112" s="46">
        <f t="shared" ca="1" si="4"/>
        <v>1.0027777777777778E-2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input_424100!A$2</f>
        <v>424100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IFERROR(VLOOKUP(B113,input_424100!L:R,7,FALSE),VLOOKUP(tables_424100!C113,input_424100!A:H,8,FALSE))</f>
        <v>2850</v>
      </c>
      <c r="P113" s="46">
        <f t="shared" ca="1" si="4"/>
        <v>5.2777777777777773E-4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input_424100!A$2</f>
        <v>424100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IFERROR(VLOOKUP(B114,input_424100!L:R,7,FALSE),VLOOKUP(tables_424100!C114,input_424100!A:H,8,FALSE))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input_424100!A$2</f>
        <v>424100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IFERROR(VLOOKUP(B115,input_424100!L:R,7,FALSE),VLOOKUP(tables_424100!C115,input_424100!A:H,8,FALSE))</f>
        <v>55428.846149999998</v>
      </c>
      <c r="P115" s="46">
        <f t="shared" ca="1" si="4"/>
        <v>1.0264601138888888E-2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input_424100!A$2</f>
        <v>424100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IFERROR(VLOOKUP(B116,input_424100!L:R,7,FALSE),VLOOKUP(tables_424100!C116,input_424100!A:H,8,FALSE))</f>
        <v>1571.1538499999999</v>
      </c>
      <c r="P116" s="46">
        <f t="shared" ca="1" si="4"/>
        <v>2.9095441666666667E-4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input_424100!A$2</f>
        <v>424100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IFERROR(VLOOKUP(B117,input_424100!L:R,7,FALSE),VLOOKUP(tables_424100!C117,input_424100!A:H,8,FALSE))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input_424100!A$2</f>
        <v>424100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IFERROR(VLOOKUP(B118,input_424100!L:R,7,FALSE),VLOOKUP(tables_424100!C118,input_424100!A:H,8,FALSE))</f>
        <v>55428.846149999998</v>
      </c>
      <c r="P118" s="46">
        <f t="shared" ca="1" si="4"/>
        <v>1.0264601138888888E-2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input_424100!A$2</f>
        <v>424100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IFERROR(VLOOKUP(B119,input_424100!L:R,7,FALSE),VLOOKUP(tables_424100!C119,input_424100!A:H,8,FALSE))</f>
        <v>1571.1538499999999</v>
      </c>
      <c r="P119" s="46">
        <f t="shared" ca="1" si="4"/>
        <v>2.9095441666666667E-4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input_424100!A$2</f>
        <v>424100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IFERROR(VLOOKUP(B120,input_424100!L:R,7,FALSE),VLOOKUP(tables_424100!C120,input_424100!A:H,8,FALSE))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input_424100!A$2</f>
        <v>424100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IFERROR(VLOOKUP(B121,input_424100!L:R,7,FALSE),VLOOKUP(tables_424100!C121,input_424100!A:H,8,FALSE))</f>
        <v>55428.846149999998</v>
      </c>
      <c r="P121" s="46">
        <f t="shared" ca="1" si="4"/>
        <v>1.0264601138888888E-2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input_424100!A$2</f>
        <v>424100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IFERROR(VLOOKUP(B122,input_424100!L:R,7,FALSE),VLOOKUP(tables_424100!C122,input_424100!A:H,8,FALSE))</f>
        <v>1571.1538499999999</v>
      </c>
      <c r="P122" s="46">
        <f t="shared" ca="1" si="4"/>
        <v>2.9095441666666667E-4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input_424100!A$2</f>
        <v>424100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IFERROR(VLOOKUP(B123,input_424100!L:R,7,FALSE),VLOOKUP(tables_424100!C123,input_424100!A:H,8,FALSE))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input_424100!A$2</f>
        <v>424100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IFERROR(VLOOKUP(B124,input_424100!L:R,7,FALSE),VLOOKUP(tables_424100!C124,input_424100!A:H,8,FALSE))</f>
        <v>55428.846149999998</v>
      </c>
      <c r="P124" s="46">
        <f t="shared" ca="1" si="4"/>
        <v>1.0264601138888888E-2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input_424100!A$2</f>
        <v>424100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IFERROR(VLOOKUP(B125,input_424100!L:R,7,FALSE),VLOOKUP(tables_424100!C125,input_424100!A:H,8,FALSE))</f>
        <v>1571.1538499999999</v>
      </c>
      <c r="P125" s="46">
        <f t="shared" ca="1" si="4"/>
        <v>2.9095441666666667E-4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input_424100!A$2</f>
        <v>424100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IFERROR(VLOOKUP(B126,input_424100!L:R,7,FALSE),VLOOKUP(tables_424100!C126,input_424100!A:H,8,FALSE))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input_424100!A$2</f>
        <v>424100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IFERROR(VLOOKUP(B127,input_424100!L:R,7,FALSE),VLOOKUP(tables_424100!C127,input_424100!A:H,8,FALSE))</f>
        <v>55428.846149999998</v>
      </c>
      <c r="P127" s="46">
        <f t="shared" ca="1" si="4"/>
        <v>1.0264601138888888E-2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input_424100!A$2</f>
        <v>424100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IFERROR(VLOOKUP(B128,input_424100!L:R,7,FALSE),VLOOKUP(tables_424100!C128,input_424100!A:H,8,FALSE))</f>
        <v>1571.1538499999999</v>
      </c>
      <c r="P128" s="46">
        <f t="shared" ca="1" si="4"/>
        <v>2.9095441666666667E-4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input_424100!A$2</f>
        <v>424100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IFERROR(VLOOKUP(B129,input_424100!L:R,7,FALSE),VLOOKUP(tables_424100!C129,input_424100!A:H,8,FALSE))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input_424100!A$2</f>
        <v>424100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IFERROR(VLOOKUP(B130,input_424100!L:R,7,FALSE),VLOOKUP(tables_424100!C130,input_424100!A:H,8,FALSE))</f>
        <v>55428.846149999998</v>
      </c>
      <c r="P130" s="46">
        <f t="shared" ref="P130:P193" ca="1" si="7">O130/SUM(O:O)</f>
        <v>1.0264601138888888E-2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input_424100!A$2</f>
        <v>424100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IFERROR(VLOOKUP(B131,input_424100!L:R,7,FALSE),VLOOKUP(tables_424100!C131,input_424100!A:H,8,FALSE))</f>
        <v>1571.1538499999999</v>
      </c>
      <c r="P131" s="46">
        <f t="shared" ca="1" si="7"/>
        <v>2.9095441666666667E-4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input_424100!A$2</f>
        <v>424100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IFERROR(VLOOKUP(B132,input_424100!L:R,7,FALSE),VLOOKUP(tables_424100!C132,input_424100!A:H,8,FALSE))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input_424100!A$2</f>
        <v>424100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IFERROR(VLOOKUP(B133,input_424100!L:R,7,FALSE),VLOOKUP(tables_424100!C133,input_424100!A:H,8,FALSE))</f>
        <v>55428.846149999998</v>
      </c>
      <c r="P133" s="46">
        <f t="shared" ca="1" si="7"/>
        <v>1.0264601138888888E-2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input_424100!A$2</f>
        <v>424100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IFERROR(VLOOKUP(B134,input_424100!L:R,7,FALSE),VLOOKUP(tables_424100!C134,input_424100!A:H,8,FALSE))</f>
        <v>1571.1538499999999</v>
      </c>
      <c r="P134" s="46">
        <f t="shared" ca="1" si="7"/>
        <v>2.9095441666666667E-4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input_424100!A$2</f>
        <v>424100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IFERROR(VLOOKUP(B135,input_424100!L:R,7,FALSE),VLOOKUP(tables_424100!C135,input_424100!A:H,8,FALSE))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input_424100!A$2</f>
        <v>424100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IFERROR(VLOOKUP(B136,input_424100!L:R,7,FALSE),VLOOKUP(tables_424100!C136,input_424100!A:H,8,FALSE))</f>
        <v>55428.846149999998</v>
      </c>
      <c r="P136" s="46">
        <f t="shared" ca="1" si="7"/>
        <v>1.0264601138888888E-2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input_424100!A$2</f>
        <v>424100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IFERROR(VLOOKUP(B137,input_424100!L:R,7,FALSE),VLOOKUP(tables_424100!C137,input_424100!A:H,8,FALSE))</f>
        <v>1571.1538499999999</v>
      </c>
      <c r="P137" s="46">
        <f t="shared" ca="1" si="7"/>
        <v>2.9095441666666667E-4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input_424100!A$2</f>
        <v>424100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IFERROR(VLOOKUP(B138,input_424100!L:R,7,FALSE),VLOOKUP(tables_424100!C138,input_424100!A:H,8,FALSE))</f>
        <v>4750</v>
      </c>
      <c r="P138" s="46">
        <f t="shared" ca="1" si="7"/>
        <v>8.7962962962962962E-4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input_424100!A$2</f>
        <v>424100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IFERROR(VLOOKUP(B139,input_424100!L:R,7,FALSE),VLOOKUP(tables_424100!C139,input_424100!A:H,8,FALSE))</f>
        <v>250</v>
      </c>
      <c r="P139" s="46">
        <f t="shared" ca="1" si="7"/>
        <v>4.6296296296296294E-5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input_424100!A$2</f>
        <v>424100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IFERROR(VLOOKUP(B140,input_424100!L:R,7,FALSE),VLOOKUP(tables_424100!C140,input_424100!A:H,8,FALSE))</f>
        <v>4750</v>
      </c>
      <c r="P140" s="46">
        <f t="shared" ca="1" si="7"/>
        <v>8.7962962962962962E-4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input_424100!A$2</f>
        <v>424100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IFERROR(VLOOKUP(B141,input_424100!L:R,7,FALSE),VLOOKUP(tables_424100!C141,input_424100!A:H,8,FALSE))</f>
        <v>250</v>
      </c>
      <c r="P141" s="46">
        <f t="shared" ca="1" si="7"/>
        <v>4.6296296296296294E-5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input_424100!A$2</f>
        <v>424100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IFERROR(VLOOKUP(B142,input_424100!L:R,7,FALSE),VLOOKUP(tables_424100!C142,input_424100!A:H,8,FALSE))</f>
        <v>4750</v>
      </c>
      <c r="P142" s="46">
        <f t="shared" ca="1" si="7"/>
        <v>8.7962962962962962E-4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input_424100!A$2</f>
        <v>424100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IFERROR(VLOOKUP(B143,input_424100!L:R,7,FALSE),VLOOKUP(tables_424100!C143,input_424100!A:H,8,FALSE))</f>
        <v>250</v>
      </c>
      <c r="P143" s="46">
        <f t="shared" ca="1" si="7"/>
        <v>4.6296296296296294E-5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input_424100!A$2</f>
        <v>424100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IFERROR(VLOOKUP(B144,input_424100!L:R,7,FALSE),VLOOKUP(tables_424100!C144,input_424100!A:H,8,FALSE))</f>
        <v>4750</v>
      </c>
      <c r="P144" s="46">
        <f t="shared" ca="1" si="7"/>
        <v>8.7962962962962962E-4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input_424100!A$2</f>
        <v>424100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IFERROR(VLOOKUP(B145,input_424100!L:R,7,FALSE),VLOOKUP(tables_424100!C145,input_424100!A:H,8,FALSE))</f>
        <v>250</v>
      </c>
      <c r="P145" s="46">
        <f t="shared" ca="1" si="7"/>
        <v>4.6296296296296294E-5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input_424100!A$2</f>
        <v>424100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IFERROR(VLOOKUP(B146,input_424100!L:R,7,FALSE),VLOOKUP(tables_424100!C146,input_424100!A:H,8,FALSE))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input_424100!A$2</f>
        <v>424100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IFERROR(VLOOKUP(B147,input_424100!L:R,7,FALSE),VLOOKUP(tables_424100!C147,input_424100!A:H,8,FALSE))</f>
        <v>55428.846149999998</v>
      </c>
      <c r="P147" s="46">
        <f t="shared" ca="1" si="7"/>
        <v>1.0264601138888888E-2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input_424100!A$2</f>
        <v>424100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IFERROR(VLOOKUP(B148,input_424100!L:R,7,FALSE),VLOOKUP(tables_424100!C148,input_424100!A:H,8,FALSE))</f>
        <v>1571.1538499999999</v>
      </c>
      <c r="P148" s="46">
        <f t="shared" ca="1" si="7"/>
        <v>2.9095441666666667E-4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input_424100!A$2</f>
        <v>424100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IFERROR(VLOOKUP(B149,input_424100!L:R,7,FALSE),VLOOKUP(tables_424100!C149,input_424100!A:H,8,FALSE))</f>
        <v>4750</v>
      </c>
      <c r="P149" s="46">
        <f t="shared" ca="1" si="7"/>
        <v>8.7962962962962962E-4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input_424100!A$2</f>
        <v>424100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IFERROR(VLOOKUP(B150,input_424100!L:R,7,FALSE),VLOOKUP(tables_424100!C150,input_424100!A:H,8,FALSE))</f>
        <v>250</v>
      </c>
      <c r="P150" s="46">
        <f t="shared" ca="1" si="7"/>
        <v>4.6296296296296294E-5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input_424100!A$2</f>
        <v>424100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IFERROR(VLOOKUP(B151,input_424100!L:R,7,FALSE),VLOOKUP(tables_424100!C151,input_424100!A:H,8,FALSE))</f>
        <v>4750</v>
      </c>
      <c r="P151" s="46">
        <f t="shared" ca="1" si="7"/>
        <v>8.7962962962962962E-4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input_424100!A$2</f>
        <v>424100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IFERROR(VLOOKUP(B152,input_424100!L:R,7,FALSE),VLOOKUP(tables_424100!C152,input_424100!A:H,8,FALSE))</f>
        <v>250</v>
      </c>
      <c r="P152" s="46">
        <f t="shared" ca="1" si="7"/>
        <v>4.6296296296296294E-5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input_424100!A$2</f>
        <v>424100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IFERROR(VLOOKUP(B153,input_424100!L:R,7,FALSE),VLOOKUP(tables_424100!C153,input_424100!A:H,8,FALSE))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input_424100!A$2</f>
        <v>424100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IFERROR(VLOOKUP(B154,input_424100!L:R,7,FALSE),VLOOKUP(tables_424100!C154,input_424100!A:H,8,FALSE))</f>
        <v>55428.846149999998</v>
      </c>
      <c r="P154" s="46">
        <f t="shared" ca="1" si="7"/>
        <v>1.0264601138888888E-2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input_424100!A$2</f>
        <v>424100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IFERROR(VLOOKUP(B155,input_424100!L:R,7,FALSE),VLOOKUP(tables_424100!C155,input_424100!A:H,8,FALSE))</f>
        <v>1571.1538499999999</v>
      </c>
      <c r="P155" s="46">
        <f t="shared" ca="1" si="7"/>
        <v>2.9095441666666667E-4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input_424100!A$2</f>
        <v>424100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IFERROR(VLOOKUP(B156,input_424100!L:R,7,FALSE),VLOOKUP(tables_424100!C156,input_424100!A:H,8,FALSE))</f>
        <v>4750</v>
      </c>
      <c r="P156" s="46">
        <f t="shared" ca="1" si="7"/>
        <v>8.7962962962962962E-4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input_424100!A$2</f>
        <v>424100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IFERROR(VLOOKUP(B157,input_424100!L:R,7,FALSE),VLOOKUP(tables_424100!C157,input_424100!A:H,8,FALSE))</f>
        <v>250</v>
      </c>
      <c r="P157" s="46">
        <f t="shared" ca="1" si="7"/>
        <v>4.6296296296296294E-5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input_424100!A$2</f>
        <v>424100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IFERROR(VLOOKUP(B158,input_424100!L:R,7,FALSE),VLOOKUP(tables_424100!C158,input_424100!A:H,8,FALSE))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input_424100!A$2</f>
        <v>424100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IFERROR(VLOOKUP(B159,input_424100!L:R,7,FALSE),VLOOKUP(tables_424100!C159,input_424100!A:H,8,FALSE))</f>
        <v>55428.846149999998</v>
      </c>
      <c r="P159" s="46">
        <f t="shared" ca="1" si="7"/>
        <v>1.0264601138888888E-2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input_424100!A$2</f>
        <v>424100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IFERROR(VLOOKUP(B160,input_424100!L:R,7,FALSE),VLOOKUP(tables_424100!C160,input_424100!A:H,8,FALSE))</f>
        <v>1571.1538499999999</v>
      </c>
      <c r="P160" s="46">
        <f t="shared" ca="1" si="7"/>
        <v>2.9095441666666667E-4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input_424100!A$2</f>
        <v>424100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IFERROR(VLOOKUP(B161,input_424100!L:R,7,FALSE),VLOOKUP(tables_424100!C161,input_424100!A:H,8,FALSE))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input_424100!A$2</f>
        <v>424100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IFERROR(VLOOKUP(B162,input_424100!L:R,7,FALSE),VLOOKUP(tables_424100!C162,input_424100!A:H,8,FALSE))</f>
        <v>55428.846149999998</v>
      </c>
      <c r="P162" s="46">
        <f t="shared" ca="1" si="7"/>
        <v>1.0264601138888888E-2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input_424100!A$2</f>
        <v>424100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IFERROR(VLOOKUP(B163,input_424100!L:R,7,FALSE),VLOOKUP(tables_424100!C163,input_424100!A:H,8,FALSE))</f>
        <v>1571.1538499999999</v>
      </c>
      <c r="P163" s="46">
        <f t="shared" ca="1" si="7"/>
        <v>2.9095441666666667E-4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input_424100!A$2</f>
        <v>424100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IFERROR(VLOOKUP(B164,input_424100!L:R,7,FALSE),VLOOKUP(tables_424100!C164,input_424100!A:H,8,FALSE))</f>
        <v>4750</v>
      </c>
      <c r="P164" s="46">
        <f t="shared" ca="1" si="7"/>
        <v>8.7962962962962962E-4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input_424100!A$2</f>
        <v>424100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IFERROR(VLOOKUP(B165,input_424100!L:R,7,FALSE),VLOOKUP(tables_424100!C165,input_424100!A:H,8,FALSE))</f>
        <v>250</v>
      </c>
      <c r="P165" s="46">
        <f t="shared" ca="1" si="7"/>
        <v>4.6296296296296294E-5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input_424100!A$2</f>
        <v>424100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IFERROR(VLOOKUP(B166,input_424100!L:R,7,FALSE),VLOOKUP(tables_424100!C166,input_424100!A:H,8,FALSE))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input_424100!A$2</f>
        <v>424100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IFERROR(VLOOKUP(B167,input_424100!L:R,7,FALSE),VLOOKUP(tables_424100!C167,input_424100!A:H,8,FALSE))</f>
        <v>55428.846149999998</v>
      </c>
      <c r="P167" s="46">
        <f t="shared" ca="1" si="7"/>
        <v>1.0264601138888888E-2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input_424100!A$2</f>
        <v>424100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IFERROR(VLOOKUP(B168,input_424100!L:R,7,FALSE),VLOOKUP(tables_424100!C168,input_424100!A:H,8,FALSE))</f>
        <v>1571.1538499999999</v>
      </c>
      <c r="P168" s="46">
        <f t="shared" ca="1" si="7"/>
        <v>2.9095441666666667E-4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input_424100!A$2</f>
        <v>424100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IFERROR(VLOOKUP(B169,input_424100!L:R,7,FALSE),VLOOKUP(tables_424100!C169,input_424100!A:H,8,FALSE))</f>
        <v>4750</v>
      </c>
      <c r="P169" s="46">
        <f t="shared" ca="1" si="7"/>
        <v>8.7962962962962962E-4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input_424100!A$2</f>
        <v>424100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IFERROR(VLOOKUP(B170,input_424100!L:R,7,FALSE),VLOOKUP(tables_424100!C170,input_424100!A:H,8,FALSE))</f>
        <v>250</v>
      </c>
      <c r="P170" s="46">
        <f t="shared" ca="1" si="7"/>
        <v>4.6296296296296294E-5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input_424100!A$2</f>
        <v>424100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IFERROR(VLOOKUP(B171,input_424100!L:R,7,FALSE),VLOOKUP(tables_424100!C171,input_424100!A:H,8,FALSE))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input_424100!A$2</f>
        <v>424100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IFERROR(VLOOKUP(B172,input_424100!L:R,7,FALSE),VLOOKUP(tables_424100!C172,input_424100!A:H,8,FALSE))</f>
        <v>55428.846149999998</v>
      </c>
      <c r="P172" s="46">
        <f t="shared" ca="1" si="7"/>
        <v>1.0264601138888888E-2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input_424100!A$2</f>
        <v>424100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IFERROR(VLOOKUP(B173,input_424100!L:R,7,FALSE),VLOOKUP(tables_424100!C173,input_424100!A:H,8,FALSE))</f>
        <v>1571.1538499999999</v>
      </c>
      <c r="P173" s="46">
        <f t="shared" ca="1" si="7"/>
        <v>2.9095441666666667E-4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input_424100!A$2</f>
        <v>424100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IFERROR(VLOOKUP(B174,input_424100!L:R,7,FALSE),VLOOKUP(tables_424100!C174,input_424100!A:H,8,FALSE))</f>
        <v>4750</v>
      </c>
      <c r="P174" s="46">
        <f t="shared" ca="1" si="7"/>
        <v>8.7962962962962962E-4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input_424100!A$2</f>
        <v>424100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IFERROR(VLOOKUP(B175,input_424100!L:R,7,FALSE),VLOOKUP(tables_424100!C175,input_424100!A:H,8,FALSE))</f>
        <v>250</v>
      </c>
      <c r="P175" s="46">
        <f t="shared" ca="1" si="7"/>
        <v>4.6296296296296294E-5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input_424100!A$2</f>
        <v>424100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IFERROR(VLOOKUP(B176,input_424100!L:R,7,FALSE),VLOOKUP(tables_424100!C176,input_424100!A:H,8,FALSE))</f>
        <v>4750</v>
      </c>
      <c r="P176" s="46">
        <f t="shared" ca="1" si="7"/>
        <v>8.7962962962962962E-4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input_424100!A$2</f>
        <v>424100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IFERROR(VLOOKUP(B177,input_424100!L:R,7,FALSE),VLOOKUP(tables_424100!C177,input_424100!A:H,8,FALSE))</f>
        <v>250</v>
      </c>
      <c r="P177" s="46">
        <f t="shared" ca="1" si="7"/>
        <v>4.6296296296296294E-5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input_424100!A$2</f>
        <v>424100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IFERROR(VLOOKUP(B178,input_424100!L:R,7,FALSE),VLOOKUP(tables_424100!C178,input_424100!A:H,8,FALSE))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input_424100!A$2</f>
        <v>424100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IFERROR(VLOOKUP(B179,input_424100!L:R,7,FALSE),VLOOKUP(tables_424100!C179,input_424100!A:H,8,FALSE))</f>
        <v>55428.846149999998</v>
      </c>
      <c r="P179" s="46">
        <f t="shared" ca="1" si="7"/>
        <v>1.0264601138888888E-2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input_424100!A$2</f>
        <v>424100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IFERROR(VLOOKUP(B180,input_424100!L:R,7,FALSE),VLOOKUP(tables_424100!C180,input_424100!A:H,8,FALSE))</f>
        <v>1571.1538499999999</v>
      </c>
      <c r="P180" s="46">
        <f t="shared" ca="1" si="7"/>
        <v>2.9095441666666667E-4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input_424100!A$2</f>
        <v>424100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IFERROR(VLOOKUP(B181,input_424100!L:R,7,FALSE),VLOOKUP(tables_424100!C181,input_424100!A:H,8,FALSE))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input_424100!A$2</f>
        <v>424100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IFERROR(VLOOKUP(B182,input_424100!L:R,7,FALSE),VLOOKUP(tables_424100!C182,input_424100!A:H,8,FALSE))</f>
        <v>55428.846149999998</v>
      </c>
      <c r="P182" s="46">
        <f t="shared" ca="1" si="7"/>
        <v>1.0264601138888888E-2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input_424100!A$2</f>
        <v>424100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IFERROR(VLOOKUP(B183,input_424100!L:R,7,FALSE),VLOOKUP(tables_424100!C183,input_424100!A:H,8,FALSE))</f>
        <v>1571.1538499999999</v>
      </c>
      <c r="P183" s="46">
        <f t="shared" ca="1" si="7"/>
        <v>2.9095441666666667E-4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input_424100!A$2</f>
        <v>424100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IFERROR(VLOOKUP(B184,input_424100!L:R,7,FALSE),VLOOKUP(tables_424100!C184,input_424100!A:H,8,FALSE))</f>
        <v>4750</v>
      </c>
      <c r="P184" s="46">
        <f t="shared" ca="1" si="7"/>
        <v>8.7962962962962962E-4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input_424100!A$2</f>
        <v>424100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IFERROR(VLOOKUP(B185,input_424100!L:R,7,FALSE),VLOOKUP(tables_424100!C185,input_424100!A:H,8,FALSE))</f>
        <v>250</v>
      </c>
      <c r="P185" s="46">
        <f t="shared" ca="1" si="7"/>
        <v>4.6296296296296294E-5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input_424100!A$2</f>
        <v>424100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IFERROR(VLOOKUP(B186,input_424100!L:R,7,FALSE),VLOOKUP(tables_424100!C186,input_424100!A:H,8,FALSE))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input_424100!A$2</f>
        <v>424100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IFERROR(VLOOKUP(B187,input_424100!L:R,7,FALSE),VLOOKUP(tables_424100!C187,input_424100!A:H,8,FALSE))</f>
        <v>55428.846149999998</v>
      </c>
      <c r="P187" s="46">
        <f t="shared" ca="1" si="7"/>
        <v>1.0264601138888888E-2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input_424100!A$2</f>
        <v>424100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IFERROR(VLOOKUP(B188,input_424100!L:R,7,FALSE),VLOOKUP(tables_424100!C188,input_424100!A:H,8,FALSE))</f>
        <v>1571.1538499999999</v>
      </c>
      <c r="P188" s="46">
        <f t="shared" ca="1" si="7"/>
        <v>2.9095441666666667E-4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input_424100!A$2</f>
        <v>424100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IFERROR(VLOOKUP(B189,input_424100!L:R,7,FALSE),VLOOKUP(tables_424100!C189,input_424100!A:H,8,FALSE))</f>
        <v>4750</v>
      </c>
      <c r="P189" s="46">
        <f t="shared" ca="1" si="7"/>
        <v>8.7962962962962962E-4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input_424100!A$2</f>
        <v>424100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IFERROR(VLOOKUP(B190,input_424100!L:R,7,FALSE),VLOOKUP(tables_424100!C190,input_424100!A:H,8,FALSE))</f>
        <v>250</v>
      </c>
      <c r="P190" s="46">
        <f t="shared" ca="1" si="7"/>
        <v>4.6296296296296294E-5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input_424100!A$2</f>
        <v>424100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IFERROR(VLOOKUP(B191,input_424100!L:R,7,FALSE),VLOOKUP(tables_424100!C191,input_424100!A:H,8,FALSE))</f>
        <v>4750</v>
      </c>
      <c r="P191" s="46">
        <f t="shared" ca="1" si="7"/>
        <v>8.7962962962962962E-4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input_424100!A$2</f>
        <v>424100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IFERROR(VLOOKUP(B192,input_424100!L:R,7,FALSE),VLOOKUP(tables_424100!C192,input_424100!A:H,8,FALSE))</f>
        <v>250</v>
      </c>
      <c r="P192" s="46">
        <f t="shared" ca="1" si="7"/>
        <v>4.6296296296296294E-5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input_424100!A$2</f>
        <v>424100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IFERROR(VLOOKUP(B193,input_424100!L:R,7,FALSE),VLOOKUP(tables_424100!C193,input_424100!A:H,8,FALSE))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input_424100!A$2</f>
        <v>424100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IFERROR(VLOOKUP(B194,input_424100!L:R,7,FALSE),VLOOKUP(tables_424100!C194,input_424100!A:H,8,FALSE))</f>
        <v>55428.846149999998</v>
      </c>
      <c r="P194" s="46">
        <f t="shared" ref="P194:P257" ca="1" si="10">O194/SUM(O:O)</f>
        <v>1.0264601138888888E-2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input_424100!A$2</f>
        <v>424100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IFERROR(VLOOKUP(B195,input_424100!L:R,7,FALSE),VLOOKUP(tables_424100!C195,input_424100!A:H,8,FALSE))</f>
        <v>1571.1538499999999</v>
      </c>
      <c r="P195" s="46">
        <f t="shared" ca="1" si="10"/>
        <v>2.9095441666666667E-4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input_424100!A$2</f>
        <v>424100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IFERROR(VLOOKUP(B196,input_424100!L:R,7,FALSE),VLOOKUP(tables_424100!C196,input_424100!A:H,8,FALSE))</f>
        <v>4750</v>
      </c>
      <c r="P196" s="46">
        <f t="shared" ca="1" si="10"/>
        <v>8.7962962962962962E-4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input_424100!A$2</f>
        <v>424100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IFERROR(VLOOKUP(B197,input_424100!L:R,7,FALSE),VLOOKUP(tables_424100!C197,input_424100!A:H,8,FALSE))</f>
        <v>250</v>
      </c>
      <c r="P197" s="46">
        <f t="shared" ca="1" si="10"/>
        <v>4.6296296296296294E-5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input_424100!A$2</f>
        <v>424100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IFERROR(VLOOKUP(B198,input_424100!L:R,7,FALSE),VLOOKUP(tables_424100!C198,input_424100!A:H,8,FALSE))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input_424100!A$2</f>
        <v>424100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IFERROR(VLOOKUP(B199,input_424100!L:R,7,FALSE),VLOOKUP(tables_424100!C199,input_424100!A:H,8,FALSE))</f>
        <v>55428.846149999998</v>
      </c>
      <c r="P199" s="46">
        <f t="shared" ca="1" si="10"/>
        <v>1.0264601138888888E-2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input_424100!A$2</f>
        <v>424100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IFERROR(VLOOKUP(B200,input_424100!L:R,7,FALSE),VLOOKUP(tables_424100!C200,input_424100!A:H,8,FALSE))</f>
        <v>1571.1538499999999</v>
      </c>
      <c r="P200" s="46">
        <f t="shared" ca="1" si="10"/>
        <v>2.9095441666666667E-4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input_424100!A$2</f>
        <v>424100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IFERROR(VLOOKUP(B201,input_424100!L:R,7,FALSE),VLOOKUP(tables_424100!C201,input_424100!A:H,8,FALSE))</f>
        <v>4750</v>
      </c>
      <c r="P201" s="46">
        <f t="shared" ca="1" si="10"/>
        <v>8.7962962962962962E-4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input_424100!A$2</f>
        <v>424100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IFERROR(VLOOKUP(B202,input_424100!L:R,7,FALSE),VLOOKUP(tables_424100!C202,input_424100!A:H,8,FALSE))</f>
        <v>250</v>
      </c>
      <c r="P202" s="46">
        <f t="shared" ca="1" si="10"/>
        <v>4.6296296296296294E-5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input_424100!A$2</f>
        <v>424100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IFERROR(VLOOKUP(B203,input_424100!L:R,7,FALSE),VLOOKUP(tables_424100!C203,input_424100!A:H,8,FALSE))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input_424100!A$2</f>
        <v>424100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IFERROR(VLOOKUP(B204,input_424100!L:R,7,FALSE),VLOOKUP(tables_424100!C204,input_424100!A:H,8,FALSE))</f>
        <v>55428.846149999998</v>
      </c>
      <c r="P204" s="46">
        <f t="shared" ca="1" si="10"/>
        <v>1.0264601138888888E-2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input_424100!A$2</f>
        <v>424100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IFERROR(VLOOKUP(B205,input_424100!L:R,7,FALSE),VLOOKUP(tables_424100!C205,input_424100!A:H,8,FALSE))</f>
        <v>1571.1538499999999</v>
      </c>
      <c r="P205" s="46">
        <f t="shared" ca="1" si="10"/>
        <v>2.9095441666666667E-4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input_424100!A$2</f>
        <v>424100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IFERROR(VLOOKUP(B206,input_424100!L:R,7,FALSE),VLOOKUP(tables_424100!C206,input_424100!A:H,8,FALSE))</f>
        <v>4750</v>
      </c>
      <c r="P206" s="46">
        <f t="shared" ca="1" si="10"/>
        <v>8.7962962962962962E-4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input_424100!A$2</f>
        <v>424100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IFERROR(VLOOKUP(B207,input_424100!L:R,7,FALSE),VLOOKUP(tables_424100!C207,input_424100!A:H,8,FALSE))</f>
        <v>250</v>
      </c>
      <c r="P207" s="46">
        <f t="shared" ca="1" si="10"/>
        <v>4.6296296296296294E-5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input_424100!A$2</f>
        <v>424100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IFERROR(VLOOKUP(B208,input_424100!L:R,7,FALSE),VLOOKUP(tables_424100!C208,input_424100!A:H,8,FALSE))</f>
        <v>4750</v>
      </c>
      <c r="P208" s="46">
        <f t="shared" ca="1" si="10"/>
        <v>8.7962962962962962E-4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input_424100!A$2</f>
        <v>424100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IFERROR(VLOOKUP(B209,input_424100!L:R,7,FALSE),VLOOKUP(tables_424100!C209,input_424100!A:H,8,FALSE))</f>
        <v>250</v>
      </c>
      <c r="P209" s="46">
        <f t="shared" ca="1" si="10"/>
        <v>4.6296296296296294E-5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input_424100!A$2</f>
        <v>424100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IFERROR(VLOOKUP(B210,input_424100!L:R,7,FALSE),VLOOKUP(tables_424100!C210,input_424100!A:H,8,FALSE))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input_424100!A$2</f>
        <v>424100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IFERROR(VLOOKUP(B211,input_424100!L:R,7,FALSE),VLOOKUP(tables_424100!C211,input_424100!A:H,8,FALSE))</f>
        <v>55428.846149999998</v>
      </c>
      <c r="P211" s="46">
        <f t="shared" ca="1" si="10"/>
        <v>1.0264601138888888E-2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input_424100!A$2</f>
        <v>424100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IFERROR(VLOOKUP(B212,input_424100!L:R,7,FALSE),VLOOKUP(tables_424100!C212,input_424100!A:H,8,FALSE))</f>
        <v>1571.1538499999999</v>
      </c>
      <c r="P212" s="46">
        <f t="shared" ca="1" si="10"/>
        <v>2.9095441666666667E-4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input_424100!A$2</f>
        <v>424100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IFERROR(VLOOKUP(B213,input_424100!L:R,7,FALSE),VLOOKUP(tables_424100!C213,input_424100!A:H,8,FALSE))</f>
        <v>4750</v>
      </c>
      <c r="P213" s="46">
        <f t="shared" ca="1" si="10"/>
        <v>8.7962962962962962E-4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input_424100!A$2</f>
        <v>424100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IFERROR(VLOOKUP(B214,input_424100!L:R,7,FALSE),VLOOKUP(tables_424100!C214,input_424100!A:H,8,FALSE))</f>
        <v>250</v>
      </c>
      <c r="P214" s="46">
        <f t="shared" ca="1" si="10"/>
        <v>4.6296296296296294E-5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input_424100!A$2</f>
        <v>424100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IFERROR(VLOOKUP(B215,input_424100!L:R,7,FALSE),VLOOKUP(tables_424100!C215,input_424100!A:H,8,FALSE))</f>
        <v>4750</v>
      </c>
      <c r="P215" s="46">
        <f t="shared" ca="1" si="10"/>
        <v>8.7962962962962962E-4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input_424100!A$2</f>
        <v>424100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IFERROR(VLOOKUP(B216,input_424100!L:R,7,FALSE),VLOOKUP(tables_424100!C216,input_424100!A:H,8,FALSE))</f>
        <v>250</v>
      </c>
      <c r="P216" s="46">
        <f t="shared" ca="1" si="10"/>
        <v>4.6296296296296294E-5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input_424100!A$2</f>
        <v>424100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IFERROR(VLOOKUP(B217,input_424100!L:R,7,FALSE),VLOOKUP(tables_424100!C217,input_424100!A:H,8,FALSE))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input_424100!A$2</f>
        <v>424100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IFERROR(VLOOKUP(B218,input_424100!L:R,7,FALSE),VLOOKUP(tables_424100!C218,input_424100!A:H,8,FALSE))</f>
        <v>55428.846149999998</v>
      </c>
      <c r="P218" s="46">
        <f t="shared" ca="1" si="10"/>
        <v>1.0264601138888888E-2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input_424100!A$2</f>
        <v>424100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IFERROR(VLOOKUP(B219,input_424100!L:R,7,FALSE),VLOOKUP(tables_424100!C219,input_424100!A:H,8,FALSE))</f>
        <v>1571.1538499999999</v>
      </c>
      <c r="P219" s="46">
        <f t="shared" ca="1" si="10"/>
        <v>2.9095441666666667E-4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input_424100!A$2</f>
        <v>424100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IFERROR(VLOOKUP(B220,input_424100!L:R,7,FALSE),VLOOKUP(tables_424100!C220,input_424100!A:H,8,FALSE))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input_424100!A$2</f>
        <v>424100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IFERROR(VLOOKUP(B221,input_424100!L:R,7,FALSE),VLOOKUP(tables_424100!C221,input_424100!A:H,8,FALSE))</f>
        <v>55428.846149999998</v>
      </c>
      <c r="P221" s="46">
        <f t="shared" ca="1" si="10"/>
        <v>1.0264601138888888E-2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input_424100!A$2</f>
        <v>424100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IFERROR(VLOOKUP(B222,input_424100!L:R,7,FALSE),VLOOKUP(tables_424100!C222,input_424100!A:H,8,FALSE))</f>
        <v>1571.1538499999999</v>
      </c>
      <c r="P222" s="46">
        <f t="shared" ca="1" si="10"/>
        <v>2.9095441666666667E-4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input_424100!A$2</f>
        <v>424100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IFERROR(VLOOKUP(B223,input_424100!L:R,7,FALSE),VLOOKUP(tables_424100!C223,input_424100!A:H,8,FALSE))</f>
        <v>4750</v>
      </c>
      <c r="P223" s="46">
        <f t="shared" ca="1" si="10"/>
        <v>8.7962962962962962E-4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input_424100!A$2</f>
        <v>424100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IFERROR(VLOOKUP(B224,input_424100!L:R,7,FALSE),VLOOKUP(tables_424100!C224,input_424100!A:H,8,FALSE))</f>
        <v>250</v>
      </c>
      <c r="P224" s="46">
        <f t="shared" ca="1" si="10"/>
        <v>4.6296296296296294E-5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input_424100!A$2</f>
        <v>424100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IFERROR(VLOOKUP(B225,input_424100!L:R,7,FALSE),VLOOKUP(tables_424100!C225,input_424100!A:H,8,FALSE))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input_424100!A$2</f>
        <v>424100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IFERROR(VLOOKUP(B226,input_424100!L:R,7,FALSE),VLOOKUP(tables_424100!C226,input_424100!A:H,8,FALSE))</f>
        <v>55428.846149999998</v>
      </c>
      <c r="P226" s="46">
        <f t="shared" ca="1" si="10"/>
        <v>1.0264601138888888E-2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input_424100!A$2</f>
        <v>424100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IFERROR(VLOOKUP(B227,input_424100!L:R,7,FALSE),VLOOKUP(tables_424100!C227,input_424100!A:H,8,FALSE))</f>
        <v>1571.1538499999999</v>
      </c>
      <c r="P227" s="46">
        <f t="shared" ca="1" si="10"/>
        <v>2.9095441666666667E-4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input_424100!A$2</f>
        <v>424100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IFERROR(VLOOKUP(B228,input_424100!L:R,7,FALSE),VLOOKUP(tables_424100!C228,input_424100!A:H,8,FALSE))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input_424100!A$2</f>
        <v>424100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IFERROR(VLOOKUP(B229,input_424100!L:R,7,FALSE),VLOOKUP(tables_424100!C229,input_424100!A:H,8,FALSE))</f>
        <v>55428.846149999998</v>
      </c>
      <c r="P229" s="46">
        <f t="shared" ca="1" si="10"/>
        <v>1.0264601138888888E-2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input_424100!A$2</f>
        <v>424100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IFERROR(VLOOKUP(B230,input_424100!L:R,7,FALSE),VLOOKUP(tables_424100!C230,input_424100!A:H,8,FALSE))</f>
        <v>1571.1538499999999</v>
      </c>
      <c r="P230" s="46">
        <f t="shared" ca="1" si="10"/>
        <v>2.9095441666666667E-4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input_424100!A$2</f>
        <v>424100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IFERROR(VLOOKUP(B231,input_424100!L:R,7,FALSE),VLOOKUP(tables_424100!C231,input_424100!A:H,8,FALSE))</f>
        <v>4750</v>
      </c>
      <c r="P231" s="46">
        <f t="shared" ca="1" si="10"/>
        <v>8.7962962962962962E-4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input_424100!A$2</f>
        <v>424100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IFERROR(VLOOKUP(B232,input_424100!L:R,7,FALSE),VLOOKUP(tables_424100!C232,input_424100!A:H,8,FALSE))</f>
        <v>250</v>
      </c>
      <c r="P232" s="46">
        <f t="shared" ca="1" si="10"/>
        <v>4.6296296296296294E-5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input_424100!A$2</f>
        <v>424100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IFERROR(VLOOKUP(B233,input_424100!L:R,7,FALSE),VLOOKUP(tables_424100!C233,input_424100!A:H,8,FALSE))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input_424100!A$2</f>
        <v>424100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IFERROR(VLOOKUP(B234,input_424100!L:R,7,FALSE),VLOOKUP(tables_424100!C234,input_424100!A:H,8,FALSE))</f>
        <v>55428.846149999998</v>
      </c>
      <c r="P234" s="46">
        <f t="shared" ca="1" si="10"/>
        <v>1.0264601138888888E-2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input_424100!A$2</f>
        <v>424100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IFERROR(VLOOKUP(B235,input_424100!L:R,7,FALSE),VLOOKUP(tables_424100!C235,input_424100!A:H,8,FALSE))</f>
        <v>1571.1538499999999</v>
      </c>
      <c r="P235" s="46">
        <f t="shared" ca="1" si="10"/>
        <v>2.9095441666666667E-4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input_424100!A$2</f>
        <v>424100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IFERROR(VLOOKUP(B236,input_424100!L:R,7,FALSE),VLOOKUP(tables_424100!C236,input_424100!A:H,8,FALSE))</f>
        <v>4750</v>
      </c>
      <c r="P236" s="46">
        <f t="shared" ca="1" si="10"/>
        <v>8.7962962962962962E-4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input_424100!A$2</f>
        <v>424100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IFERROR(VLOOKUP(B237,input_424100!L:R,7,FALSE),VLOOKUP(tables_424100!C237,input_424100!A:H,8,FALSE))</f>
        <v>250</v>
      </c>
      <c r="P237" s="46">
        <f t="shared" ca="1" si="10"/>
        <v>4.6296296296296294E-5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input_424100!A$2</f>
        <v>424100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IFERROR(VLOOKUP(B238,input_424100!L:R,7,FALSE),VLOOKUP(tables_424100!C238,input_424100!A:H,8,FALSE))</f>
        <v>4750</v>
      </c>
      <c r="P238" s="46">
        <f t="shared" ca="1" si="10"/>
        <v>8.7962962962962962E-4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input_424100!A$2</f>
        <v>424100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IFERROR(VLOOKUP(B239,input_424100!L:R,7,FALSE),VLOOKUP(tables_424100!C239,input_424100!A:H,8,FALSE))</f>
        <v>250</v>
      </c>
      <c r="P239" s="46">
        <f t="shared" ca="1" si="10"/>
        <v>4.6296296296296294E-5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input_424100!A$2</f>
        <v>424100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IFERROR(VLOOKUP(B240,input_424100!L:R,7,FALSE),VLOOKUP(tables_424100!C240,input_424100!A:H,8,FALSE))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input_424100!A$2</f>
        <v>424100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IFERROR(VLOOKUP(B241,input_424100!L:R,7,FALSE),VLOOKUP(tables_424100!C241,input_424100!A:H,8,FALSE))</f>
        <v>55428.846149999998</v>
      </c>
      <c r="P241" s="46">
        <f t="shared" ca="1" si="10"/>
        <v>1.0264601138888888E-2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input_424100!A$2</f>
        <v>424100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IFERROR(VLOOKUP(B242,input_424100!L:R,7,FALSE),VLOOKUP(tables_424100!C242,input_424100!A:H,8,FALSE))</f>
        <v>1571.1538499999999</v>
      </c>
      <c r="P242" s="46">
        <f t="shared" ca="1" si="10"/>
        <v>2.9095441666666667E-4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input_424100!A$2</f>
        <v>424100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IFERROR(VLOOKUP(B243,input_424100!L:R,7,FALSE),VLOOKUP(tables_424100!C243,input_424100!A:H,8,FALSE))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input_424100!A$2</f>
        <v>424100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IFERROR(VLOOKUP(B244,input_424100!L:R,7,FALSE),VLOOKUP(tables_424100!C244,input_424100!A:H,8,FALSE))</f>
        <v>55428.846149999998</v>
      </c>
      <c r="P244" s="46">
        <f t="shared" ca="1" si="10"/>
        <v>1.0264601138888888E-2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input_424100!A$2</f>
        <v>424100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IFERROR(VLOOKUP(B245,input_424100!L:R,7,FALSE),VLOOKUP(tables_424100!C245,input_424100!A:H,8,FALSE))</f>
        <v>1571.1538499999999</v>
      </c>
      <c r="P245" s="46">
        <f t="shared" ca="1" si="10"/>
        <v>2.9095441666666667E-4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input_424100!A$2</f>
        <v>424100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IFERROR(VLOOKUP(B246,input_424100!L:R,7,FALSE),VLOOKUP(tables_424100!C246,input_424100!A:H,8,FALSE))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input_424100!A$2</f>
        <v>424100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IFERROR(VLOOKUP(B247,input_424100!L:R,7,FALSE),VLOOKUP(tables_424100!C247,input_424100!A:H,8,FALSE))</f>
        <v>55428.846149999998</v>
      </c>
      <c r="P247" s="46">
        <f t="shared" ca="1" si="10"/>
        <v>1.0264601138888888E-2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input_424100!A$2</f>
        <v>424100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IFERROR(VLOOKUP(B248,input_424100!L:R,7,FALSE),VLOOKUP(tables_424100!C248,input_424100!A:H,8,FALSE))</f>
        <v>1571.1538499999999</v>
      </c>
      <c r="P248" s="46">
        <f t="shared" ca="1" si="10"/>
        <v>2.9095441666666667E-4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input_424100!A$2</f>
        <v>424100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IFERROR(VLOOKUP(B249,input_424100!L:R,7,FALSE),VLOOKUP(tables_424100!C249,input_424100!A:H,8,FALSE))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input_424100!A$2</f>
        <v>424100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IFERROR(VLOOKUP(B250,input_424100!L:R,7,FALSE),VLOOKUP(tables_424100!C250,input_424100!A:H,8,FALSE))</f>
        <v>55428.846149999998</v>
      </c>
      <c r="P250" s="46">
        <f t="shared" ca="1" si="10"/>
        <v>1.0264601138888888E-2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input_424100!A$2</f>
        <v>424100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IFERROR(VLOOKUP(B251,input_424100!L:R,7,FALSE),VLOOKUP(tables_424100!C251,input_424100!A:H,8,FALSE))</f>
        <v>1571.1538499999999</v>
      </c>
      <c r="P251" s="46">
        <f t="shared" ca="1" si="10"/>
        <v>2.9095441666666667E-4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input_424100!A$2</f>
        <v>424100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IFERROR(VLOOKUP(B252,input_424100!L:R,7,FALSE),VLOOKUP(tables_424100!C252,input_424100!A:H,8,FALSE))</f>
        <v>4750</v>
      </c>
      <c r="P252" s="46">
        <f t="shared" ca="1" si="10"/>
        <v>8.7962962962962962E-4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input_424100!A$2</f>
        <v>424100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IFERROR(VLOOKUP(B253,input_424100!L:R,7,FALSE),VLOOKUP(tables_424100!C253,input_424100!A:H,8,FALSE))</f>
        <v>250</v>
      </c>
      <c r="P253" s="46">
        <f t="shared" ca="1" si="10"/>
        <v>4.6296296296296294E-5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input_424100!A$2</f>
        <v>424100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IFERROR(VLOOKUP(B254,input_424100!L:R,7,FALSE),VLOOKUP(tables_424100!C254,input_424100!A:H,8,FALSE))</f>
        <v>4750</v>
      </c>
      <c r="P254" s="46">
        <f t="shared" ca="1" si="10"/>
        <v>8.7962962962962962E-4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input_424100!A$2</f>
        <v>424100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IFERROR(VLOOKUP(B255,input_424100!L:R,7,FALSE),VLOOKUP(tables_424100!C255,input_424100!A:H,8,FALSE))</f>
        <v>250</v>
      </c>
      <c r="P255" s="46">
        <f t="shared" ca="1" si="10"/>
        <v>4.6296296296296294E-5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input_424100!A$2</f>
        <v>424100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IFERROR(VLOOKUP(B256,input_424100!L:R,7,FALSE),VLOOKUP(tables_424100!C256,input_424100!A:H,8,FALSE))</f>
        <v>54150</v>
      </c>
      <c r="P256" s="46">
        <f t="shared" ca="1" si="10"/>
        <v>1.0027777777777778E-2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input_424100!A$2</f>
        <v>424100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IFERROR(VLOOKUP(B257,input_424100!L:R,7,FALSE),VLOOKUP(tables_424100!C257,input_424100!A:H,8,FALSE))</f>
        <v>2850</v>
      </c>
      <c r="P257" s="46">
        <f t="shared" ca="1" si="10"/>
        <v>5.2777777777777773E-4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input_424100!A$2</f>
        <v>424100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IFERROR(VLOOKUP(B258,input_424100!L:R,7,FALSE),VLOOKUP(tables_424100!C258,input_424100!A:H,8,FALSE))</f>
        <v>54150</v>
      </c>
      <c r="P258" s="46">
        <f t="shared" ref="P258:P294" ca="1" si="13">O258/SUM(O:O)</f>
        <v>1.0027777777777778E-2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input_424100!A$2</f>
        <v>424100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IFERROR(VLOOKUP(B259,input_424100!L:R,7,FALSE),VLOOKUP(tables_424100!C259,input_424100!A:H,8,FALSE))</f>
        <v>2850</v>
      </c>
      <c r="P259" s="46">
        <f t="shared" ca="1" si="13"/>
        <v>5.2777777777777773E-4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input_424100!A$2</f>
        <v>424100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IFERROR(VLOOKUP(B260,input_424100!L:R,7,FALSE),VLOOKUP(tables_424100!C260,input_424100!A:H,8,FALSE))</f>
        <v>5000</v>
      </c>
      <c r="P260" s="46">
        <f t="shared" ca="1" si="13"/>
        <v>9.2592592592592596E-4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input_424100!A$2</f>
        <v>424100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IFERROR(VLOOKUP(B261,input_424100!L:R,7,FALSE),VLOOKUP(tables_424100!C261,input_424100!A:H,8,FALSE))</f>
        <v>5000</v>
      </c>
      <c r="P261" s="46">
        <f t="shared" ca="1" si="13"/>
        <v>9.2592592592592596E-4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input_424100!A$2</f>
        <v>424100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IFERROR(VLOOKUP(B262,input_424100!L:R,7,FALSE),VLOOKUP(tables_424100!C262,input_424100!A:H,8,FALSE))</f>
        <v>4750</v>
      </c>
      <c r="P262" s="46">
        <f t="shared" ca="1" si="13"/>
        <v>8.7962962962962962E-4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input_424100!A$2</f>
        <v>424100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IFERROR(VLOOKUP(B263,input_424100!L:R,7,FALSE),VLOOKUP(tables_424100!C263,input_424100!A:H,8,FALSE))</f>
        <v>250</v>
      </c>
      <c r="P263" s="46">
        <f t="shared" ca="1" si="13"/>
        <v>4.6296296296296294E-5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input_424100!A$2</f>
        <v>424100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IFERROR(VLOOKUP(B264,input_424100!L:R,7,FALSE),VLOOKUP(tables_424100!C264,input_424100!A:H,8,FALSE))</f>
        <v>4750</v>
      </c>
      <c r="P264" s="46">
        <f t="shared" ca="1" si="13"/>
        <v>8.7962962962962962E-4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input_424100!A$2</f>
        <v>424100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IFERROR(VLOOKUP(B265,input_424100!L:R,7,FALSE),VLOOKUP(tables_424100!C265,input_424100!A:H,8,FALSE))</f>
        <v>250</v>
      </c>
      <c r="P265" s="46">
        <f t="shared" ca="1" si="13"/>
        <v>4.6296296296296294E-5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input_424100!A$2</f>
        <v>424100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IFERROR(VLOOKUP(B266,input_424100!L:R,7,FALSE),VLOOKUP(tables_424100!C266,input_424100!A:H,8,FALSE))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input_424100!A$2</f>
        <v>424100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IFERROR(VLOOKUP(B267,input_424100!L:R,7,FALSE),VLOOKUP(tables_424100!C267,input_424100!A:H,8,FALSE))</f>
        <v>55428.846149999998</v>
      </c>
      <c r="P267" s="46">
        <f t="shared" ca="1" si="13"/>
        <v>1.0264601138888888E-2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input_424100!A$2</f>
        <v>424100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IFERROR(VLOOKUP(B268,input_424100!L:R,7,FALSE),VLOOKUP(tables_424100!C268,input_424100!A:H,8,FALSE))</f>
        <v>1571.1538499999999</v>
      </c>
      <c r="P268" s="46">
        <f t="shared" ca="1" si="13"/>
        <v>2.9095441666666667E-4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input_424100!A$2</f>
        <v>424100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IFERROR(VLOOKUP(B269,input_424100!L:R,7,FALSE),VLOOKUP(tables_424100!C269,input_424100!A:H,8,FALSE))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input_424100!A$2</f>
        <v>424100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IFERROR(VLOOKUP(B270,input_424100!L:R,7,FALSE),VLOOKUP(tables_424100!C270,input_424100!A:H,8,FALSE))</f>
        <v>55428.846149999998</v>
      </c>
      <c r="P270" s="46">
        <f t="shared" ca="1" si="13"/>
        <v>1.0264601138888888E-2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input_424100!A$2</f>
        <v>424100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IFERROR(VLOOKUP(B271,input_424100!L:R,7,FALSE),VLOOKUP(tables_424100!C271,input_424100!A:H,8,FALSE))</f>
        <v>1571.1538499999999</v>
      </c>
      <c r="P271" s="46">
        <f t="shared" ca="1" si="13"/>
        <v>2.9095441666666667E-4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input_424100!A$2</f>
        <v>424100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IFERROR(VLOOKUP(B272,input_424100!L:R,7,FALSE),VLOOKUP(tables_424100!C272,input_424100!A:H,8,FALSE))</f>
        <v>5000</v>
      </c>
      <c r="P272" s="46">
        <f t="shared" ca="1" si="13"/>
        <v>9.2592592592592596E-4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input_424100!A$2</f>
        <v>424100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IFERROR(VLOOKUP(B273,input_424100!L:R,7,FALSE),VLOOKUP(tables_424100!C273,input_424100!A:H,8,FALSE))</f>
        <v>5000</v>
      </c>
      <c r="P273" s="46">
        <f t="shared" ca="1" si="13"/>
        <v>9.2592592592592596E-4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input_424100!A$2</f>
        <v>424100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IFERROR(VLOOKUP(B274,input_424100!L:R,7,FALSE),VLOOKUP(tables_424100!C274,input_424100!A:H,8,FALSE))</f>
        <v>54150</v>
      </c>
      <c r="P274" s="46">
        <f t="shared" ca="1" si="13"/>
        <v>1.0027777777777778E-2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input_424100!A$2</f>
        <v>424100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IFERROR(VLOOKUP(B275,input_424100!L:R,7,FALSE),VLOOKUP(tables_424100!C275,input_424100!A:H,8,FALSE))</f>
        <v>2850</v>
      </c>
      <c r="P275" s="46">
        <f t="shared" ca="1" si="13"/>
        <v>5.2777777777777773E-4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input_424100!A$2</f>
        <v>424100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IFERROR(VLOOKUP(B276,input_424100!L:R,7,FALSE),VLOOKUP(tables_424100!C276,input_424100!A:H,8,FALSE))</f>
        <v>54150</v>
      </c>
      <c r="P276" s="46">
        <f t="shared" ca="1" si="13"/>
        <v>1.0027777777777778E-2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input_424100!A$2</f>
        <v>424100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IFERROR(VLOOKUP(B277,input_424100!L:R,7,FALSE),VLOOKUP(tables_424100!C277,input_424100!A:H,8,FALSE))</f>
        <v>2850</v>
      </c>
      <c r="P277" s="46">
        <f t="shared" ca="1" si="13"/>
        <v>5.2777777777777773E-4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input_424100!A$2</f>
        <v>424100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IFERROR(VLOOKUP(B278,input_424100!L:R,7,FALSE),VLOOKUP(tables_424100!C278,input_424100!A:H,8,FALSE))</f>
        <v>54150</v>
      </c>
      <c r="P278" s="46">
        <f t="shared" ca="1" si="13"/>
        <v>1.0027777777777778E-2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input_424100!A$2</f>
        <v>424100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IFERROR(VLOOKUP(B279,input_424100!L:R,7,FALSE),VLOOKUP(tables_424100!C279,input_424100!A:H,8,FALSE))</f>
        <v>2850</v>
      </c>
      <c r="P279" s="46">
        <f t="shared" ca="1" si="13"/>
        <v>5.2777777777777773E-4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input_424100!A$2</f>
        <v>424100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IFERROR(VLOOKUP(B280,input_424100!L:R,7,FALSE),VLOOKUP(tables_424100!C280,input_424100!A:H,8,FALSE))</f>
        <v>54150</v>
      </c>
      <c r="P280" s="46">
        <f t="shared" ca="1" si="13"/>
        <v>1.0027777777777778E-2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input_424100!A$2</f>
        <v>424100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IFERROR(VLOOKUP(B281,input_424100!L:R,7,FALSE),VLOOKUP(tables_424100!C281,input_424100!A:H,8,FALSE))</f>
        <v>2850</v>
      </c>
      <c r="P281" s="46">
        <f t="shared" ca="1" si="13"/>
        <v>5.2777777777777773E-4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input_424100!A$2</f>
        <v>424100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IFERROR(VLOOKUP(B282,input_424100!L:R,7,FALSE),VLOOKUP(tables_424100!C282,input_424100!A:H,8,FALSE))</f>
        <v>5000</v>
      </c>
      <c r="P282" s="46">
        <f t="shared" ca="1" si="13"/>
        <v>9.2592592592592596E-4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input_424100!A$2</f>
        <v>424100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IFERROR(VLOOKUP(B283,input_424100!L:R,7,FALSE),VLOOKUP(tables_424100!C283,input_424100!A:H,8,FALSE))</f>
        <v>5000</v>
      </c>
      <c r="P283" s="46">
        <f t="shared" ca="1" si="13"/>
        <v>9.2592592592592596E-4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input_424100!A$2</f>
        <v>424100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IFERROR(VLOOKUP(B284,input_424100!L:R,7,FALSE),VLOOKUP(tables_424100!C284,input_424100!A:H,8,FALSE))</f>
        <v>5000</v>
      </c>
      <c r="P284" s="46">
        <f t="shared" ca="1" si="13"/>
        <v>9.2592592592592596E-4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input_424100!A$2</f>
        <v>424100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IFERROR(VLOOKUP(B285,input_424100!L:R,7,FALSE),VLOOKUP(tables_424100!C285,input_424100!A:H,8,FALSE))</f>
        <v>5000</v>
      </c>
      <c r="P285" s="46">
        <f t="shared" ca="1" si="13"/>
        <v>9.2592592592592596E-4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input_424100!A$2</f>
        <v>424100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IFERROR(VLOOKUP(B286,input_424100!L:R,7,FALSE),VLOOKUP(tables_424100!C286,input_424100!A:H,8,FALSE))</f>
        <v>54150</v>
      </c>
      <c r="P286" s="46">
        <f t="shared" ca="1" si="13"/>
        <v>1.0027777777777778E-2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input_424100!A$2</f>
        <v>424100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IFERROR(VLOOKUP(B287,input_424100!L:R,7,FALSE),VLOOKUP(tables_424100!C287,input_424100!A:H,8,FALSE))</f>
        <v>2850</v>
      </c>
      <c r="P287" s="46">
        <f t="shared" ca="1" si="13"/>
        <v>5.2777777777777773E-4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input_424100!A$2</f>
        <v>424100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IFERROR(VLOOKUP(B288,input_424100!L:R,7,FALSE),VLOOKUP(tables_424100!C288,input_424100!A:H,8,FALSE))</f>
        <v>54150</v>
      </c>
      <c r="P288" s="46">
        <f t="shared" ca="1" si="13"/>
        <v>1.0027777777777778E-2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input_424100!A$2</f>
        <v>424100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IFERROR(VLOOKUP(B289,input_424100!L:R,7,FALSE),VLOOKUP(tables_424100!C289,input_424100!A:H,8,FALSE))</f>
        <v>2850</v>
      </c>
      <c r="P289" s="46">
        <f t="shared" ca="1" si="13"/>
        <v>5.2777777777777773E-4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input_424100!A$2</f>
        <v>424100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IFERROR(VLOOKUP(B290,input_424100!L:R,7,FALSE),VLOOKUP(tables_424100!C290,input_424100!A:H,8,FALSE))</f>
        <v>5000</v>
      </c>
      <c r="P290" s="46">
        <f t="shared" ca="1" si="13"/>
        <v>9.2592592592592596E-4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input_424100!A$2</f>
        <v>424100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IFERROR(VLOOKUP(B291,input_424100!L:R,7,FALSE),VLOOKUP(tables_424100!C291,input_424100!A:H,8,FALSE))</f>
        <v>54150</v>
      </c>
      <c r="P291" s="46">
        <f t="shared" ca="1" si="13"/>
        <v>1.0027777777777778E-2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input_424100!A$2</f>
        <v>424100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IFERROR(VLOOKUP(B292,input_424100!L:R,7,FALSE),VLOOKUP(tables_424100!C292,input_424100!A:H,8,FALSE))</f>
        <v>2850</v>
      </c>
      <c r="P292" s="46">
        <f t="shared" ca="1" si="13"/>
        <v>5.2777777777777773E-4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input_424100!A$2</f>
        <v>424100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IFERROR(VLOOKUP(B293,input_424100!L:R,7,FALSE),VLOOKUP(tables_424100!C293,input_424100!A:H,8,FALSE))</f>
        <v>5000</v>
      </c>
      <c r="P293" s="46">
        <f t="shared" ca="1" si="13"/>
        <v>9.2592592592592596E-4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input_424100!A$2</f>
        <v>424100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IFERROR(VLOOKUP(B294,input_424100!L:R,7,FALSE),VLOOKUP(tables_424100!C294,input_424100!A:H,8,FALSE))</f>
        <v>5000</v>
      </c>
      <c r="P294" s="46">
        <f t="shared" ca="1" si="13"/>
        <v>9.2592592592592596E-4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input_424100!A$2</f>
        <v>424100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IFERROR(VLOOKUP(B295,input_424100!L:R,7,FALSE),VLOOKUP(tables_424100!C295,input_424100!A:H,8,FALSE))</f>
        <v>5000</v>
      </c>
      <c r="P295" s="46">
        <f t="shared" ref="P295:P299" ca="1" si="18">O295/SUM(O:O)</f>
        <v>9.2592592592592596E-4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input_424100!A$2</f>
        <v>424100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IFERROR(VLOOKUP(B296,input_424100!L:R,7,FALSE),VLOOKUP(tables_424100!C296,input_424100!A:H,8,FALSE))</f>
        <v>5000</v>
      </c>
      <c r="P296" s="46">
        <f t="shared" ca="1" si="18"/>
        <v>9.2592592592592596E-4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input_424100!A$2</f>
        <v>424100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IFERROR(VLOOKUP(B297,input_424100!L:R,7,FALSE),VLOOKUP(tables_424100!C297,input_424100!A:H,8,FALSE))</f>
        <v>54150</v>
      </c>
      <c r="P297" s="46">
        <f t="shared" ca="1" si="18"/>
        <v>1.0027777777777778E-2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input_424100!A$2</f>
        <v>424100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IFERROR(VLOOKUP(B298,input_424100!L:R,7,FALSE),VLOOKUP(tables_424100!C298,input_424100!A:H,8,FALSE))</f>
        <v>2850</v>
      </c>
      <c r="P298" s="46">
        <f t="shared" ca="1" si="18"/>
        <v>5.2777777777777773E-4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input_424100!A$2</f>
        <v>424100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IFERROR(VLOOKUP(B299,input_424100!L:R,7,FALSE),VLOOKUP(tables_424100!C299,input_424100!A:H,8,FALSE))</f>
        <v>5000</v>
      </c>
      <c r="P299" s="46">
        <f t="shared" ca="1" si="18"/>
        <v>9.2592592592592596E-4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input_424100!A$2</f>
        <v>424100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IFERROR(VLOOKUP(B300,input_424100!L:R,7,FALSE),VLOOKUP(tables_424100!C300,input_424100!A:H,8,FALSE))</f>
        <v>54150</v>
      </c>
      <c r="P300" s="46">
        <f t="shared" ref="P300:P304" ca="1" si="20">O300/SUM(O:O)</f>
        <v>1.0027777777777778E-2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input_424100!A$2</f>
        <v>424100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IFERROR(VLOOKUP(B301,input_424100!L:R,7,FALSE),VLOOKUP(tables_424100!C301,input_424100!A:H,8,FALSE))</f>
        <v>2850</v>
      </c>
      <c r="P301" s="46">
        <f t="shared" ca="1" si="20"/>
        <v>5.2777777777777773E-4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input_424100!A$2</f>
        <v>424100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IFERROR(VLOOKUP(B302,input_424100!L:R,7,FALSE),VLOOKUP(tables_424100!C302,input_424100!A:H,8,FALSE))</f>
        <v>5000</v>
      </c>
      <c r="P302" s="46">
        <f t="shared" ca="1" si="20"/>
        <v>9.2592592592592596E-4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input_424100!A$2</f>
        <v>424100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IFERROR(VLOOKUP(B303,input_424100!L:R,7,FALSE),VLOOKUP(tables_424100!C303,input_424100!A:H,8,FALSE))</f>
        <v>5000</v>
      </c>
      <c r="P303" s="46">
        <f t="shared" ca="1" si="20"/>
        <v>9.2592592592592596E-4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input_424100!A$2</f>
        <v>424100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IFERROR(VLOOKUP(B304,input_424100!L:R,7,FALSE),VLOOKUP(tables_424100!C304,input_424100!A:H,8,FALSE))</f>
        <v>5000</v>
      </c>
      <c r="P304" s="46">
        <f t="shared" ca="1" si="20"/>
        <v>9.2592592592592596E-4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input_424100!A$2</f>
        <v>424100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IFERROR(VLOOKUP(B305,input_424100!L:R,7,FALSE),VLOOKUP(tables_424100!C305,input_424100!A:H,8,FALSE))</f>
        <v>54150</v>
      </c>
      <c r="P305" s="46">
        <f t="shared" ref="P305:P309" ca="1" si="22">O305/SUM(O:O)</f>
        <v>1.0027777777777778E-2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input_424100!A$2</f>
        <v>424100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IFERROR(VLOOKUP(B306,input_424100!L:R,7,FALSE),VLOOKUP(tables_424100!C306,input_424100!A:H,8,FALSE))</f>
        <v>2850</v>
      </c>
      <c r="P306" s="46">
        <f t="shared" ca="1" si="22"/>
        <v>5.2777777777777773E-4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input_424100!A$2</f>
        <v>424100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IFERROR(VLOOKUP(B307,input_424100!L:R,7,FALSE),VLOOKUP(tables_424100!C307,input_424100!A:H,8,FALSE))</f>
        <v>5000</v>
      </c>
      <c r="P307" s="46">
        <f t="shared" ca="1" si="22"/>
        <v>9.2592592592592596E-4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input_424100!A$2</f>
        <v>424100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IFERROR(VLOOKUP(B308,input_424100!L:R,7,FALSE),VLOOKUP(tables_424100!C308,input_424100!A:H,8,FALSE))</f>
        <v>5000</v>
      </c>
      <c r="P308" s="46">
        <f t="shared" ca="1" si="22"/>
        <v>9.2592592592592596E-4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input_424100!A$2</f>
        <v>424100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IFERROR(VLOOKUP(B309,input_424100!L:R,7,FALSE),VLOOKUP(tables_424100!C309,input_424100!A:H,8,FALSE))</f>
        <v>5000</v>
      </c>
      <c r="P309" s="46">
        <f t="shared" ca="1" si="22"/>
        <v>9.2592592592592596E-4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input_424100!A$2</f>
        <v>424100</v>
      </c>
      <c r="B310" s="5">
        <v>1104</v>
      </c>
      <c r="C310" s="7" t="str">
        <f t="shared" ref="C310:C314" si="23">D310&amp;J310&amp;E310&amp;F310&amp;G310</f>
        <v>Premium4R3less</v>
      </c>
      <c r="D310" s="7" t="str">
        <f t="shared" ref="D310:D314" si="24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IFERROR(VLOOKUP(B310,input_424100!L:R,7,FALSE),VLOOKUP(tables_424100!C310,input_424100!A:H,8,FALSE))</f>
        <v>54150</v>
      </c>
      <c r="P310" s="46">
        <f t="shared" ref="P310:P314" ca="1" si="25">O310/SUM(O:O)</f>
        <v>1.0027777777777778E-2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input_424100!A$2</f>
        <v>424100</v>
      </c>
      <c r="B311" s="5">
        <v>1105</v>
      </c>
      <c r="C311" s="7" t="str">
        <f t="shared" si="23"/>
        <v>Premium5R3less</v>
      </c>
      <c r="D311" s="7" t="str">
        <f t="shared" si="2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IFERROR(VLOOKUP(B311,input_424100!L:R,7,FALSE),VLOOKUP(tables_424100!C311,input_424100!A:H,8,FALSE))</f>
        <v>2850</v>
      </c>
      <c r="P311" s="46">
        <f t="shared" ca="1" si="25"/>
        <v>5.2777777777777773E-4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input_424100!A$2</f>
        <v>424100</v>
      </c>
      <c r="B312" s="5">
        <v>1106</v>
      </c>
      <c r="C312" s="7" t="str">
        <f t="shared" si="23"/>
        <v>PremiumSS5R5only</v>
      </c>
      <c r="D312" s="7" t="str">
        <f t="shared" si="2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IFERROR(VLOOKUP(B312,input_424100!L:R,7,FALSE),VLOOKUP(tables_424100!C312,input_424100!A:H,8,FALSE))</f>
        <v>5000</v>
      </c>
      <c r="P312" s="46">
        <f t="shared" ca="1" si="25"/>
        <v>9.2592592592592596E-4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input_424100!A$2</f>
        <v>424100</v>
      </c>
      <c r="B313" s="5">
        <v>1102</v>
      </c>
      <c r="C313" s="7" t="str">
        <f t="shared" si="23"/>
        <v>PremiumSS5R5only</v>
      </c>
      <c r="D313" s="7" t="str">
        <f t="shared" si="2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IFERROR(VLOOKUP(B313,input_424100!L:R,7,FALSE),VLOOKUP(tables_424100!C313,input_424100!A:H,8,FALSE))</f>
        <v>5000</v>
      </c>
      <c r="P313" s="46">
        <f t="shared" ca="1" si="25"/>
        <v>9.2592592592592596E-4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input_424100!A$2</f>
        <v>424100</v>
      </c>
      <c r="B314" s="5">
        <v>1100</v>
      </c>
      <c r="C314" s="7" t="str">
        <f t="shared" si="23"/>
        <v>PremiumSS5R5only</v>
      </c>
      <c r="D314" s="7" t="str">
        <f t="shared" si="2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IFERROR(VLOOKUP(B314,input_424100!L:R,7,FALSE),VLOOKUP(tables_424100!C314,input_424100!A:H,8,FALSE))</f>
        <v>5000</v>
      </c>
      <c r="P314" s="46">
        <f t="shared" ca="1" si="25"/>
        <v>9.2592592592592596E-4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input_424100!A$2</f>
        <v>424100</v>
      </c>
      <c r="B315" s="5">
        <v>1137</v>
      </c>
      <c r="C315" s="7" t="str">
        <f t="shared" ref="C315:C319" si="26">D315&amp;J315&amp;E315&amp;F315&amp;G315</f>
        <v>PremiumSS5R5only</v>
      </c>
      <c r="D315" s="7" t="str">
        <f t="shared" ref="D315:D319" si="27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IFERROR(VLOOKUP(B315,input_424100!L:R,7,FALSE),VLOOKUP(tables_424100!C315,input_424100!A:H,8,FALSE))</f>
        <v>5000</v>
      </c>
      <c r="P315" s="46">
        <f t="shared" ref="P315:P319" ca="1" si="28">O315/SUM(O:O)</f>
        <v>9.2592592592592596E-4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input_424100!A$2</f>
        <v>424100</v>
      </c>
      <c r="B316" s="5">
        <v>1139</v>
      </c>
      <c r="C316" s="7" t="str">
        <f t="shared" si="26"/>
        <v>PremiumSS5R5only</v>
      </c>
      <c r="D316" s="7" t="str">
        <f t="shared" si="27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IFERROR(VLOOKUP(B316,input_424100!L:R,7,FALSE),VLOOKUP(tables_424100!C316,input_424100!A:H,8,FALSE))</f>
        <v>5000</v>
      </c>
      <c r="P316" s="46">
        <f t="shared" ca="1" si="28"/>
        <v>9.2592592592592596E-4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input_424100!A$2</f>
        <v>424100</v>
      </c>
      <c r="B317" s="5">
        <v>1141</v>
      </c>
      <c r="C317" s="7" t="str">
        <f t="shared" si="26"/>
        <v>PremiumSS5R5only</v>
      </c>
      <c r="D317" s="7" t="str">
        <f t="shared" si="27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IFERROR(VLOOKUP(B317,input_424100!L:R,7,FALSE),VLOOKUP(tables_424100!C317,input_424100!A:H,8,FALSE))</f>
        <v>5000</v>
      </c>
      <c r="P317" s="46">
        <f t="shared" ca="1" si="28"/>
        <v>9.2592592592592596E-4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input_424100!A$2</f>
        <v>424100</v>
      </c>
      <c r="B318" s="5">
        <v>1143</v>
      </c>
      <c r="C318" s="7" t="str">
        <f t="shared" si="26"/>
        <v>Premium4R3less</v>
      </c>
      <c r="D318" s="7" t="str">
        <f t="shared" si="27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IFERROR(VLOOKUP(B318,input_424100!L:R,7,FALSE),VLOOKUP(tables_424100!C318,input_424100!A:H,8,FALSE))</f>
        <v>54150</v>
      </c>
      <c r="P318" s="46">
        <f t="shared" ca="1" si="28"/>
        <v>1.0027777777777778E-2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input_424100!A$2</f>
        <v>424100</v>
      </c>
      <c r="B319" s="5">
        <v>1144</v>
      </c>
      <c r="C319" s="7" t="str">
        <f t="shared" si="26"/>
        <v>Premium5R3less</v>
      </c>
      <c r="D319" s="7" t="str">
        <f t="shared" si="27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IFERROR(VLOOKUP(B319,input_424100!L:R,7,FALSE),VLOOKUP(tables_424100!C319,input_424100!A:H,8,FALSE))</f>
        <v>2850</v>
      </c>
      <c r="P319" s="46">
        <f t="shared" ca="1" si="28"/>
        <v>5.2777777777777773E-4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8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O8" sqref="O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424105</v>
      </c>
      <c r="B2" s="60">
        <v>320</v>
      </c>
      <c r="C2" s="7" t="str">
        <f t="shared" ref="C2:C3" si="0">D2&amp;J2&amp;E2&amp;F2&amp;G2</f>
        <v>PremiumSS4</v>
      </c>
      <c r="D2" s="7" t="str">
        <f t="shared" ref="D2:D3" si="1"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烈志士 近藤勇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18</v>
      </c>
      <c r="P2" s="46">
        <f>O2/SUM(O:O)</f>
        <v>0.22500000000000001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424105</v>
      </c>
      <c r="B3" s="60">
        <v>321</v>
      </c>
      <c r="C3" s="7" t="str">
        <f t="shared" si="0"/>
        <v>PremiumSS5</v>
      </c>
      <c r="D3" s="7" t="str">
        <f t="shared" si="1"/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巌鉄の烈志士 近藤勇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human</v>
      </c>
      <c r="N3" s="7" t="str">
        <f>VLOOKUP(B3,[1]characters!$A:$G,7,FALSE)</f>
        <v>男性</v>
      </c>
      <c r="O3" s="45">
        <v>2</v>
      </c>
      <c r="P3" s="46">
        <f>O3/SUM(O:O)</f>
        <v>2.5000000000000001E-2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424105</v>
      </c>
      <c r="B4" s="60">
        <v>467</v>
      </c>
      <c r="C4" s="7" t="str">
        <f t="shared" ref="C4:C5" si="2">D4&amp;J4&amp;E4&amp;F4&amp;G4</f>
        <v>PremiumSS4</v>
      </c>
      <c r="D4" s="7" t="str">
        <f t="shared" ref="D4:D5" si="3">IF(OR(I4="PremiumSS",I4="PremiumSSw"),"PremiumSS",IF(I4="PremiumSSS",I4,IF(I4="PremiumW",I4,"Premium")))</f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報復 モルドレッド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technical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18</v>
      </c>
      <c r="P4" s="46">
        <f t="shared" ref="P4:P5" si="4">O4/SUM(O:O)</f>
        <v>0.22500000000000001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424105</v>
      </c>
      <c r="B5" s="90">
        <v>468</v>
      </c>
      <c r="C5" s="7" t="str">
        <f t="shared" si="2"/>
        <v>PremiumSS5</v>
      </c>
      <c r="D5" s="7" t="str">
        <f t="shared" si="3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憎愛の尖鋒 モルドレッド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v>2</v>
      </c>
      <c r="P5" s="46">
        <f t="shared" si="4"/>
        <v>2.5000000000000001E-2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424105</v>
      </c>
      <c r="B6" s="60">
        <v>403</v>
      </c>
      <c r="C6" s="7" t="str">
        <f t="shared" ref="C6:C8" si="5">D6&amp;J6&amp;E6&amp;F6&amp;G6</f>
        <v>PremiumSS4</v>
      </c>
      <c r="D6" s="7" t="str">
        <f t="shared" ref="D6:D8" si="6">IF(OR(I6="PremiumSS",I6="PremiumSSw"),"PremiumSS",IF(I6="PremiumSSS",I6,IF(I6="PremiumW",I6,"Premium")))</f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静撃の翠眼 八咫烏</v>
      </c>
      <c r="I6" s="7" t="str">
        <f>VLOOKUP(B6,[1]characters!$A:$J,10,FALSE)</f>
        <v>PremiumSS</v>
      </c>
      <c r="J6" s="7">
        <f>VLOOKUP(B6,[1]characters!$A:$I,9,FALSE)</f>
        <v>4</v>
      </c>
      <c r="K6" s="7" t="str">
        <f>VLOOKUP(B6,[1]characters!$A:$H,8,FALSE)</f>
        <v>green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v>18</v>
      </c>
      <c r="P6" s="46">
        <f t="shared" ref="P6:P8" si="7">O6/SUM(O:O)</f>
        <v>0.22500000000000001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424105</v>
      </c>
      <c r="B7" s="60">
        <v>404</v>
      </c>
      <c r="C7" s="7" t="str">
        <f t="shared" si="5"/>
        <v>PremiumSS5</v>
      </c>
      <c r="D7" s="7" t="str">
        <f t="shared" si="6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空襲の神眼 八咫烏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balance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v>2</v>
      </c>
      <c r="P7" s="46">
        <f t="shared" si="7"/>
        <v>2.5000000000000001E-2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424105</v>
      </c>
      <c r="B8" s="87">
        <v>1018</v>
      </c>
      <c r="C8" s="7" t="str">
        <f t="shared" si="5"/>
        <v>PremiumSS5R5only</v>
      </c>
      <c r="D8" s="7" t="str">
        <f t="shared" si="6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バステト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god</v>
      </c>
      <c r="N8" s="7" t="str">
        <f>VLOOKUP(B8,[1]characters!$A:$G,7,FALSE)</f>
        <v>男性</v>
      </c>
      <c r="O8" s="45">
        <v>20</v>
      </c>
      <c r="P8" s="46">
        <f t="shared" si="7"/>
        <v>0.25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4"/>
  <sheetViews>
    <sheetView showGridLines="0" workbookViewId="0">
      <pane ySplit="1" topLeftCell="A2" activePane="bottomLeft" state="frozen"/>
      <selection activeCell="M24" sqref="M24"/>
      <selection pane="bottomLeft" activeCell="A2" sqref="A2:Q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2"/>
      <c r="E2" s="2"/>
      <c r="F2" s="96"/>
      <c r="G2" s="97"/>
      <c r="H2" s="97"/>
      <c r="I2" s="97"/>
      <c r="J2" s="97"/>
      <c r="K2" s="97"/>
      <c r="L2" s="97"/>
      <c r="M2" s="97"/>
      <c r="N2" s="79"/>
      <c r="O2" s="79"/>
      <c r="P2" s="79"/>
      <c r="Q2" s="80"/>
    </row>
    <row r="3" spans="1:17" ht="21" customHeight="1" x14ac:dyDescent="0.15">
      <c r="A3" s="78"/>
      <c r="B3" s="78"/>
      <c r="C3" s="2"/>
      <c r="D3" s="2"/>
      <c r="E3" s="2"/>
      <c r="F3" s="2"/>
      <c r="G3" s="97"/>
      <c r="H3" s="97"/>
      <c r="I3" s="97"/>
      <c r="J3" s="97"/>
      <c r="K3" s="97"/>
      <c r="L3" s="97"/>
      <c r="M3" s="97"/>
      <c r="N3" s="79"/>
      <c r="O3" s="79"/>
      <c r="P3" s="79"/>
      <c r="Q3" s="80"/>
    </row>
    <row r="4" spans="1:17" ht="21" customHeight="1" x14ac:dyDescent="0.15">
      <c r="A4" s="78"/>
      <c r="B4" s="78"/>
      <c r="C4" s="79"/>
      <c r="D4" s="2"/>
      <c r="E4" s="2"/>
      <c r="F4" s="96"/>
      <c r="G4" s="97"/>
      <c r="H4" s="97"/>
      <c r="I4" s="97"/>
      <c r="J4" s="97"/>
      <c r="K4" s="97"/>
      <c r="L4" s="97"/>
      <c r="M4" s="97"/>
      <c r="N4" s="79"/>
      <c r="O4" s="79"/>
      <c r="P4" s="79"/>
      <c r="Q4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input_424100</vt:lpstr>
      <vt:lpstr>tables_424100</vt:lpstr>
      <vt:lpstr>tables_settle_424105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2016-09-30T04:52:30Z</dcterms:modified>
</cp:coreProperties>
</file>