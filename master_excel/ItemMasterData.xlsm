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740" activeTab="1"/>
  </bookViews>
  <sheets>
    <sheet name="output" sheetId="16" r:id="rId1"/>
    <sheet name="items" sheetId="2" r:id="rId2"/>
    <sheet name="quest_pays" sheetId="17" r:id="rId3"/>
  </sheets>
  <externalReferences>
    <externalReference r:id="rId4"/>
    <externalReference r:id="rId5"/>
  </externalReferences>
  <definedNames>
    <definedName name="Excel_BuiltIn__FilterDatabase_4" localSheetId="2">#REF!</definedName>
    <definedName name="Excel_BuiltIn__FilterDatabase_5" localSheetId="2">#REF!</definedName>
    <definedName name="Excel_BuiltIn__FilterDatabase_6_1" localSheetId="2">[1]unit_skills!#REF!</definedName>
    <definedName name="Excel_BuiltIn__FilterDatabase_7" localSheetId="2">#REF!</definedName>
    <definedName name="Excel_BuiltIn__FilterDatabase_8" localSheetId="2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2" i="2" l="1"/>
  <c r="H41" i="2"/>
  <c r="H40" i="2"/>
  <c r="H57" i="2"/>
  <c r="H56" i="2"/>
  <c r="H55" i="2"/>
  <c r="H54" i="2"/>
  <c r="H53" i="2"/>
  <c r="H24" i="2"/>
  <c r="H51" i="2"/>
  <c r="H23" i="2"/>
  <c r="H22" i="2"/>
  <c r="H18" i="2"/>
  <c r="H19" i="2"/>
  <c r="H20" i="2"/>
  <c r="H21" i="2"/>
  <c r="H17" i="2"/>
  <c r="H48" i="2"/>
  <c r="H27" i="2"/>
  <c r="H26" i="2"/>
  <c r="I27" i="2"/>
  <c r="I15" i="2"/>
  <c r="H16" i="2"/>
  <c r="H15" i="2"/>
  <c r="I14" i="2"/>
  <c r="H14" i="2"/>
  <c r="I2" i="2"/>
  <c r="I43" i="2"/>
  <c r="H47" i="2"/>
  <c r="H46" i="2"/>
  <c r="H45" i="2"/>
  <c r="H44" i="2"/>
  <c r="H43" i="2"/>
  <c r="I3" i="2"/>
  <c r="I4" i="2"/>
  <c r="I5" i="2"/>
  <c r="I6" i="2"/>
  <c r="I7" i="2"/>
  <c r="I8" i="2"/>
  <c r="I9" i="2"/>
  <c r="I10" i="2"/>
  <c r="I11" i="2"/>
  <c r="I12" i="2"/>
  <c r="I13" i="2"/>
  <c r="H3" i="2"/>
  <c r="H4" i="2"/>
  <c r="H5" i="2"/>
  <c r="H6" i="2"/>
  <c r="H7" i="2"/>
  <c r="H8" i="2"/>
  <c r="H9" i="2"/>
  <c r="H10" i="2"/>
  <c r="H11" i="2"/>
  <c r="H12" i="2"/>
  <c r="H13" i="2"/>
  <c r="H2" i="2"/>
  <c r="B26" i="17"/>
  <c r="C26" i="17"/>
  <c r="D26" i="17"/>
  <c r="G26" i="17"/>
  <c r="G30" i="17"/>
  <c r="G29" i="17"/>
  <c r="G28" i="17"/>
  <c r="G27" i="17"/>
  <c r="G31" i="17"/>
  <c r="G25" i="17"/>
  <c r="G24" i="17"/>
  <c r="G23" i="17"/>
  <c r="G22" i="17"/>
  <c r="G20" i="17"/>
  <c r="G19" i="17"/>
  <c r="G18" i="17"/>
  <c r="G17" i="17"/>
  <c r="G21" i="17"/>
  <c r="G15" i="17"/>
  <c r="G14" i="17"/>
  <c r="G13" i="17"/>
  <c r="G12" i="17"/>
  <c r="G16" i="17"/>
  <c r="G10" i="17"/>
  <c r="G9" i="17"/>
  <c r="G8" i="17"/>
  <c r="G7" i="17"/>
  <c r="G11" i="17"/>
  <c r="G5" i="17"/>
  <c r="G4" i="17"/>
  <c r="G3" i="17"/>
  <c r="G2" i="17"/>
  <c r="G6" i="17"/>
  <c r="E4" i="16"/>
  <c r="B6" i="17"/>
  <c r="C6" i="17"/>
  <c r="D6" i="17"/>
  <c r="B2" i="17"/>
  <c r="C2" i="17"/>
  <c r="D2" i="17"/>
  <c r="B3" i="17"/>
  <c r="C3" i="17"/>
  <c r="D3" i="17"/>
  <c r="B4" i="17"/>
  <c r="C4" i="17"/>
  <c r="D4" i="17"/>
  <c r="B5" i="17"/>
  <c r="C5" i="17"/>
  <c r="D5" i="17"/>
  <c r="B11" i="17"/>
  <c r="C11" i="17"/>
  <c r="D11" i="17"/>
  <c r="B7" i="17"/>
  <c r="C7" i="17"/>
  <c r="D7" i="17"/>
  <c r="B8" i="17"/>
  <c r="C8" i="17"/>
  <c r="D8" i="17"/>
  <c r="B9" i="17"/>
  <c r="C9" i="17"/>
  <c r="D9" i="17"/>
  <c r="B10" i="17"/>
  <c r="C10" i="17"/>
  <c r="D10" i="17"/>
  <c r="B16" i="17"/>
  <c r="C16" i="17"/>
  <c r="D16" i="17"/>
  <c r="B12" i="17"/>
  <c r="C12" i="17"/>
  <c r="D12" i="17"/>
  <c r="B13" i="17"/>
  <c r="C13" i="17"/>
  <c r="D13" i="17"/>
  <c r="B14" i="17"/>
  <c r="C14" i="17"/>
  <c r="D14" i="17"/>
  <c r="B15" i="17"/>
  <c r="C15" i="17"/>
  <c r="D15" i="17"/>
  <c r="B21" i="17"/>
  <c r="C21" i="17"/>
  <c r="D21" i="17"/>
  <c r="B17" i="17"/>
  <c r="C17" i="17"/>
  <c r="D17" i="17"/>
  <c r="B18" i="17"/>
  <c r="C18" i="17"/>
  <c r="D18" i="17"/>
  <c r="B19" i="17"/>
  <c r="C19" i="17"/>
  <c r="D19" i="17"/>
  <c r="B20" i="17"/>
  <c r="C20" i="17"/>
  <c r="D20" i="17"/>
  <c r="B22" i="17"/>
  <c r="C22" i="17"/>
  <c r="D22" i="17"/>
  <c r="B23" i="17"/>
  <c r="C23" i="17"/>
  <c r="D23" i="17"/>
  <c r="B24" i="17"/>
  <c r="C24" i="17"/>
  <c r="D24" i="17"/>
  <c r="B25" i="17"/>
  <c r="C25" i="17"/>
  <c r="D25" i="17"/>
  <c r="B31" i="17"/>
  <c r="C31" i="17"/>
  <c r="D31" i="17"/>
  <c r="B27" i="17"/>
  <c r="C27" i="17"/>
  <c r="D27" i="17"/>
  <c r="B28" i="17"/>
  <c r="C28" i="17"/>
  <c r="D28" i="17"/>
  <c r="B29" i="17"/>
  <c r="C29" i="17"/>
  <c r="D29" i="17"/>
  <c r="B30" i="17"/>
  <c r="C30" i="17"/>
  <c r="D30" i="17"/>
  <c r="A13" i="2"/>
  <c r="A12" i="2"/>
  <c r="A11" i="2"/>
  <c r="A10" i="2"/>
  <c r="A9" i="2"/>
  <c r="A8" i="2"/>
  <c r="A7" i="2"/>
  <c r="A6" i="2"/>
  <c r="E3" i="16"/>
  <c r="A5" i="2"/>
  <c r="A4" i="2"/>
  <c r="A3" i="2"/>
  <c r="A2" i="2"/>
  <c r="E2" i="16"/>
</calcChain>
</file>

<file path=xl/comments1.xml><?xml version="1.0" encoding="utf-8"?>
<comments xmlns="http://schemas.openxmlformats.org/spreadsheetml/2006/main">
  <authors>
    <author>鷲見 政明</author>
  </authors>
  <commentList>
    <comment ref="D1" authorId="0">
      <text>
        <r>
          <rPr>
            <b/>
            <sz val="10"/>
            <color indexed="81"/>
            <rFont val="ＭＳ Ｐゴシック"/>
            <family val="3"/>
            <charset val="128"/>
          </rPr>
          <t>不要につき削除対象</t>
        </r>
      </text>
    </comment>
  </commentList>
</comments>
</file>

<file path=xl/sharedStrings.xml><?xml version="1.0" encoding="utf-8"?>
<sst xmlns="http://schemas.openxmlformats.org/spreadsheetml/2006/main" count="462" uniqueCount="218">
  <si>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</si>
  <si>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</si>
  <si>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</si>
  <si>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</si>
  <si>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</si>
  <si>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</si>
  <si>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出力flg</t>
    <rPh sb="0" eb="2">
      <t>シュツリョク</t>
    </rPh>
    <phoneticPr fontId="4"/>
  </si>
  <si>
    <t>item_id</t>
    <phoneticPr fontId="4"/>
  </si>
  <si>
    <t>item_code</t>
    <phoneticPr fontId="4"/>
  </si>
  <si>
    <t>start_date</t>
    <phoneticPr fontId="4"/>
  </si>
  <si>
    <t>end_date</t>
    <phoneticPr fontId="4"/>
  </si>
  <si>
    <t>image_filename</t>
    <phoneticPr fontId="4"/>
  </si>
  <si>
    <t>old</t>
    <phoneticPr fontId="4"/>
  </si>
  <si>
    <t>.csv</t>
    <phoneticPr fontId="4"/>
  </si>
  <si>
    <t>items</t>
    <phoneticPr fontId="4"/>
  </si>
  <si>
    <t>items</t>
    <phoneticPr fontId="4"/>
  </si>
  <si>
    <t>2016-01-01 00:00:00</t>
    <phoneticPr fontId="4"/>
  </si>
  <si>
    <t>2970-01-01 09:00:00</t>
  </si>
  <si>
    <t>概要</t>
    <rPh sb="0" eb="2">
      <t>ガイヨウ</t>
    </rPh>
    <phoneticPr fontId="4"/>
  </si>
  <si>
    <t>key_exp</t>
    <phoneticPr fontId="4"/>
  </si>
  <si>
    <t>key_bit</t>
    <phoneticPr fontId="4"/>
  </si>
  <si>
    <t>key_ltb</t>
    <phoneticPr fontId="4"/>
  </si>
  <si>
    <t>key_master</t>
    <phoneticPr fontId="4"/>
  </si>
  <si>
    <t>経験値用ロッククエスト開放キー</t>
    <rPh sb="0" eb="4">
      <t>ケイケンチヨウ</t>
    </rPh>
    <rPh sb="11" eb="13">
      <t>カイホウ</t>
    </rPh>
    <phoneticPr fontId="4"/>
  </si>
  <si>
    <t>ビット用ロッククエスト開放キー</t>
    <rPh sb="3" eb="11">
      <t>ヨウ</t>
    </rPh>
    <rPh sb="11" eb="13">
      <t>カイホウ</t>
    </rPh>
    <phoneticPr fontId="4"/>
  </si>
  <si>
    <t>限界突破用ロッククエスト開放キー</t>
    <rPh sb="0" eb="5">
      <t>ゲンカイトッパヨウ</t>
    </rPh>
    <rPh sb="12" eb="14">
      <t>カイホウ</t>
    </rPh>
    <phoneticPr fontId="4"/>
  </si>
  <si>
    <t>ロッククエスト開放マスターキー</t>
    <rPh sb="7" eb="9">
      <t>カイホウ</t>
    </rPh>
    <phoneticPr fontId="4"/>
  </si>
  <si>
    <t>items_i18n</t>
    <phoneticPr fontId="4"/>
  </si>
  <si>
    <t>language</t>
    <phoneticPr fontId="4"/>
  </si>
  <si>
    <t>item_name</t>
    <phoneticPr fontId="4"/>
  </si>
  <si>
    <t>ja</t>
    <phoneticPr fontId="4"/>
  </si>
  <si>
    <t>ja</t>
    <phoneticPr fontId="4"/>
  </si>
  <si>
    <t>ja</t>
    <phoneticPr fontId="4"/>
  </si>
  <si>
    <t>ja</t>
    <phoneticPr fontId="4"/>
  </si>
  <si>
    <t>language</t>
    <phoneticPr fontId="4"/>
  </si>
  <si>
    <t>item_name</t>
    <phoneticPr fontId="4"/>
  </si>
  <si>
    <t>image_filename</t>
    <phoneticPr fontId="4"/>
  </si>
  <si>
    <t>key_master_solo</t>
    <phoneticPr fontId="4"/>
  </si>
  <si>
    <t>key_exp_solo</t>
    <phoneticPr fontId="4"/>
  </si>
  <si>
    <t>key_bit_solo</t>
    <phoneticPr fontId="4"/>
  </si>
  <si>
    <t>key_ltb_solo</t>
    <phoneticPr fontId="4"/>
  </si>
  <si>
    <t>key_master_line</t>
    <phoneticPr fontId="4"/>
  </si>
  <si>
    <t>key_exp_line</t>
    <phoneticPr fontId="4"/>
  </si>
  <si>
    <t>key_bit_line</t>
    <phoneticPr fontId="4"/>
  </si>
  <si>
    <t>key_ltb_line</t>
    <phoneticPr fontId="4"/>
  </si>
  <si>
    <t>key_master</t>
    <phoneticPr fontId="18"/>
  </si>
  <si>
    <t>all</t>
    <phoneticPr fontId="18"/>
  </si>
  <si>
    <t>key_master_line</t>
    <phoneticPr fontId="18"/>
  </si>
  <si>
    <t>all</t>
    <phoneticPr fontId="18"/>
  </si>
  <si>
    <t>key_ltb</t>
    <phoneticPr fontId="18"/>
  </si>
  <si>
    <t>all</t>
    <phoneticPr fontId="18"/>
  </si>
  <si>
    <t>key_ltb_line</t>
    <phoneticPr fontId="18"/>
  </si>
  <si>
    <t>polygon</t>
    <phoneticPr fontId="18"/>
  </si>
  <si>
    <t>key_master</t>
    <phoneticPr fontId="18"/>
  </si>
  <si>
    <t>key_master_line</t>
    <phoneticPr fontId="18"/>
  </si>
  <si>
    <t>key_bit</t>
    <phoneticPr fontId="18"/>
  </si>
  <si>
    <t>key_bit_line</t>
    <phoneticPr fontId="18"/>
  </si>
  <si>
    <t>key_exp</t>
    <phoneticPr fontId="18"/>
  </si>
  <si>
    <t>key_exp_line</t>
    <phoneticPr fontId="18"/>
  </si>
  <si>
    <t>key_master_solo</t>
    <phoneticPr fontId="18"/>
  </si>
  <si>
    <t>key_ltb_solo</t>
    <phoneticPr fontId="18"/>
  </si>
  <si>
    <t>key_bit_solo</t>
    <phoneticPr fontId="18"/>
  </si>
  <si>
    <t>key_exp_solo</t>
    <phoneticPr fontId="18"/>
  </si>
  <si>
    <t>priority</t>
    <phoneticPr fontId="18"/>
  </si>
  <si>
    <t>pay_cost</t>
    <phoneticPr fontId="18"/>
  </si>
  <si>
    <t>pay_type</t>
    <phoneticPr fontId="18"/>
  </si>
  <si>
    <t>pay_target</t>
    <phoneticPr fontId="18"/>
  </si>
  <si>
    <t>event_target</t>
  </si>
  <si>
    <t>位置付け</t>
    <rPh sb="0" eb="3">
      <t>イチヅ</t>
    </rPh>
    <phoneticPr fontId="18"/>
  </si>
  <si>
    <t>name</t>
    <phoneticPr fontId="18"/>
  </si>
  <si>
    <t>quest_id</t>
  </si>
  <si>
    <t>old</t>
    <phoneticPr fontId="18"/>
  </si>
  <si>
    <t>quest_pays</t>
    <phoneticPr fontId="18"/>
  </si>
  <si>
    <t>pay_target</t>
    <phoneticPr fontId="18"/>
  </si>
  <si>
    <t>pay_type</t>
    <phoneticPr fontId="18"/>
  </si>
  <si>
    <t>pay_cost</t>
    <phoneticPr fontId="18"/>
  </si>
  <si>
    <t>item_name</t>
    <phoneticPr fontId="18"/>
  </si>
  <si>
    <t>MAX=11</t>
    <phoneticPr fontId="4"/>
  </si>
  <si>
    <t>マスターキー</t>
    <phoneticPr fontId="4"/>
  </si>
  <si>
    <t>経験値キー</t>
    <rPh sb="0" eb="3">
      <t>ケイケンチ</t>
    </rPh>
    <phoneticPr fontId="4"/>
  </si>
  <si>
    <t>ビットキー</t>
    <phoneticPr fontId="4"/>
  </si>
  <si>
    <t>限界突破キー</t>
    <rPh sb="0" eb="4">
      <t>ゲンカイトッパ</t>
    </rPh>
    <phoneticPr fontId="4"/>
  </si>
  <si>
    <t>ソロ限定マスターキー</t>
    <rPh sb="2" eb="4">
      <t>ゲンテイ</t>
    </rPh>
    <phoneticPr fontId="4"/>
  </si>
  <si>
    <t>ソロ限定経験値キー</t>
    <rPh sb="4" eb="7">
      <t>ケイケンチ</t>
    </rPh>
    <phoneticPr fontId="4"/>
  </si>
  <si>
    <t>ソロ限定ビットキー</t>
    <phoneticPr fontId="4"/>
  </si>
  <si>
    <t>ソロ限定限界突破キー</t>
    <rPh sb="4" eb="8">
      <t>ゲンカイトッパ</t>
    </rPh>
    <phoneticPr fontId="4"/>
  </si>
  <si>
    <t>LINE限定マスターキー</t>
    <phoneticPr fontId="4"/>
  </si>
  <si>
    <t>LINE限定経験値キー</t>
    <rPh sb="6" eb="9">
      <t>ケイケンチ</t>
    </rPh>
    <phoneticPr fontId="4"/>
  </si>
  <si>
    <t>LINE限定ビットキー</t>
    <phoneticPr fontId="4"/>
  </si>
  <si>
    <t>LINE限定限界突破キー</t>
    <rPh sb="6" eb="10">
      <t>ゲンカイトッパ</t>
    </rPh>
    <phoneticPr fontId="4"/>
  </si>
  <si>
    <t>ブロンズチケット</t>
    <phoneticPr fontId="4"/>
  </si>
  <si>
    <t>ゴールドチケット</t>
    <phoneticPr fontId="4"/>
  </si>
  <si>
    <t>ノーマルチケット</t>
    <phoneticPr fontId="4"/>
  </si>
  <si>
    <t>レアチケット</t>
    <phoneticPr fontId="4"/>
  </si>
  <si>
    <t>シルバーチケット</t>
    <phoneticPr fontId="4"/>
  </si>
  <si>
    <t>アイテム１</t>
    <phoneticPr fontId="4"/>
  </si>
  <si>
    <t>アイテム２</t>
  </si>
  <si>
    <t>アイテム３</t>
  </si>
  <si>
    <t>アイテム４</t>
  </si>
  <si>
    <t>アイテム５</t>
  </si>
  <si>
    <t>item100</t>
    <phoneticPr fontId="4"/>
  </si>
  <si>
    <t>item101</t>
  </si>
  <si>
    <t>item102</t>
  </si>
  <si>
    <t>item103</t>
  </si>
  <si>
    <t>item104</t>
  </si>
  <si>
    <t>初心者応援パックチケット</t>
    <rPh sb="0" eb="3">
      <t>ショシンシャ</t>
    </rPh>
    <rPh sb="3" eb="5">
      <t>オウエン</t>
    </rPh>
    <phoneticPr fontId="4"/>
  </si>
  <si>
    <t>中級者パックチケット</t>
    <rPh sb="0" eb="3">
      <t>チュウキュウシャ</t>
    </rPh>
    <phoneticPr fontId="4"/>
  </si>
  <si>
    <t>★5一体確定5連チケット</t>
    <rPh sb="2" eb="4">
      <t>イッタイ</t>
    </rPh>
    <rPh sb="4" eb="6">
      <t>カクテイ</t>
    </rPh>
    <rPh sb="7" eb="8">
      <t>レン</t>
    </rPh>
    <phoneticPr fontId="4"/>
  </si>
  <si>
    <t>お得チケット</t>
    <phoneticPr fontId="4"/>
  </si>
  <si>
    <t>ticket_beginner</t>
    <phoneticPr fontId="4"/>
  </si>
  <si>
    <t>ticket_middle</t>
    <phoneticPr fontId="4"/>
  </si>
  <si>
    <t>ticket_other</t>
    <phoneticPr fontId="4"/>
  </si>
  <si>
    <t>ticket_piece</t>
    <phoneticPr fontId="4"/>
  </si>
  <si>
    <t>ランキングチケット</t>
    <phoneticPr fontId="4"/>
  </si>
  <si>
    <t>ticket_ranking160401</t>
    <phoneticPr fontId="4"/>
  </si>
  <si>
    <t>ticket_1604.png</t>
    <phoneticPr fontId="4"/>
  </si>
  <si>
    <t>★6覚醒可能ユニット50%チケット</t>
    <rPh sb="2" eb="4">
      <t>カクセイ</t>
    </rPh>
    <rPh sb="4" eb="6">
      <t>カノウ</t>
    </rPh>
    <phoneticPr fontId="4"/>
  </si>
  <si>
    <t>ticket_R6_50p</t>
    <phoneticPr fontId="4"/>
  </si>
  <si>
    <t>ticket_ranking160608</t>
    <phoneticPr fontId="4"/>
  </si>
  <si>
    <t>ticket_1604.png</t>
    <phoneticPr fontId="4"/>
  </si>
  <si>
    <t>★6覚醒1体確定チケット</t>
    <rPh sb="2" eb="4">
      <t>カクセイ</t>
    </rPh>
    <rPh sb="5" eb="6">
      <t>イッタイ</t>
    </rPh>
    <rPh sb="6" eb="8">
      <t>カクテイ</t>
    </rPh>
    <phoneticPr fontId="4"/>
  </si>
  <si>
    <t>★6覚醒1体確定5連チケット</t>
    <rPh sb="2" eb="4">
      <t>カクセイ</t>
    </rPh>
    <rPh sb="5" eb="6">
      <t>イッタイ</t>
    </rPh>
    <rPh sb="6" eb="8">
      <t>カクテイ</t>
    </rPh>
    <rPh sb="9" eb="10">
      <t>レン</t>
    </rPh>
    <phoneticPr fontId="4"/>
  </si>
  <si>
    <t>槍のチケットピース</t>
    <phoneticPr fontId="4"/>
  </si>
  <si>
    <t>ticket_ranking160711</t>
    <phoneticPr fontId="4"/>
  </si>
  <si>
    <t>ランキングチケット</t>
    <phoneticPr fontId="4"/>
  </si>
  <si>
    <t>ja</t>
    <phoneticPr fontId="4"/>
  </si>
  <si>
    <t>ja</t>
    <phoneticPr fontId="4"/>
  </si>
  <si>
    <t>刀のチケットピース</t>
    <phoneticPr fontId="4"/>
  </si>
  <si>
    <t>刀のチケットピース</t>
    <phoneticPr fontId="4"/>
  </si>
  <si>
    <t>ticket_1607.png</t>
    <phoneticPr fontId="4"/>
  </si>
  <si>
    <t>ticket_piece_spear</t>
    <phoneticPr fontId="4"/>
  </si>
  <si>
    <t>ticket_piece.png</t>
  </si>
  <si>
    <t>スイカチケット</t>
  </si>
  <si>
    <t>スイカチケット</t>
    <phoneticPr fontId="4"/>
  </si>
  <si>
    <t>ticket_suika.png</t>
    <phoneticPr fontId="4"/>
  </si>
  <si>
    <t>ticket_suika</t>
    <phoneticPr fontId="4"/>
  </si>
  <si>
    <t>刀のランキングガチャチケット</t>
    <phoneticPr fontId="4"/>
  </si>
  <si>
    <t>槍のランキングガチャチケット</t>
    <phoneticPr fontId="4"/>
  </si>
  <si>
    <t>ランキングチケット</t>
    <phoneticPr fontId="4"/>
  </si>
  <si>
    <t>超厳選ガチャチケット</t>
    <phoneticPr fontId="4"/>
  </si>
  <si>
    <t>ticket_hyperlimited_1609</t>
    <phoneticPr fontId="4"/>
  </si>
  <si>
    <t>ticket_fes_161013</t>
    <phoneticPr fontId="4"/>
  </si>
  <si>
    <t>★6覚醒可能ユニットチケット</t>
    <phoneticPr fontId="4"/>
  </si>
  <si>
    <t>★6覚醒可能ユニットチケット</t>
    <phoneticPr fontId="4"/>
  </si>
  <si>
    <t>ico_r6omake_100px.png</t>
  </si>
  <si>
    <t>ticket_okashi</t>
    <phoneticPr fontId="4"/>
  </si>
  <si>
    <t>お菓子チケット</t>
    <phoneticPr fontId="4"/>
  </si>
  <si>
    <t>お菓子チケット</t>
    <phoneticPr fontId="4"/>
  </si>
  <si>
    <t>ticket_okashi.png</t>
    <phoneticPr fontId="4"/>
  </si>
  <si>
    <t>ticket_middle_01</t>
    <phoneticPr fontId="4"/>
  </si>
  <si>
    <t>★6確定ガチャチケット</t>
    <phoneticPr fontId="4"/>
  </si>
  <si>
    <t>★5赤属性ガチャチケット</t>
    <phoneticPr fontId="4"/>
  </si>
  <si>
    <t>★5緑属性ガチャチケット</t>
    <phoneticPr fontId="4"/>
  </si>
  <si>
    <t>★5青属性ガチャチケット</t>
    <phoneticPr fontId="4"/>
  </si>
  <si>
    <t>★5黄属性ガチャチケット</t>
    <phoneticPr fontId="4"/>
  </si>
  <si>
    <t>高評価選抜ガチャチケット</t>
    <phoneticPr fontId="4"/>
  </si>
  <si>
    <t>高評価選抜ガチャチケット</t>
    <phoneticPr fontId="4"/>
  </si>
  <si>
    <t>★5緑属性ガチャチケット</t>
    <phoneticPr fontId="4"/>
  </si>
  <si>
    <t>★5青属性ガチャチケット</t>
    <phoneticPr fontId="4"/>
  </si>
  <si>
    <t>★5黄属性ガチャチケット</t>
    <phoneticPr fontId="4"/>
  </si>
  <si>
    <t>ticket_beginner_red</t>
    <phoneticPr fontId="4"/>
  </si>
  <si>
    <t>ticket_beginner_green</t>
    <phoneticPr fontId="4"/>
  </si>
  <si>
    <t>ticket_beginner_blue</t>
    <phoneticPr fontId="4"/>
  </si>
  <si>
    <t>ticket_beginner_yellow</t>
    <phoneticPr fontId="4"/>
  </si>
  <si>
    <t>ticket_beginner_r6</t>
    <phoneticPr fontId="4"/>
  </si>
  <si>
    <t>★6確定ガチャチケット</t>
    <phoneticPr fontId="4"/>
  </si>
  <si>
    <t>★5赤属性ガチャチケット</t>
    <phoneticPr fontId="4"/>
  </si>
  <si>
    <t>杖のランキングガチャチケット</t>
    <rPh sb="0" eb="1">
      <t>ツ</t>
    </rPh>
    <phoneticPr fontId="4"/>
  </si>
  <si>
    <t>ticket_1611.png</t>
    <phoneticPr fontId="4"/>
  </si>
  <si>
    <t>杖のチケットピース</t>
    <rPh sb="0" eb="1">
      <t>ツ</t>
    </rPh>
    <phoneticPr fontId="4"/>
  </si>
  <si>
    <t>ticket_ranking161115</t>
    <phoneticPr fontId="4"/>
  </si>
  <si>
    <t>ticket_piece_cane</t>
    <phoneticPr fontId="4"/>
  </si>
  <si>
    <t>2016-01-01 00:00:00</t>
    <phoneticPr fontId="4"/>
  </si>
  <si>
    <t>カムバックガチャチケット</t>
    <phoneticPr fontId="4"/>
  </si>
  <si>
    <t>カムバックガチャチケット</t>
    <phoneticPr fontId="4"/>
  </si>
  <si>
    <t>ticket_comeback</t>
    <phoneticPr fontId="4"/>
  </si>
  <si>
    <t>700万DL記念ガチャチケット</t>
    <phoneticPr fontId="4"/>
  </si>
  <si>
    <t>ticket_7million.png</t>
    <phoneticPr fontId="4"/>
  </si>
  <si>
    <t>ticket_7million</t>
    <phoneticPr fontId="4"/>
  </si>
  <si>
    <t>ticket_winter</t>
    <phoneticPr fontId="4"/>
  </si>
  <si>
    <t>ウィンターチケット</t>
    <phoneticPr fontId="4"/>
  </si>
  <si>
    <t>ウィンターチケット</t>
    <phoneticPr fontId="4"/>
  </si>
  <si>
    <t>ticket_winter.png</t>
    <phoneticPr fontId="4"/>
  </si>
  <si>
    <t>30日達成スペシャルチケット</t>
    <rPh sb="2" eb="3">
      <t>ニチ</t>
    </rPh>
    <rPh sb="3" eb="5">
      <t>タッセイ</t>
    </rPh>
    <phoneticPr fontId="4"/>
  </si>
  <si>
    <t>30day_sp_ticket</t>
    <phoneticPr fontId="4"/>
  </si>
  <si>
    <t>ticket_whiteday　</t>
    <phoneticPr fontId="4"/>
  </si>
  <si>
    <t>ホワイトデーチケット</t>
    <phoneticPr fontId="4"/>
  </si>
  <si>
    <t>ticket_whiteday.png</t>
    <phoneticPr fontId="4"/>
  </si>
  <si>
    <t>ticket_nyanko</t>
    <phoneticPr fontId="4"/>
  </si>
  <si>
    <t>にゃんこワクワクチケット</t>
    <phoneticPr fontId="4"/>
  </si>
  <si>
    <t>ticket_nyanko.png</t>
    <phoneticPr fontId="4"/>
  </si>
  <si>
    <t>ticket_sakura</t>
    <phoneticPr fontId="4"/>
  </si>
  <si>
    <t>ticket_sakura.png</t>
    <phoneticPr fontId="4"/>
  </si>
  <si>
    <t>桜の花びら</t>
    <rPh sb="0" eb="1">
      <t>サクｒ</t>
    </rPh>
    <phoneticPr fontId="4"/>
  </si>
  <si>
    <t>ticket_hanamiPack</t>
    <phoneticPr fontId="4"/>
  </si>
  <si>
    <t>コスト53確定ガチャチケット</t>
    <phoneticPr fontId="4"/>
  </si>
  <si>
    <t>ハッピーチケットピース</t>
    <phoneticPr fontId="4"/>
  </si>
  <si>
    <t>ticket_piece_happy.png</t>
    <phoneticPr fontId="4"/>
  </si>
  <si>
    <t>ticket_piece_happy</t>
    <phoneticPr fontId="4"/>
  </si>
  <si>
    <t>ticket_middle_02</t>
    <phoneticPr fontId="4"/>
  </si>
  <si>
    <t>ticket_middle_01.png</t>
  </si>
  <si>
    <t>ticket_collabo_hagane</t>
    <phoneticPr fontId="4"/>
  </si>
  <si>
    <t>コラボ限定ガチャチケット</t>
    <rPh sb="3" eb="5">
      <t>ゲンテ</t>
    </rPh>
    <phoneticPr fontId="4"/>
  </si>
  <si>
    <t>ticket_8million_level1</t>
    <phoneticPr fontId="4"/>
  </si>
  <si>
    <t>ticket_8million_level2</t>
    <phoneticPr fontId="4"/>
  </si>
  <si>
    <t>ticket_8million_level3</t>
    <phoneticPr fontId="4"/>
  </si>
  <si>
    <t>ticket_8million_sp</t>
    <phoneticPr fontId="4"/>
  </si>
  <si>
    <t>記念チケットLv1</t>
    <phoneticPr fontId="4"/>
  </si>
  <si>
    <t>記念チケットLv2</t>
    <phoneticPr fontId="4"/>
  </si>
  <si>
    <t>記念チケットLv3</t>
    <phoneticPr fontId="4"/>
  </si>
  <si>
    <t>★6確定記念チケット</t>
    <rPh sb="2" eb="4">
      <t>カクテ</t>
    </rPh>
    <rPh sb="4" eb="6">
      <t>ｋ</t>
    </rPh>
    <phoneticPr fontId="4"/>
  </si>
  <si>
    <t>800万DL記念ガチャチケット</t>
    <phoneticPr fontId="4"/>
  </si>
  <si>
    <t>ticket_red_bouquet</t>
    <phoneticPr fontId="18"/>
  </si>
  <si>
    <t>ticket_green_bouquet</t>
    <phoneticPr fontId="18"/>
  </si>
  <si>
    <t>ticket_juneBride</t>
    <phoneticPr fontId="4"/>
  </si>
  <si>
    <t>レッドブーケ</t>
    <phoneticPr fontId="4"/>
  </si>
  <si>
    <t>グリーンブーケ</t>
    <phoneticPr fontId="4"/>
  </si>
  <si>
    <t>ジューンブライドチケット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</si>
</sst>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indexed="81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6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38" fontId="10" fillId="0" borderId="0" applyFill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0" borderId="0"/>
    <xf numFmtId="0" fontId="14" fillId="0" borderId="0">
      <alignment vertical="center"/>
    </xf>
    <xf numFmtId="0" fontId="15" fillId="0" borderId="0">
      <alignment vertical="center"/>
    </xf>
    <xf numFmtId="0" fontId="16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9" fillId="0" borderId="0"/>
    <xf numFmtId="0" fontId="19" fillId="11" borderId="5" applyNumberFormat="0" applyAlignment="0" applyProtection="0"/>
    <xf numFmtId="0" fontId="23" fillId="12" borderId="0" applyNumberFormat="0" applyBorder="0" applyAlignment="0" applyProtection="0"/>
    <xf numFmtId="0" fontId="24" fillId="13" borderId="6" applyNumberFormat="0" applyAlignment="0" applyProtection="0"/>
    <xf numFmtId="0" fontId="25" fillId="0" borderId="0" applyNumberFormat="0" applyFill="0" applyBorder="0" applyAlignment="0" applyProtection="0"/>
    <xf numFmtId="0" fontId="26" fillId="14" borderId="0" applyNumberFormat="0" applyBorder="0" applyAlignment="0" applyProtection="0"/>
    <xf numFmtId="0" fontId="27" fillId="15" borderId="7" applyNumberFormat="0" applyAlignment="0" applyProtection="0"/>
    <xf numFmtId="0" fontId="28" fillId="0" borderId="0" applyNumberFormat="0" applyFill="0" applyBorder="0" applyAlignment="0" applyProtection="0"/>
    <xf numFmtId="0" fontId="29" fillId="0" borderId="8" applyNumberFormat="0" applyFill="0" applyAlignment="0" applyProtection="0"/>
    <xf numFmtId="0" fontId="30" fillId="0" borderId="9" applyNumberFormat="0" applyFill="0" applyAlignment="0" applyProtection="0"/>
    <xf numFmtId="0" fontId="31" fillId="0" borderId="10" applyNumberFormat="0" applyFill="0" applyAlignment="0" applyProtection="0"/>
    <xf numFmtId="0" fontId="31" fillId="0" borderId="0" applyNumberFormat="0" applyFill="0" applyBorder="0" applyAlignment="0" applyProtection="0"/>
    <xf numFmtId="0" fontId="32" fillId="13" borderId="0" applyNumberFormat="0" applyBorder="0" applyAlignment="0" applyProtection="0"/>
    <xf numFmtId="0" fontId="32" fillId="12" borderId="0" applyNumberFormat="0" applyBorder="0" applyAlignment="0" applyProtection="0"/>
    <xf numFmtId="0" fontId="32" fillId="16" borderId="0" applyNumberFormat="0" applyBorder="0" applyAlignment="0" applyProtection="0"/>
    <xf numFmtId="0" fontId="32" fillId="13" borderId="0" applyNumberFormat="0" applyBorder="0" applyAlignment="0" applyProtection="0"/>
    <xf numFmtId="0" fontId="32" fillId="17" borderId="0" applyNumberFormat="0" applyBorder="0" applyAlignment="0" applyProtection="0"/>
    <xf numFmtId="0" fontId="32" fillId="11" borderId="0" applyNumberFormat="0" applyBorder="0" applyAlignment="0" applyProtection="0"/>
    <xf numFmtId="0" fontId="32" fillId="13" borderId="0" applyNumberFormat="0" applyBorder="0" applyAlignment="0" applyProtection="0"/>
    <xf numFmtId="0" fontId="32" fillId="18" borderId="0" applyNumberFormat="0" applyBorder="0" applyAlignment="0" applyProtection="0"/>
    <xf numFmtId="0" fontId="32" fillId="16" borderId="0" applyNumberFormat="0" applyBorder="0" applyAlignment="0" applyProtection="0"/>
    <xf numFmtId="0" fontId="32" fillId="13" borderId="0" applyNumberFormat="0" applyBorder="0" applyAlignment="0" applyProtection="0"/>
    <xf numFmtId="0" fontId="32" fillId="19" borderId="0" applyNumberFormat="0" applyBorder="0" applyAlignment="0" applyProtection="0"/>
    <xf numFmtId="0" fontId="32" fillId="12" borderId="0" applyNumberFormat="0" applyBorder="0" applyAlignment="0" applyProtection="0"/>
    <xf numFmtId="0" fontId="33" fillId="20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3" fillId="20" borderId="0" applyNumberFormat="0" applyBorder="0" applyAlignment="0" applyProtection="0"/>
    <xf numFmtId="0" fontId="33" fillId="12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16" borderId="0" applyNumberFormat="0" applyBorder="0" applyAlignment="0" applyProtection="0"/>
    <xf numFmtId="0" fontId="33" fillId="22" borderId="0" applyNumberFormat="0" applyBorder="0" applyAlignment="0" applyProtection="0"/>
    <xf numFmtId="0" fontId="33" fillId="20" borderId="0" applyNumberFormat="0" applyBorder="0" applyAlignment="0" applyProtection="0"/>
    <xf numFmtId="0" fontId="33" fillId="18" borderId="0" applyNumberFormat="0" applyBorder="0" applyAlignment="0" applyProtection="0"/>
    <xf numFmtId="0" fontId="34" fillId="23" borderId="0" applyNumberFormat="0" applyBorder="0" applyAlignment="0" applyProtection="0"/>
    <xf numFmtId="0" fontId="23" fillId="12" borderId="0" applyNumberFormat="0" applyBorder="0" applyAlignment="0" applyProtection="0"/>
    <xf numFmtId="0" fontId="35" fillId="0" borderId="11" applyNumberFormat="0" applyFill="0" applyAlignment="0" applyProtection="0"/>
    <xf numFmtId="0" fontId="36" fillId="13" borderId="12" applyNumberFormat="0" applyAlignment="0" applyProtection="0"/>
    <xf numFmtId="0" fontId="36" fillId="24" borderId="12" applyNumberFormat="0" applyAlignment="0" applyProtection="0"/>
    <xf numFmtId="0" fontId="24" fillId="12" borderId="6" applyNumberFormat="0" applyAlignment="0" applyProtection="0"/>
    <xf numFmtId="0" fontId="37" fillId="0" borderId="13" applyNumberFormat="0" applyFill="0" applyAlignment="0" applyProtection="0"/>
    <xf numFmtId="0" fontId="38" fillId="24" borderId="6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4" applyNumberFormat="0" applyFill="0" applyAlignment="0" applyProtection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8" fillId="7" borderId="2" xfId="0" applyFont="1" applyFill="1" applyBorder="1"/>
    <xf numFmtId="0" fontId="0" fillId="7" borderId="2" xfId="0" applyFill="1" applyBorder="1"/>
    <xf numFmtId="0" fontId="0" fillId="0" borderId="2" xfId="0" applyBorder="1"/>
    <xf numFmtId="0" fontId="8" fillId="7" borderId="2" xfId="434" applyFont="1" applyFill="1" applyBorder="1" applyAlignment="1"/>
    <xf numFmtId="0" fontId="15" fillId="0" borderId="2" xfId="434" applyBorder="1" applyAlignment="1"/>
    <xf numFmtId="0" fontId="0" fillId="8" borderId="2" xfId="0" applyFill="1" applyBorder="1"/>
    <xf numFmtId="49" fontId="5" fillId="0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vertical="center"/>
    </xf>
    <xf numFmtId="0" fontId="3" fillId="9" borderId="2" xfId="0" applyFont="1" applyFill="1" applyBorder="1" applyAlignment="1">
      <alignment horizontal="center" vertical="center"/>
    </xf>
    <xf numFmtId="0" fontId="17" fillId="0" borderId="0" xfId="678" applyFont="1" applyAlignment="1">
      <alignment vertical="center"/>
    </xf>
    <xf numFmtId="0" fontId="17" fillId="2" borderId="0" xfId="678" applyFont="1" applyFill="1" applyAlignment="1">
      <alignment vertical="center"/>
    </xf>
    <xf numFmtId="0" fontId="17" fillId="0" borderId="3" xfId="678" applyFont="1" applyFill="1" applyBorder="1" applyAlignment="1">
      <alignment vertical="center"/>
    </xf>
    <xf numFmtId="0" fontId="20" fillId="2" borderId="3" xfId="679" applyFont="1" applyFill="1" applyBorder="1" applyAlignment="1">
      <alignment vertical="center"/>
    </xf>
    <xf numFmtId="0" fontId="19" fillId="10" borderId="4" xfId="679" applyFont="1" applyFill="1" applyBorder="1" applyAlignment="1">
      <alignment vertical="center"/>
    </xf>
    <xf numFmtId="0" fontId="21" fillId="8" borderId="2" xfId="679" applyFont="1" applyFill="1" applyBorder="1" applyAlignment="1">
      <alignment horizontal="center" vertical="center"/>
    </xf>
    <xf numFmtId="0" fontId="21" fillId="3" borderId="2" xfId="679" applyFont="1" applyFill="1" applyBorder="1" applyAlignment="1">
      <alignment horizontal="center" vertical="center"/>
    </xf>
    <xf numFmtId="0" fontId="21" fillId="2" borderId="2" xfId="679" applyFont="1" applyFill="1" applyBorder="1" applyAlignment="1">
      <alignment horizontal="center" vertical="center"/>
    </xf>
    <xf numFmtId="0" fontId="20" fillId="2" borderId="2" xfId="679" applyFont="1" applyFill="1" applyBorder="1" applyAlignment="1">
      <alignment horizontal="center" vertical="center"/>
    </xf>
    <xf numFmtId="0" fontId="1" fillId="0" borderId="2" xfId="728" applyFont="1" applyBorder="1"/>
    <xf numFmtId="0" fontId="1" fillId="0" borderId="2" xfId="728" applyBorder="1"/>
    <xf numFmtId="0" fontId="1" fillId="7" borderId="2" xfId="728" applyFill="1" applyBorder="1"/>
    <xf numFmtId="0" fontId="1" fillId="3" borderId="2" xfId="678" applyNumberFormat="1" applyFont="1" applyFill="1" applyBorder="1" applyAlignment="1">
      <alignment horizontal="left"/>
    </xf>
    <xf numFmtId="0" fontId="41" fillId="3" borderId="2" xfId="0" applyFont="1" applyFill="1" applyBorder="1" applyAlignment="1">
      <alignment horizontal="left" vertical="center"/>
    </xf>
    <xf numFmtId="0" fontId="1" fillId="0" borderId="0" xfId="728"/>
    <xf numFmtId="0" fontId="5" fillId="8" borderId="1" xfId="0" applyFont="1" applyFill="1" applyBorder="1" applyAlignment="1">
      <alignment vertical="center"/>
    </xf>
    <xf numFmtId="0" fontId="17" fillId="8" borderId="3" xfId="678" applyFont="1" applyFill="1" applyBorder="1" applyAlignment="1">
      <alignment vertical="center"/>
    </xf>
    <xf numFmtId="0" fontId="19" fillId="9" borderId="4" xfId="679" applyFont="1" applyFill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center" vertical="center"/>
    </xf>
    <xf numFmtId="49" fontId="5" fillId="0" borderId="4" xfId="0" applyNumberFormat="1" applyFont="1" applyFill="1" applyBorder="1" applyAlignment="1">
      <alignment vertical="center"/>
    </xf>
    <xf numFmtId="0" fontId="3" fillId="0" borderId="16" xfId="0" applyFont="1" applyFill="1" applyBorder="1" applyAlignment="1">
      <alignment horizontal="center" vertical="center"/>
    </xf>
    <xf numFmtId="49" fontId="5" fillId="0" borderId="3" xfId="0" applyNumberFormat="1" applyFont="1" applyFill="1" applyBorder="1" applyAlignment="1">
      <alignment vertical="center"/>
    </xf>
    <xf numFmtId="0" fontId="17" fillId="0" borderId="2" xfId="0" applyFont="1" applyBorder="1"/>
    <xf numFmtId="0" fontId="17" fillId="0" borderId="3" xfId="0" applyFont="1" applyBorder="1"/>
    <xf numFmtId="0" fontId="5" fillId="9" borderId="2" xfId="0" applyFont="1" applyFill="1" applyBorder="1" applyAlignment="1">
      <alignment vertical="center"/>
    </xf>
  </cellXfs>
  <cellStyles count="769">
    <cellStyle name="20% - ANZg1" xfId="691"/>
    <cellStyle name="20% - ANZg2" xfId="692"/>
    <cellStyle name="20% - ANZg3" xfId="693"/>
    <cellStyle name="20% - ANZg4" xfId="694"/>
    <cellStyle name="20% - ANZg5" xfId="695"/>
    <cellStyle name="20% - ANZg6" xfId="696"/>
    <cellStyle name="40% - ANZg1" xfId="697"/>
    <cellStyle name="40% - ANZg2" xfId="698"/>
    <cellStyle name="40% - ANZg3" xfId="699"/>
    <cellStyle name="40% - ANZg4" xfId="700"/>
    <cellStyle name="40% - ANZg5" xfId="701"/>
    <cellStyle name="40% - ANZg6" xfId="702"/>
    <cellStyle name="60% - ANZg1" xfId="703"/>
    <cellStyle name="60% - ANZg2" xfId="704"/>
    <cellStyle name="60% - ANZg3" xfId="705"/>
    <cellStyle name="60% - ANZg4" xfId="706"/>
    <cellStyle name="60% - ANZg5" xfId="707"/>
    <cellStyle name="60% - ANZg6" xfId="708"/>
    <cellStyle name="Excel Built-in Normal" xfId="428"/>
    <cellStyle name="^Cg" xfId="686"/>
    <cellStyle name="`FbN Z" xfId="685"/>
    <cellStyle name="ANZg 1" xfId="710"/>
    <cellStyle name="ANZg 2" xfId="711"/>
    <cellStyle name="ANZg 3" xfId="712"/>
    <cellStyle name="ANZg 4" xfId="713"/>
    <cellStyle name="ANZg 5" xfId="714"/>
    <cellStyle name="ANZg 6" xfId="715"/>
    <cellStyle name="" xfId="680"/>
    <cellStyle name="N Z" xfId="718"/>
    <cellStyle name="_" xfId="681"/>
    <cellStyle name="«¢" xfId="684"/>
    <cellStyle name="vZ" xfId="723"/>
    <cellStyle name="x÷" xfId="725"/>
    <cellStyle name="x¶" xfId="724"/>
    <cellStyle name="ýo_ 1" xfId="726"/>
    <cellStyle name="©oµ 1" xfId="687"/>
    <cellStyle name="©oµ 2" xfId="688"/>
    <cellStyle name="©oµ 3" xfId="689"/>
    <cellStyle name="©oµ 4" xfId="690"/>
    <cellStyle name="v" xfId="722"/>
    <cellStyle name="o_" xfId="719"/>
    <cellStyle name="oÍ" xfId="720"/>
    <cellStyle name="__÷" xfId="683"/>
    <cellStyle name="à¾¶" xfId="709"/>
    <cellStyle name="__" xfId="682"/>
    <cellStyle name="üÍ" xfId="721"/>
    <cellStyle name="Ê" xfId="717"/>
    <cellStyle name="Ç¢" xfId="716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標準 4 2" xfId="678"/>
    <cellStyle name="標準 5" xfId="679"/>
    <cellStyle name="標準 5 2" xfId="727"/>
    <cellStyle name="標準 6" xfId="728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赤字強調" xfId="431"/>
    <cellStyle name="青字強調" xfId="4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スキル仕様"/>
      <sheetName val="unit_skills"/>
      <sheetName val="unit_skill_up_patterns"/>
      <sheetName val="クラッシュスキル仕様"/>
      <sheetName val="crash_skills"/>
      <sheetName val="スキルラベル"/>
      <sheetName val="unit_skills.csv"/>
      <sheetName val="unit_skills_i18n.csv"/>
      <sheetName val="unit_skill_up_patterns.csv"/>
      <sheetName val="crash_skills.csv"/>
      <sheetName val="crash_skills_i18n.csv"/>
      <sheetName val="localized_texts"/>
      <sheetName val="ユニット"/>
      <sheetName val="unit_levels"/>
      <sheetName val="characters"/>
      <sheetName val="units"/>
      <sheetName val="character_types"/>
      <sheetName val="character_tribes"/>
      <sheetName val="mst_evolution"/>
      <sheetName val="group_skills"/>
      <sheetName val="grimoires(extended)"/>
      <sheetName val="経験値"/>
      <sheetName val="RC6SV"/>
      <sheetName val="レベル"/>
      <sheetName val="コスト"/>
      <sheetName val="属性"/>
      <sheetName val="マナ"/>
      <sheetName val="経験値テーブル"/>
      <sheetName val="素材経験値"/>
      <sheetName val="売却ビット係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1</v>
          </cell>
        </row>
        <row r="6">
          <cell r="C6">
            <v>1</v>
          </cell>
        </row>
        <row r="7">
          <cell r="C7">
            <v>1</v>
          </cell>
        </row>
        <row r="8">
          <cell r="C8">
            <v>1</v>
          </cell>
        </row>
        <row r="9">
          <cell r="C9">
            <v>2</v>
          </cell>
        </row>
        <row r="10">
          <cell r="C10">
            <v>2</v>
          </cell>
        </row>
        <row r="11">
          <cell r="C11">
            <v>2</v>
          </cell>
        </row>
        <row r="12">
          <cell r="C12">
            <v>2</v>
          </cell>
        </row>
        <row r="13">
          <cell r="C13">
            <v>3</v>
          </cell>
        </row>
        <row r="14">
          <cell r="C14">
            <v>3</v>
          </cell>
        </row>
        <row r="15">
          <cell r="C15">
            <v>3</v>
          </cell>
        </row>
        <row r="16">
          <cell r="C16">
            <v>3</v>
          </cell>
        </row>
        <row r="17">
          <cell r="C17">
            <v>4</v>
          </cell>
        </row>
        <row r="18">
          <cell r="C18">
            <v>4</v>
          </cell>
        </row>
        <row r="19">
          <cell r="C19">
            <v>4</v>
          </cell>
        </row>
        <row r="20">
          <cell r="C20">
            <v>4</v>
          </cell>
        </row>
        <row r="21">
          <cell r="C21">
            <v>5</v>
          </cell>
        </row>
        <row r="22">
          <cell r="C22">
            <v>5</v>
          </cell>
        </row>
        <row r="23">
          <cell r="C23">
            <v>5</v>
          </cell>
        </row>
        <row r="24">
          <cell r="C24">
            <v>5</v>
          </cell>
        </row>
        <row r="25">
          <cell r="C25">
            <v>6</v>
          </cell>
        </row>
        <row r="26">
          <cell r="C26">
            <v>6</v>
          </cell>
        </row>
        <row r="27">
          <cell r="C27">
            <v>6</v>
          </cell>
        </row>
        <row r="28">
          <cell r="C28">
            <v>6</v>
          </cell>
        </row>
        <row r="29">
          <cell r="C29">
            <v>6</v>
          </cell>
        </row>
        <row r="30">
          <cell r="C30">
            <v>6</v>
          </cell>
        </row>
        <row r="31">
          <cell r="C31">
            <v>7</v>
          </cell>
        </row>
        <row r="32">
          <cell r="C32">
            <v>7</v>
          </cell>
        </row>
        <row r="33">
          <cell r="C33">
            <v>7</v>
          </cell>
        </row>
        <row r="34">
          <cell r="C34">
            <v>7</v>
          </cell>
        </row>
        <row r="35">
          <cell r="C35">
            <v>7</v>
          </cell>
        </row>
        <row r="36">
          <cell r="C36">
            <v>7</v>
          </cell>
        </row>
        <row r="37">
          <cell r="C37">
            <v>8</v>
          </cell>
        </row>
        <row r="38">
          <cell r="C38">
            <v>8</v>
          </cell>
        </row>
        <row r="39">
          <cell r="C39">
            <v>8</v>
          </cell>
        </row>
        <row r="40">
          <cell r="C40">
            <v>8</v>
          </cell>
        </row>
        <row r="41">
          <cell r="C41">
            <v>8</v>
          </cell>
        </row>
        <row r="42">
          <cell r="C42">
            <v>8</v>
          </cell>
        </row>
        <row r="43">
          <cell r="C43">
            <v>9</v>
          </cell>
        </row>
        <row r="44">
          <cell r="C44">
            <v>9</v>
          </cell>
        </row>
        <row r="45">
          <cell r="C45">
            <v>9</v>
          </cell>
        </row>
        <row r="46">
          <cell r="C46">
            <v>9</v>
          </cell>
        </row>
        <row r="47">
          <cell r="C47">
            <v>9</v>
          </cell>
        </row>
        <row r="48">
          <cell r="C48">
            <v>9</v>
          </cell>
        </row>
        <row r="49">
          <cell r="C49">
            <v>10</v>
          </cell>
        </row>
        <row r="50">
          <cell r="C50">
            <v>10</v>
          </cell>
        </row>
        <row r="51">
          <cell r="C51">
            <v>10</v>
          </cell>
        </row>
        <row r="52">
          <cell r="C52">
            <v>10</v>
          </cell>
        </row>
        <row r="53">
          <cell r="C53">
            <v>10</v>
          </cell>
        </row>
        <row r="54">
          <cell r="C54">
            <v>10</v>
          </cell>
        </row>
        <row r="55">
          <cell r="C55">
            <v>11</v>
          </cell>
        </row>
        <row r="56">
          <cell r="C56">
            <v>11</v>
          </cell>
        </row>
        <row r="57">
          <cell r="C57">
            <v>11</v>
          </cell>
        </row>
        <row r="58">
          <cell r="C58">
            <v>11</v>
          </cell>
        </row>
        <row r="59">
          <cell r="C59">
            <v>11</v>
          </cell>
        </row>
        <row r="60">
          <cell r="C60">
            <v>11</v>
          </cell>
        </row>
        <row r="61">
          <cell r="C61">
            <v>12</v>
          </cell>
        </row>
        <row r="62">
          <cell r="C62">
            <v>12</v>
          </cell>
        </row>
        <row r="63">
          <cell r="C63">
            <v>12</v>
          </cell>
        </row>
        <row r="64">
          <cell r="C64">
            <v>12</v>
          </cell>
        </row>
        <row r="65">
          <cell r="C65">
            <v>12</v>
          </cell>
        </row>
        <row r="66">
          <cell r="C66">
            <v>12</v>
          </cell>
        </row>
        <row r="67">
          <cell r="C67">
            <v>13</v>
          </cell>
        </row>
        <row r="68">
          <cell r="C68">
            <v>13</v>
          </cell>
        </row>
        <row r="69">
          <cell r="C69">
            <v>13</v>
          </cell>
        </row>
        <row r="70">
          <cell r="C70">
            <v>13</v>
          </cell>
        </row>
        <row r="71">
          <cell r="C71">
            <v>13</v>
          </cell>
        </row>
        <row r="72">
          <cell r="C72">
            <v>13</v>
          </cell>
        </row>
        <row r="73">
          <cell r="C73">
            <v>14</v>
          </cell>
        </row>
        <row r="74">
          <cell r="C74">
            <v>14</v>
          </cell>
        </row>
        <row r="75">
          <cell r="C75">
            <v>14</v>
          </cell>
        </row>
        <row r="76">
          <cell r="C76">
            <v>14</v>
          </cell>
        </row>
        <row r="77">
          <cell r="C77">
            <v>14</v>
          </cell>
        </row>
        <row r="78">
          <cell r="C78">
            <v>14</v>
          </cell>
        </row>
        <row r="79">
          <cell r="C79">
            <v>15</v>
          </cell>
        </row>
        <row r="80">
          <cell r="C80">
            <v>15</v>
          </cell>
        </row>
        <row r="81">
          <cell r="C81">
            <v>15</v>
          </cell>
        </row>
        <row r="82">
          <cell r="C82">
            <v>15</v>
          </cell>
        </row>
        <row r="83">
          <cell r="C83">
            <v>15</v>
          </cell>
        </row>
        <row r="84">
          <cell r="C84">
            <v>15</v>
          </cell>
        </row>
        <row r="85">
          <cell r="C85">
            <v>16</v>
          </cell>
        </row>
        <row r="86">
          <cell r="C86">
            <v>16</v>
          </cell>
        </row>
        <row r="87">
          <cell r="C87">
            <v>16</v>
          </cell>
        </row>
        <row r="88">
          <cell r="C88">
            <v>16</v>
          </cell>
        </row>
        <row r="89">
          <cell r="C89">
            <v>16</v>
          </cell>
        </row>
        <row r="90">
          <cell r="C90">
            <v>16</v>
          </cell>
        </row>
        <row r="91">
          <cell r="C91">
            <v>17</v>
          </cell>
        </row>
        <row r="92">
          <cell r="C92">
            <v>17</v>
          </cell>
        </row>
        <row r="93">
          <cell r="C93">
            <v>17</v>
          </cell>
        </row>
        <row r="94">
          <cell r="C94">
            <v>17</v>
          </cell>
        </row>
        <row r="95">
          <cell r="C95">
            <v>17</v>
          </cell>
        </row>
        <row r="96">
          <cell r="C96">
            <v>17</v>
          </cell>
        </row>
        <row r="97">
          <cell r="C97">
            <v>18</v>
          </cell>
        </row>
        <row r="98">
          <cell r="C98">
            <v>18</v>
          </cell>
        </row>
        <row r="99">
          <cell r="C99">
            <v>18</v>
          </cell>
        </row>
        <row r="100">
          <cell r="C100">
            <v>18</v>
          </cell>
        </row>
        <row r="101">
          <cell r="C101">
            <v>18</v>
          </cell>
        </row>
        <row r="102">
          <cell r="C102">
            <v>18</v>
          </cell>
        </row>
        <row r="103">
          <cell r="C103">
            <v>19</v>
          </cell>
        </row>
        <row r="104">
          <cell r="C104">
            <v>19</v>
          </cell>
        </row>
        <row r="105">
          <cell r="C105">
            <v>19</v>
          </cell>
        </row>
        <row r="106">
          <cell r="C106">
            <v>19</v>
          </cell>
        </row>
        <row r="107">
          <cell r="C107">
            <v>19</v>
          </cell>
        </row>
        <row r="108">
          <cell r="C108">
            <v>19</v>
          </cell>
        </row>
        <row r="109">
          <cell r="C109">
            <v>20</v>
          </cell>
        </row>
        <row r="110">
          <cell r="C110">
            <v>20</v>
          </cell>
        </row>
        <row r="111">
          <cell r="C111">
            <v>20</v>
          </cell>
        </row>
        <row r="112">
          <cell r="C112">
            <v>20</v>
          </cell>
        </row>
        <row r="113">
          <cell r="C113">
            <v>20</v>
          </cell>
        </row>
        <row r="114">
          <cell r="C114">
            <v>20</v>
          </cell>
        </row>
        <row r="115">
          <cell r="C115">
            <v>21</v>
          </cell>
        </row>
        <row r="116">
          <cell r="C116">
            <v>21</v>
          </cell>
        </row>
        <row r="117">
          <cell r="C117">
            <v>21</v>
          </cell>
        </row>
        <row r="118">
          <cell r="C118">
            <v>21</v>
          </cell>
        </row>
        <row r="119">
          <cell r="C119">
            <v>21</v>
          </cell>
        </row>
        <row r="120">
          <cell r="C120">
            <v>21</v>
          </cell>
        </row>
        <row r="121">
          <cell r="C121">
            <v>22</v>
          </cell>
        </row>
        <row r="122">
          <cell r="C122">
            <v>22</v>
          </cell>
        </row>
        <row r="123">
          <cell r="C123">
            <v>22</v>
          </cell>
        </row>
        <row r="124">
          <cell r="C124">
            <v>22</v>
          </cell>
        </row>
        <row r="125">
          <cell r="C125">
            <v>22</v>
          </cell>
        </row>
        <row r="126">
          <cell r="C126">
            <v>22</v>
          </cell>
        </row>
        <row r="127">
          <cell r="C127">
            <v>23</v>
          </cell>
        </row>
        <row r="128">
          <cell r="C128">
            <v>23</v>
          </cell>
        </row>
        <row r="129">
          <cell r="C129">
            <v>23</v>
          </cell>
        </row>
        <row r="130">
          <cell r="C130">
            <v>23</v>
          </cell>
        </row>
        <row r="131">
          <cell r="C131">
            <v>23</v>
          </cell>
        </row>
        <row r="132">
          <cell r="C132">
            <v>23</v>
          </cell>
        </row>
        <row r="133">
          <cell r="C133">
            <v>24</v>
          </cell>
        </row>
        <row r="134">
          <cell r="C134">
            <v>24</v>
          </cell>
        </row>
        <row r="135">
          <cell r="C135">
            <v>24</v>
          </cell>
        </row>
        <row r="136">
          <cell r="C136">
            <v>24</v>
          </cell>
        </row>
        <row r="137">
          <cell r="C137">
            <v>24</v>
          </cell>
        </row>
        <row r="138">
          <cell r="C138">
            <v>24</v>
          </cell>
        </row>
        <row r="139">
          <cell r="C139">
            <v>25</v>
          </cell>
        </row>
        <row r="140">
          <cell r="C140">
            <v>25</v>
          </cell>
        </row>
        <row r="141">
          <cell r="C141">
            <v>25</v>
          </cell>
        </row>
        <row r="142">
          <cell r="C142">
            <v>25</v>
          </cell>
        </row>
        <row r="143">
          <cell r="C143">
            <v>25</v>
          </cell>
        </row>
        <row r="144">
          <cell r="C144">
            <v>25</v>
          </cell>
        </row>
        <row r="145">
          <cell r="C145">
            <v>26</v>
          </cell>
        </row>
        <row r="146">
          <cell r="C146">
            <v>26</v>
          </cell>
        </row>
        <row r="147">
          <cell r="C147">
            <v>26</v>
          </cell>
        </row>
        <row r="148">
          <cell r="C148">
            <v>26</v>
          </cell>
        </row>
        <row r="149">
          <cell r="C149">
            <v>26</v>
          </cell>
        </row>
        <row r="150">
          <cell r="C150">
            <v>26</v>
          </cell>
        </row>
        <row r="151">
          <cell r="C151">
            <v>27</v>
          </cell>
        </row>
        <row r="152">
          <cell r="C152">
            <v>27</v>
          </cell>
        </row>
        <row r="153">
          <cell r="C153">
            <v>27</v>
          </cell>
        </row>
        <row r="154">
          <cell r="C154">
            <v>27</v>
          </cell>
        </row>
        <row r="155">
          <cell r="C155">
            <v>27</v>
          </cell>
        </row>
        <row r="156">
          <cell r="C156">
            <v>27</v>
          </cell>
        </row>
        <row r="157">
          <cell r="C157">
            <v>28</v>
          </cell>
        </row>
        <row r="158">
          <cell r="C158">
            <v>28</v>
          </cell>
        </row>
        <row r="159">
          <cell r="C159">
            <v>28</v>
          </cell>
        </row>
        <row r="160">
          <cell r="C160">
            <v>28</v>
          </cell>
        </row>
        <row r="161">
          <cell r="C161">
            <v>28</v>
          </cell>
        </row>
        <row r="162">
          <cell r="C162">
            <v>28</v>
          </cell>
        </row>
        <row r="163">
          <cell r="C163">
            <v>29</v>
          </cell>
        </row>
        <row r="164">
          <cell r="C164">
            <v>29</v>
          </cell>
        </row>
        <row r="165">
          <cell r="C165">
            <v>29</v>
          </cell>
        </row>
        <row r="166">
          <cell r="C166">
            <v>29</v>
          </cell>
        </row>
        <row r="167">
          <cell r="C167">
            <v>29</v>
          </cell>
        </row>
        <row r="168">
          <cell r="C168">
            <v>29</v>
          </cell>
        </row>
        <row r="169">
          <cell r="C169">
            <v>30</v>
          </cell>
        </row>
        <row r="170">
          <cell r="C170">
            <v>30</v>
          </cell>
        </row>
        <row r="171">
          <cell r="C171">
            <v>30</v>
          </cell>
        </row>
        <row r="172">
          <cell r="C172">
            <v>30</v>
          </cell>
        </row>
        <row r="173">
          <cell r="C173">
            <v>30</v>
          </cell>
        </row>
        <row r="174">
          <cell r="C174">
            <v>30</v>
          </cell>
        </row>
        <row r="175">
          <cell r="C175">
            <v>31</v>
          </cell>
        </row>
        <row r="176">
          <cell r="C176">
            <v>31</v>
          </cell>
        </row>
        <row r="177">
          <cell r="C177">
            <v>31</v>
          </cell>
        </row>
        <row r="178">
          <cell r="C178">
            <v>31</v>
          </cell>
        </row>
        <row r="179">
          <cell r="C179">
            <v>31</v>
          </cell>
        </row>
        <row r="180">
          <cell r="C180">
            <v>31</v>
          </cell>
        </row>
        <row r="181">
          <cell r="C181">
            <v>10008</v>
          </cell>
        </row>
        <row r="182">
          <cell r="C182">
            <v>10010</v>
          </cell>
        </row>
        <row r="183">
          <cell r="C183">
            <v>10015</v>
          </cell>
        </row>
        <row r="184">
          <cell r="C184">
            <v>10020</v>
          </cell>
        </row>
        <row r="185">
          <cell r="C185">
            <v>10025</v>
          </cell>
        </row>
        <row r="186">
          <cell r="C186">
            <v>10030</v>
          </cell>
        </row>
        <row r="187">
          <cell r="C187">
            <v>10035</v>
          </cell>
        </row>
        <row r="188">
          <cell r="C188">
            <v>10040</v>
          </cell>
        </row>
        <row r="189">
          <cell r="C189">
            <v>10045</v>
          </cell>
        </row>
        <row r="190">
          <cell r="C190">
            <v>10050</v>
          </cell>
        </row>
        <row r="191">
          <cell r="C191">
            <v>10055</v>
          </cell>
        </row>
        <row r="192">
          <cell r="C192">
            <v>10060</v>
          </cell>
        </row>
        <row r="193">
          <cell r="C193">
            <v>10065</v>
          </cell>
        </row>
        <row r="194">
          <cell r="C194">
            <v>10090</v>
          </cell>
        </row>
        <row r="195">
          <cell r="C195">
            <v>10100</v>
          </cell>
        </row>
        <row r="196">
          <cell r="C196">
            <v>11001</v>
          </cell>
        </row>
        <row r="197">
          <cell r="C197">
            <v>11001</v>
          </cell>
        </row>
        <row r="198">
          <cell r="C198">
            <v>11001</v>
          </cell>
        </row>
        <row r="199">
          <cell r="C199">
            <v>11001</v>
          </cell>
        </row>
        <row r="200">
          <cell r="C200">
            <v>11001</v>
          </cell>
        </row>
        <row r="201">
          <cell r="C201">
            <v>11002</v>
          </cell>
        </row>
        <row r="202">
          <cell r="C202">
            <v>11002</v>
          </cell>
        </row>
        <row r="203">
          <cell r="C203">
            <v>11002</v>
          </cell>
        </row>
        <row r="204">
          <cell r="C204">
            <v>11002</v>
          </cell>
        </row>
        <row r="205">
          <cell r="C205">
            <v>11002</v>
          </cell>
        </row>
        <row r="206">
          <cell r="C206">
            <v>11003</v>
          </cell>
        </row>
        <row r="207">
          <cell r="C207">
            <v>11003</v>
          </cell>
        </row>
        <row r="208">
          <cell r="C208">
            <v>11003</v>
          </cell>
        </row>
        <row r="209">
          <cell r="C209">
            <v>11003</v>
          </cell>
        </row>
        <row r="210">
          <cell r="C210">
            <v>11003</v>
          </cell>
        </row>
        <row r="211">
          <cell r="C211">
            <v>11004</v>
          </cell>
        </row>
        <row r="212">
          <cell r="C212">
            <v>11004</v>
          </cell>
        </row>
        <row r="213">
          <cell r="C213">
            <v>11004</v>
          </cell>
        </row>
        <row r="214">
          <cell r="C214">
            <v>11004</v>
          </cell>
        </row>
        <row r="215">
          <cell r="C215">
            <v>11004</v>
          </cell>
        </row>
        <row r="216">
          <cell r="C216">
            <v>11005</v>
          </cell>
        </row>
        <row r="217">
          <cell r="C217">
            <v>11005</v>
          </cell>
        </row>
        <row r="218">
          <cell r="C218">
            <v>11005</v>
          </cell>
        </row>
        <row r="219">
          <cell r="C219">
            <v>11005</v>
          </cell>
        </row>
        <row r="220">
          <cell r="C220">
            <v>11006</v>
          </cell>
        </row>
        <row r="221">
          <cell r="C221">
            <v>11006</v>
          </cell>
        </row>
        <row r="222">
          <cell r="C222">
            <v>11006</v>
          </cell>
        </row>
        <row r="223">
          <cell r="C223">
            <v>11006</v>
          </cell>
        </row>
        <row r="224">
          <cell r="C224">
            <v>11007</v>
          </cell>
        </row>
        <row r="225">
          <cell r="C225">
            <v>11007</v>
          </cell>
        </row>
        <row r="226">
          <cell r="C226">
            <v>11007</v>
          </cell>
        </row>
        <row r="227">
          <cell r="C227">
            <v>11007</v>
          </cell>
        </row>
        <row r="228">
          <cell r="C228">
            <v>11007</v>
          </cell>
        </row>
        <row r="229">
          <cell r="C229">
            <v>11008</v>
          </cell>
        </row>
        <row r="230">
          <cell r="C230">
            <v>11008</v>
          </cell>
        </row>
        <row r="231">
          <cell r="C231">
            <v>11008</v>
          </cell>
        </row>
        <row r="232">
          <cell r="C232">
            <v>11008</v>
          </cell>
        </row>
        <row r="233">
          <cell r="C233">
            <v>11008</v>
          </cell>
        </row>
        <row r="234">
          <cell r="C234">
            <v>11016</v>
          </cell>
        </row>
        <row r="235">
          <cell r="C235">
            <v>11017</v>
          </cell>
        </row>
        <row r="236">
          <cell r="C236">
            <v>11018</v>
          </cell>
        </row>
        <row r="237">
          <cell r="C237">
            <v>11101</v>
          </cell>
        </row>
        <row r="238">
          <cell r="C238">
            <v>11101</v>
          </cell>
        </row>
        <row r="239">
          <cell r="C239">
            <v>11101</v>
          </cell>
        </row>
        <row r="240">
          <cell r="C240">
            <v>11101</v>
          </cell>
        </row>
        <row r="241">
          <cell r="C241">
            <v>11101</v>
          </cell>
        </row>
        <row r="242">
          <cell r="C242">
            <v>11102</v>
          </cell>
        </row>
        <row r="243">
          <cell r="C243">
            <v>11102</v>
          </cell>
        </row>
        <row r="244">
          <cell r="C244">
            <v>11102</v>
          </cell>
        </row>
        <row r="245">
          <cell r="C245">
            <v>11102</v>
          </cell>
        </row>
        <row r="246">
          <cell r="C246">
            <v>11102</v>
          </cell>
        </row>
        <row r="247">
          <cell r="C247">
            <v>11103</v>
          </cell>
        </row>
        <row r="248">
          <cell r="C248">
            <v>11103</v>
          </cell>
        </row>
        <row r="249">
          <cell r="C249">
            <v>11103</v>
          </cell>
        </row>
        <row r="250">
          <cell r="C250">
            <v>11103</v>
          </cell>
        </row>
        <row r="251">
          <cell r="C251">
            <v>11103</v>
          </cell>
        </row>
        <row r="252">
          <cell r="C252">
            <v>11104</v>
          </cell>
        </row>
        <row r="253">
          <cell r="C253">
            <v>11104</v>
          </cell>
        </row>
        <row r="254">
          <cell r="C254">
            <v>11104</v>
          </cell>
        </row>
        <row r="255">
          <cell r="C255">
            <v>11104</v>
          </cell>
        </row>
        <row r="256">
          <cell r="C256">
            <v>11104</v>
          </cell>
        </row>
        <row r="257">
          <cell r="C257">
            <v>11105</v>
          </cell>
        </row>
        <row r="258">
          <cell r="C258">
            <v>11105</v>
          </cell>
        </row>
        <row r="259">
          <cell r="C259">
            <v>11105</v>
          </cell>
        </row>
        <row r="260">
          <cell r="C260">
            <v>11105</v>
          </cell>
        </row>
        <row r="261">
          <cell r="C261">
            <v>11106</v>
          </cell>
        </row>
        <row r="262">
          <cell r="C262">
            <v>11106</v>
          </cell>
        </row>
        <row r="263">
          <cell r="C263">
            <v>11106</v>
          </cell>
        </row>
        <row r="264">
          <cell r="C264">
            <v>11206</v>
          </cell>
        </row>
        <row r="265">
          <cell r="C265">
            <v>11206</v>
          </cell>
        </row>
        <row r="266">
          <cell r="C266">
            <v>11206</v>
          </cell>
        </row>
        <row r="267">
          <cell r="C267">
            <v>11207</v>
          </cell>
        </row>
        <row r="268">
          <cell r="C268">
            <v>11207</v>
          </cell>
        </row>
        <row r="269">
          <cell r="C269">
            <v>11208</v>
          </cell>
        </row>
        <row r="270">
          <cell r="C270">
            <v>11208</v>
          </cell>
        </row>
        <row r="271">
          <cell r="C271">
            <v>11209</v>
          </cell>
        </row>
        <row r="272">
          <cell r="C272">
            <v>11209</v>
          </cell>
        </row>
        <row r="273">
          <cell r="C273">
            <v>11212</v>
          </cell>
        </row>
        <row r="274">
          <cell r="C274">
            <v>11213</v>
          </cell>
        </row>
        <row r="275">
          <cell r="C275">
            <v>11214</v>
          </cell>
        </row>
        <row r="276">
          <cell r="C276">
            <v>11214</v>
          </cell>
        </row>
        <row r="277">
          <cell r="C277">
            <v>11214</v>
          </cell>
        </row>
        <row r="278">
          <cell r="C278">
            <v>11215</v>
          </cell>
        </row>
        <row r="279">
          <cell r="C279">
            <v>11216</v>
          </cell>
        </row>
        <row r="280">
          <cell r="C280">
            <v>11217</v>
          </cell>
        </row>
        <row r="281">
          <cell r="C281">
            <v>11218</v>
          </cell>
        </row>
        <row r="282">
          <cell r="C282">
            <v>11219</v>
          </cell>
        </row>
        <row r="283">
          <cell r="C283">
            <v>11220</v>
          </cell>
        </row>
        <row r="284">
          <cell r="C284">
            <v>11221</v>
          </cell>
        </row>
        <row r="285">
          <cell r="C285">
            <v>11224</v>
          </cell>
        </row>
        <row r="286">
          <cell r="C286">
            <v>11225</v>
          </cell>
        </row>
        <row r="287">
          <cell r="C287">
            <v>11226</v>
          </cell>
        </row>
        <row r="288">
          <cell r="C288">
            <v>11226</v>
          </cell>
        </row>
        <row r="289">
          <cell r="C289">
            <v>11226</v>
          </cell>
        </row>
        <row r="290">
          <cell r="C290">
            <v>11226</v>
          </cell>
        </row>
        <row r="291">
          <cell r="C291">
            <v>11226</v>
          </cell>
        </row>
        <row r="292">
          <cell r="C292">
            <v>11226</v>
          </cell>
        </row>
        <row r="293">
          <cell r="C293">
            <v>11226</v>
          </cell>
        </row>
        <row r="294">
          <cell r="C294">
            <v>11226</v>
          </cell>
        </row>
        <row r="295">
          <cell r="C295">
            <v>11227</v>
          </cell>
        </row>
        <row r="296">
          <cell r="C296">
            <v>11227</v>
          </cell>
        </row>
        <row r="297">
          <cell r="C297">
            <v>11228</v>
          </cell>
        </row>
        <row r="298">
          <cell r="C298">
            <v>11229</v>
          </cell>
        </row>
        <row r="299">
          <cell r="C299">
            <v>11230</v>
          </cell>
        </row>
        <row r="300">
          <cell r="C300">
            <v>11230</v>
          </cell>
        </row>
        <row r="301">
          <cell r="C301">
            <v>11231</v>
          </cell>
        </row>
        <row r="302">
          <cell r="C302">
            <v>12001</v>
          </cell>
        </row>
        <row r="303">
          <cell r="C303">
            <v>12001</v>
          </cell>
        </row>
        <row r="304">
          <cell r="C304">
            <v>12001</v>
          </cell>
        </row>
        <row r="305">
          <cell r="C305">
            <v>12002</v>
          </cell>
        </row>
        <row r="306">
          <cell r="C306">
            <v>12002</v>
          </cell>
        </row>
        <row r="307">
          <cell r="C307">
            <v>12003</v>
          </cell>
        </row>
        <row r="308">
          <cell r="C308">
            <v>12003</v>
          </cell>
        </row>
        <row r="309">
          <cell r="C309">
            <v>12003</v>
          </cell>
        </row>
        <row r="310">
          <cell r="C310">
            <v>12003</v>
          </cell>
        </row>
        <row r="311">
          <cell r="C311">
            <v>12004</v>
          </cell>
        </row>
        <row r="312">
          <cell r="C312">
            <v>13001</v>
          </cell>
        </row>
        <row r="313">
          <cell r="C313">
            <v>13001</v>
          </cell>
        </row>
        <row r="314">
          <cell r="C314">
            <v>13001</v>
          </cell>
        </row>
        <row r="315">
          <cell r="C315">
            <v>13001</v>
          </cell>
        </row>
        <row r="316">
          <cell r="C316">
            <v>13001</v>
          </cell>
        </row>
        <row r="317">
          <cell r="C317">
            <v>13001</v>
          </cell>
        </row>
        <row r="318">
          <cell r="C318">
            <v>13001</v>
          </cell>
        </row>
        <row r="319">
          <cell r="C319">
            <v>13001</v>
          </cell>
        </row>
        <row r="320">
          <cell r="C320">
            <v>13001</v>
          </cell>
        </row>
        <row r="321">
          <cell r="C321">
            <v>13001</v>
          </cell>
        </row>
        <row r="322">
          <cell r="C322">
            <v>13001</v>
          </cell>
        </row>
        <row r="323">
          <cell r="C323">
            <v>13001</v>
          </cell>
        </row>
        <row r="324">
          <cell r="C324">
            <v>13001</v>
          </cell>
        </row>
        <row r="325">
          <cell r="C325">
            <v>13001</v>
          </cell>
        </row>
        <row r="326">
          <cell r="C326">
            <v>13001</v>
          </cell>
        </row>
        <row r="327">
          <cell r="C327">
            <v>13001</v>
          </cell>
        </row>
        <row r="328">
          <cell r="C328">
            <v>13001</v>
          </cell>
        </row>
        <row r="329">
          <cell r="C329">
            <v>13001</v>
          </cell>
        </row>
        <row r="330">
          <cell r="C330">
            <v>13001</v>
          </cell>
        </row>
        <row r="331">
          <cell r="C331">
            <v>13001</v>
          </cell>
        </row>
        <row r="332">
          <cell r="C332">
            <v>13001</v>
          </cell>
        </row>
        <row r="333">
          <cell r="C333">
            <v>13001</v>
          </cell>
        </row>
        <row r="334">
          <cell r="C334">
            <v>13001</v>
          </cell>
        </row>
        <row r="335">
          <cell r="C335">
            <v>13001</v>
          </cell>
        </row>
        <row r="336">
          <cell r="C336">
            <v>13001</v>
          </cell>
        </row>
        <row r="337">
          <cell r="C337">
            <v>13101</v>
          </cell>
        </row>
        <row r="338">
          <cell r="C338">
            <v>13101</v>
          </cell>
        </row>
        <row r="339">
          <cell r="C339">
            <v>13101</v>
          </cell>
        </row>
        <row r="340">
          <cell r="C340">
            <v>13101</v>
          </cell>
        </row>
        <row r="341">
          <cell r="C341">
            <v>13101</v>
          </cell>
        </row>
        <row r="342">
          <cell r="C342">
            <v>13101</v>
          </cell>
        </row>
        <row r="343">
          <cell r="C343">
            <v>13101</v>
          </cell>
        </row>
        <row r="344">
          <cell r="C344">
            <v>13101</v>
          </cell>
        </row>
        <row r="345">
          <cell r="C345">
            <v>13101</v>
          </cell>
        </row>
        <row r="346">
          <cell r="C346">
            <v>13101</v>
          </cell>
        </row>
        <row r="347">
          <cell r="C347">
            <v>13101</v>
          </cell>
        </row>
        <row r="348">
          <cell r="C348">
            <v>13101</v>
          </cell>
        </row>
        <row r="349">
          <cell r="C349">
            <v>13101</v>
          </cell>
        </row>
        <row r="350">
          <cell r="C350">
            <v>13101</v>
          </cell>
        </row>
        <row r="351">
          <cell r="C351">
            <v>13101</v>
          </cell>
        </row>
        <row r="352">
          <cell r="C352">
            <v>13101</v>
          </cell>
        </row>
        <row r="353">
          <cell r="C353">
            <v>13101</v>
          </cell>
        </row>
        <row r="354">
          <cell r="C354">
            <v>13101</v>
          </cell>
        </row>
        <row r="355">
          <cell r="C355">
            <v>13101</v>
          </cell>
        </row>
        <row r="356">
          <cell r="C356">
            <v>13101</v>
          </cell>
        </row>
        <row r="357">
          <cell r="C357">
            <v>13101</v>
          </cell>
        </row>
        <row r="358">
          <cell r="C358">
            <v>13101</v>
          </cell>
        </row>
        <row r="359">
          <cell r="C359">
            <v>13101</v>
          </cell>
        </row>
        <row r="360">
          <cell r="C360">
            <v>13101</v>
          </cell>
        </row>
        <row r="361">
          <cell r="C361">
            <v>13101</v>
          </cell>
        </row>
        <row r="362">
          <cell r="C362">
            <v>13300</v>
          </cell>
        </row>
        <row r="363">
          <cell r="C363">
            <v>13300</v>
          </cell>
        </row>
        <row r="364">
          <cell r="C364">
            <v>13300</v>
          </cell>
        </row>
        <row r="365">
          <cell r="C365">
            <v>13300</v>
          </cell>
        </row>
        <row r="366">
          <cell r="C366">
            <v>13300</v>
          </cell>
        </row>
        <row r="367">
          <cell r="C367">
            <v>13300</v>
          </cell>
        </row>
        <row r="368">
          <cell r="C368">
            <v>13300</v>
          </cell>
        </row>
        <row r="369">
          <cell r="C369">
            <v>13300</v>
          </cell>
        </row>
        <row r="370">
          <cell r="C370">
            <v>13300</v>
          </cell>
        </row>
        <row r="371">
          <cell r="C371">
            <v>13300</v>
          </cell>
        </row>
        <row r="372">
          <cell r="C372">
            <v>13300</v>
          </cell>
        </row>
        <row r="373">
          <cell r="C373">
            <v>13300</v>
          </cell>
        </row>
        <row r="374">
          <cell r="C374">
            <v>13300</v>
          </cell>
        </row>
        <row r="375">
          <cell r="C375">
            <v>13300</v>
          </cell>
        </row>
        <row r="376">
          <cell r="C376">
            <v>13300</v>
          </cell>
        </row>
        <row r="377">
          <cell r="C377">
            <v>13301</v>
          </cell>
        </row>
        <row r="378">
          <cell r="C378">
            <v>13301</v>
          </cell>
        </row>
        <row r="379">
          <cell r="C379">
            <v>13301</v>
          </cell>
        </row>
        <row r="380">
          <cell r="C380">
            <v>13301</v>
          </cell>
        </row>
        <row r="381">
          <cell r="C381">
            <v>13301</v>
          </cell>
        </row>
        <row r="382">
          <cell r="C382">
            <v>13301</v>
          </cell>
        </row>
        <row r="383">
          <cell r="C383">
            <v>13301</v>
          </cell>
        </row>
        <row r="384">
          <cell r="C384">
            <v>13301</v>
          </cell>
        </row>
        <row r="385">
          <cell r="C385">
            <v>13301</v>
          </cell>
        </row>
        <row r="386">
          <cell r="C386">
            <v>13301</v>
          </cell>
        </row>
        <row r="387">
          <cell r="C387">
            <v>13301</v>
          </cell>
        </row>
        <row r="388">
          <cell r="C388">
            <v>13301</v>
          </cell>
        </row>
        <row r="389">
          <cell r="C389">
            <v>13301</v>
          </cell>
        </row>
        <row r="390">
          <cell r="C390">
            <v>13301</v>
          </cell>
        </row>
        <row r="391">
          <cell r="C391">
            <v>13301</v>
          </cell>
        </row>
        <row r="392">
          <cell r="C392">
            <v>13302</v>
          </cell>
        </row>
        <row r="393">
          <cell r="C393">
            <v>13302</v>
          </cell>
        </row>
        <row r="394">
          <cell r="C394">
            <v>13302</v>
          </cell>
        </row>
        <row r="395">
          <cell r="C395">
            <v>13302</v>
          </cell>
        </row>
        <row r="396">
          <cell r="C396">
            <v>13302</v>
          </cell>
        </row>
        <row r="397">
          <cell r="C397">
            <v>13302</v>
          </cell>
        </row>
        <row r="398">
          <cell r="C398">
            <v>13302</v>
          </cell>
        </row>
        <row r="399">
          <cell r="C399">
            <v>13302</v>
          </cell>
        </row>
        <row r="400">
          <cell r="C400">
            <v>13302</v>
          </cell>
        </row>
        <row r="401">
          <cell r="C401">
            <v>13302</v>
          </cell>
        </row>
        <row r="402">
          <cell r="C402">
            <v>13302</v>
          </cell>
        </row>
        <row r="403">
          <cell r="C403">
            <v>13302</v>
          </cell>
        </row>
        <row r="404">
          <cell r="C404">
            <v>13302</v>
          </cell>
        </row>
        <row r="405">
          <cell r="C405">
            <v>13302</v>
          </cell>
        </row>
        <row r="406">
          <cell r="C406">
            <v>13302</v>
          </cell>
        </row>
        <row r="407">
          <cell r="C407">
            <v>13400</v>
          </cell>
        </row>
        <row r="408">
          <cell r="C408">
            <v>13400</v>
          </cell>
        </row>
        <row r="409">
          <cell r="C409">
            <v>13400</v>
          </cell>
        </row>
        <row r="410">
          <cell r="C410">
            <v>13400</v>
          </cell>
        </row>
        <row r="411">
          <cell r="C411">
            <v>13400</v>
          </cell>
        </row>
        <row r="412">
          <cell r="C412">
            <v>13400</v>
          </cell>
        </row>
        <row r="413">
          <cell r="C413">
            <v>13400</v>
          </cell>
        </row>
        <row r="414">
          <cell r="C414">
            <v>13400</v>
          </cell>
        </row>
        <row r="415">
          <cell r="C415">
            <v>13400</v>
          </cell>
        </row>
        <row r="416">
          <cell r="C416">
            <v>13400</v>
          </cell>
        </row>
        <row r="417">
          <cell r="C417">
            <v>13400</v>
          </cell>
        </row>
        <row r="418">
          <cell r="C418">
            <v>13400</v>
          </cell>
        </row>
        <row r="419">
          <cell r="C419">
            <v>13400</v>
          </cell>
        </row>
        <row r="420">
          <cell r="C420">
            <v>13400</v>
          </cell>
        </row>
        <row r="421">
          <cell r="C421">
            <v>13400</v>
          </cell>
        </row>
        <row r="422">
          <cell r="C422">
            <v>14001</v>
          </cell>
        </row>
        <row r="423">
          <cell r="C423">
            <v>14001</v>
          </cell>
        </row>
        <row r="424">
          <cell r="C424">
            <v>14001</v>
          </cell>
        </row>
        <row r="425">
          <cell r="C425">
            <v>14001</v>
          </cell>
        </row>
        <row r="426">
          <cell r="C426">
            <v>14001</v>
          </cell>
        </row>
        <row r="427">
          <cell r="C427">
            <v>14001</v>
          </cell>
        </row>
        <row r="428">
          <cell r="C428">
            <v>14001</v>
          </cell>
        </row>
        <row r="429">
          <cell r="C429">
            <v>14001</v>
          </cell>
        </row>
        <row r="430">
          <cell r="C430">
            <v>14002</v>
          </cell>
        </row>
        <row r="431">
          <cell r="C431">
            <v>14002</v>
          </cell>
        </row>
        <row r="432">
          <cell r="C432">
            <v>14003</v>
          </cell>
        </row>
        <row r="433">
          <cell r="C433">
            <v>14003</v>
          </cell>
        </row>
        <row r="434">
          <cell r="C434">
            <v>14003</v>
          </cell>
        </row>
        <row r="435">
          <cell r="C435">
            <v>14003</v>
          </cell>
        </row>
        <row r="436">
          <cell r="C436">
            <v>14004</v>
          </cell>
        </row>
        <row r="437">
          <cell r="C437">
            <v>14004</v>
          </cell>
        </row>
        <row r="438">
          <cell r="C438">
            <v>14004</v>
          </cell>
        </row>
        <row r="439">
          <cell r="C439">
            <v>14004</v>
          </cell>
        </row>
        <row r="440">
          <cell r="C440">
            <v>14005</v>
          </cell>
        </row>
        <row r="441">
          <cell r="C441">
            <v>14006</v>
          </cell>
        </row>
        <row r="442">
          <cell r="C442">
            <v>15027</v>
          </cell>
        </row>
        <row r="443">
          <cell r="C443">
            <v>15027</v>
          </cell>
        </row>
        <row r="444">
          <cell r="C444">
            <v>15027</v>
          </cell>
        </row>
        <row r="445">
          <cell r="C445">
            <v>15027</v>
          </cell>
        </row>
        <row r="446">
          <cell r="C446">
            <v>15028</v>
          </cell>
        </row>
        <row r="447">
          <cell r="C447">
            <v>15028</v>
          </cell>
        </row>
        <row r="448">
          <cell r="C448">
            <v>15028</v>
          </cell>
        </row>
        <row r="449">
          <cell r="C449">
            <v>15028</v>
          </cell>
        </row>
        <row r="450">
          <cell r="C450">
            <v>15029</v>
          </cell>
        </row>
        <row r="451">
          <cell r="C451">
            <v>15029</v>
          </cell>
        </row>
        <row r="452">
          <cell r="C452">
            <v>15029</v>
          </cell>
        </row>
        <row r="453">
          <cell r="C453">
            <v>15029</v>
          </cell>
        </row>
        <row r="454">
          <cell r="C454">
            <v>15030</v>
          </cell>
        </row>
        <row r="455">
          <cell r="C455">
            <v>15030</v>
          </cell>
        </row>
        <row r="456">
          <cell r="C456">
            <v>15030</v>
          </cell>
        </row>
        <row r="457">
          <cell r="C457">
            <v>15030</v>
          </cell>
        </row>
        <row r="458">
          <cell r="C458">
            <v>15031</v>
          </cell>
        </row>
        <row r="459">
          <cell r="C459">
            <v>15031</v>
          </cell>
        </row>
        <row r="460">
          <cell r="C460">
            <v>15031</v>
          </cell>
        </row>
        <row r="461">
          <cell r="C461">
            <v>15031</v>
          </cell>
        </row>
        <row r="462">
          <cell r="C462">
            <v>20001</v>
          </cell>
        </row>
        <row r="463">
          <cell r="C463">
            <v>20001</v>
          </cell>
        </row>
        <row r="464">
          <cell r="C464">
            <v>20001</v>
          </cell>
        </row>
        <row r="465">
          <cell r="C465">
            <v>20002</v>
          </cell>
        </row>
        <row r="466">
          <cell r="C466">
            <v>20002</v>
          </cell>
        </row>
        <row r="467">
          <cell r="C467">
            <v>20002</v>
          </cell>
        </row>
        <row r="468">
          <cell r="C468">
            <v>20003</v>
          </cell>
        </row>
        <row r="469">
          <cell r="C469">
            <v>20003</v>
          </cell>
        </row>
        <row r="470">
          <cell r="C470">
            <v>20003</v>
          </cell>
        </row>
        <row r="471">
          <cell r="C471">
            <v>20004</v>
          </cell>
        </row>
        <row r="472">
          <cell r="C472">
            <v>20004</v>
          </cell>
        </row>
        <row r="473">
          <cell r="C473">
            <v>20004</v>
          </cell>
        </row>
        <row r="474">
          <cell r="C474">
            <v>20005</v>
          </cell>
        </row>
        <row r="475">
          <cell r="C475">
            <v>20005</v>
          </cell>
        </row>
        <row r="476">
          <cell r="C476">
            <v>20005</v>
          </cell>
        </row>
        <row r="477">
          <cell r="C477">
            <v>20006</v>
          </cell>
        </row>
        <row r="478">
          <cell r="C478">
            <v>20006</v>
          </cell>
        </row>
        <row r="479">
          <cell r="C479">
            <v>20006</v>
          </cell>
        </row>
        <row r="480">
          <cell r="C480">
            <v>20007</v>
          </cell>
        </row>
        <row r="481">
          <cell r="C481">
            <v>20007</v>
          </cell>
        </row>
        <row r="482">
          <cell r="C482">
            <v>20007</v>
          </cell>
        </row>
        <row r="483">
          <cell r="C483">
            <v>20008</v>
          </cell>
        </row>
        <row r="484">
          <cell r="C484">
            <v>20008</v>
          </cell>
        </row>
        <row r="485">
          <cell r="C485">
            <v>20008</v>
          </cell>
        </row>
        <row r="486">
          <cell r="C486">
            <v>20009</v>
          </cell>
        </row>
        <row r="487">
          <cell r="C487">
            <v>20009</v>
          </cell>
        </row>
        <row r="488">
          <cell r="C488">
            <v>20009</v>
          </cell>
        </row>
        <row r="489">
          <cell r="C489">
            <v>20010</v>
          </cell>
        </row>
        <row r="490">
          <cell r="C490">
            <v>20010</v>
          </cell>
        </row>
        <row r="491">
          <cell r="C491">
            <v>20010</v>
          </cell>
        </row>
        <row r="492">
          <cell r="C492">
            <v>20011</v>
          </cell>
        </row>
        <row r="493">
          <cell r="C493">
            <v>20011</v>
          </cell>
        </row>
        <row r="494">
          <cell r="C494">
            <v>20011</v>
          </cell>
        </row>
        <row r="495">
          <cell r="C495">
            <v>20012</v>
          </cell>
        </row>
        <row r="496">
          <cell r="C496">
            <v>20012</v>
          </cell>
        </row>
        <row r="497">
          <cell r="C497">
            <v>20012</v>
          </cell>
        </row>
        <row r="498">
          <cell r="C498">
            <v>20013</v>
          </cell>
        </row>
        <row r="499">
          <cell r="C499">
            <v>20013</v>
          </cell>
        </row>
        <row r="500">
          <cell r="C500">
            <v>20013</v>
          </cell>
        </row>
        <row r="501">
          <cell r="C501">
            <v>20014</v>
          </cell>
        </row>
        <row r="502">
          <cell r="C502">
            <v>20014</v>
          </cell>
        </row>
        <row r="503">
          <cell r="C503">
            <v>20014</v>
          </cell>
        </row>
        <row r="504">
          <cell r="C504">
            <v>20015</v>
          </cell>
        </row>
        <row r="505">
          <cell r="C505">
            <v>20015</v>
          </cell>
        </row>
        <row r="506">
          <cell r="C506">
            <v>20015</v>
          </cell>
        </row>
        <row r="507">
          <cell r="C507">
            <v>20016</v>
          </cell>
        </row>
        <row r="508">
          <cell r="C508">
            <v>20016</v>
          </cell>
        </row>
        <row r="509">
          <cell r="C509">
            <v>20016</v>
          </cell>
        </row>
        <row r="510">
          <cell r="C510">
            <v>20017</v>
          </cell>
        </row>
        <row r="511">
          <cell r="C511">
            <v>20017</v>
          </cell>
        </row>
        <row r="512">
          <cell r="C512">
            <v>20017</v>
          </cell>
        </row>
        <row r="513">
          <cell r="C513">
            <v>20018</v>
          </cell>
        </row>
        <row r="514">
          <cell r="C514">
            <v>20018</v>
          </cell>
        </row>
        <row r="515">
          <cell r="C515">
            <v>20018</v>
          </cell>
        </row>
        <row r="516">
          <cell r="C516">
            <v>20019</v>
          </cell>
        </row>
        <row r="517">
          <cell r="C517">
            <v>20019</v>
          </cell>
        </row>
        <row r="518">
          <cell r="C518">
            <v>20019</v>
          </cell>
        </row>
        <row r="519">
          <cell r="C519">
            <v>20020</v>
          </cell>
        </row>
        <row r="520">
          <cell r="C520">
            <v>20020</v>
          </cell>
        </row>
        <row r="521">
          <cell r="C521">
            <v>20020</v>
          </cell>
        </row>
        <row r="522">
          <cell r="C522">
            <v>20021</v>
          </cell>
        </row>
        <row r="523">
          <cell r="C523">
            <v>20021</v>
          </cell>
        </row>
        <row r="524">
          <cell r="C524">
            <v>20021</v>
          </cell>
        </row>
        <row r="525">
          <cell r="C525">
            <v>20022</v>
          </cell>
        </row>
        <row r="526">
          <cell r="C526">
            <v>30001</v>
          </cell>
        </row>
        <row r="527">
          <cell r="C527">
            <v>30001</v>
          </cell>
        </row>
        <row r="528">
          <cell r="C528">
            <v>30001</v>
          </cell>
        </row>
        <row r="529">
          <cell r="C529">
            <v>30002</v>
          </cell>
        </row>
        <row r="530">
          <cell r="C530">
            <v>30002</v>
          </cell>
        </row>
        <row r="531">
          <cell r="C531">
            <v>30002</v>
          </cell>
        </row>
        <row r="532">
          <cell r="C532">
            <v>30003</v>
          </cell>
        </row>
        <row r="533">
          <cell r="C533">
            <v>30003</v>
          </cell>
        </row>
        <row r="534">
          <cell r="C534">
            <v>30003</v>
          </cell>
        </row>
        <row r="535">
          <cell r="C535">
            <v>30004</v>
          </cell>
        </row>
        <row r="536">
          <cell r="C536">
            <v>30004</v>
          </cell>
        </row>
        <row r="537">
          <cell r="C537">
            <v>30004</v>
          </cell>
        </row>
        <row r="538">
          <cell r="C538">
            <v>30005</v>
          </cell>
        </row>
        <row r="539">
          <cell r="C539">
            <v>30005</v>
          </cell>
        </row>
        <row r="540">
          <cell r="C540">
            <v>30005</v>
          </cell>
        </row>
        <row r="541">
          <cell r="C541">
            <v>30006</v>
          </cell>
        </row>
        <row r="542">
          <cell r="C542">
            <v>30006</v>
          </cell>
        </row>
        <row r="543">
          <cell r="C543">
            <v>30006</v>
          </cell>
        </row>
        <row r="544">
          <cell r="C544">
            <v>30007</v>
          </cell>
        </row>
        <row r="545">
          <cell r="C545">
            <v>30007</v>
          </cell>
        </row>
        <row r="546">
          <cell r="C546">
            <v>30007</v>
          </cell>
        </row>
        <row r="547">
          <cell r="C547">
            <v>30008</v>
          </cell>
        </row>
        <row r="548">
          <cell r="C548">
            <v>30008</v>
          </cell>
        </row>
        <row r="549">
          <cell r="C549">
            <v>30008</v>
          </cell>
        </row>
        <row r="550">
          <cell r="C550">
            <v>30009</v>
          </cell>
        </row>
        <row r="551">
          <cell r="C551">
            <v>30009</v>
          </cell>
        </row>
        <row r="552">
          <cell r="C552">
            <v>30009</v>
          </cell>
        </row>
        <row r="553">
          <cell r="C553">
            <v>30010</v>
          </cell>
        </row>
        <row r="554">
          <cell r="C554">
            <v>30010</v>
          </cell>
        </row>
        <row r="555">
          <cell r="C555">
            <v>30010</v>
          </cell>
        </row>
        <row r="556">
          <cell r="C556">
            <v>30011</v>
          </cell>
        </row>
        <row r="557">
          <cell r="C557">
            <v>30011</v>
          </cell>
        </row>
        <row r="558">
          <cell r="C558">
            <v>30011</v>
          </cell>
        </row>
        <row r="559">
          <cell r="C559">
            <v>30012</v>
          </cell>
        </row>
        <row r="560">
          <cell r="C560">
            <v>30012</v>
          </cell>
        </row>
        <row r="561">
          <cell r="C561">
            <v>30012</v>
          </cell>
        </row>
        <row r="562">
          <cell r="C562">
            <v>30013</v>
          </cell>
        </row>
        <row r="563">
          <cell r="C563">
            <v>30013</v>
          </cell>
        </row>
        <row r="564">
          <cell r="C564">
            <v>30014</v>
          </cell>
        </row>
        <row r="565">
          <cell r="C565">
            <v>30014</v>
          </cell>
        </row>
        <row r="566">
          <cell r="C566">
            <v>30015</v>
          </cell>
        </row>
        <row r="567">
          <cell r="C567">
            <v>30015</v>
          </cell>
        </row>
        <row r="568">
          <cell r="C568">
            <v>30016</v>
          </cell>
        </row>
        <row r="569">
          <cell r="C569">
            <v>30016</v>
          </cell>
        </row>
        <row r="570">
          <cell r="C570">
            <v>30017</v>
          </cell>
        </row>
        <row r="571">
          <cell r="C571">
            <v>30017</v>
          </cell>
        </row>
        <row r="572">
          <cell r="C572">
            <v>30018</v>
          </cell>
        </row>
        <row r="573">
          <cell r="C573">
            <v>30018</v>
          </cell>
        </row>
        <row r="574">
          <cell r="C574">
            <v>30019</v>
          </cell>
        </row>
        <row r="575">
          <cell r="C575">
            <v>30019</v>
          </cell>
        </row>
        <row r="576">
          <cell r="C576">
            <v>30020</v>
          </cell>
        </row>
        <row r="577">
          <cell r="C577">
            <v>30020</v>
          </cell>
        </row>
        <row r="578">
          <cell r="C578">
            <v>30021</v>
          </cell>
        </row>
        <row r="579">
          <cell r="C579">
            <v>30021</v>
          </cell>
        </row>
        <row r="580">
          <cell r="C580">
            <v>30021</v>
          </cell>
        </row>
        <row r="581">
          <cell r="C581">
            <v>30022</v>
          </cell>
        </row>
        <row r="582">
          <cell r="C582">
            <v>30022</v>
          </cell>
        </row>
        <row r="583">
          <cell r="C583">
            <v>30023</v>
          </cell>
        </row>
        <row r="584">
          <cell r="C584">
            <v>30023</v>
          </cell>
        </row>
        <row r="585">
          <cell r="C585">
            <v>30023</v>
          </cell>
        </row>
        <row r="586">
          <cell r="C586">
            <v>30024</v>
          </cell>
        </row>
        <row r="587">
          <cell r="C587">
            <v>30024</v>
          </cell>
        </row>
        <row r="588">
          <cell r="C588">
            <v>30024</v>
          </cell>
        </row>
        <row r="589">
          <cell r="C589">
            <v>30025</v>
          </cell>
        </row>
        <row r="590">
          <cell r="C590">
            <v>30025</v>
          </cell>
        </row>
        <row r="591">
          <cell r="C591">
            <v>30025</v>
          </cell>
        </row>
        <row r="592">
          <cell r="C592">
            <v>30026</v>
          </cell>
        </row>
        <row r="593">
          <cell r="C593">
            <v>30026</v>
          </cell>
        </row>
        <row r="594">
          <cell r="C594">
            <v>30026</v>
          </cell>
        </row>
        <row r="595">
          <cell r="C595">
            <v>30027</v>
          </cell>
        </row>
        <row r="596">
          <cell r="C596">
            <v>30027</v>
          </cell>
        </row>
        <row r="597">
          <cell r="C597">
            <v>30027</v>
          </cell>
        </row>
        <row r="598">
          <cell r="C598">
            <v>30028</v>
          </cell>
        </row>
        <row r="599">
          <cell r="C599">
            <v>30028</v>
          </cell>
        </row>
        <row r="600">
          <cell r="C600">
            <v>30028</v>
          </cell>
        </row>
        <row r="601">
          <cell r="C601">
            <v>30029</v>
          </cell>
        </row>
        <row r="602">
          <cell r="C602">
            <v>30029</v>
          </cell>
        </row>
        <row r="603">
          <cell r="C603">
            <v>30029</v>
          </cell>
        </row>
        <row r="604">
          <cell r="C604">
            <v>30030</v>
          </cell>
        </row>
        <row r="605">
          <cell r="C605">
            <v>30030</v>
          </cell>
        </row>
        <row r="606">
          <cell r="C606">
            <v>30030</v>
          </cell>
        </row>
        <row r="607">
          <cell r="C607">
            <v>30031</v>
          </cell>
        </row>
        <row r="608">
          <cell r="C608">
            <v>30031</v>
          </cell>
        </row>
        <row r="609">
          <cell r="C609">
            <v>30031</v>
          </cell>
        </row>
        <row r="610">
          <cell r="C610">
            <v>30032</v>
          </cell>
        </row>
        <row r="611">
          <cell r="C611">
            <v>30032</v>
          </cell>
        </row>
        <row r="612">
          <cell r="C612">
            <v>30032</v>
          </cell>
        </row>
        <row r="613">
          <cell r="C613">
            <v>30033</v>
          </cell>
        </row>
        <row r="614">
          <cell r="C614">
            <v>30033</v>
          </cell>
        </row>
        <row r="615">
          <cell r="C615">
            <v>30033</v>
          </cell>
        </row>
        <row r="616">
          <cell r="C616">
            <v>30034</v>
          </cell>
        </row>
        <row r="617">
          <cell r="C617">
            <v>30034</v>
          </cell>
        </row>
        <row r="618">
          <cell r="C618">
            <v>30034</v>
          </cell>
        </row>
        <row r="619">
          <cell r="C619">
            <v>30035</v>
          </cell>
        </row>
        <row r="620">
          <cell r="C620">
            <v>30035</v>
          </cell>
        </row>
        <row r="621">
          <cell r="C621">
            <v>30035</v>
          </cell>
        </row>
        <row r="622">
          <cell r="C622">
            <v>30036</v>
          </cell>
        </row>
        <row r="623">
          <cell r="C623">
            <v>30036</v>
          </cell>
        </row>
        <row r="624">
          <cell r="C624">
            <v>30036</v>
          </cell>
        </row>
        <row r="625">
          <cell r="C625">
            <v>30037</v>
          </cell>
        </row>
        <row r="626">
          <cell r="C626">
            <v>30037</v>
          </cell>
        </row>
        <row r="627">
          <cell r="C627">
            <v>30037</v>
          </cell>
        </row>
        <row r="628">
          <cell r="C628">
            <v>30038</v>
          </cell>
        </row>
        <row r="629">
          <cell r="C629">
            <v>30038</v>
          </cell>
        </row>
        <row r="630">
          <cell r="C630">
            <v>30038</v>
          </cell>
        </row>
        <row r="631">
          <cell r="C631">
            <v>30039</v>
          </cell>
        </row>
        <row r="632">
          <cell r="C632">
            <v>30039</v>
          </cell>
        </row>
        <row r="633">
          <cell r="C633">
            <v>30039</v>
          </cell>
        </row>
        <row r="634">
          <cell r="C634">
            <v>30040</v>
          </cell>
        </row>
        <row r="635">
          <cell r="C635">
            <v>30040</v>
          </cell>
        </row>
        <row r="636">
          <cell r="C636">
            <v>30040</v>
          </cell>
        </row>
        <row r="637">
          <cell r="C637">
            <v>30041</v>
          </cell>
        </row>
        <row r="638">
          <cell r="C638">
            <v>30041</v>
          </cell>
        </row>
        <row r="639">
          <cell r="C639">
            <v>30041</v>
          </cell>
        </row>
        <row r="640">
          <cell r="C640">
            <v>30042</v>
          </cell>
        </row>
        <row r="641">
          <cell r="C641">
            <v>30042</v>
          </cell>
        </row>
        <row r="642">
          <cell r="C642">
            <v>30042</v>
          </cell>
        </row>
        <row r="643">
          <cell r="C643">
            <v>30043</v>
          </cell>
        </row>
        <row r="644">
          <cell r="C644">
            <v>30043</v>
          </cell>
        </row>
        <row r="645">
          <cell r="C645">
            <v>30043</v>
          </cell>
        </row>
        <row r="646">
          <cell r="C646">
            <v>30044</v>
          </cell>
        </row>
        <row r="647">
          <cell r="C647">
            <v>30044</v>
          </cell>
        </row>
        <row r="648">
          <cell r="C648">
            <v>30044</v>
          </cell>
        </row>
        <row r="649">
          <cell r="C649">
            <v>30045</v>
          </cell>
        </row>
        <row r="650">
          <cell r="C650">
            <v>30045</v>
          </cell>
        </row>
        <row r="651">
          <cell r="C651">
            <v>30045</v>
          </cell>
        </row>
        <row r="652">
          <cell r="C652">
            <v>30046</v>
          </cell>
        </row>
        <row r="653">
          <cell r="C653">
            <v>30046</v>
          </cell>
        </row>
        <row r="654">
          <cell r="C654">
            <v>30046</v>
          </cell>
        </row>
        <row r="655">
          <cell r="C655">
            <v>30047</v>
          </cell>
        </row>
        <row r="656">
          <cell r="C656">
            <v>30047</v>
          </cell>
        </row>
        <row r="657">
          <cell r="C657">
            <v>30047</v>
          </cell>
        </row>
        <row r="658">
          <cell r="C658">
            <v>30048</v>
          </cell>
        </row>
        <row r="659">
          <cell r="C659">
            <v>30048</v>
          </cell>
        </row>
        <row r="660">
          <cell r="C660">
            <v>30048</v>
          </cell>
        </row>
        <row r="661">
          <cell r="C661">
            <v>30049</v>
          </cell>
        </row>
        <row r="662">
          <cell r="C662">
            <v>30049</v>
          </cell>
        </row>
        <row r="663">
          <cell r="C663">
            <v>30049</v>
          </cell>
        </row>
        <row r="664">
          <cell r="C664">
            <v>30050</v>
          </cell>
        </row>
        <row r="665">
          <cell r="C665">
            <v>30050</v>
          </cell>
        </row>
        <row r="666">
          <cell r="C666">
            <v>30050</v>
          </cell>
        </row>
        <row r="667">
          <cell r="C667">
            <v>38101</v>
          </cell>
        </row>
        <row r="668">
          <cell r="C668">
            <v>38101</v>
          </cell>
        </row>
        <row r="669">
          <cell r="C669">
            <v>38101</v>
          </cell>
        </row>
        <row r="670">
          <cell r="C670">
            <v>39001</v>
          </cell>
        </row>
        <row r="671">
          <cell r="C671">
            <v>39001</v>
          </cell>
        </row>
        <row r="672">
          <cell r="C672">
            <v>39001</v>
          </cell>
        </row>
        <row r="673">
          <cell r="C673">
            <v>39001</v>
          </cell>
        </row>
        <row r="674">
          <cell r="C674">
            <v>39001</v>
          </cell>
        </row>
        <row r="675">
          <cell r="C675">
            <v>39002</v>
          </cell>
        </row>
        <row r="676">
          <cell r="C676">
            <v>39002</v>
          </cell>
        </row>
        <row r="677">
          <cell r="C677">
            <v>39002</v>
          </cell>
        </row>
        <row r="678">
          <cell r="C678">
            <v>39002</v>
          </cell>
        </row>
        <row r="679">
          <cell r="C679">
            <v>39003</v>
          </cell>
        </row>
        <row r="680">
          <cell r="C680">
            <v>39003</v>
          </cell>
        </row>
        <row r="681">
          <cell r="C681">
            <v>39003</v>
          </cell>
        </row>
        <row r="682">
          <cell r="C682">
            <v>39003</v>
          </cell>
        </row>
        <row r="683">
          <cell r="C683">
            <v>39004</v>
          </cell>
        </row>
        <row r="684">
          <cell r="C684">
            <v>39004</v>
          </cell>
        </row>
        <row r="685">
          <cell r="C685">
            <v>39004</v>
          </cell>
        </row>
        <row r="686">
          <cell r="C686">
            <v>39004</v>
          </cell>
        </row>
        <row r="687">
          <cell r="C687">
            <v>39005</v>
          </cell>
        </row>
        <row r="688">
          <cell r="C688">
            <v>39005</v>
          </cell>
        </row>
        <row r="689">
          <cell r="C689">
            <v>39005</v>
          </cell>
        </row>
        <row r="690">
          <cell r="C690">
            <v>39005</v>
          </cell>
        </row>
        <row r="691">
          <cell r="C691">
            <v>39005</v>
          </cell>
        </row>
        <row r="692">
          <cell r="C692">
            <v>39006</v>
          </cell>
        </row>
        <row r="693">
          <cell r="C693">
            <v>39006</v>
          </cell>
        </row>
        <row r="694">
          <cell r="C694">
            <v>39006</v>
          </cell>
        </row>
        <row r="695">
          <cell r="C695">
            <v>39006</v>
          </cell>
        </row>
        <row r="696">
          <cell r="C696">
            <v>39007</v>
          </cell>
        </row>
        <row r="697">
          <cell r="C697">
            <v>39007</v>
          </cell>
        </row>
        <row r="698">
          <cell r="C698">
            <v>39007</v>
          </cell>
        </row>
        <row r="699">
          <cell r="C699">
            <v>39007</v>
          </cell>
        </row>
        <row r="700">
          <cell r="C700">
            <v>39008</v>
          </cell>
        </row>
        <row r="701">
          <cell r="C701">
            <v>39008</v>
          </cell>
        </row>
        <row r="702">
          <cell r="C702">
            <v>39008</v>
          </cell>
        </row>
        <row r="703">
          <cell r="C703">
            <v>39008</v>
          </cell>
        </row>
        <row r="704">
          <cell r="C704">
            <v>39008</v>
          </cell>
        </row>
        <row r="705">
          <cell r="C705">
            <v>39009</v>
          </cell>
        </row>
        <row r="706">
          <cell r="C706">
            <v>39009</v>
          </cell>
        </row>
        <row r="707">
          <cell r="C707">
            <v>39009</v>
          </cell>
        </row>
        <row r="708">
          <cell r="C708">
            <v>39009</v>
          </cell>
        </row>
        <row r="709">
          <cell r="C709">
            <v>39009</v>
          </cell>
        </row>
        <row r="710">
          <cell r="C710">
            <v>39010</v>
          </cell>
        </row>
        <row r="711">
          <cell r="C711">
            <v>39010</v>
          </cell>
        </row>
        <row r="712">
          <cell r="C712">
            <v>39010</v>
          </cell>
        </row>
        <row r="713">
          <cell r="C713">
            <v>39010</v>
          </cell>
        </row>
        <row r="714">
          <cell r="C714">
            <v>39011</v>
          </cell>
        </row>
        <row r="715">
          <cell r="C715">
            <v>39011</v>
          </cell>
        </row>
        <row r="716">
          <cell r="C716">
            <v>39011</v>
          </cell>
        </row>
        <row r="717">
          <cell r="C717">
            <v>39011</v>
          </cell>
        </row>
        <row r="718">
          <cell r="C718">
            <v>39012</v>
          </cell>
        </row>
        <row r="719">
          <cell r="C719">
            <v>39012</v>
          </cell>
        </row>
        <row r="720">
          <cell r="C720">
            <v>39012</v>
          </cell>
        </row>
        <row r="721">
          <cell r="C721">
            <v>39012</v>
          </cell>
        </row>
        <row r="722">
          <cell r="C722">
            <v>39012</v>
          </cell>
        </row>
        <row r="723">
          <cell r="C723">
            <v>39013</v>
          </cell>
        </row>
        <row r="724">
          <cell r="C724">
            <v>39013</v>
          </cell>
        </row>
        <row r="725">
          <cell r="C725">
            <v>39013</v>
          </cell>
        </row>
        <row r="726">
          <cell r="C726">
            <v>39013</v>
          </cell>
        </row>
        <row r="727">
          <cell r="C727">
            <v>39014</v>
          </cell>
        </row>
        <row r="728">
          <cell r="C728">
            <v>39014</v>
          </cell>
        </row>
        <row r="729">
          <cell r="C729">
            <v>40001</v>
          </cell>
        </row>
        <row r="730">
          <cell r="C730">
            <v>40002</v>
          </cell>
        </row>
        <row r="731">
          <cell r="C731">
            <v>40002</v>
          </cell>
        </row>
        <row r="732">
          <cell r="C732">
            <v>40002</v>
          </cell>
        </row>
        <row r="733">
          <cell r="C733">
            <v>40003</v>
          </cell>
        </row>
        <row r="734">
          <cell r="C734">
            <v>40004</v>
          </cell>
        </row>
        <row r="735">
          <cell r="C735">
            <v>40005</v>
          </cell>
        </row>
        <row r="736">
          <cell r="C736">
            <v>40006</v>
          </cell>
        </row>
        <row r="737">
          <cell r="C737">
            <v>40007</v>
          </cell>
        </row>
        <row r="738">
          <cell r="C738">
            <v>40008</v>
          </cell>
        </row>
        <row r="739">
          <cell r="C739">
            <v>40009</v>
          </cell>
        </row>
        <row r="740">
          <cell r="C740">
            <v>40010</v>
          </cell>
        </row>
        <row r="741">
          <cell r="C741">
            <v>40011</v>
          </cell>
        </row>
        <row r="742">
          <cell r="C742">
            <v>40012</v>
          </cell>
        </row>
        <row r="743">
          <cell r="C743">
            <v>40013</v>
          </cell>
        </row>
        <row r="744">
          <cell r="C744">
            <v>40014</v>
          </cell>
        </row>
        <row r="745">
          <cell r="C745">
            <v>40015</v>
          </cell>
        </row>
        <row r="746">
          <cell r="C746">
            <v>40016</v>
          </cell>
        </row>
        <row r="747">
          <cell r="C747">
            <v>40016</v>
          </cell>
        </row>
        <row r="748">
          <cell r="C748">
            <v>40017</v>
          </cell>
        </row>
        <row r="749">
          <cell r="C749">
            <v>40017</v>
          </cell>
        </row>
        <row r="750">
          <cell r="C750">
            <v>40017</v>
          </cell>
        </row>
        <row r="751">
          <cell r="C751">
            <v>40018</v>
          </cell>
        </row>
        <row r="752">
          <cell r="C752">
            <v>40018</v>
          </cell>
        </row>
        <row r="753">
          <cell r="C753">
            <v>40018</v>
          </cell>
        </row>
        <row r="754">
          <cell r="C754">
            <v>40019</v>
          </cell>
        </row>
        <row r="755">
          <cell r="C755">
            <v>40019</v>
          </cell>
        </row>
        <row r="756">
          <cell r="C756">
            <v>40019</v>
          </cell>
        </row>
        <row r="757">
          <cell r="C757">
            <v>40021</v>
          </cell>
        </row>
        <row r="758">
          <cell r="C758">
            <v>40021</v>
          </cell>
        </row>
        <row r="759">
          <cell r="C759">
            <v>40022</v>
          </cell>
        </row>
        <row r="760">
          <cell r="C760">
            <v>40022</v>
          </cell>
        </row>
        <row r="761">
          <cell r="C761">
            <v>40023</v>
          </cell>
        </row>
        <row r="762">
          <cell r="C762">
            <v>40023</v>
          </cell>
        </row>
        <row r="763">
          <cell r="C763">
            <v>40024</v>
          </cell>
        </row>
        <row r="764">
          <cell r="C764">
            <v>40024</v>
          </cell>
        </row>
        <row r="765">
          <cell r="C765">
            <v>40025</v>
          </cell>
        </row>
        <row r="766">
          <cell r="C766">
            <v>40025</v>
          </cell>
        </row>
        <row r="767">
          <cell r="C767">
            <v>40026</v>
          </cell>
        </row>
        <row r="768">
          <cell r="C768">
            <v>40026</v>
          </cell>
        </row>
        <row r="769">
          <cell r="C769">
            <v>40027</v>
          </cell>
        </row>
        <row r="770">
          <cell r="C770">
            <v>40027</v>
          </cell>
        </row>
        <row r="771">
          <cell r="C771">
            <v>40028</v>
          </cell>
        </row>
        <row r="772">
          <cell r="C772">
            <v>40028</v>
          </cell>
        </row>
        <row r="773">
          <cell r="C773">
            <v>40029</v>
          </cell>
        </row>
        <row r="774">
          <cell r="C774">
            <v>40029</v>
          </cell>
        </row>
        <row r="775">
          <cell r="C775">
            <v>40030</v>
          </cell>
        </row>
        <row r="776">
          <cell r="C776">
            <v>40030</v>
          </cell>
        </row>
        <row r="777">
          <cell r="C777">
            <v>40031</v>
          </cell>
        </row>
        <row r="778">
          <cell r="C778">
            <v>40031</v>
          </cell>
        </row>
        <row r="779">
          <cell r="C779">
            <v>40032</v>
          </cell>
        </row>
        <row r="780">
          <cell r="C780">
            <v>40032</v>
          </cell>
        </row>
        <row r="781">
          <cell r="C781">
            <v>40033</v>
          </cell>
        </row>
        <row r="782">
          <cell r="C782">
            <v>40033</v>
          </cell>
        </row>
        <row r="783">
          <cell r="C783">
            <v>40034</v>
          </cell>
        </row>
        <row r="784">
          <cell r="C784">
            <v>40034</v>
          </cell>
        </row>
        <row r="785">
          <cell r="C785">
            <v>40035</v>
          </cell>
        </row>
        <row r="786">
          <cell r="C786">
            <v>40035</v>
          </cell>
        </row>
        <row r="787">
          <cell r="C787">
            <v>40036</v>
          </cell>
        </row>
        <row r="788">
          <cell r="C788">
            <v>40036</v>
          </cell>
        </row>
        <row r="789">
          <cell r="C789">
            <v>40037</v>
          </cell>
        </row>
        <row r="790">
          <cell r="C790">
            <v>40037</v>
          </cell>
        </row>
        <row r="791">
          <cell r="C791">
            <v>40038</v>
          </cell>
        </row>
        <row r="792">
          <cell r="C792">
            <v>40038</v>
          </cell>
        </row>
        <row r="793">
          <cell r="C793">
            <v>40039</v>
          </cell>
        </row>
        <row r="794">
          <cell r="C794">
            <v>40039</v>
          </cell>
        </row>
        <row r="795">
          <cell r="C795">
            <v>40040</v>
          </cell>
        </row>
        <row r="796">
          <cell r="C796">
            <v>40040</v>
          </cell>
        </row>
        <row r="797">
          <cell r="C797">
            <v>40041</v>
          </cell>
        </row>
        <row r="798">
          <cell r="C798">
            <v>40041</v>
          </cell>
        </row>
        <row r="799">
          <cell r="C799">
            <v>40042</v>
          </cell>
        </row>
        <row r="800">
          <cell r="C800">
            <v>40042</v>
          </cell>
        </row>
        <row r="801">
          <cell r="C801">
            <v>40043</v>
          </cell>
        </row>
        <row r="802">
          <cell r="C802">
            <v>40043</v>
          </cell>
        </row>
        <row r="803">
          <cell r="C803">
            <v>40044</v>
          </cell>
        </row>
        <row r="804">
          <cell r="C804">
            <v>40044</v>
          </cell>
        </row>
        <row r="805">
          <cell r="C805">
            <v>40045</v>
          </cell>
        </row>
        <row r="806">
          <cell r="C806">
            <v>40045</v>
          </cell>
        </row>
        <row r="807">
          <cell r="C807">
            <v>40046</v>
          </cell>
        </row>
        <row r="808">
          <cell r="C808">
            <v>40046</v>
          </cell>
        </row>
        <row r="809">
          <cell r="C809">
            <v>41001</v>
          </cell>
        </row>
        <row r="810">
          <cell r="C810">
            <v>41001</v>
          </cell>
        </row>
        <row r="811">
          <cell r="C811">
            <v>41001</v>
          </cell>
        </row>
        <row r="812">
          <cell r="C812">
            <v>41001</v>
          </cell>
        </row>
        <row r="813">
          <cell r="C813">
            <v>41002</v>
          </cell>
        </row>
        <row r="814">
          <cell r="C814">
            <v>41002</v>
          </cell>
        </row>
        <row r="815">
          <cell r="C815">
            <v>41002</v>
          </cell>
        </row>
        <row r="816">
          <cell r="C816">
            <v>41002</v>
          </cell>
        </row>
        <row r="817">
          <cell r="C817">
            <v>41003</v>
          </cell>
        </row>
        <row r="818">
          <cell r="C818">
            <v>41003</v>
          </cell>
        </row>
        <row r="819">
          <cell r="C819">
            <v>41003</v>
          </cell>
        </row>
        <row r="820">
          <cell r="C820">
            <v>41003</v>
          </cell>
        </row>
        <row r="821">
          <cell r="C821">
            <v>41004</v>
          </cell>
        </row>
        <row r="822">
          <cell r="C822">
            <v>41004</v>
          </cell>
        </row>
        <row r="823">
          <cell r="C823">
            <v>41004</v>
          </cell>
        </row>
        <row r="824">
          <cell r="C824">
            <v>41005</v>
          </cell>
        </row>
        <row r="825">
          <cell r="C825">
            <v>41005</v>
          </cell>
        </row>
        <row r="826">
          <cell r="C826">
            <v>41005</v>
          </cell>
        </row>
        <row r="827">
          <cell r="C827">
            <v>41006</v>
          </cell>
        </row>
        <row r="828">
          <cell r="C828">
            <v>41006</v>
          </cell>
        </row>
        <row r="829">
          <cell r="C829">
            <v>41006</v>
          </cell>
        </row>
        <row r="830">
          <cell r="C830">
            <v>41007</v>
          </cell>
        </row>
        <row r="831">
          <cell r="C831">
            <v>41007</v>
          </cell>
        </row>
        <row r="832">
          <cell r="C832">
            <v>41007</v>
          </cell>
        </row>
        <row r="833">
          <cell r="C833">
            <v>41008</v>
          </cell>
        </row>
        <row r="834">
          <cell r="C834">
            <v>41008</v>
          </cell>
        </row>
        <row r="835">
          <cell r="C835">
            <v>41008</v>
          </cell>
        </row>
        <row r="836">
          <cell r="C836">
            <v>41009</v>
          </cell>
        </row>
        <row r="837">
          <cell r="C837">
            <v>41009</v>
          </cell>
        </row>
        <row r="838">
          <cell r="C838">
            <v>41009</v>
          </cell>
        </row>
        <row r="839">
          <cell r="C839">
            <v>41010</v>
          </cell>
        </row>
        <row r="840">
          <cell r="C840">
            <v>41010</v>
          </cell>
        </row>
        <row r="841">
          <cell r="C841">
            <v>41010</v>
          </cell>
        </row>
        <row r="842">
          <cell r="C842">
            <v>41011</v>
          </cell>
        </row>
        <row r="843">
          <cell r="C843">
            <v>41011</v>
          </cell>
        </row>
        <row r="844">
          <cell r="C844">
            <v>41012</v>
          </cell>
        </row>
        <row r="845">
          <cell r="C845">
            <v>41012</v>
          </cell>
        </row>
        <row r="846">
          <cell r="C846">
            <v>41013</v>
          </cell>
        </row>
        <row r="847">
          <cell r="C847">
            <v>41013</v>
          </cell>
        </row>
        <row r="848">
          <cell r="C848">
            <v>41014</v>
          </cell>
        </row>
        <row r="849">
          <cell r="C849">
            <v>41014</v>
          </cell>
        </row>
        <row r="850">
          <cell r="C850">
            <v>41015</v>
          </cell>
        </row>
        <row r="851">
          <cell r="C851">
            <v>41015</v>
          </cell>
        </row>
        <row r="852">
          <cell r="C852">
            <v>47001</v>
          </cell>
        </row>
        <row r="853">
          <cell r="C853">
            <v>47001</v>
          </cell>
        </row>
        <row r="854">
          <cell r="C854">
            <v>47002</v>
          </cell>
        </row>
        <row r="855">
          <cell r="C855">
            <v>47002</v>
          </cell>
        </row>
        <row r="856">
          <cell r="C856">
            <v>47003</v>
          </cell>
        </row>
        <row r="857">
          <cell r="C857">
            <v>47003</v>
          </cell>
        </row>
        <row r="858">
          <cell r="C858">
            <v>47003</v>
          </cell>
        </row>
        <row r="859">
          <cell r="C859">
            <v>47003</v>
          </cell>
        </row>
        <row r="860">
          <cell r="C860">
            <v>47004</v>
          </cell>
        </row>
        <row r="861">
          <cell r="C861">
            <v>47004</v>
          </cell>
        </row>
        <row r="862">
          <cell r="C862">
            <v>47004</v>
          </cell>
        </row>
        <row r="863">
          <cell r="C863">
            <v>47004</v>
          </cell>
        </row>
        <row r="864">
          <cell r="C864">
            <v>47005</v>
          </cell>
        </row>
        <row r="865">
          <cell r="C865">
            <v>47006</v>
          </cell>
        </row>
        <row r="866">
          <cell r="C866">
            <v>47006</v>
          </cell>
        </row>
        <row r="867">
          <cell r="C867">
            <v>47007</v>
          </cell>
        </row>
        <row r="868">
          <cell r="C868">
            <v>47007</v>
          </cell>
        </row>
        <row r="869">
          <cell r="C869">
            <v>47008</v>
          </cell>
        </row>
        <row r="870">
          <cell r="C870">
            <v>47008</v>
          </cell>
        </row>
        <row r="871">
          <cell r="C871">
            <v>47009</v>
          </cell>
        </row>
        <row r="872">
          <cell r="C872">
            <v>47009</v>
          </cell>
        </row>
        <row r="873">
          <cell r="C873">
            <v>47010</v>
          </cell>
        </row>
        <row r="874">
          <cell r="C874">
            <v>47010</v>
          </cell>
        </row>
        <row r="875">
          <cell r="C875">
            <v>47011</v>
          </cell>
        </row>
        <row r="876">
          <cell r="C876">
            <v>47012</v>
          </cell>
        </row>
        <row r="877">
          <cell r="C877">
            <v>47012</v>
          </cell>
        </row>
        <row r="878">
          <cell r="C878">
            <v>47013</v>
          </cell>
        </row>
        <row r="879">
          <cell r="C879">
            <v>47013</v>
          </cell>
        </row>
        <row r="880">
          <cell r="C880">
            <v>47013</v>
          </cell>
        </row>
        <row r="881">
          <cell r="C881">
            <v>47013</v>
          </cell>
        </row>
        <row r="882">
          <cell r="C882">
            <v>47014</v>
          </cell>
        </row>
        <row r="883">
          <cell r="C883">
            <v>47014</v>
          </cell>
        </row>
        <row r="884">
          <cell r="C884">
            <v>47014</v>
          </cell>
        </row>
        <row r="885">
          <cell r="C885">
            <v>47015</v>
          </cell>
        </row>
        <row r="886">
          <cell r="C886">
            <v>47015</v>
          </cell>
        </row>
        <row r="887">
          <cell r="C887">
            <v>47015</v>
          </cell>
        </row>
        <row r="888">
          <cell r="C888">
            <v>47016</v>
          </cell>
        </row>
        <row r="889">
          <cell r="C889">
            <v>47016</v>
          </cell>
        </row>
        <row r="890">
          <cell r="C890">
            <v>47016</v>
          </cell>
        </row>
        <row r="891">
          <cell r="C891">
            <v>48001</v>
          </cell>
        </row>
        <row r="892">
          <cell r="C892">
            <v>48002</v>
          </cell>
        </row>
        <row r="893">
          <cell r="C893">
            <v>48002</v>
          </cell>
        </row>
        <row r="894">
          <cell r="C894">
            <v>48002</v>
          </cell>
        </row>
        <row r="895">
          <cell r="C895">
            <v>48003</v>
          </cell>
        </row>
        <row r="896">
          <cell r="C896">
            <v>48003</v>
          </cell>
        </row>
        <row r="897">
          <cell r="C897">
            <v>48004</v>
          </cell>
        </row>
        <row r="898">
          <cell r="C898">
            <v>48004</v>
          </cell>
        </row>
        <row r="899">
          <cell r="C899">
            <v>48005</v>
          </cell>
        </row>
        <row r="900">
          <cell r="C900">
            <v>48005</v>
          </cell>
        </row>
        <row r="901">
          <cell r="C901">
            <v>48006</v>
          </cell>
        </row>
        <row r="902">
          <cell r="C902">
            <v>48006</v>
          </cell>
        </row>
        <row r="903">
          <cell r="C903">
            <v>48007</v>
          </cell>
        </row>
        <row r="904">
          <cell r="C904">
            <v>48007</v>
          </cell>
        </row>
        <row r="905">
          <cell r="C905">
            <v>48008</v>
          </cell>
        </row>
        <row r="906">
          <cell r="C906">
            <v>48008</v>
          </cell>
        </row>
        <row r="907">
          <cell r="C907">
            <v>48009</v>
          </cell>
        </row>
        <row r="908">
          <cell r="C908">
            <v>48009</v>
          </cell>
        </row>
        <row r="909">
          <cell r="C909">
            <v>48010</v>
          </cell>
        </row>
        <row r="910">
          <cell r="C910">
            <v>48011</v>
          </cell>
        </row>
        <row r="911">
          <cell r="C911">
            <v>48011</v>
          </cell>
        </row>
        <row r="912">
          <cell r="C912">
            <v>48012</v>
          </cell>
        </row>
        <row r="913">
          <cell r="C913">
            <v>48012</v>
          </cell>
        </row>
        <row r="914">
          <cell r="C914">
            <v>48013</v>
          </cell>
        </row>
        <row r="915">
          <cell r="C915">
            <v>48013</v>
          </cell>
        </row>
        <row r="916">
          <cell r="C916">
            <v>48014</v>
          </cell>
        </row>
        <row r="917">
          <cell r="C917">
            <v>48014</v>
          </cell>
        </row>
        <row r="918">
          <cell r="C918">
            <v>48015</v>
          </cell>
        </row>
        <row r="919">
          <cell r="C919">
            <v>48015</v>
          </cell>
        </row>
        <row r="920">
          <cell r="C920">
            <v>48016</v>
          </cell>
        </row>
        <row r="921">
          <cell r="C921">
            <v>48016</v>
          </cell>
        </row>
        <row r="922">
          <cell r="C922">
            <v>48101</v>
          </cell>
        </row>
        <row r="923">
          <cell r="C923">
            <v>48101</v>
          </cell>
        </row>
        <row r="924">
          <cell r="C924">
            <v>48501</v>
          </cell>
        </row>
        <row r="925">
          <cell r="C925">
            <v>48501</v>
          </cell>
        </row>
        <row r="926">
          <cell r="C926">
            <v>48502</v>
          </cell>
        </row>
        <row r="927">
          <cell r="C927">
            <v>48502</v>
          </cell>
        </row>
        <row r="928">
          <cell r="C928">
            <v>48503</v>
          </cell>
        </row>
        <row r="929">
          <cell r="C929">
            <v>48503</v>
          </cell>
        </row>
        <row r="930">
          <cell r="C930">
            <v>48504</v>
          </cell>
        </row>
        <row r="931">
          <cell r="C931">
            <v>48504</v>
          </cell>
        </row>
        <row r="932">
          <cell r="C932">
            <v>48701</v>
          </cell>
        </row>
        <row r="933">
          <cell r="C933">
            <v>48701</v>
          </cell>
        </row>
        <row r="934">
          <cell r="C934">
            <v>48702</v>
          </cell>
        </row>
        <row r="935">
          <cell r="C935">
            <v>48702</v>
          </cell>
        </row>
        <row r="936">
          <cell r="C936">
            <v>48703</v>
          </cell>
        </row>
        <row r="937">
          <cell r="C937">
            <v>49001</v>
          </cell>
        </row>
        <row r="938">
          <cell r="C938">
            <v>49002</v>
          </cell>
        </row>
        <row r="939">
          <cell r="C939">
            <v>49002</v>
          </cell>
        </row>
        <row r="940">
          <cell r="C940">
            <v>49003</v>
          </cell>
        </row>
        <row r="941">
          <cell r="C941">
            <v>49003</v>
          </cell>
        </row>
        <row r="942">
          <cell r="C942">
            <v>49004</v>
          </cell>
        </row>
        <row r="943">
          <cell r="C943">
            <v>49004</v>
          </cell>
        </row>
        <row r="944">
          <cell r="C944">
            <v>49004</v>
          </cell>
        </row>
        <row r="945">
          <cell r="C945">
            <v>49005</v>
          </cell>
        </row>
        <row r="946">
          <cell r="C946">
            <v>49006</v>
          </cell>
        </row>
        <row r="947">
          <cell r="C947">
            <v>49006</v>
          </cell>
        </row>
        <row r="948">
          <cell r="C948">
            <v>49007</v>
          </cell>
        </row>
        <row r="949">
          <cell r="C949">
            <v>49007</v>
          </cell>
        </row>
        <row r="950">
          <cell r="C950">
            <v>49007</v>
          </cell>
        </row>
        <row r="951">
          <cell r="C951">
            <v>49008</v>
          </cell>
        </row>
        <row r="952">
          <cell r="C952">
            <v>49009</v>
          </cell>
        </row>
        <row r="953">
          <cell r="C953">
            <v>49010</v>
          </cell>
        </row>
        <row r="954">
          <cell r="C954">
            <v>49011</v>
          </cell>
        </row>
        <row r="955">
          <cell r="C955">
            <v>49012</v>
          </cell>
        </row>
        <row r="956">
          <cell r="C956">
            <v>49013</v>
          </cell>
        </row>
        <row r="957">
          <cell r="C957">
            <v>49014</v>
          </cell>
        </row>
        <row r="958">
          <cell r="C958">
            <v>49014</v>
          </cell>
        </row>
        <row r="959">
          <cell r="C959">
            <v>49015</v>
          </cell>
        </row>
        <row r="960">
          <cell r="C960">
            <v>49015</v>
          </cell>
        </row>
        <row r="961">
          <cell r="C961">
            <v>49015</v>
          </cell>
        </row>
        <row r="962">
          <cell r="C962">
            <v>49016</v>
          </cell>
        </row>
        <row r="963">
          <cell r="C963">
            <v>49016</v>
          </cell>
        </row>
        <row r="964">
          <cell r="C964">
            <v>50001</v>
          </cell>
        </row>
        <row r="965">
          <cell r="C965">
            <v>50002</v>
          </cell>
        </row>
        <row r="966">
          <cell r="C966">
            <v>50003</v>
          </cell>
        </row>
        <row r="967">
          <cell r="C967">
            <v>50004</v>
          </cell>
        </row>
        <row r="968">
          <cell r="C968">
            <v>50005</v>
          </cell>
        </row>
        <row r="969">
          <cell r="C969">
            <v>50006</v>
          </cell>
        </row>
        <row r="970">
          <cell r="C970">
            <v>50007</v>
          </cell>
        </row>
        <row r="971">
          <cell r="C971">
            <v>50008</v>
          </cell>
        </row>
        <row r="972">
          <cell r="C972">
            <v>50009</v>
          </cell>
        </row>
        <row r="973">
          <cell r="C973">
            <v>50010</v>
          </cell>
        </row>
        <row r="974">
          <cell r="C974">
            <v>50011</v>
          </cell>
        </row>
        <row r="975">
          <cell r="C975">
            <v>50012</v>
          </cell>
        </row>
        <row r="976">
          <cell r="C976">
            <v>50013</v>
          </cell>
        </row>
        <row r="977">
          <cell r="C977">
            <v>50014</v>
          </cell>
        </row>
        <row r="978">
          <cell r="C978">
            <v>50015</v>
          </cell>
        </row>
        <row r="979">
          <cell r="C979">
            <v>50016</v>
          </cell>
        </row>
        <row r="980">
          <cell r="C980">
            <v>51001</v>
          </cell>
        </row>
        <row r="981">
          <cell r="C981">
            <v>51002</v>
          </cell>
        </row>
        <row r="982">
          <cell r="C982">
            <v>58001</v>
          </cell>
        </row>
        <row r="983">
          <cell r="C983">
            <v>58002</v>
          </cell>
        </row>
        <row r="984">
          <cell r="C984">
            <v>58003</v>
          </cell>
        </row>
        <row r="985">
          <cell r="C985">
            <v>58101</v>
          </cell>
        </row>
        <row r="986">
          <cell r="C986">
            <v>59001</v>
          </cell>
        </row>
        <row r="987">
          <cell r="C987">
            <v>59002</v>
          </cell>
        </row>
        <row r="988">
          <cell r="C988">
            <v>59003</v>
          </cell>
        </row>
        <row r="989">
          <cell r="C989">
            <v>59003</v>
          </cell>
        </row>
        <row r="990">
          <cell r="C990">
            <v>60001</v>
          </cell>
        </row>
        <row r="991">
          <cell r="C991">
            <v>60002</v>
          </cell>
        </row>
        <row r="992">
          <cell r="C992">
            <v>60002</v>
          </cell>
        </row>
        <row r="993">
          <cell r="C993">
            <v>60003</v>
          </cell>
        </row>
        <row r="994">
          <cell r="C994">
            <v>60003</v>
          </cell>
        </row>
        <row r="995">
          <cell r="C995">
            <v>60003</v>
          </cell>
        </row>
        <row r="996">
          <cell r="C996">
            <v>60004</v>
          </cell>
        </row>
        <row r="997">
          <cell r="C997">
            <v>60005</v>
          </cell>
        </row>
        <row r="998">
          <cell r="C998">
            <v>60006</v>
          </cell>
        </row>
        <row r="999">
          <cell r="C999">
            <v>60006</v>
          </cell>
        </row>
        <row r="1000">
          <cell r="C1000">
            <v>60006</v>
          </cell>
        </row>
        <row r="1001">
          <cell r="C1001">
            <v>60007</v>
          </cell>
        </row>
        <row r="1002">
          <cell r="C1002">
            <v>60007</v>
          </cell>
        </row>
        <row r="1003">
          <cell r="C1003">
            <v>60007</v>
          </cell>
        </row>
        <row r="1004">
          <cell r="C1004">
            <v>60010</v>
          </cell>
        </row>
        <row r="1005">
          <cell r="C1005">
            <v>60011</v>
          </cell>
        </row>
        <row r="1006">
          <cell r="C1006">
            <v>60011</v>
          </cell>
        </row>
        <row r="1007">
          <cell r="C1007">
            <v>60012</v>
          </cell>
        </row>
        <row r="1008">
          <cell r="C1008">
            <v>60013</v>
          </cell>
        </row>
        <row r="1009">
          <cell r="C1009">
            <v>60013</v>
          </cell>
        </row>
        <row r="1010">
          <cell r="C1010">
            <v>60013</v>
          </cell>
        </row>
        <row r="1011">
          <cell r="C1011">
            <v>60014</v>
          </cell>
        </row>
        <row r="1012">
          <cell r="C1012">
            <v>60015</v>
          </cell>
        </row>
        <row r="1013">
          <cell r="C1013">
            <v>60016</v>
          </cell>
        </row>
        <row r="1014">
          <cell r="C1014">
            <v>60017</v>
          </cell>
        </row>
        <row r="1015">
          <cell r="C1015">
            <v>60018</v>
          </cell>
        </row>
        <row r="1016">
          <cell r="C1016">
            <v>60019</v>
          </cell>
        </row>
        <row r="1017">
          <cell r="C1017">
            <v>60020</v>
          </cell>
        </row>
        <row r="1018">
          <cell r="C1018">
            <v>60021</v>
          </cell>
        </row>
        <row r="1019">
          <cell r="C1019">
            <v>60022</v>
          </cell>
        </row>
        <row r="1020">
          <cell r="C1020">
            <v>60023</v>
          </cell>
        </row>
        <row r="1021">
          <cell r="C1021">
            <v>60024</v>
          </cell>
        </row>
        <row r="1022">
          <cell r="C1022">
            <v>60025</v>
          </cell>
        </row>
        <row r="1023">
          <cell r="C1023">
            <v>60026</v>
          </cell>
        </row>
        <row r="1024">
          <cell r="C1024">
            <v>61011</v>
          </cell>
        </row>
        <row r="1025">
          <cell r="C1025">
            <v>60027</v>
          </cell>
        </row>
        <row r="1026">
          <cell r="C1026">
            <v>60028</v>
          </cell>
        </row>
        <row r="1027">
          <cell r="C1027">
            <v>60029</v>
          </cell>
        </row>
        <row r="1028">
          <cell r="C1028">
            <v>60030</v>
          </cell>
        </row>
        <row r="1029">
          <cell r="C1029">
            <v>60031</v>
          </cell>
        </row>
        <row r="1030">
          <cell r="C1030">
            <v>60032</v>
          </cell>
        </row>
        <row r="1031">
          <cell r="C1031">
            <v>61001</v>
          </cell>
        </row>
        <row r="1032">
          <cell r="C1032">
            <v>61001</v>
          </cell>
        </row>
        <row r="1033">
          <cell r="C1033">
            <v>61001</v>
          </cell>
        </row>
        <row r="1034">
          <cell r="C1034">
            <v>61001</v>
          </cell>
        </row>
        <row r="1035">
          <cell r="C1035">
            <v>61001</v>
          </cell>
        </row>
        <row r="1036">
          <cell r="C1036">
            <v>61001</v>
          </cell>
        </row>
        <row r="1037">
          <cell r="C1037">
            <v>61001</v>
          </cell>
        </row>
        <row r="1038">
          <cell r="C1038">
            <v>65523</v>
          </cell>
        </row>
        <row r="1039">
          <cell r="C1039">
            <v>65523</v>
          </cell>
        </row>
        <row r="1040">
          <cell r="C1040">
            <v>65523</v>
          </cell>
        </row>
        <row r="1041">
          <cell r="C1041">
            <v>65524</v>
          </cell>
        </row>
        <row r="1042">
          <cell r="C1042">
            <v>65524</v>
          </cell>
        </row>
        <row r="1043">
          <cell r="C1043">
            <v>65525</v>
          </cell>
        </row>
        <row r="1044">
          <cell r="C1044">
            <v>65526</v>
          </cell>
        </row>
        <row r="1045">
          <cell r="C1045">
            <v>65526</v>
          </cell>
        </row>
        <row r="1046">
          <cell r="C1046">
            <v>65527</v>
          </cell>
        </row>
        <row r="1047">
          <cell r="C1047">
            <v>65528</v>
          </cell>
        </row>
        <row r="1048">
          <cell r="C1048">
            <v>65529</v>
          </cell>
        </row>
        <row r="1049">
          <cell r="C1049">
            <v>65530</v>
          </cell>
        </row>
        <row r="1050">
          <cell r="C1050">
            <v>65531</v>
          </cell>
        </row>
        <row r="1051">
          <cell r="C1051">
            <v>65531</v>
          </cell>
        </row>
        <row r="1052">
          <cell r="C1052">
            <v>65532</v>
          </cell>
        </row>
        <row r="1053">
          <cell r="C1053">
            <v>65532</v>
          </cell>
        </row>
        <row r="1054">
          <cell r="C1054">
            <v>65533</v>
          </cell>
        </row>
        <row r="1055">
          <cell r="C1055">
            <v>65533</v>
          </cell>
        </row>
        <row r="1056">
          <cell r="C1056">
            <v>65534</v>
          </cell>
        </row>
        <row r="1057">
          <cell r="C1057">
            <v>65535</v>
          </cell>
        </row>
        <row r="1058">
          <cell r="C1058">
            <v>65535</v>
          </cell>
        </row>
        <row r="1059">
          <cell r="C1059">
            <v>65535</v>
          </cell>
        </row>
        <row r="1060">
          <cell r="C1060">
            <v>65535</v>
          </cell>
        </row>
        <row r="1061">
          <cell r="C1061">
            <v>65535</v>
          </cell>
        </row>
        <row r="1062">
          <cell r="C1062">
            <v>65535</v>
          </cell>
        </row>
        <row r="1063">
          <cell r="C1063">
            <v>65535</v>
          </cell>
        </row>
        <row r="1064">
          <cell r="C1064">
            <v>65535</v>
          </cell>
        </row>
        <row r="1065">
          <cell r="C1065">
            <v>65535</v>
          </cell>
        </row>
        <row r="1066">
          <cell r="C1066">
            <v>65535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H4"/>
  <sheetViews>
    <sheetView workbookViewId="0">
      <selection activeCell="B3" sqref="B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4" x14ac:dyDescent="0.15">
      <c r="A1" s="8" t="s">
        <v>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/>
      <c r="I1" s="5"/>
      <c r="J1" s="5"/>
      <c r="K1" s="5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</row>
    <row r="2" spans="1:34" x14ac:dyDescent="0.15">
      <c r="A2" s="9" t="s">
        <v>12</v>
      </c>
      <c r="B2" s="7" t="s">
        <v>14</v>
      </c>
      <c r="C2" s="10"/>
      <c r="D2" s="7" t="s">
        <v>13</v>
      </c>
      <c r="E2" s="6" t="str">
        <f>B2&amp;C2&amp;D2</f>
        <v>items.csv</v>
      </c>
      <c r="F2" s="7" t="s">
        <v>15</v>
      </c>
      <c r="G2" s="12" t="s">
        <v>7</v>
      </c>
      <c r="H2" s="12" t="s">
        <v>8</v>
      </c>
      <c r="I2" s="12" t="s">
        <v>9</v>
      </c>
      <c r="J2" s="12" t="s">
        <v>10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</row>
    <row r="3" spans="1:34" x14ac:dyDescent="0.15">
      <c r="A3" s="9" t="s">
        <v>12</v>
      </c>
      <c r="B3" s="7" t="s">
        <v>27</v>
      </c>
      <c r="C3" s="10"/>
      <c r="D3" s="7" t="s">
        <v>13</v>
      </c>
      <c r="E3" s="6" t="str">
        <f>B3&amp;C3&amp;D3</f>
        <v>items_i18n.csv</v>
      </c>
      <c r="F3" s="7" t="s">
        <v>15</v>
      </c>
      <c r="G3" s="12" t="s">
        <v>7</v>
      </c>
      <c r="H3" s="13" t="s">
        <v>34</v>
      </c>
      <c r="I3" s="13" t="s">
        <v>35</v>
      </c>
      <c r="J3" s="13" t="s">
        <v>36</v>
      </c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</row>
    <row r="4" spans="1:34" s="30" customFormat="1" x14ac:dyDescent="0.15">
      <c r="A4" s="25" t="s">
        <v>71</v>
      </c>
      <c r="B4" s="25" t="s">
        <v>72</v>
      </c>
      <c r="C4" s="10"/>
      <c r="D4" s="26" t="s">
        <v>13</v>
      </c>
      <c r="E4" s="27" t="str">
        <f>B4&amp;C4&amp;D4</f>
        <v>quest_pays.csv</v>
      </c>
      <c r="F4" s="25" t="s">
        <v>72</v>
      </c>
      <c r="G4" s="28" t="s">
        <v>70</v>
      </c>
      <c r="H4" s="29" t="s">
        <v>73</v>
      </c>
      <c r="I4" s="29" t="s">
        <v>74</v>
      </c>
      <c r="J4" s="29" t="s">
        <v>75</v>
      </c>
      <c r="K4" s="21" t="s">
        <v>63</v>
      </c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J57"/>
  <sheetViews>
    <sheetView showGridLines="0" tabSelected="1" workbookViewId="0">
      <pane ySplit="1" topLeftCell="A13" activePane="bottomLeft" state="frozen"/>
      <selection activeCell="V2" sqref="V2:X34"/>
      <selection pane="bottomLeft" activeCell="B42" sqref="B42"/>
    </sheetView>
  </sheetViews>
  <sheetFormatPr baseColWidth="12" defaultColWidth="13" defaultRowHeight="21" customHeight="1" x14ac:dyDescent="0.15"/>
  <cols>
    <col min="1" max="1" width="7.1640625" style="2" bestFit="1" customWidth="1"/>
    <col min="2" max="2" width="18.33203125" style="2" customWidth="1"/>
    <col min="3" max="3" width="29" style="2" bestFit="1" customWidth="1"/>
    <col min="4" max="5" width="16.1640625" style="2" bestFit="1" customWidth="1"/>
    <col min="6" max="6" width="7.6640625" style="2" bestFit="1" customWidth="1"/>
    <col min="7" max="7" width="35" style="2" customWidth="1"/>
    <col min="8" max="8" width="20.83203125" style="2" bestFit="1" customWidth="1"/>
    <col min="9" max="16384" width="13" style="2"/>
  </cols>
  <sheetData>
    <row r="1" spans="1:10" ht="21" customHeight="1" x14ac:dyDescent="0.15">
      <c r="A1" s="12" t="s">
        <v>7</v>
      </c>
      <c r="B1" s="12" t="s">
        <v>8</v>
      </c>
      <c r="C1" s="1" t="s">
        <v>18</v>
      </c>
      <c r="D1" s="12" t="s">
        <v>9</v>
      </c>
      <c r="E1" s="12" t="s">
        <v>10</v>
      </c>
      <c r="F1" s="15" t="s">
        <v>28</v>
      </c>
      <c r="G1" s="15" t="s">
        <v>29</v>
      </c>
      <c r="H1" s="13" t="s">
        <v>11</v>
      </c>
    </row>
    <row r="2" spans="1:10" ht="21" customHeight="1" x14ac:dyDescent="0.15">
      <c r="A2" s="4">
        <f>ROW()-1</f>
        <v>1</v>
      </c>
      <c r="B2" s="3" t="s">
        <v>22</v>
      </c>
      <c r="C2" s="3" t="s">
        <v>26</v>
      </c>
      <c r="D2" s="11" t="s">
        <v>16</v>
      </c>
      <c r="E2" s="11" t="s">
        <v>17</v>
      </c>
      <c r="F2" s="14" t="s">
        <v>30</v>
      </c>
      <c r="G2" s="14" t="s">
        <v>78</v>
      </c>
      <c r="H2" s="31" t="str">
        <f>B2&amp;".png"</f>
        <v>key_master.png</v>
      </c>
      <c r="I2" s="2">
        <f>LEN(G2)</f>
        <v>6</v>
      </c>
      <c r="J2" s="2" t="s">
        <v>77</v>
      </c>
    </row>
    <row r="3" spans="1:10" ht="21" customHeight="1" x14ac:dyDescent="0.15">
      <c r="A3" s="4">
        <f t="shared" ref="A3:A13" si="0">ROW()-1</f>
        <v>2</v>
      </c>
      <c r="B3" s="3" t="s">
        <v>19</v>
      </c>
      <c r="C3" s="3" t="s">
        <v>23</v>
      </c>
      <c r="D3" s="11" t="s">
        <v>16</v>
      </c>
      <c r="E3" s="11" t="s">
        <v>17</v>
      </c>
      <c r="F3" s="14" t="s">
        <v>31</v>
      </c>
      <c r="G3" s="14" t="s">
        <v>79</v>
      </c>
      <c r="H3" s="31" t="str">
        <f t="shared" ref="H3:H47" si="1">B3&amp;".png"</f>
        <v>key_exp.png</v>
      </c>
      <c r="I3" s="2">
        <f t="shared" ref="I3:I43" si="2">LEN(G3)</f>
        <v>5</v>
      </c>
    </row>
    <row r="4" spans="1:10" ht="21" customHeight="1" x14ac:dyDescent="0.15">
      <c r="A4" s="4">
        <f t="shared" si="0"/>
        <v>3</v>
      </c>
      <c r="B4" s="3" t="s">
        <v>20</v>
      </c>
      <c r="C4" s="3" t="s">
        <v>24</v>
      </c>
      <c r="D4" s="11" t="s">
        <v>16</v>
      </c>
      <c r="E4" s="11" t="s">
        <v>17</v>
      </c>
      <c r="F4" s="14" t="s">
        <v>32</v>
      </c>
      <c r="G4" s="14" t="s">
        <v>80</v>
      </c>
      <c r="H4" s="31" t="str">
        <f t="shared" si="1"/>
        <v>key_bit.png</v>
      </c>
      <c r="I4" s="2">
        <f t="shared" si="2"/>
        <v>5</v>
      </c>
    </row>
    <row r="5" spans="1:10" ht="21" customHeight="1" x14ac:dyDescent="0.15">
      <c r="A5" s="4">
        <f t="shared" si="0"/>
        <v>4</v>
      </c>
      <c r="B5" s="3" t="s">
        <v>21</v>
      </c>
      <c r="C5" s="3" t="s">
        <v>25</v>
      </c>
      <c r="D5" s="11" t="s">
        <v>16</v>
      </c>
      <c r="E5" s="11" t="s">
        <v>17</v>
      </c>
      <c r="F5" s="14" t="s">
        <v>33</v>
      </c>
      <c r="G5" s="14" t="s">
        <v>81</v>
      </c>
      <c r="H5" s="31" t="str">
        <f t="shared" si="1"/>
        <v>key_ltb.png</v>
      </c>
      <c r="I5" s="2">
        <f t="shared" si="2"/>
        <v>6</v>
      </c>
    </row>
    <row r="6" spans="1:10" ht="21" customHeight="1" x14ac:dyDescent="0.15">
      <c r="A6" s="4">
        <f>ROW()-1</f>
        <v>5</v>
      </c>
      <c r="B6" s="3" t="s">
        <v>37</v>
      </c>
      <c r="C6" s="3" t="s">
        <v>26</v>
      </c>
      <c r="D6" s="11" t="s">
        <v>16</v>
      </c>
      <c r="E6" s="11" t="s">
        <v>17</v>
      </c>
      <c r="F6" s="14" t="s">
        <v>30</v>
      </c>
      <c r="G6" s="14" t="s">
        <v>82</v>
      </c>
      <c r="H6" s="31" t="str">
        <f t="shared" si="1"/>
        <v>key_master_solo.png</v>
      </c>
      <c r="I6" s="2">
        <f t="shared" si="2"/>
        <v>10</v>
      </c>
    </row>
    <row r="7" spans="1:10" ht="21" customHeight="1" x14ac:dyDescent="0.15">
      <c r="A7" s="4">
        <f t="shared" si="0"/>
        <v>6</v>
      </c>
      <c r="B7" s="3" t="s">
        <v>38</v>
      </c>
      <c r="C7" s="3" t="s">
        <v>23</v>
      </c>
      <c r="D7" s="11" t="s">
        <v>16</v>
      </c>
      <c r="E7" s="11" t="s">
        <v>17</v>
      </c>
      <c r="F7" s="14" t="s">
        <v>31</v>
      </c>
      <c r="G7" s="14" t="s">
        <v>83</v>
      </c>
      <c r="H7" s="31" t="str">
        <f t="shared" si="1"/>
        <v>key_exp_solo.png</v>
      </c>
      <c r="I7" s="2">
        <f t="shared" si="2"/>
        <v>9</v>
      </c>
    </row>
    <row r="8" spans="1:10" ht="21" customHeight="1" x14ac:dyDescent="0.15">
      <c r="A8" s="4">
        <f t="shared" si="0"/>
        <v>7</v>
      </c>
      <c r="B8" s="3" t="s">
        <v>39</v>
      </c>
      <c r="C8" s="3" t="s">
        <v>24</v>
      </c>
      <c r="D8" s="11" t="s">
        <v>16</v>
      </c>
      <c r="E8" s="11" t="s">
        <v>17</v>
      </c>
      <c r="F8" s="14" t="s">
        <v>30</v>
      </c>
      <c r="G8" s="14" t="s">
        <v>84</v>
      </c>
      <c r="H8" s="31" t="str">
        <f t="shared" si="1"/>
        <v>key_bit_solo.png</v>
      </c>
      <c r="I8" s="2">
        <f t="shared" si="2"/>
        <v>9</v>
      </c>
    </row>
    <row r="9" spans="1:10" ht="21" customHeight="1" x14ac:dyDescent="0.15">
      <c r="A9" s="4">
        <f t="shared" si="0"/>
        <v>8</v>
      </c>
      <c r="B9" s="3" t="s">
        <v>40</v>
      </c>
      <c r="C9" s="3" t="s">
        <v>25</v>
      </c>
      <c r="D9" s="11" t="s">
        <v>16</v>
      </c>
      <c r="E9" s="11" t="s">
        <v>17</v>
      </c>
      <c r="F9" s="14" t="s">
        <v>30</v>
      </c>
      <c r="G9" s="14" t="s">
        <v>85</v>
      </c>
      <c r="H9" s="31" t="str">
        <f t="shared" si="1"/>
        <v>key_ltb_solo.png</v>
      </c>
      <c r="I9" s="2">
        <f t="shared" si="2"/>
        <v>10</v>
      </c>
    </row>
    <row r="10" spans="1:10" ht="21" customHeight="1" x14ac:dyDescent="0.15">
      <c r="A10" s="4">
        <f>ROW()-1</f>
        <v>9</v>
      </c>
      <c r="B10" s="3" t="s">
        <v>41</v>
      </c>
      <c r="C10" s="3" t="s">
        <v>26</v>
      </c>
      <c r="D10" s="11" t="s">
        <v>16</v>
      </c>
      <c r="E10" s="11" t="s">
        <v>17</v>
      </c>
      <c r="F10" s="14" t="s">
        <v>30</v>
      </c>
      <c r="G10" s="14" t="s">
        <v>86</v>
      </c>
      <c r="H10" s="31" t="str">
        <f t="shared" si="1"/>
        <v>key_master_line.png</v>
      </c>
      <c r="I10" s="2">
        <f t="shared" si="2"/>
        <v>12</v>
      </c>
    </row>
    <row r="11" spans="1:10" ht="21" customHeight="1" x14ac:dyDescent="0.15">
      <c r="A11" s="4">
        <f t="shared" si="0"/>
        <v>10</v>
      </c>
      <c r="B11" s="3" t="s">
        <v>42</v>
      </c>
      <c r="C11" s="3" t="s">
        <v>23</v>
      </c>
      <c r="D11" s="11" t="s">
        <v>16</v>
      </c>
      <c r="E11" s="11" t="s">
        <v>17</v>
      </c>
      <c r="F11" s="14" t="s">
        <v>31</v>
      </c>
      <c r="G11" s="14" t="s">
        <v>87</v>
      </c>
      <c r="H11" s="31" t="str">
        <f t="shared" si="1"/>
        <v>key_exp_line.png</v>
      </c>
      <c r="I11" s="2">
        <f t="shared" si="2"/>
        <v>11</v>
      </c>
    </row>
    <row r="12" spans="1:10" ht="21" customHeight="1" x14ac:dyDescent="0.15">
      <c r="A12" s="4">
        <f t="shared" si="0"/>
        <v>11</v>
      </c>
      <c r="B12" s="3" t="s">
        <v>43</v>
      </c>
      <c r="C12" s="3" t="s">
        <v>24</v>
      </c>
      <c r="D12" s="11" t="s">
        <v>16</v>
      </c>
      <c r="E12" s="11" t="s">
        <v>17</v>
      </c>
      <c r="F12" s="14" t="s">
        <v>30</v>
      </c>
      <c r="G12" s="14" t="s">
        <v>88</v>
      </c>
      <c r="H12" s="31" t="str">
        <f t="shared" si="1"/>
        <v>key_bit_line.png</v>
      </c>
      <c r="I12" s="2">
        <f t="shared" si="2"/>
        <v>11</v>
      </c>
    </row>
    <row r="13" spans="1:10" ht="21" customHeight="1" x14ac:dyDescent="0.15">
      <c r="A13" s="4">
        <f t="shared" si="0"/>
        <v>12</v>
      </c>
      <c r="B13" s="3" t="s">
        <v>44</v>
      </c>
      <c r="C13" s="3" t="s">
        <v>25</v>
      </c>
      <c r="D13" s="11" t="s">
        <v>16</v>
      </c>
      <c r="E13" s="11" t="s">
        <v>17</v>
      </c>
      <c r="F13" s="14" t="s">
        <v>30</v>
      </c>
      <c r="G13" s="14" t="s">
        <v>89</v>
      </c>
      <c r="H13" s="31" t="str">
        <f t="shared" si="1"/>
        <v>key_ltb_line.png</v>
      </c>
      <c r="I13" s="2">
        <f t="shared" si="2"/>
        <v>12</v>
      </c>
    </row>
    <row r="14" spans="1:10" ht="21" customHeight="1" x14ac:dyDescent="0.15">
      <c r="A14" s="37">
        <v>100</v>
      </c>
      <c r="B14" s="35" t="s">
        <v>109</v>
      </c>
      <c r="C14" s="35" t="s">
        <v>105</v>
      </c>
      <c r="D14" s="11" t="s">
        <v>16</v>
      </c>
      <c r="E14" s="11" t="s">
        <v>17</v>
      </c>
      <c r="F14" s="14" t="s">
        <v>30</v>
      </c>
      <c r="G14" s="14" t="s">
        <v>107</v>
      </c>
      <c r="H14" s="36" t="str">
        <f t="shared" si="1"/>
        <v>ticket_beginner.png</v>
      </c>
      <c r="I14" s="2">
        <f t="shared" si="2"/>
        <v>12</v>
      </c>
    </row>
    <row r="15" spans="1:10" ht="21" customHeight="1" x14ac:dyDescent="0.15">
      <c r="A15" s="37">
        <v>101</v>
      </c>
      <c r="B15" s="35" t="s">
        <v>110</v>
      </c>
      <c r="C15" s="35" t="s">
        <v>106</v>
      </c>
      <c r="D15" s="11" t="s">
        <v>16</v>
      </c>
      <c r="E15" s="11" t="s">
        <v>17</v>
      </c>
      <c r="F15" s="14" t="s">
        <v>30</v>
      </c>
      <c r="G15" s="14" t="s">
        <v>121</v>
      </c>
      <c r="H15" s="36" t="str">
        <f t="shared" si="1"/>
        <v>ticket_middle.png</v>
      </c>
      <c r="I15" s="2">
        <f t="shared" si="2"/>
        <v>14</v>
      </c>
    </row>
    <row r="16" spans="1:10" ht="21" customHeight="1" x14ac:dyDescent="0.15">
      <c r="A16" s="37">
        <v>102</v>
      </c>
      <c r="B16" s="35" t="s">
        <v>111</v>
      </c>
      <c r="C16" s="40" t="s">
        <v>108</v>
      </c>
      <c r="D16" s="11" t="s">
        <v>16</v>
      </c>
      <c r="E16" s="11" t="s">
        <v>17</v>
      </c>
      <c r="F16" s="14" t="s">
        <v>30</v>
      </c>
      <c r="G16" s="14" t="s">
        <v>120</v>
      </c>
      <c r="H16" s="36" t="str">
        <f t="shared" si="1"/>
        <v>ticket_other.png</v>
      </c>
    </row>
    <row r="17" spans="1:9" ht="21" customHeight="1" x14ac:dyDescent="0.15">
      <c r="A17" s="37">
        <v>103</v>
      </c>
      <c r="B17" s="38" t="s">
        <v>164</v>
      </c>
      <c r="C17" s="42" t="s">
        <v>165</v>
      </c>
      <c r="D17" s="39" t="s">
        <v>16</v>
      </c>
      <c r="E17" s="11" t="s">
        <v>17</v>
      </c>
      <c r="F17" s="14" t="s">
        <v>30</v>
      </c>
      <c r="G17" s="42" t="s">
        <v>150</v>
      </c>
      <c r="H17" s="36" t="str">
        <f t="shared" si="1"/>
        <v>ticket_beginner_r6.png</v>
      </c>
    </row>
    <row r="18" spans="1:9" ht="21" customHeight="1" x14ac:dyDescent="0.15">
      <c r="A18" s="37">
        <v>104</v>
      </c>
      <c r="B18" s="38" t="s">
        <v>160</v>
      </c>
      <c r="C18" s="42" t="s">
        <v>166</v>
      </c>
      <c r="D18" s="39" t="s">
        <v>16</v>
      </c>
      <c r="E18" s="11" t="s">
        <v>17</v>
      </c>
      <c r="F18" s="14" t="s">
        <v>30</v>
      </c>
      <c r="G18" s="42" t="s">
        <v>151</v>
      </c>
      <c r="H18" s="36" t="str">
        <f t="shared" si="1"/>
        <v>ticket_beginner_red.png</v>
      </c>
    </row>
    <row r="19" spans="1:9" ht="21" customHeight="1" x14ac:dyDescent="0.15">
      <c r="A19" s="37">
        <v>105</v>
      </c>
      <c r="B19" s="38" t="s">
        <v>161</v>
      </c>
      <c r="C19" s="42" t="s">
        <v>157</v>
      </c>
      <c r="D19" s="39" t="s">
        <v>16</v>
      </c>
      <c r="E19" s="11" t="s">
        <v>17</v>
      </c>
      <c r="F19" s="14" t="s">
        <v>30</v>
      </c>
      <c r="G19" s="42" t="s">
        <v>152</v>
      </c>
      <c r="H19" s="36" t="str">
        <f t="shared" si="1"/>
        <v>ticket_beginner_green.png</v>
      </c>
    </row>
    <row r="20" spans="1:9" ht="21" customHeight="1" x14ac:dyDescent="0.15">
      <c r="A20" s="37">
        <v>106</v>
      </c>
      <c r="B20" s="38" t="s">
        <v>162</v>
      </c>
      <c r="C20" s="42" t="s">
        <v>158</v>
      </c>
      <c r="D20" s="39" t="s">
        <v>16</v>
      </c>
      <c r="E20" s="11" t="s">
        <v>17</v>
      </c>
      <c r="F20" s="14" t="s">
        <v>30</v>
      </c>
      <c r="G20" s="42" t="s">
        <v>153</v>
      </c>
      <c r="H20" s="36" t="str">
        <f t="shared" si="1"/>
        <v>ticket_beginner_blue.png</v>
      </c>
    </row>
    <row r="21" spans="1:9" ht="21" customHeight="1" x14ac:dyDescent="0.15">
      <c r="A21" s="37">
        <v>107</v>
      </c>
      <c r="B21" s="38" t="s">
        <v>163</v>
      </c>
      <c r="C21" s="42" t="s">
        <v>159</v>
      </c>
      <c r="D21" s="39" t="s">
        <v>16</v>
      </c>
      <c r="E21" s="11" t="s">
        <v>17</v>
      </c>
      <c r="F21" s="14" t="s">
        <v>30</v>
      </c>
      <c r="G21" s="42" t="s">
        <v>154</v>
      </c>
      <c r="H21" s="36" t="str">
        <f t="shared" si="1"/>
        <v>ticket_beginner_yellow.png</v>
      </c>
    </row>
    <row r="22" spans="1:9" ht="21" customHeight="1" x14ac:dyDescent="0.15">
      <c r="A22" s="37">
        <v>108</v>
      </c>
      <c r="B22" s="38" t="s">
        <v>149</v>
      </c>
      <c r="C22" s="43" t="s">
        <v>156</v>
      </c>
      <c r="D22" s="39" t="s">
        <v>172</v>
      </c>
      <c r="E22" s="11" t="s">
        <v>17</v>
      </c>
      <c r="F22" s="14" t="s">
        <v>30</v>
      </c>
      <c r="G22" s="42" t="s">
        <v>155</v>
      </c>
      <c r="H22" s="36" t="str">
        <f t="shared" si="1"/>
        <v>ticket_middle_01.png</v>
      </c>
    </row>
    <row r="23" spans="1:9" ht="21" customHeight="1" x14ac:dyDescent="0.15">
      <c r="A23" s="37">
        <v>109</v>
      </c>
      <c r="B23" s="38" t="s">
        <v>175</v>
      </c>
      <c r="C23" s="43" t="s">
        <v>173</v>
      </c>
      <c r="D23" s="39" t="s">
        <v>16</v>
      </c>
      <c r="E23" s="11" t="s">
        <v>17</v>
      </c>
      <c r="F23" s="14" t="s">
        <v>30</v>
      </c>
      <c r="G23" s="42" t="s">
        <v>174</v>
      </c>
      <c r="H23" s="36" t="str">
        <f t="shared" si="1"/>
        <v>ticket_comeback.png</v>
      </c>
    </row>
    <row r="24" spans="1:9" ht="21" customHeight="1" x14ac:dyDescent="0.15">
      <c r="A24" s="37">
        <v>110</v>
      </c>
      <c r="B24" s="38" t="s">
        <v>194</v>
      </c>
      <c r="C24" s="43" t="s">
        <v>195</v>
      </c>
      <c r="D24" s="39" t="s">
        <v>16</v>
      </c>
      <c r="E24" s="11" t="s">
        <v>17</v>
      </c>
      <c r="F24" s="14" t="s">
        <v>30</v>
      </c>
      <c r="G24" s="43" t="s">
        <v>195</v>
      </c>
      <c r="H24" s="36" t="str">
        <f t="shared" ref="H24" si="3">B24&amp;".png"</f>
        <v>ticket_hanamiPack.png</v>
      </c>
    </row>
    <row r="25" spans="1:9" ht="21" customHeight="1" x14ac:dyDescent="0.15">
      <c r="A25" s="37">
        <v>111</v>
      </c>
      <c r="B25" s="38" t="s">
        <v>199</v>
      </c>
      <c r="C25" s="43" t="s">
        <v>156</v>
      </c>
      <c r="D25" s="39" t="s">
        <v>16</v>
      </c>
      <c r="E25" s="11" t="s">
        <v>17</v>
      </c>
      <c r="F25" s="14" t="s">
        <v>30</v>
      </c>
      <c r="G25" s="42" t="s">
        <v>155</v>
      </c>
      <c r="H25" s="44" t="s">
        <v>200</v>
      </c>
    </row>
    <row r="26" spans="1:9" ht="21" customHeight="1" x14ac:dyDescent="0.15">
      <c r="A26" s="37">
        <v>500</v>
      </c>
      <c r="B26" s="35" t="s">
        <v>117</v>
      </c>
      <c r="C26" s="41" t="s">
        <v>116</v>
      </c>
      <c r="D26" s="11" t="s">
        <v>16</v>
      </c>
      <c r="E26" s="11" t="s">
        <v>17</v>
      </c>
      <c r="F26" s="14" t="s">
        <v>30</v>
      </c>
      <c r="G26" s="14" t="s">
        <v>116</v>
      </c>
      <c r="H26" s="36" t="str">
        <f>B26&amp;"_2.png"</f>
        <v>ticket_R6_50p_2.png</v>
      </c>
    </row>
    <row r="27" spans="1:9" ht="21" customHeight="1" x14ac:dyDescent="0.15">
      <c r="A27" s="34">
        <v>600</v>
      </c>
      <c r="B27" s="34" t="s">
        <v>112</v>
      </c>
      <c r="C27" s="34" t="s">
        <v>127</v>
      </c>
      <c r="D27" s="14" t="s">
        <v>16</v>
      </c>
      <c r="E27" s="14" t="s">
        <v>17</v>
      </c>
      <c r="F27" s="14" t="s">
        <v>30</v>
      </c>
      <c r="G27" s="34" t="s">
        <v>128</v>
      </c>
      <c r="H27" s="34" t="str">
        <f>B27&amp;".png"</f>
        <v>ticket_piece.png</v>
      </c>
      <c r="I27" s="2">
        <f t="shared" ref="I27" si="4">LEN(G27)</f>
        <v>9</v>
      </c>
    </row>
    <row r="28" spans="1:9" ht="21" customHeight="1" x14ac:dyDescent="0.15">
      <c r="A28" s="34">
        <v>601</v>
      </c>
      <c r="B28" s="34" t="s">
        <v>114</v>
      </c>
      <c r="C28" s="34" t="s">
        <v>138</v>
      </c>
      <c r="D28" s="14" t="s">
        <v>16</v>
      </c>
      <c r="E28" s="14" t="s">
        <v>17</v>
      </c>
      <c r="F28" s="14" t="s">
        <v>30</v>
      </c>
      <c r="G28" s="34" t="s">
        <v>136</v>
      </c>
      <c r="H28" s="34" t="s">
        <v>115</v>
      </c>
    </row>
    <row r="29" spans="1:9" ht="21" customHeight="1" x14ac:dyDescent="0.15">
      <c r="A29" s="34">
        <v>602</v>
      </c>
      <c r="B29" s="34" t="s">
        <v>118</v>
      </c>
      <c r="C29" s="34" t="s">
        <v>113</v>
      </c>
      <c r="D29" s="14" t="s">
        <v>16</v>
      </c>
      <c r="E29" s="14" t="s">
        <v>17</v>
      </c>
      <c r="F29" s="14" t="s">
        <v>30</v>
      </c>
      <c r="G29" s="34" t="s">
        <v>136</v>
      </c>
      <c r="H29" s="34" t="s">
        <v>119</v>
      </c>
    </row>
    <row r="30" spans="1:9" ht="21" customHeight="1" x14ac:dyDescent="0.15">
      <c r="A30" s="34">
        <v>603</v>
      </c>
      <c r="B30" s="34" t="s">
        <v>130</v>
      </c>
      <c r="C30" s="34" t="s">
        <v>122</v>
      </c>
      <c r="D30" s="14" t="s">
        <v>16</v>
      </c>
      <c r="E30" s="14" t="s">
        <v>17</v>
      </c>
      <c r="F30" s="14" t="s">
        <v>125</v>
      </c>
      <c r="G30" s="34" t="s">
        <v>122</v>
      </c>
      <c r="H30" s="34" t="s">
        <v>131</v>
      </c>
    </row>
    <row r="31" spans="1:9" ht="21" customHeight="1" x14ac:dyDescent="0.15">
      <c r="A31" s="34">
        <v>604</v>
      </c>
      <c r="B31" s="34" t="s">
        <v>123</v>
      </c>
      <c r="C31" s="34" t="s">
        <v>124</v>
      </c>
      <c r="D31" s="14" t="s">
        <v>16</v>
      </c>
      <c r="E31" s="14" t="s">
        <v>17</v>
      </c>
      <c r="F31" s="14" t="s">
        <v>126</v>
      </c>
      <c r="G31" s="34" t="s">
        <v>137</v>
      </c>
      <c r="H31" s="34" t="s">
        <v>129</v>
      </c>
    </row>
    <row r="32" spans="1:9" ht="21" customHeight="1" x14ac:dyDescent="0.15">
      <c r="A32" s="34">
        <v>605</v>
      </c>
      <c r="B32" s="34" t="s">
        <v>170</v>
      </c>
      <c r="C32" s="34" t="s">
        <v>113</v>
      </c>
      <c r="D32" s="14" t="s">
        <v>16</v>
      </c>
      <c r="E32" s="14" t="s">
        <v>17</v>
      </c>
      <c r="F32" s="14" t="s">
        <v>30</v>
      </c>
      <c r="G32" s="34" t="s">
        <v>167</v>
      </c>
      <c r="H32" s="34" t="s">
        <v>168</v>
      </c>
    </row>
    <row r="33" spans="1:9" ht="21" customHeight="1" x14ac:dyDescent="0.15">
      <c r="A33" s="34">
        <v>606</v>
      </c>
      <c r="B33" s="34" t="s">
        <v>171</v>
      </c>
      <c r="C33" s="34" t="s">
        <v>169</v>
      </c>
      <c r="D33" s="14" t="s">
        <v>16</v>
      </c>
      <c r="E33" s="14" t="s">
        <v>17</v>
      </c>
      <c r="F33" s="14" t="s">
        <v>30</v>
      </c>
      <c r="G33" s="34" t="s">
        <v>169</v>
      </c>
      <c r="H33" s="34" t="s">
        <v>131</v>
      </c>
    </row>
    <row r="34" spans="1:9" ht="21" customHeight="1" x14ac:dyDescent="0.15">
      <c r="A34" s="34">
        <v>700</v>
      </c>
      <c r="B34" s="34" t="s">
        <v>135</v>
      </c>
      <c r="C34" s="34" t="s">
        <v>132</v>
      </c>
      <c r="D34" s="14" t="s">
        <v>16</v>
      </c>
      <c r="E34" s="14" t="s">
        <v>17</v>
      </c>
      <c r="F34" s="14" t="s">
        <v>125</v>
      </c>
      <c r="G34" s="34" t="s">
        <v>133</v>
      </c>
      <c r="H34" s="34" t="s">
        <v>134</v>
      </c>
    </row>
    <row r="35" spans="1:9" ht="21" customHeight="1" x14ac:dyDescent="0.15">
      <c r="A35" s="34">
        <v>701</v>
      </c>
      <c r="B35" s="34" t="s">
        <v>145</v>
      </c>
      <c r="C35" s="34" t="s">
        <v>146</v>
      </c>
      <c r="D35" s="14" t="s">
        <v>16</v>
      </c>
      <c r="E35" s="14" t="s">
        <v>17</v>
      </c>
      <c r="F35" s="14" t="s">
        <v>125</v>
      </c>
      <c r="G35" s="34" t="s">
        <v>147</v>
      </c>
      <c r="H35" s="34" t="s">
        <v>148</v>
      </c>
    </row>
    <row r="36" spans="1:9" ht="21" customHeight="1" x14ac:dyDescent="0.15">
      <c r="A36" s="34">
        <v>702</v>
      </c>
      <c r="B36" s="34" t="s">
        <v>179</v>
      </c>
      <c r="C36" s="34" t="s">
        <v>180</v>
      </c>
      <c r="D36" s="14" t="s">
        <v>16</v>
      </c>
      <c r="E36" s="14" t="s">
        <v>17</v>
      </c>
      <c r="F36" s="14" t="s">
        <v>125</v>
      </c>
      <c r="G36" s="34" t="s">
        <v>181</v>
      </c>
      <c r="H36" s="34" t="s">
        <v>182</v>
      </c>
    </row>
    <row r="37" spans="1:9" ht="21" customHeight="1" x14ac:dyDescent="0.15">
      <c r="A37" s="34">
        <v>703</v>
      </c>
      <c r="B37" s="34" t="s">
        <v>185</v>
      </c>
      <c r="C37" s="34" t="s">
        <v>186</v>
      </c>
      <c r="D37" s="14" t="s">
        <v>16</v>
      </c>
      <c r="E37" s="14" t="s">
        <v>17</v>
      </c>
      <c r="F37" s="14" t="s">
        <v>125</v>
      </c>
      <c r="G37" s="34" t="s">
        <v>186</v>
      </c>
      <c r="H37" s="34" t="s">
        <v>187</v>
      </c>
    </row>
    <row r="38" spans="1:9" ht="21" customHeight="1" x14ac:dyDescent="0.15">
      <c r="A38" s="34">
        <v>704</v>
      </c>
      <c r="B38" s="34" t="s">
        <v>188</v>
      </c>
      <c r="C38" s="34" t="s">
        <v>189</v>
      </c>
      <c r="D38" s="14" t="s">
        <v>16</v>
      </c>
      <c r="E38" s="14" t="s">
        <v>17</v>
      </c>
      <c r="F38" s="14" t="s">
        <v>125</v>
      </c>
      <c r="G38" s="34" t="s">
        <v>189</v>
      </c>
      <c r="H38" s="34" t="s">
        <v>190</v>
      </c>
    </row>
    <row r="39" spans="1:9" ht="21" customHeight="1" x14ac:dyDescent="0.15">
      <c r="A39" s="34">
        <v>705</v>
      </c>
      <c r="B39" s="34" t="s">
        <v>191</v>
      </c>
      <c r="C39" s="34" t="s">
        <v>193</v>
      </c>
      <c r="D39" s="14" t="s">
        <v>16</v>
      </c>
      <c r="E39" s="14" t="s">
        <v>17</v>
      </c>
      <c r="F39" s="14" t="s">
        <v>125</v>
      </c>
      <c r="G39" s="34" t="s">
        <v>193</v>
      </c>
      <c r="H39" s="34" t="s">
        <v>192</v>
      </c>
    </row>
    <row r="40" spans="1:9" ht="21" customHeight="1" x14ac:dyDescent="0.15">
      <c r="A40" s="34">
        <v>706</v>
      </c>
      <c r="B40" s="34" t="s">
        <v>212</v>
      </c>
      <c r="C40" s="34" t="s">
        <v>215</v>
      </c>
      <c r="D40" s="14" t="s">
        <v>16</v>
      </c>
      <c r="E40" s="14" t="s">
        <v>17</v>
      </c>
      <c r="F40" s="14" t="s">
        <v>125</v>
      </c>
      <c r="G40" s="34" t="s">
        <v>215</v>
      </c>
      <c r="H40" s="34" t="str">
        <f t="shared" ref="H40:H42" si="5">B40&amp;".png"</f>
        <v>ticket_red_bouquet.png</v>
      </c>
    </row>
    <row r="41" spans="1:9" ht="21" customHeight="1" x14ac:dyDescent="0.15">
      <c r="A41" s="34">
        <v>707</v>
      </c>
      <c r="B41" s="34" t="s">
        <v>213</v>
      </c>
      <c r="C41" s="34" t="s">
        <v>216</v>
      </c>
      <c r="D41" s="14" t="s">
        <v>16</v>
      </c>
      <c r="E41" s="14" t="s">
        <v>17</v>
      </c>
      <c r="F41" s="14" t="s">
        <v>125</v>
      </c>
      <c r="G41" s="34" t="s">
        <v>216</v>
      </c>
      <c r="H41" s="34" t="str">
        <f t="shared" si="5"/>
        <v>ticket_green_bouquet.png</v>
      </c>
    </row>
    <row r="42" spans="1:9" ht="21" customHeight="1" x14ac:dyDescent="0.15">
      <c r="A42" s="34">
        <v>708</v>
      </c>
      <c r="B42" s="34" t="s">
        <v>214</v>
      </c>
      <c r="C42" s="34" t="s">
        <v>217</v>
      </c>
      <c r="D42" s="14" t="s">
        <v>16</v>
      </c>
      <c r="E42" s="14" t="s">
        <v>17</v>
      </c>
      <c r="F42" s="14" t="s">
        <v>125</v>
      </c>
      <c r="G42" s="34" t="s">
        <v>217</v>
      </c>
      <c r="H42" s="34" t="str">
        <f t="shared" si="5"/>
        <v>ticket_juneBride.png</v>
      </c>
    </row>
    <row r="43" spans="1:9" ht="21" customHeight="1" x14ac:dyDescent="0.15">
      <c r="A43" s="34">
        <v>900</v>
      </c>
      <c r="B43" s="34" t="s">
        <v>100</v>
      </c>
      <c r="C43" s="34" t="s">
        <v>90</v>
      </c>
      <c r="D43" s="14" t="s">
        <v>16</v>
      </c>
      <c r="E43" s="14" t="s">
        <v>17</v>
      </c>
      <c r="F43" s="14" t="s">
        <v>30</v>
      </c>
      <c r="G43" s="34" t="s">
        <v>95</v>
      </c>
      <c r="H43" s="34" t="str">
        <f t="shared" si="1"/>
        <v>item100.png</v>
      </c>
      <c r="I43" s="2">
        <f t="shared" si="2"/>
        <v>5</v>
      </c>
    </row>
    <row r="44" spans="1:9" ht="21" customHeight="1" x14ac:dyDescent="0.15">
      <c r="A44" s="34">
        <v>901</v>
      </c>
      <c r="B44" s="34" t="s">
        <v>101</v>
      </c>
      <c r="C44" s="34" t="s">
        <v>91</v>
      </c>
      <c r="D44" s="14" t="s">
        <v>16</v>
      </c>
      <c r="E44" s="14" t="s">
        <v>17</v>
      </c>
      <c r="F44" s="14" t="s">
        <v>30</v>
      </c>
      <c r="G44" s="34" t="s">
        <v>96</v>
      </c>
      <c r="H44" s="34" t="str">
        <f t="shared" si="1"/>
        <v>item101.png</v>
      </c>
    </row>
    <row r="45" spans="1:9" ht="21" customHeight="1" x14ac:dyDescent="0.15">
      <c r="A45" s="34">
        <v>902</v>
      </c>
      <c r="B45" s="34" t="s">
        <v>102</v>
      </c>
      <c r="C45" s="34" t="s">
        <v>92</v>
      </c>
      <c r="D45" s="14" t="s">
        <v>16</v>
      </c>
      <c r="E45" s="14" t="s">
        <v>17</v>
      </c>
      <c r="F45" s="14" t="s">
        <v>30</v>
      </c>
      <c r="G45" s="34" t="s">
        <v>97</v>
      </c>
      <c r="H45" s="34" t="str">
        <f t="shared" si="1"/>
        <v>item102.png</v>
      </c>
    </row>
    <row r="46" spans="1:9" ht="21" customHeight="1" x14ac:dyDescent="0.15">
      <c r="A46" s="34">
        <v>903</v>
      </c>
      <c r="B46" s="34" t="s">
        <v>103</v>
      </c>
      <c r="C46" s="34" t="s">
        <v>93</v>
      </c>
      <c r="D46" s="14" t="s">
        <v>16</v>
      </c>
      <c r="E46" s="14" t="s">
        <v>17</v>
      </c>
      <c r="F46" s="14" t="s">
        <v>30</v>
      </c>
      <c r="G46" s="34" t="s">
        <v>98</v>
      </c>
      <c r="H46" s="34" t="str">
        <f t="shared" si="1"/>
        <v>item103.png</v>
      </c>
    </row>
    <row r="47" spans="1:9" ht="21" customHeight="1" x14ac:dyDescent="0.15">
      <c r="A47" s="34">
        <v>904</v>
      </c>
      <c r="B47" s="34" t="s">
        <v>104</v>
      </c>
      <c r="C47" s="34" t="s">
        <v>94</v>
      </c>
      <c r="D47" s="14" t="s">
        <v>16</v>
      </c>
      <c r="E47" s="14" t="s">
        <v>17</v>
      </c>
      <c r="F47" s="14" t="s">
        <v>30</v>
      </c>
      <c r="G47" s="34" t="s">
        <v>99</v>
      </c>
      <c r="H47" s="34" t="str">
        <f t="shared" si="1"/>
        <v>item104.png</v>
      </c>
    </row>
    <row r="48" spans="1:9" ht="21" customHeight="1" x14ac:dyDescent="0.15">
      <c r="A48" s="34">
        <v>905</v>
      </c>
      <c r="B48" s="34" t="s">
        <v>140</v>
      </c>
      <c r="C48" s="34" t="s">
        <v>139</v>
      </c>
      <c r="D48" s="14" t="s">
        <v>16</v>
      </c>
      <c r="E48" s="14" t="s">
        <v>17</v>
      </c>
      <c r="F48" s="14" t="s">
        <v>30</v>
      </c>
      <c r="G48" s="34" t="s">
        <v>139</v>
      </c>
      <c r="H48" s="34" t="str">
        <f t="shared" ref="H48" si="6">B48&amp;".png"</f>
        <v>ticket_hyperlimited_1609.png</v>
      </c>
    </row>
    <row r="49" spans="1:8" ht="21" customHeight="1" x14ac:dyDescent="0.15">
      <c r="A49" s="34">
        <v>906</v>
      </c>
      <c r="B49" s="34" t="s">
        <v>141</v>
      </c>
      <c r="C49" s="34" t="s">
        <v>142</v>
      </c>
      <c r="D49" s="14" t="s">
        <v>16</v>
      </c>
      <c r="E49" s="14" t="s">
        <v>17</v>
      </c>
      <c r="F49" s="14" t="s">
        <v>30</v>
      </c>
      <c r="G49" s="34" t="s">
        <v>143</v>
      </c>
      <c r="H49" s="34" t="s">
        <v>144</v>
      </c>
    </row>
    <row r="50" spans="1:8" ht="21" customHeight="1" x14ac:dyDescent="0.15">
      <c r="A50" s="34">
        <v>907</v>
      </c>
      <c r="B50" s="34" t="s">
        <v>178</v>
      </c>
      <c r="C50" s="34" t="s">
        <v>176</v>
      </c>
      <c r="D50" s="14" t="s">
        <v>16</v>
      </c>
      <c r="E50" s="14" t="s">
        <v>17</v>
      </c>
      <c r="F50" s="14" t="s">
        <v>30</v>
      </c>
      <c r="G50" s="34" t="s">
        <v>176</v>
      </c>
      <c r="H50" s="34" t="s">
        <v>177</v>
      </c>
    </row>
    <row r="51" spans="1:8" ht="21" customHeight="1" x14ac:dyDescent="0.15">
      <c r="A51" s="37">
        <v>908</v>
      </c>
      <c r="B51" s="38" t="s">
        <v>184</v>
      </c>
      <c r="C51" s="42" t="s">
        <v>183</v>
      </c>
      <c r="D51" s="39" t="s">
        <v>16</v>
      </c>
      <c r="E51" s="11" t="s">
        <v>17</v>
      </c>
      <c r="F51" s="14" t="s">
        <v>30</v>
      </c>
      <c r="G51" s="42" t="s">
        <v>183</v>
      </c>
      <c r="H51" s="36" t="str">
        <f t="shared" ref="H51" si="7">B51&amp;".png"</f>
        <v>30day_sp_ticket.png</v>
      </c>
    </row>
    <row r="52" spans="1:8" ht="21" customHeight="1" x14ac:dyDescent="0.15">
      <c r="A52" s="34">
        <v>909</v>
      </c>
      <c r="B52" s="34" t="s">
        <v>198</v>
      </c>
      <c r="C52" s="34" t="s">
        <v>196</v>
      </c>
      <c r="D52" s="39" t="s">
        <v>16</v>
      </c>
      <c r="E52" s="11" t="s">
        <v>17</v>
      </c>
      <c r="F52" s="34" t="s">
        <v>31</v>
      </c>
      <c r="G52" s="34" t="s">
        <v>196</v>
      </c>
      <c r="H52" s="34" t="s">
        <v>197</v>
      </c>
    </row>
    <row r="53" spans="1:8" ht="21" customHeight="1" x14ac:dyDescent="0.15">
      <c r="A53" s="34">
        <v>910</v>
      </c>
      <c r="B53" s="34" t="s">
        <v>201</v>
      </c>
      <c r="C53" s="34" t="s">
        <v>202</v>
      </c>
      <c r="D53" s="39" t="s">
        <v>16</v>
      </c>
      <c r="E53" s="11" t="s">
        <v>17</v>
      </c>
      <c r="F53" s="34" t="s">
        <v>30</v>
      </c>
      <c r="G53" s="34" t="s">
        <v>202</v>
      </c>
      <c r="H53" s="34" t="str">
        <f t="shared" ref="H53:H57" si="8">B53&amp;".png"</f>
        <v>ticket_collabo_hagane.png</v>
      </c>
    </row>
    <row r="54" spans="1:8" ht="21" customHeight="1" x14ac:dyDescent="0.15">
      <c r="A54" s="34">
        <v>911</v>
      </c>
      <c r="B54" s="34" t="s">
        <v>203</v>
      </c>
      <c r="C54" s="34" t="s">
        <v>211</v>
      </c>
      <c r="D54" s="14" t="s">
        <v>16</v>
      </c>
      <c r="E54" s="14" t="s">
        <v>17</v>
      </c>
      <c r="F54" s="14" t="s">
        <v>30</v>
      </c>
      <c r="G54" s="34" t="s">
        <v>207</v>
      </c>
      <c r="H54" s="34" t="str">
        <f t="shared" si="8"/>
        <v>ticket_8million_level1.png</v>
      </c>
    </row>
    <row r="55" spans="1:8" ht="21" customHeight="1" x14ac:dyDescent="0.15">
      <c r="A55" s="34">
        <v>912</v>
      </c>
      <c r="B55" s="34" t="s">
        <v>204</v>
      </c>
      <c r="C55" s="34" t="s">
        <v>211</v>
      </c>
      <c r="D55" s="14" t="s">
        <v>16</v>
      </c>
      <c r="E55" s="14" t="s">
        <v>17</v>
      </c>
      <c r="F55" s="14" t="s">
        <v>30</v>
      </c>
      <c r="G55" s="34" t="s">
        <v>208</v>
      </c>
      <c r="H55" s="34" t="str">
        <f t="shared" si="8"/>
        <v>ticket_8million_level2.png</v>
      </c>
    </row>
    <row r="56" spans="1:8" ht="21" customHeight="1" x14ac:dyDescent="0.15">
      <c r="A56" s="34">
        <v>913</v>
      </c>
      <c r="B56" s="34" t="s">
        <v>205</v>
      </c>
      <c r="C56" s="34" t="s">
        <v>211</v>
      </c>
      <c r="D56" s="14" t="s">
        <v>16</v>
      </c>
      <c r="E56" s="14" t="s">
        <v>17</v>
      </c>
      <c r="F56" s="14" t="s">
        <v>30</v>
      </c>
      <c r="G56" s="34" t="s">
        <v>209</v>
      </c>
      <c r="H56" s="34" t="str">
        <f t="shared" si="8"/>
        <v>ticket_8million_level3.png</v>
      </c>
    </row>
    <row r="57" spans="1:8" ht="21" customHeight="1" x14ac:dyDescent="0.15">
      <c r="A57" s="34">
        <v>914</v>
      </c>
      <c r="B57" s="34" t="s">
        <v>206</v>
      </c>
      <c r="C57" s="34" t="s">
        <v>211</v>
      </c>
      <c r="D57" s="14" t="s">
        <v>16</v>
      </c>
      <c r="E57" s="14" t="s">
        <v>17</v>
      </c>
      <c r="F57" s="14" t="s">
        <v>30</v>
      </c>
      <c r="G57" s="34" t="s">
        <v>210</v>
      </c>
      <c r="H57" s="34" t="str">
        <f t="shared" si="8"/>
        <v>ticket_8million_sp.png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I31"/>
  <sheetViews>
    <sheetView showGridLines="0" workbookViewId="0">
      <pane ySplit="1" topLeftCell="A2" activePane="bottomLeft" state="frozen"/>
      <selection pane="bottomLeft" activeCell="C30" sqref="C30"/>
    </sheetView>
  </sheetViews>
  <sheetFormatPr baseColWidth="12" defaultColWidth="13" defaultRowHeight="21" customHeight="1" outlineLevelCol="1" x14ac:dyDescent="0.15"/>
  <cols>
    <col min="1" max="1" width="7.1640625" style="16" bestFit="1" customWidth="1"/>
    <col min="2" max="2" width="19.5" style="17" bestFit="1" customWidth="1" outlineLevel="1"/>
    <col min="3" max="3" width="32.5" style="17" bestFit="1" customWidth="1" outlineLevel="1"/>
    <col min="4" max="4" width="13.1640625" style="16" customWidth="1" outlineLevel="1"/>
    <col min="5" max="5" width="8.6640625" style="16" bestFit="1" customWidth="1"/>
    <col min="6" max="6" width="11.83203125" style="16" bestFit="1" customWidth="1"/>
    <col min="7" max="7" width="32.5" style="17" bestFit="1" customWidth="1" outlineLevel="1"/>
    <col min="8" max="9" width="8.6640625" style="16" bestFit="1" customWidth="1"/>
    <col min="10" max="16384" width="13" style="16"/>
  </cols>
  <sheetData>
    <row r="1" spans="1:9" ht="23" customHeight="1" x14ac:dyDescent="0.15">
      <c r="A1" s="22" t="s">
        <v>70</v>
      </c>
      <c r="B1" s="24" t="s">
        <v>69</v>
      </c>
      <c r="C1" s="24" t="s">
        <v>68</v>
      </c>
      <c r="D1" s="23" t="s">
        <v>67</v>
      </c>
      <c r="E1" s="22" t="s">
        <v>66</v>
      </c>
      <c r="F1" s="22" t="s">
        <v>65</v>
      </c>
      <c r="G1" s="24" t="s">
        <v>76</v>
      </c>
      <c r="H1" s="22" t="s">
        <v>64</v>
      </c>
      <c r="I1" s="21" t="s">
        <v>63</v>
      </c>
    </row>
    <row r="2" spans="1:9" ht="21" customHeight="1" x14ac:dyDescent="0.15">
      <c r="A2" s="20">
        <v>14001</v>
      </c>
      <c r="B2" s="19" t="str">
        <f ca="1">VLOOKUP($A2,OFFSET([2]quests!$A$1,0,0,COUNTA([2]quests!$A:$A),MATCH(B$1,[2]quests!$1:$1,0)-MATCH($A$1,[2]quests!$1:$1,0)+1),MATCH(B$1,[2]quests!$1:$1,0)-MATCH($A$1,[2]quests!$1:$1,0)+1,FALSE)</f>
        <v>【ロック】経験値/ソロ</v>
      </c>
      <c r="C2" s="19" t="str">
        <f ca="1">VLOOKUP($A2,OFFSET([2]quests!$A$1,0,0,COUNTA([2]quests!$A:$A),MATCH(C$1,[2]quests!$1:$1,0)-MATCH($A$1,[2]quests!$1:$1,0)+1),MATCH(C$1,[2]quests!$1:$1,0)-MATCH($A$1,[2]quests!$1:$1,0)+1,FALSE)</f>
        <v>【ロック】経験値/ソロ</v>
      </c>
      <c r="D2" s="19" t="str">
        <f ca="1">VLOOKUP($A2,OFFSET([2]stages!$C$2,0,0,COUNTA([2]stages!$C:$C),MATCH("stage_target",[2]stages!$2:$2,0)-MATCH($A$1,[2]stages!$2:$2,0)+1),MATCH("stage_target",[2]stages!$2:$2,0)-MATCH($A$1,[2]stages!$2:$2,0)+1,FALSE)</f>
        <v>singleonly</v>
      </c>
      <c r="E2" s="18" t="s">
        <v>50</v>
      </c>
      <c r="F2" s="18" t="s">
        <v>62</v>
      </c>
      <c r="G2" s="19" t="str">
        <f ca="1">IF($F2="polygon","ポリゴン",VLOOKUP($F2,OFFSET(items!$B$1,0,0,COUNTA(items!$B:$B),MATCH(G$1,items!$1:$1,0)-MATCH("item_code",items!$1:$1,0)+1),MATCH(G$1,items!$1:$1,0)-MATCH("item_code",items!$1:$1,0)+1,FALSE))</f>
        <v>ソロ限定経験値キー</v>
      </c>
      <c r="H2" s="18">
        <v>1</v>
      </c>
      <c r="I2" s="32">
        <v>5</v>
      </c>
    </row>
    <row r="3" spans="1:9" ht="21" customHeight="1" x14ac:dyDescent="0.15">
      <c r="A3" s="20">
        <v>14001</v>
      </c>
      <c r="B3" s="19" t="str">
        <f ca="1">VLOOKUP($A3,OFFSET([2]quests!$A$1,0,0,COUNTA([2]quests!$A:$A),MATCH(B$1,[2]quests!$1:$1,0)-MATCH($A$1,[2]quests!$1:$1,0)+1),MATCH(B$1,[2]quests!$1:$1,0)-MATCH($A$1,[2]quests!$1:$1,0)+1,FALSE)</f>
        <v>【ロック】経験値/ソロ</v>
      </c>
      <c r="C3" s="19" t="str">
        <f ca="1">VLOOKUP($A3,OFFSET([2]quests!$A$1,0,0,COUNTA([2]quests!$A:$A),MATCH(C$1,[2]quests!$1:$1,0)-MATCH($A$1,[2]quests!$1:$1,0)+1),MATCH(C$1,[2]quests!$1:$1,0)-MATCH($A$1,[2]quests!$1:$1,0)+1,FALSE)</f>
        <v>【ロック】経験値/ソロ</v>
      </c>
      <c r="D3" s="19" t="str">
        <f ca="1">VLOOKUP($A3,OFFSET([2]stages!$C$2,0,0,COUNTA([2]stages!$C:$C),MATCH("stage_target",[2]stages!$2:$2,0)-MATCH($A$1,[2]stages!$2:$2,0)+1),MATCH("stage_target",[2]stages!$2:$2,0)-MATCH($A$1,[2]stages!$2:$2,0)+1,FALSE)</f>
        <v>singleonly</v>
      </c>
      <c r="E3" s="18" t="s">
        <v>50</v>
      </c>
      <c r="F3" s="18" t="s">
        <v>57</v>
      </c>
      <c r="G3" s="19" t="str">
        <f ca="1">IF($F3="polygon","ポリゴン",VLOOKUP($F3,OFFSET(items!$B$1,0,0,COUNTA(items!$B:$B),MATCH(G$1,items!$1:$1,0)-MATCH("item_code",items!$1:$1,0)+1),MATCH(G$1,items!$1:$1,0)-MATCH("item_code",items!$1:$1,0)+1,FALSE))</f>
        <v>経験値キー</v>
      </c>
      <c r="H3" s="18">
        <v>1</v>
      </c>
      <c r="I3" s="32">
        <v>4</v>
      </c>
    </row>
    <row r="4" spans="1:9" ht="21" customHeight="1" x14ac:dyDescent="0.15">
      <c r="A4" s="20">
        <v>14001</v>
      </c>
      <c r="B4" s="19" t="str">
        <f ca="1">VLOOKUP($A4,OFFSET([2]quests!$A$1,0,0,COUNTA([2]quests!$A:$A),MATCH(B$1,[2]quests!$1:$1,0)-MATCH($A$1,[2]quests!$1:$1,0)+1),MATCH(B$1,[2]quests!$1:$1,0)-MATCH($A$1,[2]quests!$1:$1,0)+1,FALSE)</f>
        <v>【ロック】経験値/ソロ</v>
      </c>
      <c r="C4" s="19" t="str">
        <f ca="1">VLOOKUP($A4,OFFSET([2]quests!$A$1,0,0,COUNTA([2]quests!$A:$A),MATCH(C$1,[2]quests!$1:$1,0)-MATCH($A$1,[2]quests!$1:$1,0)+1),MATCH(C$1,[2]quests!$1:$1,0)-MATCH($A$1,[2]quests!$1:$1,0)+1,FALSE)</f>
        <v>【ロック】経験値/ソロ</v>
      </c>
      <c r="D4" s="19" t="str">
        <f ca="1">VLOOKUP($A4,OFFSET([2]stages!$C$2,0,0,COUNTA([2]stages!$C:$C),MATCH("stage_target",[2]stages!$2:$2,0)-MATCH($A$1,[2]stages!$2:$2,0)+1),MATCH("stage_target",[2]stages!$2:$2,0)-MATCH($A$1,[2]stages!$2:$2,0)+1,FALSE)</f>
        <v>singleonly</v>
      </c>
      <c r="E4" s="18" t="s">
        <v>50</v>
      </c>
      <c r="F4" s="18" t="s">
        <v>59</v>
      </c>
      <c r="G4" s="19" t="str">
        <f ca="1">IF($F4="polygon","ポリゴン",VLOOKUP($F4,OFFSET(items!$B$1,0,0,COUNTA(items!$B:$B),MATCH(G$1,items!$1:$1,0)-MATCH("item_code",items!$1:$1,0)+1),MATCH(G$1,items!$1:$1,0)-MATCH("item_code",items!$1:$1,0)+1,FALSE))</f>
        <v>ソロ限定マスターキー</v>
      </c>
      <c r="H4" s="18">
        <v>1</v>
      </c>
      <c r="I4" s="32">
        <v>3</v>
      </c>
    </row>
    <row r="5" spans="1:9" ht="21" customHeight="1" x14ac:dyDescent="0.15">
      <c r="A5" s="20">
        <v>14001</v>
      </c>
      <c r="B5" s="19" t="str">
        <f ca="1">VLOOKUP($A5,OFFSET([2]quests!$A$1,0,0,COUNTA([2]quests!$A:$A),MATCH(B$1,[2]quests!$1:$1,0)-MATCH($A$1,[2]quests!$1:$1,0)+1),MATCH(B$1,[2]quests!$1:$1,0)-MATCH($A$1,[2]quests!$1:$1,0)+1,FALSE)</f>
        <v>【ロック】経験値/ソロ</v>
      </c>
      <c r="C5" s="19" t="str">
        <f ca="1">VLOOKUP($A5,OFFSET([2]quests!$A$1,0,0,COUNTA([2]quests!$A:$A),MATCH(C$1,[2]quests!$1:$1,0)-MATCH($A$1,[2]quests!$1:$1,0)+1),MATCH(C$1,[2]quests!$1:$1,0)-MATCH($A$1,[2]quests!$1:$1,0)+1,FALSE)</f>
        <v>【ロック】経験値/ソロ</v>
      </c>
      <c r="D5" s="19" t="str">
        <f ca="1">VLOOKUP($A5,OFFSET([2]stages!$C$2,0,0,COUNTA([2]stages!$C:$C),MATCH("stage_target",[2]stages!$2:$2,0)-MATCH($A$1,[2]stages!$2:$2,0)+1),MATCH("stage_target",[2]stages!$2:$2,0)-MATCH($A$1,[2]stages!$2:$2,0)+1,FALSE)</f>
        <v>singleonly</v>
      </c>
      <c r="E5" s="18" t="s">
        <v>50</v>
      </c>
      <c r="F5" s="18" t="s">
        <v>53</v>
      </c>
      <c r="G5" s="19" t="str">
        <f ca="1">IF($F5="polygon","ポリゴン",VLOOKUP($F5,OFFSET(items!$B$1,0,0,COUNTA(items!$B:$B),MATCH(G$1,items!$1:$1,0)-MATCH("item_code",items!$1:$1,0)+1),MATCH(G$1,items!$1:$1,0)-MATCH("item_code",items!$1:$1,0)+1,FALSE))</f>
        <v>マスターキー</v>
      </c>
      <c r="H5" s="18">
        <v>1</v>
      </c>
      <c r="I5" s="32">
        <v>2</v>
      </c>
    </row>
    <row r="6" spans="1:9" ht="21" customHeight="1" x14ac:dyDescent="0.15">
      <c r="A6" s="20">
        <v>14001</v>
      </c>
      <c r="B6" s="19" t="str">
        <f ca="1">VLOOKUP($A6,OFFSET([2]quests!$A$1,0,0,COUNTA([2]quests!$A:$A),MATCH(B$1,[2]quests!$1:$1,0)-MATCH($A$1,[2]quests!$1:$1,0)+1),MATCH(B$1,[2]quests!$1:$1,0)-MATCH($A$1,[2]quests!$1:$1,0)+1,FALSE)</f>
        <v>【ロック】経験値/ソロ</v>
      </c>
      <c r="C6" s="19" t="str">
        <f ca="1">VLOOKUP($A6,OFFSET([2]quests!$A$1,0,0,COUNTA([2]quests!$A:$A),MATCH(C$1,[2]quests!$1:$1,0)-MATCH($A$1,[2]quests!$1:$1,0)+1),MATCH(C$1,[2]quests!$1:$1,0)-MATCH($A$1,[2]quests!$1:$1,0)+1,FALSE)</f>
        <v>【ロック】経験値/ソロ</v>
      </c>
      <c r="D6" s="19" t="str">
        <f ca="1">VLOOKUP($A6,OFFSET([2]stages!$C$2,0,0,COUNTA([2]stages!$C:$C),MATCH("stage_target",[2]stages!$2:$2,0)-MATCH($A$1,[2]stages!$2:$2,0)+1),MATCH("stage_target",[2]stages!$2:$2,0)-MATCH($A$1,[2]stages!$2:$2,0)+1,FALSE)</f>
        <v>singleonly</v>
      </c>
      <c r="E6" s="18" t="s">
        <v>50</v>
      </c>
      <c r="F6" s="18" t="s">
        <v>52</v>
      </c>
      <c r="G6" s="19" t="str">
        <f ca="1">IF($F6="polygon","ポリゴン",VLOOKUP($F6,OFFSET(items!$B$1,0,0,COUNTA(items!$B:$B),MATCH(G$1,items!$1:$1,0)-MATCH("item_code",items!$1:$1,0)+1),MATCH(G$1,items!$1:$1,0)-MATCH("item_code",items!$1:$1,0)+1,FALSE))</f>
        <v>ポリゴン</v>
      </c>
      <c r="H6" s="18">
        <v>1</v>
      </c>
      <c r="I6" s="32">
        <v>1</v>
      </c>
    </row>
    <row r="7" spans="1:9" ht="21" customHeight="1" x14ac:dyDescent="0.15">
      <c r="A7" s="20">
        <v>14002</v>
      </c>
      <c r="B7" s="19" t="str">
        <f ca="1">VLOOKUP($A7,OFFSET([2]quests!$A$1,0,0,COUNTA([2]quests!$A:$A),MATCH(B$1,[2]quests!$1:$1,0)-MATCH($A$1,[2]quests!$1:$1,0)+1),MATCH(B$1,[2]quests!$1:$1,0)-MATCH($A$1,[2]quests!$1:$1,0)+1,FALSE)</f>
        <v>【ロック】ビット/ソロ</v>
      </c>
      <c r="C7" s="19" t="str">
        <f ca="1">VLOOKUP($A7,OFFSET([2]quests!$A$1,0,0,COUNTA([2]quests!$A:$A),MATCH(C$1,[2]quests!$1:$1,0)-MATCH($A$1,[2]quests!$1:$1,0)+1),MATCH(C$1,[2]quests!$1:$1,0)-MATCH($A$1,[2]quests!$1:$1,0)+1,FALSE)</f>
        <v>【ロック】ビット/ソロ</v>
      </c>
      <c r="D7" s="19" t="str">
        <f ca="1">VLOOKUP($A7,OFFSET([2]stages!$C$2,0,0,COUNTA([2]stages!$C:$C),MATCH("stage_target",[2]stages!$2:$2,0)-MATCH($A$1,[2]stages!$2:$2,0)+1),MATCH("stage_target",[2]stages!$2:$2,0)-MATCH($A$1,[2]stages!$2:$2,0)+1,FALSE)</f>
        <v>singleonly</v>
      </c>
      <c r="E7" s="18" t="s">
        <v>50</v>
      </c>
      <c r="F7" s="18" t="s">
        <v>61</v>
      </c>
      <c r="G7" s="19" t="str">
        <f ca="1">IF($F7="polygon","ポリゴン",VLOOKUP($F7,OFFSET(items!$B$1,0,0,COUNTA(items!$B:$B),MATCH(G$1,items!$1:$1,0)-MATCH("item_code",items!$1:$1,0)+1),MATCH(G$1,items!$1:$1,0)-MATCH("item_code",items!$1:$1,0)+1,FALSE))</f>
        <v>ソロ限定ビットキー</v>
      </c>
      <c r="H7" s="18">
        <v>1</v>
      </c>
      <c r="I7" s="32">
        <v>5</v>
      </c>
    </row>
    <row r="8" spans="1:9" ht="21" customHeight="1" x14ac:dyDescent="0.15">
      <c r="A8" s="20">
        <v>14002</v>
      </c>
      <c r="B8" s="19" t="str">
        <f ca="1">VLOOKUP($A8,OFFSET([2]quests!$A$1,0,0,COUNTA([2]quests!$A:$A),MATCH(B$1,[2]quests!$1:$1,0)-MATCH($A$1,[2]quests!$1:$1,0)+1),MATCH(B$1,[2]quests!$1:$1,0)-MATCH($A$1,[2]quests!$1:$1,0)+1,FALSE)</f>
        <v>【ロック】ビット/ソロ</v>
      </c>
      <c r="C8" s="19" t="str">
        <f ca="1">VLOOKUP($A8,OFFSET([2]quests!$A$1,0,0,COUNTA([2]quests!$A:$A),MATCH(C$1,[2]quests!$1:$1,0)-MATCH($A$1,[2]quests!$1:$1,0)+1),MATCH(C$1,[2]quests!$1:$1,0)-MATCH($A$1,[2]quests!$1:$1,0)+1,FALSE)</f>
        <v>【ロック】ビット/ソロ</v>
      </c>
      <c r="D8" s="19" t="str">
        <f ca="1">VLOOKUP($A8,OFFSET([2]stages!$C$2,0,0,COUNTA([2]stages!$C:$C),MATCH("stage_target",[2]stages!$2:$2,0)-MATCH($A$1,[2]stages!$2:$2,0)+1),MATCH("stage_target",[2]stages!$2:$2,0)-MATCH($A$1,[2]stages!$2:$2,0)+1,FALSE)</f>
        <v>singleonly</v>
      </c>
      <c r="E8" s="18" t="s">
        <v>50</v>
      </c>
      <c r="F8" s="18" t="s">
        <v>55</v>
      </c>
      <c r="G8" s="19" t="str">
        <f ca="1">IF($F8="polygon","ポリゴン",VLOOKUP($F8,OFFSET(items!$B$1,0,0,COUNTA(items!$B:$B),MATCH(G$1,items!$1:$1,0)-MATCH("item_code",items!$1:$1,0)+1),MATCH(G$1,items!$1:$1,0)-MATCH("item_code",items!$1:$1,0)+1,FALSE))</f>
        <v>ビットキー</v>
      </c>
      <c r="H8" s="18">
        <v>1</v>
      </c>
      <c r="I8" s="32">
        <v>4</v>
      </c>
    </row>
    <row r="9" spans="1:9" ht="21" customHeight="1" x14ac:dyDescent="0.15">
      <c r="A9" s="20">
        <v>14002</v>
      </c>
      <c r="B9" s="19" t="str">
        <f ca="1">VLOOKUP($A9,OFFSET([2]quests!$A$1,0,0,COUNTA([2]quests!$A:$A),MATCH(B$1,[2]quests!$1:$1,0)-MATCH($A$1,[2]quests!$1:$1,0)+1),MATCH(B$1,[2]quests!$1:$1,0)-MATCH($A$1,[2]quests!$1:$1,0)+1,FALSE)</f>
        <v>【ロック】ビット/ソロ</v>
      </c>
      <c r="C9" s="19" t="str">
        <f ca="1">VLOOKUP($A9,OFFSET([2]quests!$A$1,0,0,COUNTA([2]quests!$A:$A),MATCH(C$1,[2]quests!$1:$1,0)-MATCH($A$1,[2]quests!$1:$1,0)+1),MATCH(C$1,[2]quests!$1:$1,0)-MATCH($A$1,[2]quests!$1:$1,0)+1,FALSE)</f>
        <v>【ロック】ビット/ソロ</v>
      </c>
      <c r="D9" s="19" t="str">
        <f ca="1">VLOOKUP($A9,OFFSET([2]stages!$C$2,0,0,COUNTA([2]stages!$C:$C),MATCH("stage_target",[2]stages!$2:$2,0)-MATCH($A$1,[2]stages!$2:$2,0)+1),MATCH("stage_target",[2]stages!$2:$2,0)-MATCH($A$1,[2]stages!$2:$2,0)+1,FALSE)</f>
        <v>singleonly</v>
      </c>
      <c r="E9" s="18" t="s">
        <v>50</v>
      </c>
      <c r="F9" s="18" t="s">
        <v>59</v>
      </c>
      <c r="G9" s="19" t="str">
        <f ca="1">IF($F9="polygon","ポリゴン",VLOOKUP($F9,OFFSET(items!$B$1,0,0,COUNTA(items!$B:$B),MATCH(G$1,items!$1:$1,0)-MATCH("item_code",items!$1:$1,0)+1),MATCH(G$1,items!$1:$1,0)-MATCH("item_code",items!$1:$1,0)+1,FALSE))</f>
        <v>ソロ限定マスターキー</v>
      </c>
      <c r="H9" s="18">
        <v>1</v>
      </c>
      <c r="I9" s="32">
        <v>3</v>
      </c>
    </row>
    <row r="10" spans="1:9" ht="21" customHeight="1" x14ac:dyDescent="0.15">
      <c r="A10" s="20">
        <v>14002</v>
      </c>
      <c r="B10" s="19" t="str">
        <f ca="1">VLOOKUP($A10,OFFSET([2]quests!$A$1,0,0,COUNTA([2]quests!$A:$A),MATCH(B$1,[2]quests!$1:$1,0)-MATCH($A$1,[2]quests!$1:$1,0)+1),MATCH(B$1,[2]quests!$1:$1,0)-MATCH($A$1,[2]quests!$1:$1,0)+1,FALSE)</f>
        <v>【ロック】ビット/ソロ</v>
      </c>
      <c r="C10" s="19" t="str">
        <f ca="1">VLOOKUP($A10,OFFSET([2]quests!$A$1,0,0,COUNTA([2]quests!$A:$A),MATCH(C$1,[2]quests!$1:$1,0)-MATCH($A$1,[2]quests!$1:$1,0)+1),MATCH(C$1,[2]quests!$1:$1,0)-MATCH($A$1,[2]quests!$1:$1,0)+1,FALSE)</f>
        <v>【ロック】ビット/ソロ</v>
      </c>
      <c r="D10" s="19" t="str">
        <f ca="1">VLOOKUP($A10,OFFSET([2]stages!$C$2,0,0,COUNTA([2]stages!$C:$C),MATCH("stage_target",[2]stages!$2:$2,0)-MATCH($A$1,[2]stages!$2:$2,0)+1),MATCH("stage_target",[2]stages!$2:$2,0)-MATCH($A$1,[2]stages!$2:$2,0)+1,FALSE)</f>
        <v>singleonly</v>
      </c>
      <c r="E10" s="18" t="s">
        <v>50</v>
      </c>
      <c r="F10" s="18" t="s">
        <v>53</v>
      </c>
      <c r="G10" s="19" t="str">
        <f ca="1">IF($F10="polygon","ポリゴン",VLOOKUP($F10,OFFSET(items!$B$1,0,0,COUNTA(items!$B:$B),MATCH(G$1,items!$1:$1,0)-MATCH("item_code",items!$1:$1,0)+1),MATCH(G$1,items!$1:$1,0)-MATCH("item_code",items!$1:$1,0)+1,FALSE))</f>
        <v>マスターキー</v>
      </c>
      <c r="H10" s="18">
        <v>1</v>
      </c>
      <c r="I10" s="32">
        <v>2</v>
      </c>
    </row>
    <row r="11" spans="1:9" ht="21" customHeight="1" x14ac:dyDescent="0.15">
      <c r="A11" s="20">
        <v>14002</v>
      </c>
      <c r="B11" s="19" t="str">
        <f ca="1">VLOOKUP($A11,OFFSET([2]quests!$A$1,0,0,COUNTA([2]quests!$A:$A),MATCH(B$1,[2]quests!$1:$1,0)-MATCH($A$1,[2]quests!$1:$1,0)+1),MATCH(B$1,[2]quests!$1:$1,0)-MATCH($A$1,[2]quests!$1:$1,0)+1,FALSE)</f>
        <v>【ロック】ビット/ソロ</v>
      </c>
      <c r="C11" s="19" t="str">
        <f ca="1">VLOOKUP($A11,OFFSET([2]quests!$A$1,0,0,COUNTA([2]quests!$A:$A),MATCH(C$1,[2]quests!$1:$1,0)-MATCH($A$1,[2]quests!$1:$1,0)+1),MATCH(C$1,[2]quests!$1:$1,0)-MATCH($A$1,[2]quests!$1:$1,0)+1,FALSE)</f>
        <v>【ロック】ビット/ソロ</v>
      </c>
      <c r="D11" s="19" t="str">
        <f ca="1">VLOOKUP($A11,OFFSET([2]stages!$C$2,0,0,COUNTA([2]stages!$C:$C),MATCH("stage_target",[2]stages!$2:$2,0)-MATCH($A$1,[2]stages!$2:$2,0)+1),MATCH("stage_target",[2]stages!$2:$2,0)-MATCH($A$1,[2]stages!$2:$2,0)+1,FALSE)</f>
        <v>singleonly</v>
      </c>
      <c r="E11" s="18" t="s">
        <v>50</v>
      </c>
      <c r="F11" s="18" t="s">
        <v>52</v>
      </c>
      <c r="G11" s="19" t="str">
        <f ca="1">IF($F11="polygon","ポリゴン",VLOOKUP($F11,OFFSET(items!$B$1,0,0,COUNTA(items!$B:$B),MATCH(G$1,items!$1:$1,0)-MATCH("item_code",items!$1:$1,0)+1),MATCH(G$1,items!$1:$1,0)-MATCH("item_code",items!$1:$1,0)+1,FALSE))</f>
        <v>ポリゴン</v>
      </c>
      <c r="H11" s="18">
        <v>1</v>
      </c>
      <c r="I11" s="32">
        <v>1</v>
      </c>
    </row>
    <row r="12" spans="1:9" ht="21" customHeight="1" x14ac:dyDescent="0.15">
      <c r="A12" s="20">
        <v>14003</v>
      </c>
      <c r="B12" s="19" t="str">
        <f ca="1">VLOOKUP($A12,OFFSET([2]quests!$A$1,0,0,COUNTA([2]quests!$A:$A),MATCH(B$1,[2]quests!$1:$1,0)-MATCH($A$1,[2]quests!$1:$1,0)+1),MATCH(B$1,[2]quests!$1:$1,0)-MATCH($A$1,[2]quests!$1:$1,0)+1,FALSE)</f>
        <v>【ロック】限界突破/ソロ</v>
      </c>
      <c r="C12" s="19" t="str">
        <f ca="1">VLOOKUP($A12,OFFSET([2]quests!$A$1,0,0,COUNTA([2]quests!$A:$A),MATCH(C$1,[2]quests!$1:$1,0)-MATCH($A$1,[2]quests!$1:$1,0)+1),MATCH(C$1,[2]quests!$1:$1,0)-MATCH($A$1,[2]quests!$1:$1,0)+1,FALSE)</f>
        <v>【ロック】限界突破/ソロ</v>
      </c>
      <c r="D12" s="19" t="str">
        <f ca="1">VLOOKUP($A12,OFFSET([2]stages!$C$2,0,0,COUNTA([2]stages!$C:$C),MATCH("stage_target",[2]stages!$2:$2,0)-MATCH($A$1,[2]stages!$2:$2,0)+1),MATCH("stage_target",[2]stages!$2:$2,0)-MATCH($A$1,[2]stages!$2:$2,0)+1,FALSE)</f>
        <v>singleonly</v>
      </c>
      <c r="E12" s="18" t="s">
        <v>50</v>
      </c>
      <c r="F12" s="18" t="s">
        <v>60</v>
      </c>
      <c r="G12" s="19" t="str">
        <f ca="1">IF($F12="polygon","ポリゴン",VLOOKUP($F12,OFFSET(items!$B$1,0,0,COUNTA(items!$B:$B),MATCH(G$1,items!$1:$1,0)-MATCH("item_code",items!$1:$1,0)+1),MATCH(G$1,items!$1:$1,0)-MATCH("item_code",items!$1:$1,0)+1,FALSE))</f>
        <v>ソロ限定限界突破キー</v>
      </c>
      <c r="H12" s="18">
        <v>1</v>
      </c>
      <c r="I12" s="32">
        <v>5</v>
      </c>
    </row>
    <row r="13" spans="1:9" ht="21" customHeight="1" x14ac:dyDescent="0.15">
      <c r="A13" s="20">
        <v>14003</v>
      </c>
      <c r="B13" s="19" t="str">
        <f ca="1">VLOOKUP($A13,OFFSET([2]quests!$A$1,0,0,COUNTA([2]quests!$A:$A),MATCH(B$1,[2]quests!$1:$1,0)-MATCH($A$1,[2]quests!$1:$1,0)+1),MATCH(B$1,[2]quests!$1:$1,0)-MATCH($A$1,[2]quests!$1:$1,0)+1,FALSE)</f>
        <v>【ロック】限界突破/ソロ</v>
      </c>
      <c r="C13" s="19" t="str">
        <f ca="1">VLOOKUP($A13,OFFSET([2]quests!$A$1,0,0,COUNTA([2]quests!$A:$A),MATCH(C$1,[2]quests!$1:$1,0)-MATCH($A$1,[2]quests!$1:$1,0)+1),MATCH(C$1,[2]quests!$1:$1,0)-MATCH($A$1,[2]quests!$1:$1,0)+1,FALSE)</f>
        <v>【ロック】限界突破/ソロ</v>
      </c>
      <c r="D13" s="19" t="str">
        <f ca="1">VLOOKUP($A13,OFFSET([2]stages!$C$2,0,0,COUNTA([2]stages!$C:$C),MATCH("stage_target",[2]stages!$2:$2,0)-MATCH($A$1,[2]stages!$2:$2,0)+1),MATCH("stage_target",[2]stages!$2:$2,0)-MATCH($A$1,[2]stages!$2:$2,0)+1,FALSE)</f>
        <v>singleonly</v>
      </c>
      <c r="E13" s="18" t="s">
        <v>50</v>
      </c>
      <c r="F13" s="18" t="s">
        <v>49</v>
      </c>
      <c r="G13" s="19" t="str">
        <f ca="1">IF($F13="polygon","ポリゴン",VLOOKUP($F13,OFFSET(items!$B$1,0,0,COUNTA(items!$B:$B),MATCH(G$1,items!$1:$1,0)-MATCH("item_code",items!$1:$1,0)+1),MATCH(G$1,items!$1:$1,0)-MATCH("item_code",items!$1:$1,0)+1,FALSE))</f>
        <v>限界突破キー</v>
      </c>
      <c r="H13" s="18">
        <v>1</v>
      </c>
      <c r="I13" s="32">
        <v>4</v>
      </c>
    </row>
    <row r="14" spans="1:9" ht="21" customHeight="1" x14ac:dyDescent="0.15">
      <c r="A14" s="20">
        <v>14003</v>
      </c>
      <c r="B14" s="19" t="str">
        <f ca="1">VLOOKUP($A14,OFFSET([2]quests!$A$1,0,0,COUNTA([2]quests!$A:$A),MATCH(B$1,[2]quests!$1:$1,0)-MATCH($A$1,[2]quests!$1:$1,0)+1),MATCH(B$1,[2]quests!$1:$1,0)-MATCH($A$1,[2]quests!$1:$1,0)+1,FALSE)</f>
        <v>【ロック】限界突破/ソロ</v>
      </c>
      <c r="C14" s="19" t="str">
        <f ca="1">VLOOKUP($A14,OFFSET([2]quests!$A$1,0,0,COUNTA([2]quests!$A:$A),MATCH(C$1,[2]quests!$1:$1,0)-MATCH($A$1,[2]quests!$1:$1,0)+1),MATCH(C$1,[2]quests!$1:$1,0)-MATCH($A$1,[2]quests!$1:$1,0)+1,FALSE)</f>
        <v>【ロック】限界突破/ソロ</v>
      </c>
      <c r="D14" s="19" t="str">
        <f ca="1">VLOOKUP($A14,OFFSET([2]stages!$C$2,0,0,COUNTA([2]stages!$C:$C),MATCH("stage_target",[2]stages!$2:$2,0)-MATCH($A$1,[2]stages!$2:$2,0)+1),MATCH("stage_target",[2]stages!$2:$2,0)-MATCH($A$1,[2]stages!$2:$2,0)+1,FALSE)</f>
        <v>singleonly</v>
      </c>
      <c r="E14" s="18" t="s">
        <v>50</v>
      </c>
      <c r="F14" s="18" t="s">
        <v>59</v>
      </c>
      <c r="G14" s="19" t="str">
        <f ca="1">IF($F14="polygon","ポリゴン",VLOOKUP($F14,OFFSET(items!$B$1,0,0,COUNTA(items!$B:$B),MATCH(G$1,items!$1:$1,0)-MATCH("item_code",items!$1:$1,0)+1),MATCH(G$1,items!$1:$1,0)-MATCH("item_code",items!$1:$1,0)+1,FALSE))</f>
        <v>ソロ限定マスターキー</v>
      </c>
      <c r="H14" s="18">
        <v>1</v>
      </c>
      <c r="I14" s="32">
        <v>3</v>
      </c>
    </row>
    <row r="15" spans="1:9" ht="21" customHeight="1" x14ac:dyDescent="0.15">
      <c r="A15" s="20">
        <v>14003</v>
      </c>
      <c r="B15" s="19" t="str">
        <f ca="1">VLOOKUP($A15,OFFSET([2]quests!$A$1,0,0,COUNTA([2]quests!$A:$A),MATCH(B$1,[2]quests!$1:$1,0)-MATCH($A$1,[2]quests!$1:$1,0)+1),MATCH(B$1,[2]quests!$1:$1,0)-MATCH($A$1,[2]quests!$1:$1,0)+1,FALSE)</f>
        <v>【ロック】限界突破/ソロ</v>
      </c>
      <c r="C15" s="19" t="str">
        <f ca="1">VLOOKUP($A15,OFFSET([2]quests!$A$1,0,0,COUNTA([2]quests!$A:$A),MATCH(C$1,[2]quests!$1:$1,0)-MATCH($A$1,[2]quests!$1:$1,0)+1),MATCH(C$1,[2]quests!$1:$1,0)-MATCH($A$1,[2]quests!$1:$1,0)+1,FALSE)</f>
        <v>【ロック】限界突破/ソロ</v>
      </c>
      <c r="D15" s="19" t="str">
        <f ca="1">VLOOKUP($A15,OFFSET([2]stages!$C$2,0,0,COUNTA([2]stages!$C:$C),MATCH("stage_target",[2]stages!$2:$2,0)-MATCH($A$1,[2]stages!$2:$2,0)+1),MATCH("stage_target",[2]stages!$2:$2,0)-MATCH($A$1,[2]stages!$2:$2,0)+1,FALSE)</f>
        <v>singleonly</v>
      </c>
      <c r="E15" s="18" t="s">
        <v>50</v>
      </c>
      <c r="F15" s="18" t="s">
        <v>53</v>
      </c>
      <c r="G15" s="19" t="str">
        <f ca="1">IF($F15="polygon","ポリゴン",VLOOKUP($F15,OFFSET(items!$B$1,0,0,COUNTA(items!$B:$B),MATCH(G$1,items!$1:$1,0)-MATCH("item_code",items!$1:$1,0)+1),MATCH(G$1,items!$1:$1,0)-MATCH("item_code",items!$1:$1,0)+1,FALSE))</f>
        <v>マスターキー</v>
      </c>
      <c r="H15" s="18">
        <v>1</v>
      </c>
      <c r="I15" s="32">
        <v>2</v>
      </c>
    </row>
    <row r="16" spans="1:9" ht="21" customHeight="1" x14ac:dyDescent="0.15">
      <c r="A16" s="20">
        <v>14003</v>
      </c>
      <c r="B16" s="19" t="str">
        <f ca="1">VLOOKUP($A16,OFFSET([2]quests!$A$1,0,0,COUNTA([2]quests!$A:$A),MATCH(B$1,[2]quests!$1:$1,0)-MATCH($A$1,[2]quests!$1:$1,0)+1),MATCH(B$1,[2]quests!$1:$1,0)-MATCH($A$1,[2]quests!$1:$1,0)+1,FALSE)</f>
        <v>【ロック】限界突破/ソロ</v>
      </c>
      <c r="C16" s="19" t="str">
        <f ca="1">VLOOKUP($A16,OFFSET([2]quests!$A$1,0,0,COUNTA([2]quests!$A:$A),MATCH(C$1,[2]quests!$1:$1,0)-MATCH($A$1,[2]quests!$1:$1,0)+1),MATCH(C$1,[2]quests!$1:$1,0)-MATCH($A$1,[2]quests!$1:$1,0)+1,FALSE)</f>
        <v>【ロック】限界突破/ソロ</v>
      </c>
      <c r="D16" s="19" t="str">
        <f ca="1">VLOOKUP($A16,OFFSET([2]stages!$C$2,0,0,COUNTA([2]stages!$C:$C),MATCH("stage_target",[2]stages!$2:$2,0)-MATCH($A$1,[2]stages!$2:$2,0)+1),MATCH("stage_target",[2]stages!$2:$2,0)-MATCH($A$1,[2]stages!$2:$2,0)+1,FALSE)</f>
        <v>singleonly</v>
      </c>
      <c r="E16" s="18" t="s">
        <v>50</v>
      </c>
      <c r="F16" s="18" t="s">
        <v>52</v>
      </c>
      <c r="G16" s="19" t="str">
        <f ca="1">IF($F16="polygon","ポリゴン",VLOOKUP($F16,OFFSET(items!$B$1,0,0,COUNTA(items!$B:$B),MATCH(G$1,items!$1:$1,0)-MATCH("item_code",items!$1:$1,0)+1),MATCH(G$1,items!$1:$1,0)-MATCH("item_code",items!$1:$1,0)+1,FALSE))</f>
        <v>ポリゴン</v>
      </c>
      <c r="H16" s="18">
        <v>1</v>
      </c>
      <c r="I16" s="32">
        <v>1</v>
      </c>
    </row>
    <row r="17" spans="1:9" ht="21" customHeight="1" x14ac:dyDescent="0.15">
      <c r="A17" s="33">
        <v>14004</v>
      </c>
      <c r="B17" s="19" t="str">
        <f ca="1">VLOOKUP($A17,OFFSET([2]quests!$A$1,0,0,COUNTA([2]quests!$A:$A),MATCH(B$1,[2]quests!$1:$1,0)-MATCH($A$1,[2]quests!$1:$1,0)+1),MATCH(B$1,[2]quests!$1:$1,0)-MATCH($A$1,[2]quests!$1:$1,0)+1,FALSE)</f>
        <v>【ロック】経験値/LINEマルチ</v>
      </c>
      <c r="C17" s="19" t="str">
        <f ca="1">VLOOKUP($A17,OFFSET([2]quests!$A$1,0,0,COUNTA([2]quests!$A:$A),MATCH(C$1,[2]quests!$1:$1,0)-MATCH($A$1,[2]quests!$1:$1,0)+1),MATCH(C$1,[2]quests!$1:$1,0)-MATCH($A$1,[2]quests!$1:$1,0)+1,FALSE)</f>
        <v>【ロック】経験値/LINEマルチ</v>
      </c>
      <c r="D17" s="19" t="str">
        <f ca="1">VLOOKUP($A17,OFFSET([2]stages!$C$2,0,0,COUNTA([2]stages!$C:$C),MATCH("stage_target",[2]stages!$2:$2,0)-MATCH($A$1,[2]stages!$2:$2,0)+1),MATCH("stage_target",[2]stages!$2:$2,0)-MATCH($A$1,[2]stages!$2:$2,0)+1,FALSE)</f>
        <v>lineonly</v>
      </c>
      <c r="E17" s="18" t="s">
        <v>50</v>
      </c>
      <c r="F17" s="18" t="s">
        <v>58</v>
      </c>
      <c r="G17" s="19" t="str">
        <f ca="1">IF($F17="polygon","ポリゴン",VLOOKUP($F17,OFFSET(items!$B$1,0,0,COUNTA(items!$B:$B),MATCH(G$1,items!$1:$1,0)-MATCH("item_code",items!$1:$1,0)+1),MATCH(G$1,items!$1:$1,0)-MATCH("item_code",items!$1:$1,0)+1,FALSE))</f>
        <v>LINE限定経験値キー</v>
      </c>
      <c r="H17" s="18">
        <v>1</v>
      </c>
      <c r="I17" s="32">
        <v>5</v>
      </c>
    </row>
    <row r="18" spans="1:9" ht="21" customHeight="1" x14ac:dyDescent="0.15">
      <c r="A18" s="33">
        <v>14004</v>
      </c>
      <c r="B18" s="19" t="str">
        <f ca="1">VLOOKUP($A18,OFFSET([2]quests!$A$1,0,0,COUNTA([2]quests!$A:$A),MATCH(B$1,[2]quests!$1:$1,0)-MATCH($A$1,[2]quests!$1:$1,0)+1),MATCH(B$1,[2]quests!$1:$1,0)-MATCH($A$1,[2]quests!$1:$1,0)+1,FALSE)</f>
        <v>【ロック】経験値/LINEマルチ</v>
      </c>
      <c r="C18" s="19" t="str">
        <f ca="1">VLOOKUP($A18,OFFSET([2]quests!$A$1,0,0,COUNTA([2]quests!$A:$A),MATCH(C$1,[2]quests!$1:$1,0)-MATCH($A$1,[2]quests!$1:$1,0)+1),MATCH(C$1,[2]quests!$1:$1,0)-MATCH($A$1,[2]quests!$1:$1,0)+1,FALSE)</f>
        <v>【ロック】経験値/LINEマルチ</v>
      </c>
      <c r="D18" s="19" t="str">
        <f ca="1">VLOOKUP($A18,OFFSET([2]stages!$C$2,0,0,COUNTA([2]stages!$C:$C),MATCH("stage_target",[2]stages!$2:$2,0)-MATCH($A$1,[2]stages!$2:$2,0)+1),MATCH("stage_target",[2]stages!$2:$2,0)-MATCH($A$1,[2]stages!$2:$2,0)+1,FALSE)</f>
        <v>lineonly</v>
      </c>
      <c r="E18" s="18" t="s">
        <v>50</v>
      </c>
      <c r="F18" s="18" t="s">
        <v>57</v>
      </c>
      <c r="G18" s="19" t="str">
        <f ca="1">IF($F18="polygon","ポリゴン",VLOOKUP($F18,OFFSET(items!$B$1,0,0,COUNTA(items!$B:$B),MATCH(G$1,items!$1:$1,0)-MATCH("item_code",items!$1:$1,0)+1),MATCH(G$1,items!$1:$1,0)-MATCH("item_code",items!$1:$1,0)+1,FALSE))</f>
        <v>経験値キー</v>
      </c>
      <c r="H18" s="18">
        <v>1</v>
      </c>
      <c r="I18" s="32">
        <v>4</v>
      </c>
    </row>
    <row r="19" spans="1:9" ht="21" customHeight="1" x14ac:dyDescent="0.15">
      <c r="A19" s="33">
        <v>14004</v>
      </c>
      <c r="B19" s="19" t="str">
        <f ca="1">VLOOKUP($A19,OFFSET([2]quests!$A$1,0,0,COUNTA([2]quests!$A:$A),MATCH(B$1,[2]quests!$1:$1,0)-MATCH($A$1,[2]quests!$1:$1,0)+1),MATCH(B$1,[2]quests!$1:$1,0)-MATCH($A$1,[2]quests!$1:$1,0)+1,FALSE)</f>
        <v>【ロック】経験値/LINEマルチ</v>
      </c>
      <c r="C19" s="19" t="str">
        <f ca="1">VLOOKUP($A19,OFFSET([2]quests!$A$1,0,0,COUNTA([2]quests!$A:$A),MATCH(C$1,[2]quests!$1:$1,0)-MATCH($A$1,[2]quests!$1:$1,0)+1),MATCH(C$1,[2]quests!$1:$1,0)-MATCH($A$1,[2]quests!$1:$1,0)+1,FALSE)</f>
        <v>【ロック】経験値/LINEマルチ</v>
      </c>
      <c r="D19" s="19" t="str">
        <f ca="1">VLOOKUP($A19,OFFSET([2]stages!$C$2,0,0,COUNTA([2]stages!$C:$C),MATCH("stage_target",[2]stages!$2:$2,0)-MATCH($A$1,[2]stages!$2:$2,0)+1),MATCH("stage_target",[2]stages!$2:$2,0)-MATCH($A$1,[2]stages!$2:$2,0)+1,FALSE)</f>
        <v>lineonly</v>
      </c>
      <c r="E19" s="18" t="s">
        <v>50</v>
      </c>
      <c r="F19" s="18" t="s">
        <v>54</v>
      </c>
      <c r="G19" s="19" t="str">
        <f ca="1">IF($F19="polygon","ポリゴン",VLOOKUP($F19,OFFSET(items!$B$1,0,0,COUNTA(items!$B:$B),MATCH(G$1,items!$1:$1,0)-MATCH("item_code",items!$1:$1,0)+1),MATCH(G$1,items!$1:$1,0)-MATCH("item_code",items!$1:$1,0)+1,FALSE))</f>
        <v>LINE限定マスターキー</v>
      </c>
      <c r="H19" s="18">
        <v>1</v>
      </c>
      <c r="I19" s="32">
        <v>3</v>
      </c>
    </row>
    <row r="20" spans="1:9" ht="21" customHeight="1" x14ac:dyDescent="0.15">
      <c r="A20" s="33">
        <v>14004</v>
      </c>
      <c r="B20" s="19" t="str">
        <f ca="1">VLOOKUP($A20,OFFSET([2]quests!$A$1,0,0,COUNTA([2]quests!$A:$A),MATCH(B$1,[2]quests!$1:$1,0)-MATCH($A$1,[2]quests!$1:$1,0)+1),MATCH(B$1,[2]quests!$1:$1,0)-MATCH($A$1,[2]quests!$1:$1,0)+1,FALSE)</f>
        <v>【ロック】経験値/LINEマルチ</v>
      </c>
      <c r="C20" s="19" t="str">
        <f ca="1">VLOOKUP($A20,OFFSET([2]quests!$A$1,0,0,COUNTA([2]quests!$A:$A),MATCH(C$1,[2]quests!$1:$1,0)-MATCH($A$1,[2]quests!$1:$1,0)+1),MATCH(C$1,[2]quests!$1:$1,0)-MATCH($A$1,[2]quests!$1:$1,0)+1,FALSE)</f>
        <v>【ロック】経験値/LINEマルチ</v>
      </c>
      <c r="D20" s="19" t="str">
        <f ca="1">VLOOKUP($A20,OFFSET([2]stages!$C$2,0,0,COUNTA([2]stages!$C:$C),MATCH("stage_target",[2]stages!$2:$2,0)-MATCH($A$1,[2]stages!$2:$2,0)+1),MATCH("stage_target",[2]stages!$2:$2,0)-MATCH($A$1,[2]stages!$2:$2,0)+1,FALSE)</f>
        <v>lineonly</v>
      </c>
      <c r="E20" s="18" t="s">
        <v>50</v>
      </c>
      <c r="F20" s="18" t="s">
        <v>53</v>
      </c>
      <c r="G20" s="19" t="str">
        <f ca="1">IF($F20="polygon","ポリゴン",VLOOKUP($F20,OFFSET(items!$B$1,0,0,COUNTA(items!$B:$B),MATCH(G$1,items!$1:$1,0)-MATCH("item_code",items!$1:$1,0)+1),MATCH(G$1,items!$1:$1,0)-MATCH("item_code",items!$1:$1,0)+1,FALSE))</f>
        <v>マスターキー</v>
      </c>
      <c r="H20" s="18">
        <v>1</v>
      </c>
      <c r="I20" s="32">
        <v>2</v>
      </c>
    </row>
    <row r="21" spans="1:9" ht="21" customHeight="1" x14ac:dyDescent="0.15">
      <c r="A21" s="33">
        <v>14004</v>
      </c>
      <c r="B21" s="19" t="str">
        <f ca="1">VLOOKUP($A21,OFFSET([2]quests!$A$1,0,0,COUNTA([2]quests!$A:$A),MATCH(B$1,[2]quests!$1:$1,0)-MATCH($A$1,[2]quests!$1:$1,0)+1),MATCH(B$1,[2]quests!$1:$1,0)-MATCH($A$1,[2]quests!$1:$1,0)+1,FALSE)</f>
        <v>【ロック】経験値/LINEマルチ</v>
      </c>
      <c r="C21" s="19" t="str">
        <f ca="1">VLOOKUP($A21,OFFSET([2]quests!$A$1,0,0,COUNTA([2]quests!$A:$A),MATCH(C$1,[2]quests!$1:$1,0)-MATCH($A$1,[2]quests!$1:$1,0)+1),MATCH(C$1,[2]quests!$1:$1,0)-MATCH($A$1,[2]quests!$1:$1,0)+1,FALSE)</f>
        <v>【ロック】経験値/LINEマルチ</v>
      </c>
      <c r="D21" s="19" t="str">
        <f ca="1">VLOOKUP($A21,OFFSET([2]stages!$C$2,0,0,COUNTA([2]stages!$C:$C),MATCH("stage_target",[2]stages!$2:$2,0)-MATCH($A$1,[2]stages!$2:$2,0)+1),MATCH("stage_target",[2]stages!$2:$2,0)-MATCH($A$1,[2]stages!$2:$2,0)+1,FALSE)</f>
        <v>lineonly</v>
      </c>
      <c r="E21" s="18" t="s">
        <v>50</v>
      </c>
      <c r="F21" s="18" t="s">
        <v>52</v>
      </c>
      <c r="G21" s="19" t="str">
        <f ca="1">IF($F21="polygon","ポリゴン",VLOOKUP($F21,OFFSET(items!$B$1,0,0,COUNTA(items!$B:$B),MATCH(G$1,items!$1:$1,0)-MATCH("item_code",items!$1:$1,0)+1),MATCH(G$1,items!$1:$1,0)-MATCH("item_code",items!$1:$1,0)+1,FALSE))</f>
        <v>ポリゴン</v>
      </c>
      <c r="H21" s="18">
        <v>1</v>
      </c>
      <c r="I21" s="32">
        <v>1</v>
      </c>
    </row>
    <row r="22" spans="1:9" ht="21" customHeight="1" x14ac:dyDescent="0.15">
      <c r="A22" s="33">
        <v>14005</v>
      </c>
      <c r="B22" s="19" t="str">
        <f ca="1">VLOOKUP($A22,OFFSET([2]quests!$A$1,0,0,COUNTA([2]quests!$A:$A),MATCH(B$1,[2]quests!$1:$1,0)-MATCH($A$1,[2]quests!$1:$1,0)+1),MATCH(B$1,[2]quests!$1:$1,0)-MATCH($A$1,[2]quests!$1:$1,0)+1,FALSE)</f>
        <v>【ロック】ビット/LINEマルチ</v>
      </c>
      <c r="C22" s="19" t="str">
        <f ca="1">VLOOKUP($A22,OFFSET([2]quests!$A$1,0,0,COUNTA([2]quests!$A:$A),MATCH(C$1,[2]quests!$1:$1,0)-MATCH($A$1,[2]quests!$1:$1,0)+1),MATCH(C$1,[2]quests!$1:$1,0)-MATCH($A$1,[2]quests!$1:$1,0)+1,FALSE)</f>
        <v>【ロック】ビット/LINEマルチ</v>
      </c>
      <c r="D22" s="19" t="str">
        <f ca="1">VLOOKUP($A22,OFFSET([2]stages!$C$2,0,0,COUNTA([2]stages!$C:$C),MATCH("stage_target",[2]stages!$2:$2,0)-MATCH($A$1,[2]stages!$2:$2,0)+1),MATCH("stage_target",[2]stages!$2:$2,0)-MATCH($A$1,[2]stages!$2:$2,0)+1,FALSE)</f>
        <v>lineonly</v>
      </c>
      <c r="E22" s="18" t="s">
        <v>50</v>
      </c>
      <c r="F22" s="18" t="s">
        <v>56</v>
      </c>
      <c r="G22" s="19" t="str">
        <f ca="1">IF($F22="polygon","ポリゴン",VLOOKUP($F22,OFFSET(items!$B$1,0,0,COUNTA(items!$B:$B),MATCH(G$1,items!$1:$1,0)-MATCH("item_code",items!$1:$1,0)+1),MATCH(G$1,items!$1:$1,0)-MATCH("item_code",items!$1:$1,0)+1,FALSE))</f>
        <v>LINE限定ビットキー</v>
      </c>
      <c r="H22" s="18">
        <v>1</v>
      </c>
      <c r="I22" s="32">
        <v>5</v>
      </c>
    </row>
    <row r="23" spans="1:9" ht="21" customHeight="1" x14ac:dyDescent="0.15">
      <c r="A23" s="33">
        <v>14005</v>
      </c>
      <c r="B23" s="19" t="str">
        <f ca="1">VLOOKUP($A23,OFFSET([2]quests!$A$1,0,0,COUNTA([2]quests!$A:$A),MATCH(B$1,[2]quests!$1:$1,0)-MATCH($A$1,[2]quests!$1:$1,0)+1),MATCH(B$1,[2]quests!$1:$1,0)-MATCH($A$1,[2]quests!$1:$1,0)+1,FALSE)</f>
        <v>【ロック】ビット/LINEマルチ</v>
      </c>
      <c r="C23" s="19" t="str">
        <f ca="1">VLOOKUP($A23,OFFSET([2]quests!$A$1,0,0,COUNTA([2]quests!$A:$A),MATCH(C$1,[2]quests!$1:$1,0)-MATCH($A$1,[2]quests!$1:$1,0)+1),MATCH(C$1,[2]quests!$1:$1,0)-MATCH($A$1,[2]quests!$1:$1,0)+1,FALSE)</f>
        <v>【ロック】ビット/LINEマルチ</v>
      </c>
      <c r="D23" s="19" t="str">
        <f ca="1">VLOOKUP($A23,OFFSET([2]stages!$C$2,0,0,COUNTA([2]stages!$C:$C),MATCH("stage_target",[2]stages!$2:$2,0)-MATCH($A$1,[2]stages!$2:$2,0)+1),MATCH("stage_target",[2]stages!$2:$2,0)-MATCH($A$1,[2]stages!$2:$2,0)+1,FALSE)</f>
        <v>lineonly</v>
      </c>
      <c r="E23" s="18" t="s">
        <v>50</v>
      </c>
      <c r="F23" s="18" t="s">
        <v>55</v>
      </c>
      <c r="G23" s="19" t="str">
        <f ca="1">IF($F23="polygon","ポリゴン",VLOOKUP($F23,OFFSET(items!$B$1,0,0,COUNTA(items!$B:$B),MATCH(G$1,items!$1:$1,0)-MATCH("item_code",items!$1:$1,0)+1),MATCH(G$1,items!$1:$1,0)-MATCH("item_code",items!$1:$1,0)+1,FALSE))</f>
        <v>ビットキー</v>
      </c>
      <c r="H23" s="18">
        <v>1</v>
      </c>
      <c r="I23" s="32">
        <v>4</v>
      </c>
    </row>
    <row r="24" spans="1:9" ht="21" customHeight="1" x14ac:dyDescent="0.15">
      <c r="A24" s="33">
        <v>14005</v>
      </c>
      <c r="B24" s="19" t="str">
        <f ca="1">VLOOKUP($A24,OFFSET([2]quests!$A$1,0,0,COUNTA([2]quests!$A:$A),MATCH(B$1,[2]quests!$1:$1,0)-MATCH($A$1,[2]quests!$1:$1,0)+1),MATCH(B$1,[2]quests!$1:$1,0)-MATCH($A$1,[2]quests!$1:$1,0)+1,FALSE)</f>
        <v>【ロック】ビット/LINEマルチ</v>
      </c>
      <c r="C24" s="19" t="str">
        <f ca="1">VLOOKUP($A24,OFFSET([2]quests!$A$1,0,0,COUNTA([2]quests!$A:$A),MATCH(C$1,[2]quests!$1:$1,0)-MATCH($A$1,[2]quests!$1:$1,0)+1),MATCH(C$1,[2]quests!$1:$1,0)-MATCH($A$1,[2]quests!$1:$1,0)+1,FALSE)</f>
        <v>【ロック】ビット/LINEマルチ</v>
      </c>
      <c r="D24" s="19" t="str">
        <f ca="1">VLOOKUP($A24,OFFSET([2]stages!$C$2,0,0,COUNTA([2]stages!$C:$C),MATCH("stage_target",[2]stages!$2:$2,0)-MATCH($A$1,[2]stages!$2:$2,0)+1),MATCH("stage_target",[2]stages!$2:$2,0)-MATCH($A$1,[2]stages!$2:$2,0)+1,FALSE)</f>
        <v>lineonly</v>
      </c>
      <c r="E24" s="18" t="s">
        <v>50</v>
      </c>
      <c r="F24" s="18" t="s">
        <v>54</v>
      </c>
      <c r="G24" s="19" t="str">
        <f ca="1">IF($F24="polygon","ポリゴン",VLOOKUP($F24,OFFSET(items!$B$1,0,0,COUNTA(items!$B:$B),MATCH(G$1,items!$1:$1,0)-MATCH("item_code",items!$1:$1,0)+1),MATCH(G$1,items!$1:$1,0)-MATCH("item_code",items!$1:$1,0)+1,FALSE))</f>
        <v>LINE限定マスターキー</v>
      </c>
      <c r="H24" s="18">
        <v>1</v>
      </c>
      <c r="I24" s="32">
        <v>3</v>
      </c>
    </row>
    <row r="25" spans="1:9" ht="21" customHeight="1" x14ac:dyDescent="0.15">
      <c r="A25" s="33">
        <v>14005</v>
      </c>
      <c r="B25" s="19" t="str">
        <f ca="1">VLOOKUP($A25,OFFSET([2]quests!$A$1,0,0,COUNTA([2]quests!$A:$A),MATCH(B$1,[2]quests!$1:$1,0)-MATCH($A$1,[2]quests!$1:$1,0)+1),MATCH(B$1,[2]quests!$1:$1,0)-MATCH($A$1,[2]quests!$1:$1,0)+1,FALSE)</f>
        <v>【ロック】ビット/LINEマルチ</v>
      </c>
      <c r="C25" s="19" t="str">
        <f ca="1">VLOOKUP($A25,OFFSET([2]quests!$A$1,0,0,COUNTA([2]quests!$A:$A),MATCH(C$1,[2]quests!$1:$1,0)-MATCH($A$1,[2]quests!$1:$1,0)+1),MATCH(C$1,[2]quests!$1:$1,0)-MATCH($A$1,[2]quests!$1:$1,0)+1,FALSE)</f>
        <v>【ロック】ビット/LINEマルチ</v>
      </c>
      <c r="D25" s="19" t="str">
        <f ca="1">VLOOKUP($A25,OFFSET([2]stages!$C$2,0,0,COUNTA([2]stages!$C:$C),MATCH("stage_target",[2]stages!$2:$2,0)-MATCH($A$1,[2]stages!$2:$2,0)+1),MATCH("stage_target",[2]stages!$2:$2,0)-MATCH($A$1,[2]stages!$2:$2,0)+1,FALSE)</f>
        <v>lineonly</v>
      </c>
      <c r="E25" s="18" t="s">
        <v>50</v>
      </c>
      <c r="F25" s="18" t="s">
        <v>53</v>
      </c>
      <c r="G25" s="19" t="str">
        <f ca="1">IF($F25="polygon","ポリゴン",VLOOKUP($F25,OFFSET(items!$B$1,0,0,COUNTA(items!$B:$B),MATCH(G$1,items!$1:$1,0)-MATCH("item_code",items!$1:$1,0)+1),MATCH(G$1,items!$1:$1,0)-MATCH("item_code",items!$1:$1,0)+1,FALSE))</f>
        <v>マスターキー</v>
      </c>
      <c r="H25" s="18">
        <v>1</v>
      </c>
      <c r="I25" s="32">
        <v>2</v>
      </c>
    </row>
    <row r="26" spans="1:9" ht="21" customHeight="1" x14ac:dyDescent="0.15">
      <c r="A26" s="33">
        <v>14005</v>
      </c>
      <c r="B26" s="19" t="str">
        <f ca="1">VLOOKUP($A26,OFFSET([2]quests!$A$1,0,0,COUNTA([2]quests!$A:$A),MATCH(B$1,[2]quests!$1:$1,0)-MATCH($A$1,[2]quests!$1:$1,0)+1),MATCH(B$1,[2]quests!$1:$1,0)-MATCH($A$1,[2]quests!$1:$1,0)+1,FALSE)</f>
        <v>【ロック】ビット/LINEマルチ</v>
      </c>
      <c r="C26" s="19" t="str">
        <f ca="1">VLOOKUP($A26,OFFSET([2]quests!$A$1,0,0,COUNTA([2]quests!$A:$A),MATCH(C$1,[2]quests!$1:$1,0)-MATCH($A$1,[2]quests!$1:$1,0)+1),MATCH(C$1,[2]quests!$1:$1,0)-MATCH($A$1,[2]quests!$1:$1,0)+1,FALSE)</f>
        <v>【ロック】ビット/LINEマルチ</v>
      </c>
      <c r="D26" s="19" t="str">
        <f ca="1">VLOOKUP($A26,OFFSET([2]stages!$C$2,0,0,COUNTA([2]stages!$C:$C),MATCH("stage_target",[2]stages!$2:$2,0)-MATCH($A$1,[2]stages!$2:$2,0)+1),MATCH("stage_target",[2]stages!$2:$2,0)-MATCH($A$1,[2]stages!$2:$2,0)+1,FALSE)</f>
        <v>lineonly</v>
      </c>
      <c r="E26" s="18" t="s">
        <v>50</v>
      </c>
      <c r="F26" s="18" t="s">
        <v>52</v>
      </c>
      <c r="G26" s="19" t="str">
        <f ca="1">IF($F26="polygon","ポリゴン",VLOOKUP($F26,OFFSET(items!$B$1,0,0,COUNTA(items!$B:$B),MATCH(G$1,items!$1:$1,0)-MATCH("item_code",items!$1:$1,0)+1),MATCH(G$1,items!$1:$1,0)-MATCH("item_code",items!$1:$1,0)+1,FALSE))</f>
        <v>ポリゴン</v>
      </c>
      <c r="H26" s="18">
        <v>1</v>
      </c>
      <c r="I26" s="32">
        <v>1</v>
      </c>
    </row>
    <row r="27" spans="1:9" ht="21" customHeight="1" x14ac:dyDescent="0.15">
      <c r="A27" s="33">
        <v>14006</v>
      </c>
      <c r="B27" s="19" t="str">
        <f ca="1">VLOOKUP($A27,OFFSET([2]quests!$A$1,0,0,COUNTA([2]quests!$A:$A),MATCH(B$1,[2]quests!$1:$1,0)-MATCH($A$1,[2]quests!$1:$1,0)+1),MATCH(B$1,[2]quests!$1:$1,0)-MATCH($A$1,[2]quests!$1:$1,0)+1,FALSE)</f>
        <v>【ロック】限界突破/LINEマルチ</v>
      </c>
      <c r="C27" s="19" t="str">
        <f ca="1">VLOOKUP($A27,OFFSET([2]quests!$A$1,0,0,COUNTA([2]quests!$A:$A),MATCH(C$1,[2]quests!$1:$1,0)-MATCH($A$1,[2]quests!$1:$1,0)+1),MATCH(C$1,[2]quests!$1:$1,0)-MATCH($A$1,[2]quests!$1:$1,0)+1,FALSE)</f>
        <v>【ロック】限界突破/LINEマルチ</v>
      </c>
      <c r="D27" s="19" t="str">
        <f ca="1">VLOOKUP($A27,OFFSET([2]stages!$C$2,0,0,COUNTA([2]stages!$C:$C),MATCH("stage_target",[2]stages!$2:$2,0)-MATCH($A$1,[2]stages!$2:$2,0)+1),MATCH("stage_target",[2]stages!$2:$2,0)-MATCH($A$1,[2]stages!$2:$2,0)+1,FALSE)</f>
        <v>lineonly</v>
      </c>
      <c r="E27" s="18" t="s">
        <v>50</v>
      </c>
      <c r="F27" s="18" t="s">
        <v>51</v>
      </c>
      <c r="G27" s="19" t="str">
        <f ca="1">IF($F27="polygon","ポリゴン",VLOOKUP($F27,OFFSET(items!$B$1,0,0,COUNTA(items!$B:$B),MATCH(G$1,items!$1:$1,0)-MATCH("item_code",items!$1:$1,0)+1),MATCH(G$1,items!$1:$1,0)-MATCH("item_code",items!$1:$1,0)+1,FALSE))</f>
        <v>LINE限定限界突破キー</v>
      </c>
      <c r="H27" s="18">
        <v>1</v>
      </c>
      <c r="I27" s="32">
        <v>5</v>
      </c>
    </row>
    <row r="28" spans="1:9" ht="21" customHeight="1" x14ac:dyDescent="0.15">
      <c r="A28" s="33">
        <v>14006</v>
      </c>
      <c r="B28" s="19" t="str">
        <f ca="1">VLOOKUP($A28,OFFSET([2]quests!$A$1,0,0,COUNTA([2]quests!$A:$A),MATCH(B$1,[2]quests!$1:$1,0)-MATCH($A$1,[2]quests!$1:$1,0)+1),MATCH(B$1,[2]quests!$1:$1,0)-MATCH($A$1,[2]quests!$1:$1,0)+1,FALSE)</f>
        <v>【ロック】限界突破/LINEマルチ</v>
      </c>
      <c r="C28" s="19" t="str">
        <f ca="1">VLOOKUP($A28,OFFSET([2]quests!$A$1,0,0,COUNTA([2]quests!$A:$A),MATCH(C$1,[2]quests!$1:$1,0)-MATCH($A$1,[2]quests!$1:$1,0)+1),MATCH(C$1,[2]quests!$1:$1,0)-MATCH($A$1,[2]quests!$1:$1,0)+1,FALSE)</f>
        <v>【ロック】限界突破/LINEマルチ</v>
      </c>
      <c r="D28" s="19" t="str">
        <f ca="1">VLOOKUP($A28,OFFSET([2]stages!$C$2,0,0,COUNTA([2]stages!$C:$C),MATCH("stage_target",[2]stages!$2:$2,0)-MATCH($A$1,[2]stages!$2:$2,0)+1),MATCH("stage_target",[2]stages!$2:$2,0)-MATCH($A$1,[2]stages!$2:$2,0)+1,FALSE)</f>
        <v>lineonly</v>
      </c>
      <c r="E28" s="18" t="s">
        <v>50</v>
      </c>
      <c r="F28" s="18" t="s">
        <v>49</v>
      </c>
      <c r="G28" s="19" t="str">
        <f ca="1">IF($F28="polygon","ポリゴン",VLOOKUP($F28,OFFSET(items!$B$1,0,0,COUNTA(items!$B:$B),MATCH(G$1,items!$1:$1,0)-MATCH("item_code",items!$1:$1,0)+1),MATCH(G$1,items!$1:$1,0)-MATCH("item_code",items!$1:$1,0)+1,FALSE))</f>
        <v>限界突破キー</v>
      </c>
      <c r="H28" s="18">
        <v>1</v>
      </c>
      <c r="I28" s="32">
        <v>4</v>
      </c>
    </row>
    <row r="29" spans="1:9" ht="21" customHeight="1" x14ac:dyDescent="0.15">
      <c r="A29" s="33">
        <v>14006</v>
      </c>
      <c r="B29" s="19" t="str">
        <f ca="1">VLOOKUP($A29,OFFSET([2]quests!$A$1,0,0,COUNTA([2]quests!$A:$A),MATCH(B$1,[2]quests!$1:$1,0)-MATCH($A$1,[2]quests!$1:$1,0)+1),MATCH(B$1,[2]quests!$1:$1,0)-MATCH($A$1,[2]quests!$1:$1,0)+1,FALSE)</f>
        <v>【ロック】限界突破/LINEマルチ</v>
      </c>
      <c r="C29" s="19" t="str">
        <f ca="1">VLOOKUP($A29,OFFSET([2]quests!$A$1,0,0,COUNTA([2]quests!$A:$A),MATCH(C$1,[2]quests!$1:$1,0)-MATCH($A$1,[2]quests!$1:$1,0)+1),MATCH(C$1,[2]quests!$1:$1,0)-MATCH($A$1,[2]quests!$1:$1,0)+1,FALSE)</f>
        <v>【ロック】限界突破/LINEマルチ</v>
      </c>
      <c r="D29" s="19" t="str">
        <f ca="1">VLOOKUP($A29,OFFSET([2]stages!$C$2,0,0,COUNTA([2]stages!$C:$C),MATCH("stage_target",[2]stages!$2:$2,0)-MATCH($A$1,[2]stages!$2:$2,0)+1),MATCH("stage_target",[2]stages!$2:$2,0)-MATCH($A$1,[2]stages!$2:$2,0)+1,FALSE)</f>
        <v>lineonly</v>
      </c>
      <c r="E29" s="18" t="s">
        <v>48</v>
      </c>
      <c r="F29" s="18" t="s">
        <v>47</v>
      </c>
      <c r="G29" s="19" t="str">
        <f ca="1">IF($F29="polygon","ポリゴン",VLOOKUP($F29,OFFSET(items!$B$1,0,0,COUNTA(items!$B:$B),MATCH(G$1,items!$1:$1,0)-MATCH("item_code",items!$1:$1,0)+1),MATCH(G$1,items!$1:$1,0)-MATCH("item_code",items!$1:$1,0)+1,FALSE))</f>
        <v>LINE限定マスターキー</v>
      </c>
      <c r="H29" s="18">
        <v>1</v>
      </c>
      <c r="I29" s="32">
        <v>3</v>
      </c>
    </row>
    <row r="30" spans="1:9" ht="21" customHeight="1" x14ac:dyDescent="0.15">
      <c r="A30" s="33">
        <v>14006</v>
      </c>
      <c r="B30" s="19" t="str">
        <f ca="1">VLOOKUP($A30,OFFSET([2]quests!$A$1,0,0,COUNTA([2]quests!$A:$A),MATCH(B$1,[2]quests!$1:$1,0)-MATCH($A$1,[2]quests!$1:$1,0)+1),MATCH(B$1,[2]quests!$1:$1,0)-MATCH($A$1,[2]quests!$1:$1,0)+1,FALSE)</f>
        <v>【ロック】限界突破/LINEマルチ</v>
      </c>
      <c r="C30" s="19" t="str">
        <f ca="1">VLOOKUP($A30,OFFSET([2]quests!$A$1,0,0,COUNTA([2]quests!$A:$A),MATCH(C$1,[2]quests!$1:$1,0)-MATCH($A$1,[2]quests!$1:$1,0)+1),MATCH(C$1,[2]quests!$1:$1,0)-MATCH($A$1,[2]quests!$1:$1,0)+1,FALSE)</f>
        <v>【ロック】限界突破/LINEマルチ</v>
      </c>
      <c r="D30" s="19" t="str">
        <f ca="1">VLOOKUP($A30,OFFSET([2]stages!$C$2,0,0,COUNTA([2]stages!$C:$C),MATCH("stage_target",[2]stages!$2:$2,0)-MATCH($A$1,[2]stages!$2:$2,0)+1),MATCH("stage_target",[2]stages!$2:$2,0)-MATCH($A$1,[2]stages!$2:$2,0)+1,FALSE)</f>
        <v>lineonly</v>
      </c>
      <c r="E30" s="18" t="s">
        <v>46</v>
      </c>
      <c r="F30" s="18" t="s">
        <v>45</v>
      </c>
      <c r="G30" s="19" t="str">
        <f ca="1">IF($F30="polygon","ポリゴン",VLOOKUP($F30,OFFSET(items!$B$1,0,0,COUNTA(items!$B:$B),MATCH(G$1,items!$1:$1,0)-MATCH("item_code",items!$1:$1,0)+1),MATCH(G$1,items!$1:$1,0)-MATCH("item_code",items!$1:$1,0)+1,FALSE))</f>
        <v>マスターキー</v>
      </c>
      <c r="H30" s="18">
        <v>1</v>
      </c>
      <c r="I30" s="32">
        <v>2</v>
      </c>
    </row>
    <row r="31" spans="1:9" ht="21" customHeight="1" x14ac:dyDescent="0.15">
      <c r="A31" s="33">
        <v>14006</v>
      </c>
      <c r="B31" s="19" t="str">
        <f ca="1">VLOOKUP($A31,OFFSET([2]quests!$A$1,0,0,COUNTA([2]quests!$A:$A),MATCH(B$1,[2]quests!$1:$1,0)-MATCH($A$1,[2]quests!$1:$1,0)+1),MATCH(B$1,[2]quests!$1:$1,0)-MATCH($A$1,[2]quests!$1:$1,0)+1,FALSE)</f>
        <v>【ロック】限界突破/LINEマルチ</v>
      </c>
      <c r="C31" s="19" t="str">
        <f ca="1">VLOOKUP($A31,OFFSET([2]quests!$A$1,0,0,COUNTA([2]quests!$A:$A),MATCH(C$1,[2]quests!$1:$1,0)-MATCH($A$1,[2]quests!$1:$1,0)+1),MATCH(C$1,[2]quests!$1:$1,0)-MATCH($A$1,[2]quests!$1:$1,0)+1,FALSE)</f>
        <v>【ロック】限界突破/LINEマルチ</v>
      </c>
      <c r="D31" s="19" t="str">
        <f ca="1">VLOOKUP($A31,OFFSET([2]stages!$C$2,0,0,COUNTA([2]stages!$C:$C),MATCH("stage_target",[2]stages!$2:$2,0)-MATCH($A$1,[2]stages!$2:$2,0)+1),MATCH("stage_target",[2]stages!$2:$2,0)-MATCH($A$1,[2]stages!$2:$2,0)+1,FALSE)</f>
        <v>lineonly</v>
      </c>
      <c r="E31" s="18" t="s">
        <v>50</v>
      </c>
      <c r="F31" s="18" t="s">
        <v>52</v>
      </c>
      <c r="G31" s="19" t="str">
        <f ca="1">IF($F31="polygon","ポリゴン",VLOOKUP($F31,OFFSET(items!$B$1,0,0,COUNTA(items!$B:$B),MATCH(G$1,items!$1:$1,0)-MATCH("item_code",items!$1:$1,0)+1),MATCH(G$1,items!$1:$1,0)-MATCH("item_code",items!$1:$1,0)+1,FALSE))</f>
        <v>ポリゴン</v>
      </c>
      <c r="H31" s="18">
        <v>1</v>
      </c>
      <c r="I31" s="32">
        <v>1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items</vt:lpstr>
      <vt:lpstr>quest_pays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2017-06-05T09:44:29Z</dcterms:modified>
</cp:coreProperties>
</file>