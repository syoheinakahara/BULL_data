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91010" sheetId="157" r:id="rId4"/>
    <sheet name="tables_591010" sheetId="158" r:id="rId5"/>
    <sheet name="input_591100" sheetId="153" r:id="rId6"/>
    <sheet name="tables_591100" sheetId="154" r:id="rId7"/>
    <sheet name="input_settle_591100" sheetId="160" r:id="rId8"/>
    <sheet name="tables_settle_591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tables_591010!$A$1:$V$346</definedName>
    <definedName name="_xlnm._FilterDatabase" localSheetId="6" hidden="1">tables_591100!$A$1:$V$294</definedName>
    <definedName name="_xlnm._FilterDatabase" localSheetId="8" hidden="1">tables_settle_591100!$A$1:$V$294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9" i="154" l="1"/>
  <c r="D359" i="154"/>
  <c r="J359" i="154"/>
  <c r="E359" i="154"/>
  <c r="F359" i="154"/>
  <c r="C359" i="154"/>
  <c r="H359" i="154"/>
  <c r="K359" i="154"/>
  <c r="L359" i="154"/>
  <c r="M359" i="154"/>
  <c r="N359" i="154"/>
  <c r="A2" i="153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59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O361" i="154"/>
  <c r="O362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I358" i="154"/>
  <c r="D358" i="154"/>
  <c r="J358" i="154"/>
  <c r="E358" i="154"/>
  <c r="F358" i="154"/>
  <c r="C358" i="154"/>
  <c r="H358" i="154"/>
  <c r="K358" i="154"/>
  <c r="L358" i="154"/>
  <c r="M358" i="154"/>
  <c r="N358" i="154"/>
  <c r="P358" i="154"/>
  <c r="A359" i="154"/>
  <c r="A360" i="154"/>
  <c r="A361" i="154"/>
  <c r="A362" i="154"/>
  <c r="A358" i="154"/>
  <c r="I359" i="161"/>
  <c r="D359" i="161"/>
  <c r="J359" i="161"/>
  <c r="E359" i="161"/>
  <c r="F359" i="161"/>
  <c r="C359" i="161"/>
  <c r="H359" i="161"/>
  <c r="K359" i="161"/>
  <c r="L359" i="161"/>
  <c r="M359" i="161"/>
  <c r="N359" i="161"/>
  <c r="A2" i="160"/>
  <c r="I360" i="161"/>
  <c r="D360" i="161"/>
  <c r="J360" i="161"/>
  <c r="E360" i="161"/>
  <c r="F360" i="161"/>
  <c r="C360" i="161"/>
  <c r="I361" i="161"/>
  <c r="D361" i="161"/>
  <c r="J361" i="161"/>
  <c r="E361" i="161"/>
  <c r="F361" i="161"/>
  <c r="C361" i="161"/>
  <c r="I362" i="161"/>
  <c r="D362" i="161"/>
  <c r="J362" i="161"/>
  <c r="E362" i="161"/>
  <c r="F362" i="161"/>
  <c r="C362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59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O361" i="161"/>
  <c r="O362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62" i="161"/>
  <c r="K362" i="161"/>
  <c r="L362" i="161"/>
  <c r="M362" i="161"/>
  <c r="N362" i="161"/>
  <c r="P362" i="161"/>
  <c r="I358" i="161"/>
  <c r="D358" i="161"/>
  <c r="J358" i="161"/>
  <c r="E358" i="161"/>
  <c r="F358" i="161"/>
  <c r="C358" i="161"/>
  <c r="H358" i="161"/>
  <c r="K358" i="161"/>
  <c r="L358" i="161"/>
  <c r="M358" i="161"/>
  <c r="N358" i="161"/>
  <c r="P358" i="161"/>
  <c r="A359" i="161"/>
  <c r="A360" i="161"/>
  <c r="A361" i="161"/>
  <c r="A362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O361" i="158"/>
  <c r="O362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I356" i="158"/>
  <c r="D356" i="158"/>
  <c r="J356" i="158"/>
  <c r="E356" i="158"/>
  <c r="F356" i="158"/>
  <c r="C356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P356" i="161"/>
  <c r="P357" i="161"/>
  <c r="F50" i="160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P356" i="154"/>
  <c r="P357" i="154"/>
  <c r="F50" i="153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P362" i="158"/>
  <c r="F50" i="157"/>
  <c r="B2" i="98"/>
  <c r="B10" i="157"/>
  <c r="B31" i="157"/>
  <c r="I348" i="161"/>
  <c r="D348" i="161"/>
  <c r="J348" i="161"/>
  <c r="E348" i="161"/>
  <c r="F348" i="161"/>
  <c r="C348" i="161"/>
  <c r="H348" i="161"/>
  <c r="K348" i="161"/>
  <c r="L348" i="161"/>
  <c r="M348" i="161"/>
  <c r="N348" i="161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B10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I348" i="154"/>
  <c r="D348" i="154"/>
  <c r="J348" i="154"/>
  <c r="E348" i="154"/>
  <c r="F348" i="154"/>
  <c r="C348" i="154"/>
  <c r="H348" i="154"/>
  <c r="K348" i="154"/>
  <c r="L348" i="154"/>
  <c r="M348" i="154"/>
  <c r="N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B10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H362" i="158"/>
  <c r="K362" i="158"/>
  <c r="L362" i="158"/>
  <c r="M362" i="158"/>
  <c r="N362" i="158"/>
  <c r="A362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6" i="157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6" i="153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B31" i="153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F34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<sst xmlns="http://schemas.openxmlformats.org/spreadsheetml/2006/main" count="635" uniqueCount="266">
  <si>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</si>
  <si>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</si>
  <si>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</si>
  <si>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</si>
  <si>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</si>
  <si>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</si>
  <si>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</si>
  <si>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</si>
  <si>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</si>
  <si>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</si>
  <si>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</si>
  <si>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</si>
  <si>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</si>
  <si>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</si>
  <si>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</si>
  <si>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</si>
  <si>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</si>
  <si>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</si>
  <si>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</si>
  <si>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</si>
  <si>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</si>
  <si>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</si>
  <si>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</si>
  <si>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</si>
  <si>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</si>
  <si>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</si>
  <si>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</si>
  <si>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</si>
  <si>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</si>
  <si>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</si>
  <si>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</si>
  <si>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</si>
  <si>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</si>
  <si>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</si>
  <si>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</si>
  <si>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</si>
  <si>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</si>
  <si>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</si>
  <si>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</si>
  <si>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</si>
  <si>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</si>
  <si>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</si>
  <si>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</si>
  <si>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</si>
  <si>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</si>
  <si>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</si>
  <si>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</si>
  <si>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</si>
  <si>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</si>
  <si>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</si>
  <si>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</si>
  <si>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</si>
  <si>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</si>
  <si>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</si>
  <si>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</si>
  <si>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</si>
  <si>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</si>
  <si>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</si>
  <si>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</si>
  <si>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</si>
  <si>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</si>
  <si>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</si>
  <si>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</si>
  <si>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</si>
  <si>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</si>
  <si>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</si>
  <si>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</si>
  <si>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</si>
  <si>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</si>
  <si>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</si>
  <si>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</si>
  <si>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</si>
  <si>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</si>
  <si>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</si>
  <si>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</si>
  <si>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</si>
  <si>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</si>
  <si>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</si>
  <si>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</si>
  <si>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</si>
  <si>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</si>
  <si>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</si>
  <si>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</si>
  <si>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</si>
  <si>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</si>
  <si>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</si>
  <si>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</si>
  <si>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</si>
  <si>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</si>
  <si>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</si>
  <si>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</si>
  <si>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</si>
  <si>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</si>
  <si>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</si>
  <si>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</si>
  <si>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</si>
  <si>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</si>
  <si>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</si>
  <si>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</si>
  <si>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</si>
  <si>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</si>
  <si>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</si>
  <si>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</si>
  <si>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</si>
  <si>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</si>
  <si>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</si>
  <si>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</si>
  <si>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</si>
  <si>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</si>
  <si>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</si>
  <si>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</si>
  <si>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</si>
  <si>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</si>
  <si>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</si>
  <si>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</si>
  <si>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</si>
  <si>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</si>
  <si>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</si>
  <si>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</si>
  <si>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</si>
  <si>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</si>
  <si>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</si>
  <si>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</si>
  <si>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</si>
  <si>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</si>
  <si>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</si>
  <si>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</si>
  <si>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</si>
  <si>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</si>
  <si>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</si>
  <si>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</si>
  <si>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</si>
  <si>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</si>
  <si>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</si>
  <si>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</si>
  <si>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</si>
  <si>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</si>
  <si>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</si>
  <si>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</si>
  <si>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</si>
  <si>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</si>
  <si>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</si>
  <si>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</si>
  <si>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</si>
  <si>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</si>
  <si>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</si>
  <si>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</si>
  <si>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</si>
  <si>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</si>
  <si>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</si>
  <si>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</si>
  <si>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</si>
  <si>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</si>
  <si>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</si>
  <si>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</si>
  <si>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</si>
  <si>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</si>
  <si>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</si>
  <si>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</si>
  <si>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</si>
  <si>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</si>
  <si>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</si>
  <si>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</si>
  <si>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</si>
  <si>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</si>
  <si>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</si>
  <si>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</si>
  <si>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</si>
  <si>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</si>
  <si>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</si>
  <si>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</si>
  <si>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</si>
  <si>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</si>
  <si>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</si>
  <si>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</si>
  <si>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</si>
  <si>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</si>
  <si>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</si>
  <si>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</si>
  <si>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</si>
  <si>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</si>
  <si>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</si>
  <si>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</si>
  <si>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</si>
  <si>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</si>
  <si>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</si>
  <si>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</si>
  <si>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</si>
  <si>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</si>
  <si>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</si>
  <si>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</si>
  <si>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</si>
  <si>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</si>
  <si>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</si>
  <si>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</si>
  <si>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</si>
  <si>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</si>
  <si>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</si>
  <si>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</si>
  <si>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</si>
  <si>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</si>
  <si>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</si>
  <si>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</si>
  <si>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</si>
  <si>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</si>
  <si>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</si>
  <si>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</si>
  <si>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</si>
  <si>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</si>
  <si>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</si>
  <si>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</si>
  <si>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</si>
  <si>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</si>
  <si>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</si>
  <si>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</si>
  <si>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</si>
  <si>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</si>
  <si>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</si>
  <si>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</si>
  <si>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</si>
  <si>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</si>
  <si>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</si>
  <si>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</si>
  <si>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</si>
  <si>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</si>
  <si>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</si>
  <si>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</si>
  <si>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</si>
  <si>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</si>
  <si>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</si>
  <si>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</si>
  <si>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</si>
  <si>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</si>
  <si>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</si>
  <si>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</si>
  <si>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</si>
  <si>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</si>
  <si>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</si>
  <si>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</si>
  <si>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</si>
  <si>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</si>
  <si>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</si>
  <si>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</si>
  <si>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</si>
  <si>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</si>
  <si>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</si>
  <si>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</si>
  <si>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</si>
  <si>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</si>
  <si>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</si>
  <si>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</si>
  <si>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</si>
  <si>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</si>
  <si>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</si>
  <si>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</si>
  <si>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</si>
  <si>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</si>
  <si>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</si>
  <si>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</si>
  <si>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</si>
  <si>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通常確率</t>
    <rPh sb="0" eb="4">
      <t>ツウジョ</t>
    </rPh>
    <phoneticPr fontId="21"/>
  </si>
  <si>
    <t>tables_591100</t>
    <phoneticPr fontId="21"/>
  </si>
  <si>
    <t>tables_591010</t>
    <phoneticPr fontId="21"/>
  </si>
  <si>
    <t>tables_settle_591100</t>
    <phoneticPr fontId="21"/>
  </si>
  <si>
    <t>PremiumSSS</t>
  </si>
  <si>
    <t>PremiumSSS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</si>
</sst>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human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591100</v>
      </c>
      <c r="D2" s="19" t="s">
        <v>45</v>
      </c>
      <c r="E2" s="17" t="str">
        <f t="shared" ref="E2" si="1">B2&amp;C2&amp;D2</f>
        <v>gacha_select_tables_591100.tmp</v>
      </c>
      <c r="F2" s="98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591010</v>
      </c>
      <c r="D3" s="19" t="s">
        <v>45</v>
      </c>
      <c r="E3" s="17" t="str">
        <f t="shared" ref="E3:E10" si="3">B3&amp;C3&amp;D3</f>
        <v>gacha_select_tables_591010.tmp</v>
      </c>
      <c r="F3" s="98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591100</v>
      </c>
      <c r="D4" s="19" t="s">
        <v>248</v>
      </c>
      <c r="E4" s="17" t="str">
        <f t="shared" si="3"/>
        <v>gacha_settle_tables_591100.tmp</v>
      </c>
      <c r="F4" s="98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6" t="s">
        <v>252</v>
      </c>
      <c r="B8" s="27" t="s">
        <v>50</v>
      </c>
      <c r="C8" s="32">
        <v>591</v>
      </c>
      <c r="D8" s="19" t="s">
        <v>46</v>
      </c>
      <c r="E8" s="17" t="str">
        <f t="shared" si="3"/>
        <v>gacha_bonus_tables_591.tmp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6" t="s">
        <v>257</v>
      </c>
      <c r="B9" s="19" t="s">
        <v>48</v>
      </c>
      <c r="C9" s="32">
        <v>591</v>
      </c>
      <c r="D9" s="19" t="s">
        <v>46</v>
      </c>
      <c r="E9" s="17" t="str">
        <f t="shared" si="3"/>
        <v>gifts_tmp_591.tmp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6" t="s">
        <v>258</v>
      </c>
      <c r="B10" s="19" t="s">
        <v>49</v>
      </c>
      <c r="C10" s="32">
        <v>591</v>
      </c>
      <c r="D10" s="19" t="s">
        <v>46</v>
      </c>
      <c r="E10" s="17" t="str">
        <f t="shared" si="3"/>
        <v>gifts_i18n_591.tmp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6" sqref="F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VLOOKUP(L3,tables_591010!B:C,2,FALSE)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VLOOKUP(L4,tables_591010!B:C,2,FALSE)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1E-3</v>
      </c>
      <c r="F5">
        <f>(COUNTIF(tables_591010!C:C,input_591010!A28)+COUNTIF(tables_591010!C:C,input_591010!A29))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VLOOKUP(L5,tables_591010!B:C,2,FALSE)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9.4329896907216493E-3</v>
      </c>
      <c r="F6">
        <f>(COUNTIF(tables_591010!C:C,input_591010!A25)+COUNTIF(tables_591010!C:C,input_591010!A18)+COUNTIF(tables_591010!C:C,input_591010!A20)+COUNTIF(tables_591010!C:C,input_591010!A22))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260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0.21228865979381445</v>
      </c>
      <c r="C17" s="84">
        <f t="shared" ref="C17:C31" si="2">SUMIF(Q:Q,A17,N:N)</f>
        <v>0</v>
      </c>
      <c r="D17" s="74">
        <f t="shared" ref="D17:D32" si="3">B17-C17</f>
        <v>0.21228865979381445</v>
      </c>
      <c r="E17">
        <f>COUNTIF(tables_591010!C:C,input_591010!A17)-COUNTIF(Q:Q,A17)</f>
        <v>20</v>
      </c>
      <c r="F17" s="43">
        <f>IFERROR(B17/E17,0)</f>
        <v>1.0614432989690722E-2</v>
      </c>
      <c r="G17">
        <f t="shared" ref="G17:G31" si="4">A$36*B17</f>
        <v>30888000.000000004</v>
      </c>
      <c r="H17">
        <f t="shared" ref="H17:H31" si="5">IFERROR(ROUND(G17/E17,5),0)</f>
        <v>1544400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1.4464948453608292E-2</v>
      </c>
      <c r="C18" s="84">
        <f t="shared" si="2"/>
        <v>0</v>
      </c>
      <c r="D18" s="74">
        <f t="shared" si="3"/>
        <v>1.4464948453608292E-2</v>
      </c>
      <c r="E18">
        <f>COUNTIF(tables_591010!C:C,input_591010!A18)-COUNTIF(Q:Q,A18)</f>
        <v>20</v>
      </c>
      <c r="F18" s="43">
        <f>IFERROR(B18/E18,0)</f>
        <v>7.2324742268041454E-4</v>
      </c>
      <c r="G18">
        <f t="shared" si="4"/>
        <v>2104650.0000000065</v>
      </c>
      <c r="H18">
        <f t="shared" si="5"/>
        <v>105232.5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0.22073195876288659</v>
      </c>
      <c r="C19" s="84">
        <f t="shared" si="2"/>
        <v>0</v>
      </c>
      <c r="D19" s="74">
        <f t="shared" si="3"/>
        <v>0.22073195876288659</v>
      </c>
      <c r="E19">
        <f>COUNTIF(tables_591010!C:C,input_591010!A19)-COUNTIF(Q:Q,A19)</f>
        <v>52</v>
      </c>
      <c r="F19" s="43">
        <f t="shared" ref="F19:F31" si="8">IFERROR(B19/E19,0)</f>
        <v>4.2448453608247422E-3</v>
      </c>
      <c r="G19">
        <f t="shared" si="4"/>
        <v>32116500</v>
      </c>
      <c r="H19">
        <f t="shared" si="5"/>
        <v>617625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0.22073195876288662</v>
      </c>
      <c r="C20" s="84">
        <f t="shared" si="2"/>
        <v>0</v>
      </c>
      <c r="D20" s="74">
        <f t="shared" si="3"/>
        <v>0.22073195876288662</v>
      </c>
      <c r="E20">
        <f>COUNTIF(tables_591010!C:C,input_591010!A20)-COUNTIF(Q:Q,A20)</f>
        <v>52</v>
      </c>
      <c r="F20" s="43">
        <f t="shared" si="8"/>
        <v>4.244845360824743E-3</v>
      </c>
      <c r="G20">
        <f t="shared" si="4"/>
        <v>32116500.000000004</v>
      </c>
      <c r="H20">
        <f t="shared" si="5"/>
        <v>617625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COUNTIF(tables_591010!C:C,input_591010!A21)-COUNTIF(Q:Q,A21)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COUNTIF(tables_591010!C:C,input_591010!A22)-COUNTIF(Q:Q,A22)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COUNTIF(tables_591010!C:C,input_591010!A23)-COUNTIF(Q:Q,A23)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1.6979381443298969E-2</v>
      </c>
      <c r="C24" s="84">
        <f t="shared" si="2"/>
        <v>0</v>
      </c>
      <c r="D24" s="74">
        <f t="shared" si="3"/>
        <v>1.6979381443298969E-2</v>
      </c>
      <c r="E24">
        <f>COUNTIF(tables_591010!C:C,input_591010!A24)-COUNTIF(Q:Q,A24)</f>
        <v>4</v>
      </c>
      <c r="F24" s="43">
        <f t="shared" si="8"/>
        <v>4.2448453608247422E-3</v>
      </c>
      <c r="G24">
        <f t="shared" si="4"/>
        <v>2470500</v>
      </c>
      <c r="H24">
        <f t="shared" si="5"/>
        <v>617625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1.6979381443298972E-2</v>
      </c>
      <c r="C25" s="84">
        <f t="shared" si="2"/>
        <v>0</v>
      </c>
      <c r="D25" s="74">
        <f t="shared" si="3"/>
        <v>1.6979381443298972E-2</v>
      </c>
      <c r="E25">
        <f>COUNTIF(tables_591010!C:C,input_591010!A25)-COUNTIF(Q:Q,A25)</f>
        <v>4</v>
      </c>
      <c r="F25" s="43">
        <f t="shared" si="8"/>
        <v>4.244845360824743E-3</v>
      </c>
      <c r="G25">
        <f t="shared" si="4"/>
        <v>2470500.0000000005</v>
      </c>
      <c r="H25">
        <f t="shared" si="5"/>
        <v>617625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COUNTIF(tables_591010!C:C,input_591010!A26)-COUNTIF(Q:Q,A26)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2.5200000000000004E-2</v>
      </c>
      <c r="C27" s="84">
        <f t="shared" si="2"/>
        <v>0</v>
      </c>
      <c r="D27" s="74">
        <f t="shared" si="3"/>
        <v>2.5200000000000004E-2</v>
      </c>
      <c r="E27">
        <f>COUNTIF(tables_591010!C:C,input_591010!A27)-COUNTIF(Q:Q,A27)</f>
        <v>28</v>
      </c>
      <c r="F27" s="43">
        <f>IFERROR(B27/E27,0)</f>
        <v>9.0000000000000008E-4</v>
      </c>
      <c r="G27">
        <f t="shared" si="4"/>
        <v>3666600.0000000005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COUNTIF(tables_591010!C:C,input_591010!A28)-COUNTIF(Q:Q,A28)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COUNTIF(tables_591010!C:C,input_591010!A29)-COUNTIF(Q:Q,A29)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COUNTIF(tables_591010!C:C,input_591010!A30)-COUNTIF(Q:Q,A30)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COUNTIF(tables_591010!C:C,input_591010!A31)-COUNTIF(Q:Q,A31)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SUMIF(tables_591010!C:C,input_591010!A40,tables_591010!O:O)</f>
        <v>32116500</v>
      </c>
      <c r="C40" s="54">
        <f t="shared" ref="C40:C46" ca="1" si="9">B40/B$47</f>
        <v>0.45945464572677802</v>
      </c>
      <c r="E40">
        <v>3</v>
      </c>
      <c r="F40">
        <f ca="1">SUMIF(tables_591010!J:J,input_591010!E40,tables_591010!O:O)</f>
        <v>65475000</v>
      </c>
      <c r="G40">
        <f ca="1">F40/A36</f>
        <v>0.45</v>
      </c>
    </row>
    <row r="41" spans="1:7" x14ac:dyDescent="0.15">
      <c r="A41" s="33" t="s">
        <v>104</v>
      </c>
      <c r="B41">
        <f ca="1">SUMIF(tables_591010!C:C,input_591010!A41,tables_591010!O:O)</f>
        <v>32116500</v>
      </c>
      <c r="C41" s="54">
        <f t="shared" ca="1" si="9"/>
        <v>0.45945464572677802</v>
      </c>
      <c r="E41">
        <v>4</v>
      </c>
      <c r="F41">
        <f ca="1">SUMIF(tables_591010!J:J,input_591010!E41,tables_591010!O:O)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SUMIF(tables_591010!C:C,input_591010!A42,tables_591010!O:O)</f>
        <v>3666600</v>
      </c>
      <c r="C42" s="54">
        <f t="shared" ca="1" si="9"/>
        <v>5.2453922563847379E-2</v>
      </c>
      <c r="E42">
        <v>5</v>
      </c>
      <c r="F42">
        <f ca="1">SUMIF(tables_591010!J:J,input_591010!E42,tables_591010!O:O)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SUMIF(tables_591010!C:C,input_591010!A43,tables_591010!O:O)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SUMIF(tables_591010!C:C,input_591010!A44,tables_591010!O:O)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SUMIF(tables_591010!C:C,input_591010!A45,tables_591010!O:O)</f>
        <v>407400</v>
      </c>
      <c r="C45" s="54">
        <f t="shared" ca="1" si="9"/>
        <v>5.8282136182052644E-3</v>
      </c>
      <c r="E45" t="s">
        <v>204</v>
      </c>
      <c r="F45" s="55">
        <f ca="1">SUMIF(tables_591010!I:I,input_591010!E45,tables_591010!P:P)</f>
        <v>0.23241340206196751</v>
      </c>
    </row>
    <row r="46" spans="1:7" x14ac:dyDescent="0.15">
      <c r="A46" s="33" t="s">
        <v>108</v>
      </c>
      <c r="B46">
        <f>SUMIF(tables_591010!C:C,input_591010!A46,tables_591010!O:O)</f>
        <v>0</v>
      </c>
      <c r="C46" s="54">
        <f t="shared" ca="1" si="9"/>
        <v>0</v>
      </c>
      <c r="E46" t="s">
        <v>205</v>
      </c>
      <c r="F46" s="55">
        <f ca="1">SUMIF(tables_591010!I:I,input_591010!E46,tables_591010!P:P)</f>
        <v>0.17620604678798849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SUMIF(tables_591010!I:I,input_591010!E47,tables_591010!P:P)</f>
        <v>0.50638055115000413</v>
      </c>
    </row>
    <row r="48" spans="1:7" x14ac:dyDescent="0.15">
      <c r="E48" t="s">
        <v>207</v>
      </c>
      <c r="F48" s="55">
        <f ca="1">SUMIF(tables_591010!I:I,input_591010!E48,tables_591010!P:P)</f>
        <v>6.5000000000031227E-2</v>
      </c>
      <c r="G48" s="55"/>
    </row>
    <row r="49" spans="5:6" x14ac:dyDescent="0.15">
      <c r="E49" t="s">
        <v>249</v>
      </c>
      <c r="F49" s="55">
        <f ca="1">SUMIF(tables_591010!I:I,input_591010!E49,tables_591010!P:P)</f>
        <v>1.0000000000004812E-2</v>
      </c>
    </row>
    <row r="50" spans="5:6" x14ac:dyDescent="0.15">
      <c r="E50" t="s">
        <v>265</v>
      </c>
      <c r="F50" s="55">
        <f ca="1">SUMIF(tables_591010!I:I,input_591010!E50,tables_591010!P:P)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4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D365" sqref="D3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input_591010!A$2</f>
        <v>591010</v>
      </c>
      <c r="B2" s="99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IFERROR(VLOOKUP(B2,input_591010!L:R,7,FALSE),VLOOKUP(tables_591010!C2,input_591010!A:H,8,FALSE))</f>
        <v>1544400</v>
      </c>
      <c r="P2" s="46">
        <f ca="1">O2/SUM(O:O)</f>
        <v>1.0614432989695829E-2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input_591010!A$2</f>
        <v>591010</v>
      </c>
      <c r="B3" s="99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IFERROR(VLOOKUP(B3,input_591010!L:R,7,FALSE),VLOOKUP(tables_591010!C3,input_591010!A:H,8,FALSE))</f>
        <v>105232.5</v>
      </c>
      <c r="P3" s="46">
        <f ca="1">O3/SUM(O:O)</f>
        <v>7.232474226807604E-4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input_591010!A$2</f>
        <v>591010</v>
      </c>
      <c r="B4" s="99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IFERROR(VLOOKUP(B4,input_591010!L:R,7,FALSE),VLOOKUP(tables_591010!C4,input_591010!A:H,8,FALSE))</f>
        <v>1544400</v>
      </c>
      <c r="P4" s="46">
        <f ca="1">O4/SUM(O:O)</f>
        <v>1.0614432989695829E-2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input_591010!A$2</f>
        <v>591010</v>
      </c>
      <c r="B5" s="99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IFERROR(VLOOKUP(B5,input_591010!L:R,7,FALSE),VLOOKUP(tables_591010!C5,input_591010!A:H,8,FALSE))</f>
        <v>105232.5</v>
      </c>
      <c r="P5" s="46">
        <f ca="1">O5/SUM(O:O)</f>
        <v>7.232474226807604E-4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input_591010!A$2</f>
        <v>591010</v>
      </c>
      <c r="B6" s="99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IFERROR(VLOOKUP(B6,input_591010!L:R,7,FALSE),VLOOKUP(tables_591010!C6,input_591010!A:H,8,FALSE))</f>
        <v>1544400</v>
      </c>
      <c r="P6" s="46">
        <f ca="1">O6/SUM(O:O)</f>
        <v>1.0614432989695829E-2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input_591010!A$2</f>
        <v>591010</v>
      </c>
      <c r="B7" s="99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IFERROR(VLOOKUP(B7,input_591010!L:R,7,FALSE),VLOOKUP(tables_591010!C7,input_591010!A:H,8,FALSE))</f>
        <v>105232.5</v>
      </c>
      <c r="P7" s="46">
        <f ca="1">O7/SUM(O:O)</f>
        <v>7.232474226807604E-4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input_591010!A$2</f>
        <v>591010</v>
      </c>
      <c r="B8" s="99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IFERROR(VLOOKUP(B8,input_591010!L:R,7,FALSE),VLOOKUP(tables_591010!C8,input_591010!A:H,8,FALSE))</f>
        <v>1544400</v>
      </c>
      <c r="P8" s="46">
        <f ca="1">O8/SUM(O:O)</f>
        <v>1.0614432989695829E-2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input_591010!A$2</f>
        <v>591010</v>
      </c>
      <c r="B9" s="99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IFERROR(VLOOKUP(B9,input_591010!L:R,7,FALSE),VLOOKUP(tables_591010!C9,input_591010!A:H,8,FALSE))</f>
        <v>105232.5</v>
      </c>
      <c r="P9" s="46">
        <f ca="1">O9/SUM(O:O)</f>
        <v>7.232474226807604E-4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input_591010!A$2</f>
        <v>591010</v>
      </c>
      <c r="B10" s="99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IFERROR(VLOOKUP(B10,input_591010!L:R,7,FALSE),VLOOKUP(tables_591010!C10,input_591010!A:H,8,FALSE))</f>
        <v>1544400</v>
      </c>
      <c r="P10" s="46">
        <f ca="1">O10/SUM(O:O)</f>
        <v>1.0614432989695829E-2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input_591010!A$2</f>
        <v>591010</v>
      </c>
      <c r="B11" s="99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IFERROR(VLOOKUP(B11,input_591010!L:R,7,FALSE),VLOOKUP(tables_591010!C11,input_591010!A:H,8,FALSE))</f>
        <v>105232.5</v>
      </c>
      <c r="P11" s="46">
        <f ca="1">O11/SUM(O:O)</f>
        <v>7.232474226807604E-4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input_591010!A$2</f>
        <v>591010</v>
      </c>
      <c r="B12" s="100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IFERROR(VLOOKUP(B12,input_591010!L:R,7,FALSE),VLOOKUP(tables_591010!C12,input_591010!A:H,8,FALSE))</f>
        <v>1544400</v>
      </c>
      <c r="P12" s="46">
        <f ca="1">O12/SUM(O:O)</f>
        <v>1.0614432989695829E-2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input_591010!A$2</f>
        <v>591010</v>
      </c>
      <c r="B13" s="100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IFERROR(VLOOKUP(B13,input_591010!L:R,7,FALSE),VLOOKUP(tables_591010!C13,input_591010!A:H,8,FALSE))</f>
        <v>105232.5</v>
      </c>
      <c r="P13" s="46">
        <f ca="1">O13/SUM(O:O)</f>
        <v>7.232474226807604E-4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input_591010!A$2</f>
        <v>591010</v>
      </c>
      <c r="B14" s="99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IFERROR(VLOOKUP(B14,input_591010!L:R,7,FALSE),VLOOKUP(tables_591010!C14,input_591010!A:H,8,FALSE))</f>
        <v>1544400</v>
      </c>
      <c r="P14" s="46">
        <f ca="1">O14/SUM(O:O)</f>
        <v>1.0614432989695829E-2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input_591010!A$2</f>
        <v>591010</v>
      </c>
      <c r="B15" s="99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IFERROR(VLOOKUP(B15,input_591010!L:R,7,FALSE),VLOOKUP(tables_591010!C15,input_591010!A:H,8,FALSE))</f>
        <v>105232.5</v>
      </c>
      <c r="P15" s="46">
        <f ca="1">O15/SUM(O:O)</f>
        <v>7.232474226807604E-4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input_591010!A$2</f>
        <v>591010</v>
      </c>
      <c r="B16" s="99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IFERROR(VLOOKUP(B16,input_591010!L:R,7,FALSE),VLOOKUP(tables_591010!C16,input_591010!A:H,8,FALSE))</f>
        <v>1544400</v>
      </c>
      <c r="P16" s="46">
        <f ca="1">O16/SUM(O:O)</f>
        <v>1.0614432989695829E-2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input_591010!A$2</f>
        <v>591010</v>
      </c>
      <c r="B17" s="99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IFERROR(VLOOKUP(B17,input_591010!L:R,7,FALSE),VLOOKUP(tables_591010!C17,input_591010!A:H,8,FALSE))</f>
        <v>105232.5</v>
      </c>
      <c r="P17" s="46">
        <f ca="1">O17/SUM(O:O)</f>
        <v>7.232474226807604E-4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input_591010!A$2</f>
        <v>591010</v>
      </c>
      <c r="B18" s="99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IFERROR(VLOOKUP(B18,input_591010!L:R,7,FALSE),VLOOKUP(tables_591010!C18,input_591010!A:H,8,FALSE))</f>
        <v>1544400</v>
      </c>
      <c r="P18" s="46">
        <f ca="1">O18/SUM(O:O)</f>
        <v>1.0614432989695829E-2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input_591010!A$2</f>
        <v>591010</v>
      </c>
      <c r="B19" s="99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IFERROR(VLOOKUP(B19,input_591010!L:R,7,FALSE),VLOOKUP(tables_591010!C19,input_591010!A:H,8,FALSE))</f>
        <v>105232.5</v>
      </c>
      <c r="P19" s="46">
        <f ca="1">O19/SUM(O:O)</f>
        <v>7.232474226807604E-4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input_591010!A$2</f>
        <v>591010</v>
      </c>
      <c r="B20" s="99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IFERROR(VLOOKUP(B20,input_591010!L:R,7,FALSE),VLOOKUP(tables_591010!C20,input_591010!A:H,8,FALSE))</f>
        <v>1544400</v>
      </c>
      <c r="P20" s="46">
        <f ca="1">O20/SUM(O:O)</f>
        <v>1.0614432989695829E-2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input_591010!A$2</f>
        <v>591010</v>
      </c>
      <c r="B21" s="99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IFERROR(VLOOKUP(B21,input_591010!L:R,7,FALSE),VLOOKUP(tables_591010!C21,input_591010!A:H,8,FALSE))</f>
        <v>105232.5</v>
      </c>
      <c r="P21" s="46">
        <f ca="1">O21/SUM(O:O)</f>
        <v>7.232474226807604E-4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input_591010!A$2</f>
        <v>591010</v>
      </c>
      <c r="B22" s="99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IFERROR(VLOOKUP(B22,input_591010!L:R,7,FALSE),VLOOKUP(tables_591010!C22,input_591010!A:H,8,FALSE))</f>
        <v>1544400</v>
      </c>
      <c r="P22" s="46">
        <f ca="1">O22/SUM(O:O)</f>
        <v>1.0614432989695829E-2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input_591010!A$2</f>
        <v>591010</v>
      </c>
      <c r="B23" s="99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IFERROR(VLOOKUP(B23,input_591010!L:R,7,FALSE),VLOOKUP(tables_591010!C23,input_591010!A:H,8,FALSE))</f>
        <v>105232.5</v>
      </c>
      <c r="P23" s="46">
        <f ca="1">O23/SUM(O:O)</f>
        <v>7.232474226807604E-4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input_591010!A$2</f>
        <v>591010</v>
      </c>
      <c r="B24" s="99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IFERROR(VLOOKUP(B24,input_591010!L:R,7,FALSE),VLOOKUP(tables_591010!C24,input_591010!A:H,8,FALSE))</f>
        <v>1544400</v>
      </c>
      <c r="P24" s="46">
        <f ca="1">O24/SUM(O:O)</f>
        <v>1.0614432989695829E-2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input_591010!A$2</f>
        <v>591010</v>
      </c>
      <c r="B25" s="99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IFERROR(VLOOKUP(B25,input_591010!L:R,7,FALSE),VLOOKUP(tables_591010!C25,input_591010!A:H,8,FALSE))</f>
        <v>105232.5</v>
      </c>
      <c r="P25" s="46">
        <f ca="1">O25/SUM(O:O)</f>
        <v>7.232474226807604E-4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input_591010!A$2</f>
        <v>591010</v>
      </c>
      <c r="B26" s="99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IFERROR(VLOOKUP(B26,input_591010!L:R,7,FALSE),VLOOKUP(tables_591010!C26,input_591010!A:H,8,FALSE))</f>
        <v>1544400</v>
      </c>
      <c r="P26" s="46">
        <f ca="1">O26/SUM(O:O)</f>
        <v>1.0614432989695829E-2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input_591010!A$2</f>
        <v>591010</v>
      </c>
      <c r="B27" s="99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IFERROR(VLOOKUP(B27,input_591010!L:R,7,FALSE),VLOOKUP(tables_591010!C27,input_591010!A:H,8,FALSE))</f>
        <v>105232.5</v>
      </c>
      <c r="P27" s="46">
        <f ca="1">O27/SUM(O:O)</f>
        <v>7.232474226807604E-4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input_591010!A$2</f>
        <v>591010</v>
      </c>
      <c r="B28" s="99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IFERROR(VLOOKUP(B28,input_591010!L:R,7,FALSE),VLOOKUP(tables_591010!C28,input_591010!A:H,8,FALSE))</f>
        <v>1544400</v>
      </c>
      <c r="P28" s="46">
        <f ca="1">O28/SUM(O:O)</f>
        <v>1.0614432989695829E-2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input_591010!A$2</f>
        <v>591010</v>
      </c>
      <c r="B29" s="99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IFERROR(VLOOKUP(B29,input_591010!L:R,7,FALSE),VLOOKUP(tables_591010!C29,input_591010!A:H,8,FALSE))</f>
        <v>105232.5</v>
      </c>
      <c r="P29" s="46">
        <f ca="1">O29/SUM(O:O)</f>
        <v>7.232474226807604E-4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input_591010!A$2</f>
        <v>591010</v>
      </c>
      <c r="B30" s="99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IFERROR(VLOOKUP(B30,input_591010!L:R,7,FALSE),VLOOKUP(tables_591010!C30,input_591010!A:H,8,FALSE))</f>
        <v>1544400</v>
      </c>
      <c r="P30" s="46">
        <f ca="1">O30/SUM(O:O)</f>
        <v>1.0614432989695829E-2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input_591010!A$2</f>
        <v>591010</v>
      </c>
      <c r="B31" s="99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IFERROR(VLOOKUP(B31,input_591010!L:R,7,FALSE),VLOOKUP(tables_591010!C31,input_591010!A:H,8,FALSE))</f>
        <v>105232.5</v>
      </c>
      <c r="P31" s="46">
        <f ca="1">O31/SUM(O:O)</f>
        <v>7.232474226807604E-4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input_591010!A$2</f>
        <v>591010</v>
      </c>
      <c r="B32" s="99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IFERROR(VLOOKUP(B32,input_591010!L:R,7,FALSE),VLOOKUP(tables_591010!C32,input_591010!A:H,8,FALSE))</f>
        <v>1544400</v>
      </c>
      <c r="P32" s="46">
        <f ca="1">O32/SUM(O:O)</f>
        <v>1.0614432989695829E-2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input_591010!A$2</f>
        <v>591010</v>
      </c>
      <c r="B33" s="99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IFERROR(VLOOKUP(B33,input_591010!L:R,7,FALSE),VLOOKUP(tables_591010!C33,input_591010!A:H,8,FALSE))</f>
        <v>105232.5</v>
      </c>
      <c r="P33" s="46">
        <f ca="1">O33/SUM(O:O)</f>
        <v>7.232474226807604E-4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input_591010!A$2</f>
        <v>591010</v>
      </c>
      <c r="B34" s="99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IFERROR(VLOOKUP(B34,input_591010!L:R,7,FALSE),VLOOKUP(tables_591010!C34,input_591010!A:H,8,FALSE))</f>
        <v>1544400</v>
      </c>
      <c r="P34" s="46">
        <f ca="1">O34/SUM(O:O)</f>
        <v>1.0614432989695829E-2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input_591010!A$2</f>
        <v>591010</v>
      </c>
      <c r="B35" s="99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IFERROR(VLOOKUP(B35,input_591010!L:R,7,FALSE),VLOOKUP(tables_591010!C35,input_591010!A:H,8,FALSE))</f>
        <v>105232.5</v>
      </c>
      <c r="P35" s="46">
        <f ca="1">O35/SUM(O:O)</f>
        <v>7.232474226807604E-4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input_591010!A$2</f>
        <v>591010</v>
      </c>
      <c r="B36" s="99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IFERROR(VLOOKUP(B36,input_591010!L:R,7,FALSE),VLOOKUP(tables_591010!C36,input_591010!A:H,8,FALSE))</f>
        <v>1544400</v>
      </c>
      <c r="P36" s="46">
        <f ca="1">O36/SUM(O:O)</f>
        <v>1.0614432989695829E-2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input_591010!A$2</f>
        <v>591010</v>
      </c>
      <c r="B37" s="99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IFERROR(VLOOKUP(B37,input_591010!L:R,7,FALSE),VLOOKUP(tables_591010!C37,input_591010!A:H,8,FALSE))</f>
        <v>105232.5</v>
      </c>
      <c r="P37" s="46">
        <f ca="1">O37/SUM(O:O)</f>
        <v>7.232474226807604E-4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input_591010!A$2</f>
        <v>591010</v>
      </c>
      <c r="B38" s="99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IFERROR(VLOOKUP(B38,input_591010!L:R,7,FALSE),VLOOKUP(tables_591010!C38,input_591010!A:H,8,FALSE))</f>
        <v>1544400</v>
      </c>
      <c r="P38" s="46">
        <f ca="1">O38/SUM(O:O)</f>
        <v>1.0614432989695829E-2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input_591010!A$2</f>
        <v>591010</v>
      </c>
      <c r="B39" s="99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IFERROR(VLOOKUP(B39,input_591010!L:R,7,FALSE),VLOOKUP(tables_591010!C39,input_591010!A:H,8,FALSE))</f>
        <v>105232.5</v>
      </c>
      <c r="P39" s="46">
        <f ca="1">O39/SUM(O:O)</f>
        <v>7.232474226807604E-4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input_591010!A$2</f>
        <v>591010</v>
      </c>
      <c r="B40" s="99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IFERROR(VLOOKUP(B40,input_591010!L:R,7,FALSE),VLOOKUP(tables_591010!C40,input_591010!A:H,8,FALSE))</f>
        <v>1544400</v>
      </c>
      <c r="P40" s="46">
        <f ca="1">O40/SUM(O:O)</f>
        <v>1.0614432989695829E-2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input_591010!A$2</f>
        <v>591010</v>
      </c>
      <c r="B41" s="99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IFERROR(VLOOKUP(B41,input_591010!L:R,7,FALSE),VLOOKUP(tables_591010!C41,input_591010!A:H,8,FALSE))</f>
        <v>105232.5</v>
      </c>
      <c r="P41" s="46">
        <f ca="1">O41/SUM(O:O)</f>
        <v>7.232474226807604E-4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input_591010!A$2</f>
        <v>591010</v>
      </c>
      <c r="B42" s="99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IFERROR(VLOOKUP(B42,input_591010!L:R,7,FALSE),VLOOKUP(tables_591010!C42,input_591010!A:H,8,FALSE))</f>
        <v>617625</v>
      </c>
      <c r="P42" s="46">
        <f ca="1">O42/SUM(O:O)</f>
        <v>4.2448453608267848E-3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input_591010!A$2</f>
        <v>591010</v>
      </c>
      <c r="B43" s="99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IFERROR(VLOOKUP(B43,input_591010!L:R,7,FALSE),VLOOKUP(tables_591010!C43,input_591010!A:H,8,FALSE))</f>
        <v>617625</v>
      </c>
      <c r="P43" s="46">
        <f ca="1">O43/SUM(O:O)</f>
        <v>4.2448453608267848E-3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input_591010!A$2</f>
        <v>591010</v>
      </c>
      <c r="B44" s="99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IFERROR(VLOOKUP(B44,input_591010!L:R,7,FALSE),VLOOKUP(tables_591010!C44,input_591010!A:H,8,FALSE))</f>
        <v>137250</v>
      </c>
      <c r="P44" s="46">
        <f ca="1">O44/SUM(O:O)</f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input_591010!A$2</f>
        <v>591010</v>
      </c>
      <c r="B45" s="99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IFERROR(VLOOKUP(B45,input_591010!L:R,7,FALSE),VLOOKUP(tables_591010!C45,input_591010!A:H,8,FALSE))</f>
        <v>617625</v>
      </c>
      <c r="P45" s="46">
        <f ca="1">O45/SUM(O:O)</f>
        <v>4.2448453608267848E-3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input_591010!A$2</f>
        <v>591010</v>
      </c>
      <c r="B46" s="99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IFERROR(VLOOKUP(B46,input_591010!L:R,7,FALSE),VLOOKUP(tables_591010!C46,input_591010!A:H,8,FALSE))</f>
        <v>617625</v>
      </c>
      <c r="P46" s="46">
        <f ca="1">O46/SUM(O:O)</f>
        <v>4.2448453608267848E-3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input_591010!A$2</f>
        <v>591010</v>
      </c>
      <c r="B47" s="99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IFERROR(VLOOKUP(B47,input_591010!L:R,7,FALSE),VLOOKUP(tables_591010!C47,input_591010!A:H,8,FALSE))</f>
        <v>137250</v>
      </c>
      <c r="P47" s="46">
        <f ca="1">O47/SUM(O:O)</f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input_591010!A$2</f>
        <v>591010</v>
      </c>
      <c r="B48" s="99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IFERROR(VLOOKUP(B48,input_591010!L:R,7,FALSE),VLOOKUP(tables_591010!C48,input_591010!A:H,8,FALSE))</f>
        <v>617625</v>
      </c>
      <c r="P48" s="46">
        <f ca="1">O48/SUM(O:O)</f>
        <v>4.2448453608267848E-3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input_591010!A$2</f>
        <v>591010</v>
      </c>
      <c r="B49" s="99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IFERROR(VLOOKUP(B49,input_591010!L:R,7,FALSE),VLOOKUP(tables_591010!C49,input_591010!A:H,8,FALSE))</f>
        <v>617625</v>
      </c>
      <c r="P49" s="46">
        <f ca="1">O49/SUM(O:O)</f>
        <v>4.2448453608267848E-3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input_591010!A$2</f>
        <v>591010</v>
      </c>
      <c r="B50" s="99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IFERROR(VLOOKUP(B50,input_591010!L:R,7,FALSE),VLOOKUP(tables_591010!C50,input_591010!A:H,8,FALSE))</f>
        <v>137250</v>
      </c>
      <c r="P50" s="46">
        <f ca="1">O50/SUM(O:O)</f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input_591010!A$2</f>
        <v>591010</v>
      </c>
      <c r="B51" s="99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IFERROR(VLOOKUP(B51,input_591010!L:R,7,FALSE),VLOOKUP(tables_591010!C51,input_591010!A:H,8,FALSE))</f>
        <v>617625</v>
      </c>
      <c r="P51" s="46">
        <f ca="1">O51/SUM(O:O)</f>
        <v>4.2448453608267848E-3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input_591010!A$2</f>
        <v>591010</v>
      </c>
      <c r="B52" s="99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IFERROR(VLOOKUP(B52,input_591010!L:R,7,FALSE),VLOOKUP(tables_591010!C52,input_591010!A:H,8,FALSE))</f>
        <v>617625</v>
      </c>
      <c r="P52" s="46">
        <f ca="1">O52/SUM(O:O)</f>
        <v>4.2448453608267848E-3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input_591010!A$2</f>
        <v>591010</v>
      </c>
      <c r="B53" s="99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IFERROR(VLOOKUP(B53,input_591010!L:R,7,FALSE),VLOOKUP(tables_591010!C53,input_591010!A:H,8,FALSE))</f>
        <v>30660.57692</v>
      </c>
      <c r="P53" s="46">
        <f ca="1">O53/SUM(O:O)</f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input_591010!A$2</f>
        <v>591010</v>
      </c>
      <c r="B54" s="99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IFERROR(VLOOKUP(B54,input_591010!L:R,7,FALSE),VLOOKUP(tables_591010!C54,input_591010!A:H,8,FALSE))</f>
        <v>617625</v>
      </c>
      <c r="P54" s="46">
        <f ca="1">O54/SUM(O:O)</f>
        <v>4.2448453608267848E-3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input_591010!A$2</f>
        <v>591010</v>
      </c>
      <c r="B55" s="99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IFERROR(VLOOKUP(B55,input_591010!L:R,7,FALSE),VLOOKUP(tables_591010!C55,input_591010!A:H,8,FALSE))</f>
        <v>617625</v>
      </c>
      <c r="P55" s="46">
        <f ca="1">O55/SUM(O:O)</f>
        <v>4.2448453608267848E-3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input_591010!A$2</f>
        <v>591010</v>
      </c>
      <c r="B56" s="99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IFERROR(VLOOKUP(B56,input_591010!L:R,7,FALSE),VLOOKUP(tables_591010!C56,input_591010!A:H,8,FALSE))</f>
        <v>30660.57692</v>
      </c>
      <c r="P56" s="46">
        <f ca="1">O56/SUM(O:O)</f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input_591010!A$2</f>
        <v>591010</v>
      </c>
      <c r="B57" s="99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IFERROR(VLOOKUP(B57,input_591010!L:R,7,FALSE),VLOOKUP(tables_591010!C57,input_591010!A:H,8,FALSE))</f>
        <v>617625</v>
      </c>
      <c r="P57" s="46">
        <f ca="1">O57/SUM(O:O)</f>
        <v>4.2448453608267848E-3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input_591010!A$2</f>
        <v>591010</v>
      </c>
      <c r="B58" s="99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IFERROR(VLOOKUP(B58,input_591010!L:R,7,FALSE),VLOOKUP(tables_591010!C58,input_591010!A:H,8,FALSE))</f>
        <v>617625</v>
      </c>
      <c r="P58" s="46">
        <f ca="1">O58/SUM(O:O)</f>
        <v>4.2448453608267848E-3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input_591010!A$2</f>
        <v>591010</v>
      </c>
      <c r="B59" s="99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IFERROR(VLOOKUP(B59,input_591010!L:R,7,FALSE),VLOOKUP(tables_591010!C59,input_591010!A:H,8,FALSE))</f>
        <v>30660.57692</v>
      </c>
      <c r="P59" s="46">
        <f ca="1">O59/SUM(O:O)</f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input_591010!A$2</f>
        <v>591010</v>
      </c>
      <c r="B60" s="99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IFERROR(VLOOKUP(B60,input_591010!L:R,7,FALSE),VLOOKUP(tables_591010!C60,input_591010!A:H,8,FALSE))</f>
        <v>617625</v>
      </c>
      <c r="P60" s="46">
        <f ca="1">O60/SUM(O:O)</f>
        <v>4.2448453608267848E-3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input_591010!A$2</f>
        <v>591010</v>
      </c>
      <c r="B61" s="99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IFERROR(VLOOKUP(B61,input_591010!L:R,7,FALSE),VLOOKUP(tables_591010!C61,input_591010!A:H,8,FALSE))</f>
        <v>617625</v>
      </c>
      <c r="P61" s="46">
        <f ca="1">O61/SUM(O:O)</f>
        <v>4.2448453608267848E-3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input_591010!A$2</f>
        <v>591010</v>
      </c>
      <c r="B62" s="100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IFERROR(VLOOKUP(B62,input_591010!L:R,7,FALSE),VLOOKUP(tables_591010!C62,input_591010!A:H,8,FALSE))</f>
        <v>30660.57692</v>
      </c>
      <c r="P62" s="46">
        <f ca="1">O62/SUM(O:O)</f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input_591010!A$2</f>
        <v>591010</v>
      </c>
      <c r="B63" s="100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IFERROR(VLOOKUP(B63,input_591010!L:R,7,FALSE),VLOOKUP(tables_591010!C63,input_591010!A:H,8,FALSE))</f>
        <v>617625</v>
      </c>
      <c r="P63" s="46">
        <f ca="1">O63/SUM(O:O)</f>
        <v>4.2448453608267848E-3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input_591010!A$2</f>
        <v>591010</v>
      </c>
      <c r="B64" s="100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IFERROR(VLOOKUP(B64,input_591010!L:R,7,FALSE),VLOOKUP(tables_591010!C64,input_591010!A:H,8,FALSE))</f>
        <v>617625</v>
      </c>
      <c r="P64" s="46">
        <f ca="1">O64/SUM(O:O)</f>
        <v>4.2448453608267848E-3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input_591010!A$2</f>
        <v>591010</v>
      </c>
      <c r="B65" s="100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IFERROR(VLOOKUP(B65,input_591010!L:R,7,FALSE),VLOOKUP(tables_591010!C65,input_591010!A:H,8,FALSE))</f>
        <v>30660.57692</v>
      </c>
      <c r="P65" s="46">
        <f ca="1">O65/SUM(O:O)</f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input_591010!A$2</f>
        <v>591010</v>
      </c>
      <c r="B66" s="99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IFERROR(VLOOKUP(B66,input_591010!L:R,7,FALSE),VLOOKUP(tables_591010!C66,input_591010!A:H,8,FALSE))</f>
        <v>617625</v>
      </c>
      <c r="P66" s="46">
        <f ca="1">O66/SUM(O:O)</f>
        <v>4.2448453608267848E-3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input_591010!A$2</f>
        <v>591010</v>
      </c>
      <c r="B67" s="99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IFERROR(VLOOKUP(B67,input_591010!L:R,7,FALSE),VLOOKUP(tables_591010!C67,input_591010!A:H,8,FALSE))</f>
        <v>617625</v>
      </c>
      <c r="P67" s="46">
        <f ca="1">O67/SUM(O:O)</f>
        <v>4.2448453608267848E-3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input_591010!A$2</f>
        <v>591010</v>
      </c>
      <c r="B68" s="99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IFERROR(VLOOKUP(B68,input_591010!L:R,7,FALSE),VLOOKUP(tables_591010!C68,input_591010!A:H,8,FALSE))</f>
        <v>30660.57692</v>
      </c>
      <c r="P68" s="46">
        <f ca="1">O68/SUM(O:O)</f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input_591010!A$2</f>
        <v>591010</v>
      </c>
      <c r="B69" s="99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IFERROR(VLOOKUP(B69,input_591010!L:R,7,FALSE),VLOOKUP(tables_591010!C69,input_591010!A:H,8,FALSE))</f>
        <v>617625</v>
      </c>
      <c r="P69" s="46">
        <f ca="1">O69/SUM(O:O)</f>
        <v>4.2448453608267848E-3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input_591010!A$2</f>
        <v>591010</v>
      </c>
      <c r="B70" s="99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IFERROR(VLOOKUP(B70,input_591010!L:R,7,FALSE),VLOOKUP(tables_591010!C70,input_591010!A:H,8,FALSE))</f>
        <v>617625</v>
      </c>
      <c r="P70" s="46">
        <f ca="1">O70/SUM(O:O)</f>
        <v>4.2448453608267848E-3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input_591010!A$2</f>
        <v>591010</v>
      </c>
      <c r="B71" s="99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IFERROR(VLOOKUP(B71,input_591010!L:R,7,FALSE),VLOOKUP(tables_591010!C71,input_591010!A:H,8,FALSE))</f>
        <v>30660.57692</v>
      </c>
      <c r="P71" s="46">
        <f ca="1">O71/SUM(O:O)</f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input_591010!A$2</f>
        <v>591010</v>
      </c>
      <c r="B72" s="99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IFERROR(VLOOKUP(B72,input_591010!L:R,7,FALSE),VLOOKUP(tables_591010!C72,input_591010!A:H,8,FALSE))</f>
        <v>617625</v>
      </c>
      <c r="P72" s="46">
        <f ca="1">O72/SUM(O:O)</f>
        <v>4.2448453608267848E-3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input_591010!A$2</f>
        <v>591010</v>
      </c>
      <c r="B73" s="99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IFERROR(VLOOKUP(B73,input_591010!L:R,7,FALSE),VLOOKUP(tables_591010!C73,input_591010!A:H,8,FALSE))</f>
        <v>617625</v>
      </c>
      <c r="P73" s="46">
        <f ca="1">O73/SUM(O:O)</f>
        <v>4.2448453608267848E-3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input_591010!A$2</f>
        <v>591010</v>
      </c>
      <c r="B74" s="99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IFERROR(VLOOKUP(B74,input_591010!L:R,7,FALSE),VLOOKUP(tables_591010!C74,input_591010!A:H,8,FALSE))</f>
        <v>30660.57692</v>
      </c>
      <c r="P74" s="46">
        <f ca="1">O74/SUM(O:O)</f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input_591010!A$2</f>
        <v>591010</v>
      </c>
      <c r="B75" s="99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IFERROR(VLOOKUP(B75,input_591010!L:R,7,FALSE),VLOOKUP(tables_591010!C75,input_591010!A:H,8,FALSE))</f>
        <v>617625</v>
      </c>
      <c r="P75" s="46">
        <f ca="1">O75/SUM(O:O)</f>
        <v>4.2448453608267848E-3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input_591010!A$2</f>
        <v>591010</v>
      </c>
      <c r="B76" s="99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IFERROR(VLOOKUP(B76,input_591010!L:R,7,FALSE),VLOOKUP(tables_591010!C76,input_591010!A:H,8,FALSE))</f>
        <v>617625</v>
      </c>
      <c r="P76" s="46">
        <f ca="1">O76/SUM(O:O)</f>
        <v>4.2448453608267848E-3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input_591010!A$2</f>
        <v>591010</v>
      </c>
      <c r="B77" s="101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IFERROR(VLOOKUP(B77,input_591010!L:R,7,FALSE),VLOOKUP(tables_591010!C77,input_591010!A:H,8,FALSE))</f>
        <v>30660.57692</v>
      </c>
      <c r="P77" s="46">
        <f ca="1">O77/SUM(O:O)</f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input_591010!A$2</f>
        <v>591010</v>
      </c>
      <c r="B78" s="101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IFERROR(VLOOKUP(B78,input_591010!L:R,7,FALSE),VLOOKUP(tables_591010!C78,input_591010!A:H,8,FALSE))</f>
        <v>617625</v>
      </c>
      <c r="P78" s="46">
        <f ca="1">O78/SUM(O:O)</f>
        <v>4.2448453608267848E-3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input_591010!A$2</f>
        <v>591010</v>
      </c>
      <c r="B79" s="101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IFERROR(VLOOKUP(B79,input_591010!L:R,7,FALSE),VLOOKUP(tables_591010!C79,input_591010!A:H,8,FALSE))</f>
        <v>617625</v>
      </c>
      <c r="P79" s="46">
        <f ca="1">O79/SUM(O:O)</f>
        <v>4.2448453608267848E-3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input_591010!A$2</f>
        <v>591010</v>
      </c>
      <c r="B80" s="101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IFERROR(VLOOKUP(B80,input_591010!L:R,7,FALSE),VLOOKUP(tables_591010!C80,input_591010!A:H,8,FALSE))</f>
        <v>30660.57692</v>
      </c>
      <c r="P80" s="46">
        <f ca="1">O80/SUM(O:O)</f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input_591010!A$2</f>
        <v>591010</v>
      </c>
      <c r="B81" s="101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IFERROR(VLOOKUP(B81,input_591010!L:R,7,FALSE),VLOOKUP(tables_591010!C81,input_591010!A:H,8,FALSE))</f>
        <v>617625</v>
      </c>
      <c r="P81" s="46">
        <f ca="1">O81/SUM(O:O)</f>
        <v>4.2448453608267848E-3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input_591010!A$2</f>
        <v>591010</v>
      </c>
      <c r="B82" s="101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IFERROR(VLOOKUP(B82,input_591010!L:R,7,FALSE),VLOOKUP(tables_591010!C82,input_591010!A:H,8,FALSE))</f>
        <v>617625</v>
      </c>
      <c r="P82" s="46">
        <f ca="1">O82/SUM(O:O)</f>
        <v>4.2448453608267848E-3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input_591010!A$2</f>
        <v>591010</v>
      </c>
      <c r="B83" s="101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IFERROR(VLOOKUP(B83,input_591010!L:R,7,FALSE),VLOOKUP(tables_591010!C83,input_591010!A:H,8,FALSE))</f>
        <v>30660.57692</v>
      </c>
      <c r="P83" s="46">
        <f ca="1">O83/SUM(O:O)</f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input_591010!A$2</f>
        <v>591010</v>
      </c>
      <c r="B84" s="101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IFERROR(VLOOKUP(B84,input_591010!L:R,7,FALSE),VLOOKUP(tables_591010!C84,input_591010!A:H,8,FALSE))</f>
        <v>617625</v>
      </c>
      <c r="P84" s="46">
        <f ca="1">O84/SUM(O:O)</f>
        <v>4.2448453608267848E-3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input_591010!A$2</f>
        <v>591010</v>
      </c>
      <c r="B85" s="101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IFERROR(VLOOKUP(B85,input_591010!L:R,7,FALSE),VLOOKUP(tables_591010!C85,input_591010!A:H,8,FALSE))</f>
        <v>617625</v>
      </c>
      <c r="P85" s="46">
        <f ca="1">O85/SUM(O:O)</f>
        <v>4.2448453608267848E-3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input_591010!A$2</f>
        <v>591010</v>
      </c>
      <c r="B86" s="101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IFERROR(VLOOKUP(B86,input_591010!L:R,7,FALSE),VLOOKUP(tables_591010!C86,input_591010!A:H,8,FALSE))</f>
        <v>30660.57692</v>
      </c>
      <c r="P86" s="46">
        <f ca="1">O86/SUM(O:O)</f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input_591010!A$2</f>
        <v>591010</v>
      </c>
      <c r="B87" s="101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IFERROR(VLOOKUP(B87,input_591010!L:R,7,FALSE),VLOOKUP(tables_591010!C87,input_591010!A:H,8,FALSE))</f>
        <v>617625</v>
      </c>
      <c r="P87" s="46">
        <f ca="1">O87/SUM(O:O)</f>
        <v>4.2448453608267848E-3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input_591010!A$2</f>
        <v>591010</v>
      </c>
      <c r="B88" s="101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IFERROR(VLOOKUP(B88,input_591010!L:R,7,FALSE),VLOOKUP(tables_591010!C88,input_591010!A:H,8,FALSE))</f>
        <v>617625</v>
      </c>
      <c r="P88" s="46">
        <f ca="1">O88/SUM(O:O)</f>
        <v>4.2448453608267848E-3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input_591010!A$2</f>
        <v>591010</v>
      </c>
      <c r="B89" s="101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IFERROR(VLOOKUP(B89,input_591010!L:R,7,FALSE),VLOOKUP(tables_591010!C89,input_591010!A:H,8,FALSE))</f>
        <v>30660.57692</v>
      </c>
      <c r="P89" s="46">
        <f ca="1">O89/SUM(O:O)</f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input_591010!A$2</f>
        <v>591010</v>
      </c>
      <c r="B90" s="101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IFERROR(VLOOKUP(B90,input_591010!L:R,7,FALSE),VLOOKUP(tables_591010!C90,input_591010!A:H,8,FALSE))</f>
        <v>617625</v>
      </c>
      <c r="P90" s="46">
        <f ca="1">O90/SUM(O:O)</f>
        <v>4.2448453608267848E-3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input_591010!A$2</f>
        <v>591010</v>
      </c>
      <c r="B91" s="101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IFERROR(VLOOKUP(B91,input_591010!L:R,7,FALSE),VLOOKUP(tables_591010!C91,input_591010!A:H,8,FALSE))</f>
        <v>617625</v>
      </c>
      <c r="P91" s="46">
        <f ca="1">O91/SUM(O:O)</f>
        <v>4.2448453608267848E-3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input_591010!A$2</f>
        <v>591010</v>
      </c>
      <c r="B92" s="101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IFERROR(VLOOKUP(B92,input_591010!L:R,7,FALSE),VLOOKUP(tables_591010!C92,input_591010!A:H,8,FALSE))</f>
        <v>30660.57692</v>
      </c>
      <c r="P92" s="46">
        <f ca="1">O92/SUM(O:O)</f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input_591010!A$2</f>
        <v>591010</v>
      </c>
      <c r="B93" s="101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IFERROR(VLOOKUP(B93,input_591010!L:R,7,FALSE),VLOOKUP(tables_591010!C93,input_591010!A:H,8,FALSE))</f>
        <v>617625</v>
      </c>
      <c r="P93" s="46">
        <f ca="1">O93/SUM(O:O)</f>
        <v>4.2448453608267848E-3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input_591010!A$2</f>
        <v>591010</v>
      </c>
      <c r="B94" s="101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IFERROR(VLOOKUP(B94,input_591010!L:R,7,FALSE),VLOOKUP(tables_591010!C94,input_591010!A:H,8,FALSE))</f>
        <v>617625</v>
      </c>
      <c r="P94" s="46">
        <f ca="1">O94/SUM(O:O)</f>
        <v>4.2448453608267848E-3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input_591010!A$2</f>
        <v>591010</v>
      </c>
      <c r="B95" s="101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IFERROR(VLOOKUP(B95,input_591010!L:R,7,FALSE),VLOOKUP(tables_591010!C95,input_591010!A:H,8,FALSE))</f>
        <v>30660.57692</v>
      </c>
      <c r="P95" s="46">
        <f ca="1">O95/SUM(O:O)</f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input_591010!A$2</f>
        <v>591010</v>
      </c>
      <c r="B96" s="101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IFERROR(VLOOKUP(B96,input_591010!L:R,7,FALSE),VLOOKUP(tables_591010!C96,input_591010!A:H,8,FALSE))</f>
        <v>617625</v>
      </c>
      <c r="P96" s="46">
        <f ca="1">O96/SUM(O:O)</f>
        <v>4.2448453608267848E-3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input_591010!A$2</f>
        <v>591010</v>
      </c>
      <c r="B97" s="101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IFERROR(VLOOKUP(B97,input_591010!L:R,7,FALSE),VLOOKUP(tables_591010!C97,input_591010!A:H,8,FALSE))</f>
        <v>617625</v>
      </c>
      <c r="P97" s="46">
        <f ca="1">O97/SUM(O:O)</f>
        <v>4.2448453608267848E-3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input_591010!A$2</f>
        <v>591010</v>
      </c>
      <c r="B98" s="101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IFERROR(VLOOKUP(B98,input_591010!L:R,7,FALSE),VLOOKUP(tables_591010!C98,input_591010!A:H,8,FALSE))</f>
        <v>30660.57692</v>
      </c>
      <c r="P98" s="46">
        <f ca="1">O98/SUM(O:O)</f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input_591010!A$2</f>
        <v>591010</v>
      </c>
      <c r="B99" s="101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IFERROR(VLOOKUP(B99,input_591010!L:R,7,FALSE),VLOOKUP(tables_591010!C99,input_591010!A:H,8,FALSE))</f>
        <v>617625</v>
      </c>
      <c r="P99" s="46">
        <f ca="1">O99/SUM(O:O)</f>
        <v>4.2448453608267848E-3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input_591010!A$2</f>
        <v>591010</v>
      </c>
      <c r="B100" s="101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IFERROR(VLOOKUP(B100,input_591010!L:R,7,FALSE),VLOOKUP(tables_591010!C100,input_591010!A:H,8,FALSE))</f>
        <v>617625</v>
      </c>
      <c r="P100" s="46">
        <f ca="1">O100/SUM(O:O)</f>
        <v>4.2448453608267848E-3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input_591010!A$2</f>
        <v>591010</v>
      </c>
      <c r="B101" s="101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IFERROR(VLOOKUP(B101,input_591010!L:R,7,FALSE),VLOOKUP(tables_591010!C101,input_591010!A:H,8,FALSE))</f>
        <v>30660.57692</v>
      </c>
      <c r="P101" s="46">
        <f ca="1">O101/SUM(O:O)</f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input_591010!A$2</f>
        <v>591010</v>
      </c>
      <c r="B102" s="101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IFERROR(VLOOKUP(B102,input_591010!L:R,7,FALSE),VLOOKUP(tables_591010!C102,input_591010!A:H,8,FALSE))</f>
        <v>617625</v>
      </c>
      <c r="P102" s="46">
        <f ca="1">O102/SUM(O:O)</f>
        <v>4.2448453608267848E-3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input_591010!A$2</f>
        <v>591010</v>
      </c>
      <c r="B103" s="101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IFERROR(VLOOKUP(B103,input_591010!L:R,7,FALSE),VLOOKUP(tables_591010!C103,input_591010!A:H,8,FALSE))</f>
        <v>617625</v>
      </c>
      <c r="P103" s="46">
        <f ca="1">O103/SUM(O:O)</f>
        <v>4.2448453608267848E-3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input_591010!A$2</f>
        <v>591010</v>
      </c>
      <c r="B104" s="101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IFERROR(VLOOKUP(B104,input_591010!L:R,7,FALSE),VLOOKUP(tables_591010!C104,input_591010!A:H,8,FALSE))</f>
        <v>30660.57692</v>
      </c>
      <c r="P104" s="46">
        <f ca="1">O104/SUM(O:O)</f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input_591010!A$2</f>
        <v>591010</v>
      </c>
      <c r="B105" s="101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IFERROR(VLOOKUP(B105,input_591010!L:R,7,FALSE),VLOOKUP(tables_591010!C105,input_591010!A:H,8,FALSE))</f>
        <v>617625</v>
      </c>
      <c r="P105" s="46">
        <f ca="1">O105/SUM(O:O)</f>
        <v>4.2448453608267848E-3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input_591010!A$2</f>
        <v>591010</v>
      </c>
      <c r="B106" s="101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IFERROR(VLOOKUP(B106,input_591010!L:R,7,FALSE),VLOOKUP(tables_591010!C106,input_591010!A:H,8,FALSE))</f>
        <v>617625</v>
      </c>
      <c r="P106" s="46">
        <f ca="1">O106/SUM(O:O)</f>
        <v>4.2448453608267848E-3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input_591010!A$2</f>
        <v>591010</v>
      </c>
      <c r="B107" s="101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IFERROR(VLOOKUP(B107,input_591010!L:R,7,FALSE),VLOOKUP(tables_591010!C107,input_591010!A:H,8,FALSE))</f>
        <v>30660.57692</v>
      </c>
      <c r="P107" s="46">
        <f ca="1">O107/SUM(O:O)</f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input_591010!A$2</f>
        <v>591010</v>
      </c>
      <c r="B108" s="101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IFERROR(VLOOKUP(B108,input_591010!L:R,7,FALSE),VLOOKUP(tables_591010!C108,input_591010!A:H,8,FALSE))</f>
        <v>617625</v>
      </c>
      <c r="P108" s="46">
        <f ca="1">O108/SUM(O:O)</f>
        <v>4.2448453608267848E-3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input_591010!A$2</f>
        <v>591010</v>
      </c>
      <c r="B109" s="101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IFERROR(VLOOKUP(B109,input_591010!L:R,7,FALSE),VLOOKUP(tables_591010!C109,input_591010!A:H,8,FALSE))</f>
        <v>617625</v>
      </c>
      <c r="P109" s="46">
        <f ca="1">O109/SUM(O:O)</f>
        <v>4.2448453608267848E-3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input_591010!A$2</f>
        <v>591010</v>
      </c>
      <c r="B110" s="101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IFERROR(VLOOKUP(B110,input_591010!L:R,7,FALSE),VLOOKUP(tables_591010!C110,input_591010!A:H,8,FALSE))</f>
        <v>30660.57692</v>
      </c>
      <c r="P110" s="46">
        <f ca="1">O110/SUM(O:O)</f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input_591010!A$2</f>
        <v>591010</v>
      </c>
      <c r="B111" s="101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IFERROR(VLOOKUP(B111,input_591010!L:R,7,FALSE),VLOOKUP(tables_591010!C111,input_591010!A:H,8,FALSE))</f>
        <v>617625</v>
      </c>
      <c r="P111" s="46">
        <f ca="1">O111/SUM(O:O)</f>
        <v>4.2448453608267848E-3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input_591010!A$2</f>
        <v>591010</v>
      </c>
      <c r="B112" s="101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IFERROR(VLOOKUP(B112,input_591010!L:R,7,FALSE),VLOOKUP(tables_591010!C112,input_591010!A:H,8,FALSE))</f>
        <v>617625</v>
      </c>
      <c r="P112" s="46">
        <f ca="1">O112/SUM(O:O)</f>
        <v>4.2448453608267848E-3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input_591010!A$2</f>
        <v>591010</v>
      </c>
      <c r="B113" s="101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IFERROR(VLOOKUP(B113,input_591010!L:R,7,FALSE),VLOOKUP(tables_591010!C113,input_591010!A:H,8,FALSE))</f>
        <v>137250</v>
      </c>
      <c r="P113" s="46">
        <f ca="1">O113/SUM(O:O)</f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input_591010!A$2</f>
        <v>591010</v>
      </c>
      <c r="B114" s="101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IFERROR(VLOOKUP(B114,input_591010!L:R,7,FALSE),VLOOKUP(tables_591010!C114,input_591010!A:H,8,FALSE))</f>
        <v>617625</v>
      </c>
      <c r="P114" s="46">
        <f ca="1">O114/SUM(O:O)</f>
        <v>4.2448453608267848E-3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input_591010!A$2</f>
        <v>591010</v>
      </c>
      <c r="B115" s="101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IFERROR(VLOOKUP(B115,input_591010!L:R,7,FALSE),VLOOKUP(tables_591010!C115,input_591010!A:H,8,FALSE))</f>
        <v>617625</v>
      </c>
      <c r="P115" s="46">
        <f ca="1">O115/SUM(O:O)</f>
        <v>4.2448453608267848E-3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input_591010!A$2</f>
        <v>591010</v>
      </c>
      <c r="B116" s="101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IFERROR(VLOOKUP(B116,input_591010!L:R,7,FALSE),VLOOKUP(tables_591010!C116,input_591010!A:H,8,FALSE))</f>
        <v>30660.57692</v>
      </c>
      <c r="P116" s="46">
        <f ca="1">O116/SUM(O:O)</f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input_591010!A$2</f>
        <v>591010</v>
      </c>
      <c r="B117" s="101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IFERROR(VLOOKUP(B117,input_591010!L:R,7,FALSE),VLOOKUP(tables_591010!C117,input_591010!A:H,8,FALSE))</f>
        <v>617625</v>
      </c>
      <c r="P117" s="46">
        <f ca="1">O117/SUM(O:O)</f>
        <v>4.2448453608267848E-3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input_591010!A$2</f>
        <v>591010</v>
      </c>
      <c r="B118" s="101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IFERROR(VLOOKUP(B118,input_591010!L:R,7,FALSE),VLOOKUP(tables_591010!C118,input_591010!A:H,8,FALSE))</f>
        <v>617625</v>
      </c>
      <c r="P118" s="46">
        <f ca="1">O118/SUM(O:O)</f>
        <v>4.2448453608267848E-3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input_591010!A$2</f>
        <v>591010</v>
      </c>
      <c r="B119" s="101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IFERROR(VLOOKUP(B119,input_591010!L:R,7,FALSE),VLOOKUP(tables_591010!C119,input_591010!A:H,8,FALSE))</f>
        <v>30660.57692</v>
      </c>
      <c r="P119" s="46">
        <f ca="1">O119/SUM(O:O)</f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input_591010!A$2</f>
        <v>591010</v>
      </c>
      <c r="B120" s="101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IFERROR(VLOOKUP(B120,input_591010!L:R,7,FALSE),VLOOKUP(tables_591010!C120,input_591010!A:H,8,FALSE))</f>
        <v>617625</v>
      </c>
      <c r="P120" s="46">
        <f ca="1">O120/SUM(O:O)</f>
        <v>4.2448453608267848E-3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input_591010!A$2</f>
        <v>591010</v>
      </c>
      <c r="B121" s="101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IFERROR(VLOOKUP(B121,input_591010!L:R,7,FALSE),VLOOKUP(tables_591010!C121,input_591010!A:H,8,FALSE))</f>
        <v>617625</v>
      </c>
      <c r="P121" s="46">
        <f ca="1">O121/SUM(O:O)</f>
        <v>4.2448453608267848E-3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input_591010!A$2</f>
        <v>591010</v>
      </c>
      <c r="B122" s="101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IFERROR(VLOOKUP(B122,input_591010!L:R,7,FALSE),VLOOKUP(tables_591010!C122,input_591010!A:H,8,FALSE))</f>
        <v>30660.57692</v>
      </c>
      <c r="P122" s="46">
        <f ca="1">O122/SUM(O:O)</f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input_591010!A$2</f>
        <v>591010</v>
      </c>
      <c r="B123" s="101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IFERROR(VLOOKUP(B123,input_591010!L:R,7,FALSE),VLOOKUP(tables_591010!C123,input_591010!A:H,8,FALSE))</f>
        <v>617625</v>
      </c>
      <c r="P123" s="46">
        <f ca="1">O123/SUM(O:O)</f>
        <v>4.2448453608267848E-3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input_591010!A$2</f>
        <v>591010</v>
      </c>
      <c r="B124" s="101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IFERROR(VLOOKUP(B124,input_591010!L:R,7,FALSE),VLOOKUP(tables_591010!C124,input_591010!A:H,8,FALSE))</f>
        <v>617625</v>
      </c>
      <c r="P124" s="46">
        <f ca="1">O124/SUM(O:O)</f>
        <v>4.2448453608267848E-3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input_591010!A$2</f>
        <v>591010</v>
      </c>
      <c r="B125" s="99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IFERROR(VLOOKUP(B125,input_591010!L:R,7,FALSE),VLOOKUP(tables_591010!C125,input_591010!A:H,8,FALSE))</f>
        <v>30660.57692</v>
      </c>
      <c r="P125" s="46">
        <f ca="1">O125/SUM(O:O)</f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input_591010!A$2</f>
        <v>591010</v>
      </c>
      <c r="B126" s="99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IFERROR(VLOOKUP(B126,input_591010!L:R,7,FALSE),VLOOKUP(tables_591010!C126,input_591010!A:H,8,FALSE))</f>
        <v>617625</v>
      </c>
      <c r="P126" s="46">
        <f ca="1">O126/SUM(O:O)</f>
        <v>4.2448453608267848E-3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input_591010!A$2</f>
        <v>591010</v>
      </c>
      <c r="B127" s="99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IFERROR(VLOOKUP(B127,input_591010!L:R,7,FALSE),VLOOKUP(tables_591010!C127,input_591010!A:H,8,FALSE))</f>
        <v>617625</v>
      </c>
      <c r="P127" s="46">
        <f ca="1">O127/SUM(O:O)</f>
        <v>4.2448453608267848E-3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input_591010!A$2</f>
        <v>591010</v>
      </c>
      <c r="B128" s="99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IFERROR(VLOOKUP(B128,input_591010!L:R,7,FALSE),VLOOKUP(tables_591010!C128,input_591010!A:H,8,FALSE))</f>
        <v>30660.57692</v>
      </c>
      <c r="P128" s="46">
        <f ca="1">O128/SUM(O:O)</f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input_591010!A$2</f>
        <v>591010</v>
      </c>
      <c r="B129" s="99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IFERROR(VLOOKUP(B129,input_591010!L:R,7,FALSE),VLOOKUP(tables_591010!C129,input_591010!A:H,8,FALSE))</f>
        <v>617625</v>
      </c>
      <c r="P129" s="46">
        <f ca="1">O129/SUM(O:O)</f>
        <v>4.2448453608267848E-3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input_591010!A$2</f>
        <v>591010</v>
      </c>
      <c r="B130" s="99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IFERROR(VLOOKUP(B130,input_591010!L:R,7,FALSE),VLOOKUP(tables_591010!C130,input_591010!A:H,8,FALSE))</f>
        <v>617625</v>
      </c>
      <c r="P130" s="46">
        <f ca="1">O130/SUM(O:O)</f>
        <v>4.2448453608267848E-3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input_591010!A$2</f>
        <v>591010</v>
      </c>
      <c r="B131" s="99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IFERROR(VLOOKUP(B131,input_591010!L:R,7,FALSE),VLOOKUP(tables_591010!C131,input_591010!A:H,8,FALSE))</f>
        <v>30660.57692</v>
      </c>
      <c r="P131" s="46">
        <f ca="1">O131/SUM(O:O)</f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input_591010!A$2</f>
        <v>591010</v>
      </c>
      <c r="B132" s="99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IFERROR(VLOOKUP(B132,input_591010!L:R,7,FALSE),VLOOKUP(tables_591010!C132,input_591010!A:H,8,FALSE))</f>
        <v>617625</v>
      </c>
      <c r="P132" s="46">
        <f ca="1">O132/SUM(O:O)</f>
        <v>4.2448453608267848E-3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input_591010!A$2</f>
        <v>591010</v>
      </c>
      <c r="B133" s="99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IFERROR(VLOOKUP(B133,input_591010!L:R,7,FALSE),VLOOKUP(tables_591010!C133,input_591010!A:H,8,FALSE))</f>
        <v>617625</v>
      </c>
      <c r="P133" s="46">
        <f ca="1">O133/SUM(O:O)</f>
        <v>4.2448453608267848E-3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input_591010!A$2</f>
        <v>591010</v>
      </c>
      <c r="B134" s="99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IFERROR(VLOOKUP(B134,input_591010!L:R,7,FALSE),VLOOKUP(tables_591010!C134,input_591010!A:H,8,FALSE))</f>
        <v>30660.57692</v>
      </c>
      <c r="P134" s="46">
        <f ca="1">O134/SUM(O:O)</f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input_591010!A$2</f>
        <v>591010</v>
      </c>
      <c r="B135" s="99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IFERROR(VLOOKUP(B135,input_591010!L:R,7,FALSE),VLOOKUP(tables_591010!C135,input_591010!A:H,8,FALSE))</f>
        <v>617625</v>
      </c>
      <c r="P135" s="46">
        <f ca="1">O135/SUM(O:O)</f>
        <v>4.2448453608267848E-3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input_591010!A$2</f>
        <v>591010</v>
      </c>
      <c r="B136" s="100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IFERROR(VLOOKUP(B136,input_591010!L:R,7,FALSE),VLOOKUP(tables_591010!C136,input_591010!A:H,8,FALSE))</f>
        <v>617625</v>
      </c>
      <c r="P136" s="46">
        <f ca="1">O136/SUM(O:O)</f>
        <v>4.2448453608267848E-3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input_591010!A$2</f>
        <v>591010</v>
      </c>
      <c r="B137" s="100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IFERROR(VLOOKUP(B137,input_591010!L:R,7,FALSE),VLOOKUP(tables_591010!C137,input_591010!A:H,8,FALSE))</f>
        <v>30660.57692</v>
      </c>
      <c r="P137" s="46">
        <f ca="1">O137/SUM(O:O)</f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input_591010!A$2</f>
        <v>591010</v>
      </c>
      <c r="B138" s="99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IFERROR(VLOOKUP(B138,input_591010!L:R,7,FALSE),VLOOKUP(tables_591010!C138,input_591010!A:H,8,FALSE))</f>
        <v>130950</v>
      </c>
      <c r="P138" s="46">
        <f ca="1">O138/SUM(O:O)</f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input_591010!A$2</f>
        <v>591010</v>
      </c>
      <c r="B139" s="99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IFERROR(VLOOKUP(B139,input_591010!L:R,7,FALSE),VLOOKUP(tables_591010!C139,input_591010!A:H,8,FALSE))</f>
        <v>14550</v>
      </c>
      <c r="P139" s="46">
        <f ca="1">O139/SUM(O:O)</f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input_591010!A$2</f>
        <v>591010</v>
      </c>
      <c r="B140" s="99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IFERROR(VLOOKUP(B140,input_591010!L:R,7,FALSE),VLOOKUP(tables_591010!C140,input_591010!A:H,8,FALSE))</f>
        <v>130950</v>
      </c>
      <c r="P140" s="46">
        <f ca="1">O140/SUM(O:O)</f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input_591010!A$2</f>
        <v>591010</v>
      </c>
      <c r="B141" s="99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IFERROR(VLOOKUP(B141,input_591010!L:R,7,FALSE),VLOOKUP(tables_591010!C141,input_591010!A:H,8,FALSE))</f>
        <v>14550</v>
      </c>
      <c r="P141" s="46">
        <f ca="1">O141/SUM(O:O)</f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input_591010!A$2</f>
        <v>591010</v>
      </c>
      <c r="B142" s="99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IFERROR(VLOOKUP(B142,input_591010!L:R,7,FALSE),VLOOKUP(tables_591010!C142,input_591010!A:H,8,FALSE))</f>
        <v>130950</v>
      </c>
      <c r="P142" s="46">
        <f ca="1">O142/SUM(O:O)</f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input_591010!A$2</f>
        <v>591010</v>
      </c>
      <c r="B143" s="99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IFERROR(VLOOKUP(B143,input_591010!L:R,7,FALSE),VLOOKUP(tables_591010!C143,input_591010!A:H,8,FALSE))</f>
        <v>14550</v>
      </c>
      <c r="P143" s="46">
        <f ca="1">O143/SUM(O:O)</f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input_591010!A$2</f>
        <v>591010</v>
      </c>
      <c r="B144" s="99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IFERROR(VLOOKUP(B144,input_591010!L:R,7,FALSE),VLOOKUP(tables_591010!C144,input_591010!A:H,8,FALSE))</f>
        <v>130950</v>
      </c>
      <c r="P144" s="46">
        <f ca="1">O144/SUM(O:O)</f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input_591010!A$2</f>
        <v>591010</v>
      </c>
      <c r="B145" s="99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IFERROR(VLOOKUP(B145,input_591010!L:R,7,FALSE),VLOOKUP(tables_591010!C145,input_591010!A:H,8,FALSE))</f>
        <v>14550</v>
      </c>
      <c r="P145" s="46">
        <f ca="1">O145/SUM(O:O)</f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input_591010!A$2</f>
        <v>591010</v>
      </c>
      <c r="B146" s="99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IFERROR(VLOOKUP(B146,input_591010!L:R,7,FALSE),VLOOKUP(tables_591010!C146,input_591010!A:H,8,FALSE))</f>
        <v>617625</v>
      </c>
      <c r="P146" s="46">
        <f ca="1">O146/SUM(O:O)</f>
        <v>4.2448453608267848E-3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input_591010!A$2</f>
        <v>591010</v>
      </c>
      <c r="B147" s="99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IFERROR(VLOOKUP(B147,input_591010!L:R,7,FALSE),VLOOKUP(tables_591010!C147,input_591010!A:H,8,FALSE))</f>
        <v>617625</v>
      </c>
      <c r="P147" s="46">
        <f ca="1">O147/SUM(O:O)</f>
        <v>4.2448453608267848E-3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input_591010!A$2</f>
        <v>591010</v>
      </c>
      <c r="B148" s="99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IFERROR(VLOOKUP(B148,input_591010!L:R,7,FALSE),VLOOKUP(tables_591010!C148,input_591010!A:H,8,FALSE))</f>
        <v>30660.57692</v>
      </c>
      <c r="P148" s="46">
        <f ca="1">O148/SUM(O:O)</f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input_591010!A$2</f>
        <v>591010</v>
      </c>
      <c r="B149" s="99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IFERROR(VLOOKUP(B149,input_591010!L:R,7,FALSE),VLOOKUP(tables_591010!C149,input_591010!A:H,8,FALSE))</f>
        <v>130950</v>
      </c>
      <c r="P149" s="46">
        <f ca="1">O149/SUM(O:O)</f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input_591010!A$2</f>
        <v>591010</v>
      </c>
      <c r="B150" s="99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IFERROR(VLOOKUP(B150,input_591010!L:R,7,FALSE),VLOOKUP(tables_591010!C150,input_591010!A:H,8,FALSE))</f>
        <v>14550</v>
      </c>
      <c r="P150" s="46">
        <f ca="1">O150/SUM(O:O)</f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input_591010!A$2</f>
        <v>591010</v>
      </c>
      <c r="B151" s="99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IFERROR(VLOOKUP(B151,input_591010!L:R,7,FALSE),VLOOKUP(tables_591010!C151,input_591010!A:H,8,FALSE))</f>
        <v>130950</v>
      </c>
      <c r="P151" s="46">
        <f ca="1">O151/SUM(O:O)</f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input_591010!A$2</f>
        <v>591010</v>
      </c>
      <c r="B152" s="99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IFERROR(VLOOKUP(B152,input_591010!L:R,7,FALSE),VLOOKUP(tables_591010!C152,input_591010!A:H,8,FALSE))</f>
        <v>14550</v>
      </c>
      <c r="P152" s="46">
        <f ca="1">O152/SUM(O:O)</f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input_591010!A$2</f>
        <v>591010</v>
      </c>
      <c r="B153" s="99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IFERROR(VLOOKUP(B153,input_591010!L:R,7,FALSE),VLOOKUP(tables_591010!C153,input_591010!A:H,8,FALSE))</f>
        <v>617625</v>
      </c>
      <c r="P153" s="46">
        <f ca="1">O153/SUM(O:O)</f>
        <v>4.2448453608267848E-3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input_591010!A$2</f>
        <v>591010</v>
      </c>
      <c r="B154" s="99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IFERROR(VLOOKUP(B154,input_591010!L:R,7,FALSE),VLOOKUP(tables_591010!C154,input_591010!A:H,8,FALSE))</f>
        <v>617625</v>
      </c>
      <c r="P154" s="46">
        <f ca="1">O154/SUM(O:O)</f>
        <v>4.2448453608267848E-3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input_591010!A$2</f>
        <v>591010</v>
      </c>
      <c r="B155" s="99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IFERROR(VLOOKUP(B155,input_591010!L:R,7,FALSE),VLOOKUP(tables_591010!C155,input_591010!A:H,8,FALSE))</f>
        <v>30660.57692</v>
      </c>
      <c r="P155" s="46">
        <f ca="1">O155/SUM(O:O)</f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input_591010!A$2</f>
        <v>591010</v>
      </c>
      <c r="B156" s="99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IFERROR(VLOOKUP(B156,input_591010!L:R,7,FALSE),VLOOKUP(tables_591010!C156,input_591010!A:H,8,FALSE))</f>
        <v>130950</v>
      </c>
      <c r="P156" s="46">
        <f ca="1">O156/SUM(O:O)</f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input_591010!A$2</f>
        <v>591010</v>
      </c>
      <c r="B157" s="99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IFERROR(VLOOKUP(B157,input_591010!L:R,7,FALSE),VLOOKUP(tables_591010!C157,input_591010!A:H,8,FALSE))</f>
        <v>14550</v>
      </c>
      <c r="P157" s="46">
        <f ca="1">O157/SUM(O:O)</f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input_591010!A$2</f>
        <v>591010</v>
      </c>
      <c r="B158" s="99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IFERROR(VLOOKUP(B158,input_591010!L:R,7,FALSE),VLOOKUP(tables_591010!C158,input_591010!A:H,8,FALSE))</f>
        <v>617625</v>
      </c>
      <c r="P158" s="46">
        <f ca="1">O158/SUM(O:O)</f>
        <v>4.2448453608267848E-3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input_591010!A$2</f>
        <v>591010</v>
      </c>
      <c r="B159" s="99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IFERROR(VLOOKUP(B159,input_591010!L:R,7,FALSE),VLOOKUP(tables_591010!C159,input_591010!A:H,8,FALSE))</f>
        <v>617625</v>
      </c>
      <c r="P159" s="46">
        <f ca="1">O159/SUM(O:O)</f>
        <v>4.2448453608267848E-3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input_591010!A$2</f>
        <v>591010</v>
      </c>
      <c r="B160" s="99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IFERROR(VLOOKUP(B160,input_591010!L:R,7,FALSE),VLOOKUP(tables_591010!C160,input_591010!A:H,8,FALSE))</f>
        <v>30660.57692</v>
      </c>
      <c r="P160" s="46">
        <f ca="1">O160/SUM(O:O)</f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input_591010!A$2</f>
        <v>591010</v>
      </c>
      <c r="B161" s="99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IFERROR(VLOOKUP(B161,input_591010!L:R,7,FALSE),VLOOKUP(tables_591010!C161,input_591010!A:H,8,FALSE))</f>
        <v>617625</v>
      </c>
      <c r="P161" s="46">
        <f ca="1">O161/SUM(O:O)</f>
        <v>4.2448453608267848E-3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input_591010!A$2</f>
        <v>591010</v>
      </c>
      <c r="B162" s="99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IFERROR(VLOOKUP(B162,input_591010!L:R,7,FALSE),VLOOKUP(tables_591010!C162,input_591010!A:H,8,FALSE))</f>
        <v>617625</v>
      </c>
      <c r="P162" s="46">
        <f ca="1">O162/SUM(O:O)</f>
        <v>4.2448453608267848E-3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input_591010!A$2</f>
        <v>591010</v>
      </c>
      <c r="B163" s="99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IFERROR(VLOOKUP(B163,input_591010!L:R,7,FALSE),VLOOKUP(tables_591010!C163,input_591010!A:H,8,FALSE))</f>
        <v>30660.57692</v>
      </c>
      <c r="P163" s="46">
        <f ca="1">O163/SUM(O:O)</f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input_591010!A$2</f>
        <v>591010</v>
      </c>
      <c r="B164" s="99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IFERROR(VLOOKUP(B164,input_591010!L:R,7,FALSE),VLOOKUP(tables_591010!C164,input_591010!A:H,8,FALSE))</f>
        <v>130950</v>
      </c>
      <c r="P164" s="46">
        <f ca="1">O164/SUM(O:O)</f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input_591010!A$2</f>
        <v>591010</v>
      </c>
      <c r="B165" s="99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IFERROR(VLOOKUP(B165,input_591010!L:R,7,FALSE),VLOOKUP(tables_591010!C165,input_591010!A:H,8,FALSE))</f>
        <v>14550</v>
      </c>
      <c r="P165" s="46">
        <f ca="1">O165/SUM(O:O)</f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input_591010!A$2</f>
        <v>591010</v>
      </c>
      <c r="B166" s="99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IFERROR(VLOOKUP(B166,input_591010!L:R,7,FALSE),VLOOKUP(tables_591010!C166,input_591010!A:H,8,FALSE))</f>
        <v>617625</v>
      </c>
      <c r="P166" s="46">
        <f ca="1">O166/SUM(O:O)</f>
        <v>4.2448453608267848E-3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input_591010!A$2</f>
        <v>591010</v>
      </c>
      <c r="B167" s="99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IFERROR(VLOOKUP(B167,input_591010!L:R,7,FALSE),VLOOKUP(tables_591010!C167,input_591010!A:H,8,FALSE))</f>
        <v>617625</v>
      </c>
      <c r="P167" s="46">
        <f ca="1">O167/SUM(O:O)</f>
        <v>4.2448453608267848E-3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input_591010!A$2</f>
        <v>591010</v>
      </c>
      <c r="B168" s="99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IFERROR(VLOOKUP(B168,input_591010!L:R,7,FALSE),VLOOKUP(tables_591010!C168,input_591010!A:H,8,FALSE))</f>
        <v>30660.57692</v>
      </c>
      <c r="P168" s="46">
        <f ca="1">O168/SUM(O:O)</f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input_591010!A$2</f>
        <v>591010</v>
      </c>
      <c r="B169" s="99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IFERROR(VLOOKUP(B169,input_591010!L:R,7,FALSE),VLOOKUP(tables_591010!C169,input_591010!A:H,8,FALSE))</f>
        <v>130950</v>
      </c>
      <c r="P169" s="46">
        <f ca="1">O169/SUM(O:O)</f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input_591010!A$2</f>
        <v>591010</v>
      </c>
      <c r="B170" s="99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IFERROR(VLOOKUP(B170,input_591010!L:R,7,FALSE),VLOOKUP(tables_591010!C170,input_591010!A:H,8,FALSE))</f>
        <v>14550</v>
      </c>
      <c r="P170" s="46">
        <f ca="1">O170/SUM(O:O)</f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input_591010!A$2</f>
        <v>591010</v>
      </c>
      <c r="B171" s="99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IFERROR(VLOOKUP(B171,input_591010!L:R,7,FALSE),VLOOKUP(tables_591010!C171,input_591010!A:H,8,FALSE))</f>
        <v>617625</v>
      </c>
      <c r="P171" s="46">
        <f ca="1">O171/SUM(O:O)</f>
        <v>4.2448453608267848E-3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input_591010!A$2</f>
        <v>591010</v>
      </c>
      <c r="B172" s="99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IFERROR(VLOOKUP(B172,input_591010!L:R,7,FALSE),VLOOKUP(tables_591010!C172,input_591010!A:H,8,FALSE))</f>
        <v>617625</v>
      </c>
      <c r="P172" s="46">
        <f ca="1">O172/SUM(O:O)</f>
        <v>4.2448453608267848E-3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input_591010!A$2</f>
        <v>591010</v>
      </c>
      <c r="B173" s="99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IFERROR(VLOOKUP(B173,input_591010!L:R,7,FALSE),VLOOKUP(tables_591010!C173,input_591010!A:H,8,FALSE))</f>
        <v>30660.57692</v>
      </c>
      <c r="P173" s="46">
        <f ca="1">O173/SUM(O:O)</f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input_591010!A$2</f>
        <v>591010</v>
      </c>
      <c r="B174" s="99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IFERROR(VLOOKUP(B174,input_591010!L:R,7,FALSE),VLOOKUP(tables_591010!C174,input_591010!A:H,8,FALSE))</f>
        <v>130950</v>
      </c>
      <c r="P174" s="46">
        <f ca="1">O174/SUM(O:O)</f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input_591010!A$2</f>
        <v>591010</v>
      </c>
      <c r="B175" s="99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IFERROR(VLOOKUP(B175,input_591010!L:R,7,FALSE),VLOOKUP(tables_591010!C175,input_591010!A:H,8,FALSE))</f>
        <v>14550</v>
      </c>
      <c r="P175" s="46">
        <f ca="1">O175/SUM(O:O)</f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input_591010!A$2</f>
        <v>591010</v>
      </c>
      <c r="B176" s="99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IFERROR(VLOOKUP(B176,input_591010!L:R,7,FALSE),VLOOKUP(tables_591010!C176,input_591010!A:H,8,FALSE))</f>
        <v>130950</v>
      </c>
      <c r="P176" s="46">
        <f ca="1">O176/SUM(O:O)</f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input_591010!A$2</f>
        <v>591010</v>
      </c>
      <c r="B177" s="99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IFERROR(VLOOKUP(B177,input_591010!L:R,7,FALSE),VLOOKUP(tables_591010!C177,input_591010!A:H,8,FALSE))</f>
        <v>14550</v>
      </c>
      <c r="P177" s="46">
        <f ca="1">O177/SUM(O:O)</f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input_591010!A$2</f>
        <v>591010</v>
      </c>
      <c r="B178" s="99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IFERROR(VLOOKUP(B178,input_591010!L:R,7,FALSE),VLOOKUP(tables_591010!C178,input_591010!A:H,8,FALSE))</f>
        <v>617625</v>
      </c>
      <c r="P178" s="46">
        <f ca="1">O178/SUM(O:O)</f>
        <v>4.2448453608267848E-3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input_591010!A$2</f>
        <v>591010</v>
      </c>
      <c r="B179" s="99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IFERROR(VLOOKUP(B179,input_591010!L:R,7,FALSE),VLOOKUP(tables_591010!C179,input_591010!A:H,8,FALSE))</f>
        <v>617625</v>
      </c>
      <c r="P179" s="46">
        <f ca="1">O179/SUM(O:O)</f>
        <v>4.2448453608267848E-3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input_591010!A$2</f>
        <v>591010</v>
      </c>
      <c r="B180" s="99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IFERROR(VLOOKUP(B180,input_591010!L:R,7,FALSE),VLOOKUP(tables_591010!C180,input_591010!A:H,8,FALSE))</f>
        <v>30660.57692</v>
      </c>
      <c r="P180" s="46">
        <f ca="1">O180/SUM(O:O)</f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input_591010!A$2</f>
        <v>591010</v>
      </c>
      <c r="B181" s="99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IFERROR(VLOOKUP(B181,input_591010!L:R,7,FALSE),VLOOKUP(tables_591010!C181,input_591010!A:H,8,FALSE))</f>
        <v>617625</v>
      </c>
      <c r="P181" s="46">
        <f ca="1">O181/SUM(O:O)</f>
        <v>4.2448453608267848E-3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input_591010!A$2</f>
        <v>591010</v>
      </c>
      <c r="B182" s="99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IFERROR(VLOOKUP(B182,input_591010!L:R,7,FALSE),VLOOKUP(tables_591010!C182,input_591010!A:H,8,FALSE))</f>
        <v>617625</v>
      </c>
      <c r="P182" s="46">
        <f ca="1">O182/SUM(O:O)</f>
        <v>4.2448453608267848E-3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input_591010!A$2</f>
        <v>591010</v>
      </c>
      <c r="B183" s="99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IFERROR(VLOOKUP(B183,input_591010!L:R,7,FALSE),VLOOKUP(tables_591010!C183,input_591010!A:H,8,FALSE))</f>
        <v>30660.57692</v>
      </c>
      <c r="P183" s="46">
        <f ca="1">O183/SUM(O:O)</f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input_591010!A$2</f>
        <v>591010</v>
      </c>
      <c r="B184" s="99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IFERROR(VLOOKUP(B184,input_591010!L:R,7,FALSE),VLOOKUP(tables_591010!C184,input_591010!A:H,8,FALSE))</f>
        <v>130950</v>
      </c>
      <c r="P184" s="46">
        <f ca="1">O184/SUM(O:O)</f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input_591010!A$2</f>
        <v>591010</v>
      </c>
      <c r="B185" s="99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IFERROR(VLOOKUP(B185,input_591010!L:R,7,FALSE),VLOOKUP(tables_591010!C185,input_591010!A:H,8,FALSE))</f>
        <v>14550</v>
      </c>
      <c r="P185" s="46">
        <f ca="1">O185/SUM(O:O)</f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input_591010!A$2</f>
        <v>591010</v>
      </c>
      <c r="B186" s="100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IFERROR(VLOOKUP(B186,input_591010!L:R,7,FALSE),VLOOKUP(tables_591010!C186,input_591010!A:H,8,FALSE))</f>
        <v>617625</v>
      </c>
      <c r="P186" s="46">
        <f ca="1">O186/SUM(O:O)</f>
        <v>4.2448453608267848E-3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input_591010!A$2</f>
        <v>591010</v>
      </c>
      <c r="B187" s="100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IFERROR(VLOOKUP(B187,input_591010!L:R,7,FALSE),VLOOKUP(tables_591010!C187,input_591010!A:H,8,FALSE))</f>
        <v>617625</v>
      </c>
      <c r="P187" s="46">
        <f ca="1">O187/SUM(O:O)</f>
        <v>4.2448453608267848E-3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input_591010!A$2</f>
        <v>591010</v>
      </c>
      <c r="B188" s="100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IFERROR(VLOOKUP(B188,input_591010!L:R,7,FALSE),VLOOKUP(tables_591010!C188,input_591010!A:H,8,FALSE))</f>
        <v>30660.57692</v>
      </c>
      <c r="P188" s="46">
        <f ca="1">O188/SUM(O:O)</f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input_591010!A$2</f>
        <v>591010</v>
      </c>
      <c r="B189" s="100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IFERROR(VLOOKUP(B189,input_591010!L:R,7,FALSE),VLOOKUP(tables_591010!C189,input_591010!A:H,8,FALSE))</f>
        <v>130950</v>
      </c>
      <c r="P189" s="46">
        <f ca="1">O189/SUM(O:O)</f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input_591010!A$2</f>
        <v>591010</v>
      </c>
      <c r="B190" s="99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IFERROR(VLOOKUP(B190,input_591010!L:R,7,FALSE),VLOOKUP(tables_591010!C190,input_591010!A:H,8,FALSE))</f>
        <v>14550</v>
      </c>
      <c r="P190" s="46">
        <f ca="1">O190/SUM(O:O)</f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input_591010!A$2</f>
        <v>591010</v>
      </c>
      <c r="B191" s="99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IFERROR(VLOOKUP(B191,input_591010!L:R,7,FALSE),VLOOKUP(tables_591010!C191,input_591010!A:H,8,FALSE))</f>
        <v>130950</v>
      </c>
      <c r="P191" s="46">
        <f ca="1">O191/SUM(O:O)</f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input_591010!A$2</f>
        <v>591010</v>
      </c>
      <c r="B192" s="99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IFERROR(VLOOKUP(B192,input_591010!L:R,7,FALSE),VLOOKUP(tables_591010!C192,input_591010!A:H,8,FALSE))</f>
        <v>14550</v>
      </c>
      <c r="P192" s="46">
        <f ca="1">O192/SUM(O:O)</f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input_591010!A$2</f>
        <v>591010</v>
      </c>
      <c r="B193" s="99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IFERROR(VLOOKUP(B193,input_591010!L:R,7,FALSE),VLOOKUP(tables_591010!C193,input_591010!A:H,8,FALSE))</f>
        <v>617625</v>
      </c>
      <c r="P193" s="46">
        <f ca="1">O193/SUM(O:O)</f>
        <v>4.2448453608267848E-3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input_591010!A$2</f>
        <v>591010</v>
      </c>
      <c r="B194" s="99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IFERROR(VLOOKUP(B194,input_591010!L:R,7,FALSE),VLOOKUP(tables_591010!C194,input_591010!A:H,8,FALSE))</f>
        <v>617625</v>
      </c>
      <c r="P194" s="46">
        <f ca="1">O194/SUM(O:O)</f>
        <v>4.2448453608267848E-3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input_591010!A$2</f>
        <v>591010</v>
      </c>
      <c r="B195" s="99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IFERROR(VLOOKUP(B195,input_591010!L:R,7,FALSE),VLOOKUP(tables_591010!C195,input_591010!A:H,8,FALSE))</f>
        <v>30660.57692</v>
      </c>
      <c r="P195" s="46">
        <f ca="1">O195/SUM(O:O)</f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input_591010!A$2</f>
        <v>591010</v>
      </c>
      <c r="B196" s="99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IFERROR(VLOOKUP(B196,input_591010!L:R,7,FALSE),VLOOKUP(tables_591010!C196,input_591010!A:H,8,FALSE))</f>
        <v>130950</v>
      </c>
      <c r="P196" s="46">
        <f ca="1">O196/SUM(O:O)</f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input_591010!A$2</f>
        <v>591010</v>
      </c>
      <c r="B197" s="99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IFERROR(VLOOKUP(B197,input_591010!L:R,7,FALSE),VLOOKUP(tables_591010!C197,input_591010!A:H,8,FALSE))</f>
        <v>14550</v>
      </c>
      <c r="P197" s="46">
        <f ca="1">O197/SUM(O:O)</f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input_591010!A$2</f>
        <v>591010</v>
      </c>
      <c r="B198" s="99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IFERROR(VLOOKUP(B198,input_591010!L:R,7,FALSE),VLOOKUP(tables_591010!C198,input_591010!A:H,8,FALSE))</f>
        <v>617625</v>
      </c>
      <c r="P198" s="46">
        <f ca="1">O198/SUM(O:O)</f>
        <v>4.2448453608267848E-3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input_591010!A$2</f>
        <v>591010</v>
      </c>
      <c r="B199" s="99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IFERROR(VLOOKUP(B199,input_591010!L:R,7,FALSE),VLOOKUP(tables_591010!C199,input_591010!A:H,8,FALSE))</f>
        <v>617625</v>
      </c>
      <c r="P199" s="46">
        <f ca="1">O199/SUM(O:O)</f>
        <v>4.2448453608267848E-3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input_591010!A$2</f>
        <v>591010</v>
      </c>
      <c r="B200" s="99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IFERROR(VLOOKUP(B200,input_591010!L:R,7,FALSE),VLOOKUP(tables_591010!C200,input_591010!A:H,8,FALSE))</f>
        <v>30660.57692</v>
      </c>
      <c r="P200" s="46">
        <f ca="1">O200/SUM(O:O)</f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input_591010!A$2</f>
        <v>591010</v>
      </c>
      <c r="B201" s="99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IFERROR(VLOOKUP(B201,input_591010!L:R,7,FALSE),VLOOKUP(tables_591010!C201,input_591010!A:H,8,FALSE))</f>
        <v>130950</v>
      </c>
      <c r="P201" s="46">
        <f ca="1">O201/SUM(O:O)</f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input_591010!A$2</f>
        <v>591010</v>
      </c>
      <c r="B202" s="99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IFERROR(VLOOKUP(B202,input_591010!L:R,7,FALSE),VLOOKUP(tables_591010!C202,input_591010!A:H,8,FALSE))</f>
        <v>14550</v>
      </c>
      <c r="P202" s="46">
        <f ca="1">O202/SUM(O:O)</f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input_591010!A$2</f>
        <v>591010</v>
      </c>
      <c r="B203" s="99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IFERROR(VLOOKUP(B203,input_591010!L:R,7,FALSE),VLOOKUP(tables_591010!C203,input_591010!A:H,8,FALSE))</f>
        <v>617625</v>
      </c>
      <c r="P203" s="46">
        <f ca="1">O203/SUM(O:O)</f>
        <v>4.2448453608267848E-3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input_591010!A$2</f>
        <v>591010</v>
      </c>
      <c r="B204" s="99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IFERROR(VLOOKUP(B204,input_591010!L:R,7,FALSE),VLOOKUP(tables_591010!C204,input_591010!A:H,8,FALSE))</f>
        <v>617625</v>
      </c>
      <c r="P204" s="46">
        <f ca="1">O204/SUM(O:O)</f>
        <v>4.2448453608267848E-3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input_591010!A$2</f>
        <v>591010</v>
      </c>
      <c r="B205" s="99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IFERROR(VLOOKUP(B205,input_591010!L:R,7,FALSE),VLOOKUP(tables_591010!C205,input_591010!A:H,8,FALSE))</f>
        <v>30660.57692</v>
      </c>
      <c r="P205" s="46">
        <f ca="1">O205/SUM(O:O)</f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input_591010!A$2</f>
        <v>591010</v>
      </c>
      <c r="B206" s="99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IFERROR(VLOOKUP(B206,input_591010!L:R,7,FALSE),VLOOKUP(tables_591010!C206,input_591010!A:H,8,FALSE))</f>
        <v>130950</v>
      </c>
      <c r="P206" s="46">
        <f ca="1">O206/SUM(O:O)</f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input_591010!A$2</f>
        <v>591010</v>
      </c>
      <c r="B207" s="99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IFERROR(VLOOKUP(B207,input_591010!L:R,7,FALSE),VLOOKUP(tables_591010!C207,input_591010!A:H,8,FALSE))</f>
        <v>14550</v>
      </c>
      <c r="P207" s="46">
        <f ca="1">O207/SUM(O:O)</f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input_591010!A$2</f>
        <v>591010</v>
      </c>
      <c r="B208" s="99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IFERROR(VLOOKUP(B208,input_591010!L:R,7,FALSE),VLOOKUP(tables_591010!C208,input_591010!A:H,8,FALSE))</f>
        <v>130950</v>
      </c>
      <c r="P208" s="46">
        <f ca="1">O208/SUM(O:O)</f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input_591010!A$2</f>
        <v>591010</v>
      </c>
      <c r="B209" s="99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IFERROR(VLOOKUP(B209,input_591010!L:R,7,FALSE),VLOOKUP(tables_591010!C209,input_591010!A:H,8,FALSE))</f>
        <v>14550</v>
      </c>
      <c r="P209" s="46">
        <f ca="1">O209/SUM(O:O)</f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input_591010!A$2</f>
        <v>591010</v>
      </c>
      <c r="B210" s="99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IFERROR(VLOOKUP(B210,input_591010!L:R,7,FALSE),VLOOKUP(tables_591010!C210,input_591010!A:H,8,FALSE))</f>
        <v>617625</v>
      </c>
      <c r="P210" s="46">
        <f ca="1">O210/SUM(O:O)</f>
        <v>4.2448453608267848E-3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input_591010!A$2</f>
        <v>591010</v>
      </c>
      <c r="B211" s="99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IFERROR(VLOOKUP(B211,input_591010!L:R,7,FALSE),VLOOKUP(tables_591010!C211,input_591010!A:H,8,FALSE))</f>
        <v>617625</v>
      </c>
      <c r="P211" s="46">
        <f ca="1">O211/SUM(O:O)</f>
        <v>4.2448453608267848E-3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input_591010!A$2</f>
        <v>591010</v>
      </c>
      <c r="B212" s="99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IFERROR(VLOOKUP(B212,input_591010!L:R,7,FALSE),VLOOKUP(tables_591010!C212,input_591010!A:H,8,FALSE))</f>
        <v>30660.57692</v>
      </c>
      <c r="P212" s="46">
        <f ca="1">O212/SUM(O:O)</f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input_591010!A$2</f>
        <v>591010</v>
      </c>
      <c r="B213" s="99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IFERROR(VLOOKUP(B213,input_591010!L:R,7,FALSE),VLOOKUP(tables_591010!C213,input_591010!A:H,8,FALSE))</f>
        <v>130950</v>
      </c>
      <c r="P213" s="46">
        <f ca="1">O213/SUM(O:O)</f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input_591010!A$2</f>
        <v>591010</v>
      </c>
      <c r="B214" s="99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IFERROR(VLOOKUP(B214,input_591010!L:R,7,FALSE),VLOOKUP(tables_591010!C214,input_591010!A:H,8,FALSE))</f>
        <v>14550</v>
      </c>
      <c r="P214" s="46">
        <f ca="1">O214/SUM(O:O)</f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input_591010!A$2</f>
        <v>591010</v>
      </c>
      <c r="B215" s="99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IFERROR(VLOOKUP(B215,input_591010!L:R,7,FALSE),VLOOKUP(tables_591010!C215,input_591010!A:H,8,FALSE))</f>
        <v>137250</v>
      </c>
      <c r="P215" s="46">
        <f ca="1">O215/SUM(O:O)</f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input_591010!A$2</f>
        <v>591010</v>
      </c>
      <c r="B216" s="99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IFERROR(VLOOKUP(B216,input_591010!L:R,7,FALSE),VLOOKUP(tables_591010!C216,input_591010!A:H,8,FALSE))</f>
        <v>137250</v>
      </c>
      <c r="P216" s="46">
        <f ca="1">O216/SUM(O:O)</f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input_591010!A$2</f>
        <v>591010</v>
      </c>
      <c r="B217" s="99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IFERROR(VLOOKUP(B217,input_591010!L:R,7,FALSE),VLOOKUP(tables_591010!C217,input_591010!A:H,8,FALSE))</f>
        <v>137250</v>
      </c>
      <c r="P217" s="46">
        <f ca="1">O217/SUM(O:O)</f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input_591010!A$2</f>
        <v>591010</v>
      </c>
      <c r="B218" s="99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IFERROR(VLOOKUP(B218,input_591010!L:R,7,FALSE),VLOOKUP(tables_591010!C218,input_591010!A:H,8,FALSE))</f>
        <v>137250</v>
      </c>
      <c r="P218" s="46">
        <f ca="1">O218/SUM(O:O)</f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input_591010!A$2</f>
        <v>591010</v>
      </c>
      <c r="B219" s="99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IFERROR(VLOOKUP(B219,input_591010!L:R,7,FALSE),VLOOKUP(tables_591010!C219,input_591010!A:H,8,FALSE))</f>
        <v>137250</v>
      </c>
      <c r="P219" s="46">
        <f ca="1">O219/SUM(O:O)</f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input_591010!A$2</f>
        <v>591010</v>
      </c>
      <c r="B220" s="99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IFERROR(VLOOKUP(B220,input_591010!L:R,7,FALSE),VLOOKUP(tables_591010!C220,input_591010!A:H,8,FALSE))</f>
        <v>137250</v>
      </c>
      <c r="P220" s="46">
        <f ca="1">O220/SUM(O:O)</f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input_591010!A$2</f>
        <v>591010</v>
      </c>
      <c r="B221" s="99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IFERROR(VLOOKUP(B221,input_591010!L:R,7,FALSE),VLOOKUP(tables_591010!C221,input_591010!A:H,8,FALSE))</f>
        <v>130950</v>
      </c>
      <c r="P221" s="46">
        <f ca="1">O221/SUM(O:O)</f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input_591010!A$2</f>
        <v>591010</v>
      </c>
      <c r="B222" s="99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IFERROR(VLOOKUP(B222,input_591010!L:R,7,FALSE),VLOOKUP(tables_591010!C222,input_591010!A:H,8,FALSE))</f>
        <v>14550</v>
      </c>
      <c r="P222" s="46">
        <f ca="1">O222/SUM(O:O)</f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input_591010!A$2</f>
        <v>591010</v>
      </c>
      <c r="B223" s="99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IFERROR(VLOOKUP(B223,input_591010!L:R,7,FALSE),VLOOKUP(tables_591010!C223,input_591010!A:H,8,FALSE))</f>
        <v>617625</v>
      </c>
      <c r="P223" s="46">
        <f ca="1">O223/SUM(O:O)</f>
        <v>4.2448453608267848E-3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input_591010!A$2</f>
        <v>591010</v>
      </c>
      <c r="B224" s="99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IFERROR(VLOOKUP(B224,input_591010!L:R,7,FALSE),VLOOKUP(tables_591010!C224,input_591010!A:H,8,FALSE))</f>
        <v>617625</v>
      </c>
      <c r="P224" s="46">
        <f ca="1">O224/SUM(O:O)</f>
        <v>4.2448453608267848E-3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input_591010!A$2</f>
        <v>591010</v>
      </c>
      <c r="B225" s="99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IFERROR(VLOOKUP(B225,input_591010!L:R,7,FALSE),VLOOKUP(tables_591010!C225,input_591010!A:H,8,FALSE))</f>
        <v>30660.57692</v>
      </c>
      <c r="P225" s="46">
        <f ca="1">O225/SUM(O:O)</f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input_591010!A$2</f>
        <v>591010</v>
      </c>
      <c r="B226" s="99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IFERROR(VLOOKUP(B226,input_591010!L:R,7,FALSE),VLOOKUP(tables_591010!C226,input_591010!A:H,8,FALSE))</f>
        <v>617625</v>
      </c>
      <c r="P226" s="46">
        <f ca="1">O226/SUM(O:O)</f>
        <v>4.2448453608267848E-3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input_591010!A$2</f>
        <v>591010</v>
      </c>
      <c r="B227" s="99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IFERROR(VLOOKUP(B227,input_591010!L:R,7,FALSE),VLOOKUP(tables_591010!C227,input_591010!A:H,8,FALSE))</f>
        <v>617625</v>
      </c>
      <c r="P227" s="46">
        <f ca="1">O227/SUM(O:O)</f>
        <v>4.2448453608267848E-3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input_591010!A$2</f>
        <v>591010</v>
      </c>
      <c r="B228" s="99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IFERROR(VLOOKUP(B228,input_591010!L:R,7,FALSE),VLOOKUP(tables_591010!C228,input_591010!A:H,8,FALSE))</f>
        <v>30660.57692</v>
      </c>
      <c r="P228" s="46">
        <f ca="1">O228/SUM(O:O)</f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input_591010!A$2</f>
        <v>591010</v>
      </c>
      <c r="B229" s="99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IFERROR(VLOOKUP(B229,input_591010!L:R,7,FALSE),VLOOKUP(tables_591010!C229,input_591010!A:H,8,FALSE))</f>
        <v>130950</v>
      </c>
      <c r="P229" s="46">
        <f ca="1">O229/SUM(O:O)</f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input_591010!A$2</f>
        <v>591010</v>
      </c>
      <c r="B230" s="99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IFERROR(VLOOKUP(B230,input_591010!L:R,7,FALSE),VLOOKUP(tables_591010!C230,input_591010!A:H,8,FALSE))</f>
        <v>14550</v>
      </c>
      <c r="P230" s="46">
        <f ca="1">O230/SUM(O:O)</f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input_591010!A$2</f>
        <v>591010</v>
      </c>
      <c r="B231" s="99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IFERROR(VLOOKUP(B231,input_591010!L:R,7,FALSE),VLOOKUP(tables_591010!C231,input_591010!A:H,8,FALSE))</f>
        <v>617625</v>
      </c>
      <c r="P231" s="46">
        <f ca="1">O231/SUM(O:O)</f>
        <v>4.2448453608267848E-3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input_591010!A$2</f>
        <v>591010</v>
      </c>
      <c r="B232" s="99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IFERROR(VLOOKUP(B232,input_591010!L:R,7,FALSE),VLOOKUP(tables_591010!C232,input_591010!A:H,8,FALSE))</f>
        <v>617625</v>
      </c>
      <c r="P232" s="46">
        <f ca="1">O232/SUM(O:O)</f>
        <v>4.2448453608267848E-3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input_591010!A$2</f>
        <v>591010</v>
      </c>
      <c r="B233" s="99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IFERROR(VLOOKUP(B233,input_591010!L:R,7,FALSE),VLOOKUP(tables_591010!C233,input_591010!A:H,8,FALSE))</f>
        <v>30660.57692</v>
      </c>
      <c r="P233" s="46">
        <f ca="1">O233/SUM(O:O)</f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input_591010!A$2</f>
        <v>591010</v>
      </c>
      <c r="B234" s="99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IFERROR(VLOOKUP(B234,input_591010!L:R,7,FALSE),VLOOKUP(tables_591010!C234,input_591010!A:H,8,FALSE))</f>
        <v>617625</v>
      </c>
      <c r="P234" s="46">
        <f ca="1">O234/SUM(O:O)</f>
        <v>4.2448453608267848E-3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input_591010!A$2</f>
        <v>591010</v>
      </c>
      <c r="B235" s="99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IFERROR(VLOOKUP(B235,input_591010!L:R,7,FALSE),VLOOKUP(tables_591010!C235,input_591010!A:H,8,FALSE))</f>
        <v>617625</v>
      </c>
      <c r="P235" s="46">
        <f ca="1">O235/SUM(O:O)</f>
        <v>4.2448453608267848E-3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input_591010!A$2</f>
        <v>591010</v>
      </c>
      <c r="B236" s="99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IFERROR(VLOOKUP(B236,input_591010!L:R,7,FALSE),VLOOKUP(tables_591010!C236,input_591010!A:H,8,FALSE))</f>
        <v>30660.57692</v>
      </c>
      <c r="P236" s="46">
        <f ca="1">O236/SUM(O:O)</f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input_591010!A$2</f>
        <v>591010</v>
      </c>
      <c r="B237" s="99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IFERROR(VLOOKUP(B237,input_591010!L:R,7,FALSE),VLOOKUP(tables_591010!C237,input_591010!A:H,8,FALSE))</f>
        <v>130950</v>
      </c>
      <c r="P237" s="46">
        <f ca="1">O237/SUM(O:O)</f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input_591010!A$2</f>
        <v>591010</v>
      </c>
      <c r="B238" s="99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IFERROR(VLOOKUP(B238,input_591010!L:R,7,FALSE),VLOOKUP(tables_591010!C238,input_591010!A:H,8,FALSE))</f>
        <v>14550</v>
      </c>
      <c r="P238" s="46">
        <f ca="1">O238/SUM(O:O)</f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input_591010!A$2</f>
        <v>591010</v>
      </c>
      <c r="B239" s="99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IFERROR(VLOOKUP(B239,input_591010!L:R,7,FALSE),VLOOKUP(tables_591010!C239,input_591010!A:H,8,FALSE))</f>
        <v>617625</v>
      </c>
      <c r="P239" s="46">
        <f ca="1">O239/SUM(O:O)</f>
        <v>4.2448453608267848E-3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input_591010!A$2</f>
        <v>591010</v>
      </c>
      <c r="B240" s="99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IFERROR(VLOOKUP(B240,input_591010!L:R,7,FALSE),VLOOKUP(tables_591010!C240,input_591010!A:H,8,FALSE))</f>
        <v>617625</v>
      </c>
      <c r="P240" s="46">
        <f ca="1">O240/SUM(O:O)</f>
        <v>4.2448453608267848E-3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input_591010!A$2</f>
        <v>591010</v>
      </c>
      <c r="B241" s="99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IFERROR(VLOOKUP(B241,input_591010!L:R,7,FALSE),VLOOKUP(tables_591010!C241,input_591010!A:H,8,FALSE))</f>
        <v>30660.57692</v>
      </c>
      <c r="P241" s="46">
        <f ca="1">O241/SUM(O:O)</f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input_591010!A$2</f>
        <v>591010</v>
      </c>
      <c r="B242" s="99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IFERROR(VLOOKUP(B242,input_591010!L:R,7,FALSE),VLOOKUP(tables_591010!C242,input_591010!A:H,8,FALSE))</f>
        <v>130950</v>
      </c>
      <c r="P242" s="46">
        <f ca="1">O242/SUM(O:O)</f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input_591010!A$2</f>
        <v>591010</v>
      </c>
      <c r="B243" s="99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IFERROR(VLOOKUP(B243,input_591010!L:R,7,FALSE),VLOOKUP(tables_591010!C243,input_591010!A:H,8,FALSE))</f>
        <v>14550</v>
      </c>
      <c r="P243" s="46">
        <f ca="1">O243/SUM(O:O)</f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input_591010!A$2</f>
        <v>591010</v>
      </c>
      <c r="B244" s="99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IFERROR(VLOOKUP(B244,input_591010!L:R,7,FALSE),VLOOKUP(tables_591010!C244,input_591010!A:H,8,FALSE))</f>
        <v>130950</v>
      </c>
      <c r="P244" s="46">
        <f ca="1">O244/SUM(O:O)</f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input_591010!A$2</f>
        <v>591010</v>
      </c>
      <c r="B245" s="99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IFERROR(VLOOKUP(B245,input_591010!L:R,7,FALSE),VLOOKUP(tables_591010!C245,input_591010!A:H,8,FALSE))</f>
        <v>14550</v>
      </c>
      <c r="P245" s="46">
        <f ca="1">O245/SUM(O:O)</f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input_591010!A$2</f>
        <v>591010</v>
      </c>
      <c r="B246" s="99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IFERROR(VLOOKUP(B246,input_591010!L:R,7,FALSE),VLOOKUP(tables_591010!C246,input_591010!A:H,8,FALSE))</f>
        <v>617625</v>
      </c>
      <c r="P246" s="46">
        <f ca="1">O246/SUM(O:O)</f>
        <v>4.2448453608267848E-3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input_591010!A$2</f>
        <v>591010</v>
      </c>
      <c r="B247" s="99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IFERROR(VLOOKUP(B247,input_591010!L:R,7,FALSE),VLOOKUP(tables_591010!C247,input_591010!A:H,8,FALSE))</f>
        <v>617625</v>
      </c>
      <c r="P247" s="46">
        <f ca="1">O247/SUM(O:O)</f>
        <v>4.2448453608267848E-3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input_591010!A$2</f>
        <v>591010</v>
      </c>
      <c r="B248" s="99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IFERROR(VLOOKUP(B248,input_591010!L:R,7,FALSE),VLOOKUP(tables_591010!C248,input_591010!A:H,8,FALSE))</f>
        <v>30660.57692</v>
      </c>
      <c r="P248" s="46">
        <f ca="1">O248/SUM(O:O)</f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input_591010!A$2</f>
        <v>591010</v>
      </c>
      <c r="B249" s="99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IFERROR(VLOOKUP(B249,input_591010!L:R,7,FALSE),VLOOKUP(tables_591010!C249,input_591010!A:H,8,FALSE))</f>
        <v>617625</v>
      </c>
      <c r="P249" s="46">
        <f ca="1">O249/SUM(O:O)</f>
        <v>4.2448453608267848E-3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input_591010!A$2</f>
        <v>591010</v>
      </c>
      <c r="B250" s="99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IFERROR(VLOOKUP(B250,input_591010!L:R,7,FALSE),VLOOKUP(tables_591010!C250,input_591010!A:H,8,FALSE))</f>
        <v>617625</v>
      </c>
      <c r="P250" s="46">
        <f ca="1">O250/SUM(O:O)</f>
        <v>4.2448453608267848E-3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input_591010!A$2</f>
        <v>591010</v>
      </c>
      <c r="B251" s="99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IFERROR(VLOOKUP(B251,input_591010!L:R,7,FALSE),VLOOKUP(tables_591010!C251,input_591010!A:H,8,FALSE))</f>
        <v>30660.57692</v>
      </c>
      <c r="P251" s="46">
        <f ca="1">O251/SUM(O:O)</f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input_591010!A$2</f>
        <v>591010</v>
      </c>
      <c r="B252" s="99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IFERROR(VLOOKUP(B252,input_591010!L:R,7,FALSE),VLOOKUP(tables_591010!C252,input_591010!A:H,8,FALSE))</f>
        <v>617625</v>
      </c>
      <c r="P252" s="46">
        <f ca="1">O252/SUM(O:O)</f>
        <v>4.2448453608267848E-3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input_591010!A$2</f>
        <v>591010</v>
      </c>
      <c r="B253" s="99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IFERROR(VLOOKUP(B253,input_591010!L:R,7,FALSE),VLOOKUP(tables_591010!C253,input_591010!A:H,8,FALSE))</f>
        <v>617625</v>
      </c>
      <c r="P253" s="46">
        <f ca="1">O253/SUM(O:O)</f>
        <v>4.2448453608267848E-3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input_591010!A$2</f>
        <v>591010</v>
      </c>
      <c r="B254" s="99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IFERROR(VLOOKUP(B254,input_591010!L:R,7,FALSE),VLOOKUP(tables_591010!C254,input_591010!A:H,8,FALSE))</f>
        <v>30660.57692</v>
      </c>
      <c r="P254" s="46">
        <f ca="1">O254/SUM(O:O)</f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input_591010!A$2</f>
        <v>591010</v>
      </c>
      <c r="B255" s="99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IFERROR(VLOOKUP(B255,input_591010!L:R,7,FALSE),VLOOKUP(tables_591010!C255,input_591010!A:H,8,FALSE))</f>
        <v>617625</v>
      </c>
      <c r="P255" s="46">
        <f ca="1">O255/SUM(O:O)</f>
        <v>4.2448453608267848E-3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input_591010!A$2</f>
        <v>591010</v>
      </c>
      <c r="B256" s="99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IFERROR(VLOOKUP(B256,input_591010!L:R,7,FALSE),VLOOKUP(tables_591010!C256,input_591010!A:H,8,FALSE))</f>
        <v>617625</v>
      </c>
      <c r="P256" s="46">
        <f ca="1">O256/SUM(O:O)</f>
        <v>4.2448453608267848E-3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input_591010!A$2</f>
        <v>591010</v>
      </c>
      <c r="B257" s="99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IFERROR(VLOOKUP(B257,input_591010!L:R,7,FALSE),VLOOKUP(tables_591010!C257,input_591010!A:H,8,FALSE))</f>
        <v>30660.57692</v>
      </c>
      <c r="P257" s="46">
        <f ca="1">O257/SUM(O:O)</f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input_591010!A$2</f>
        <v>591010</v>
      </c>
      <c r="B258" s="99">
        <v>674</v>
      </c>
      <c r="C258" s="7" t="str">
        <f t="shared" ref="C258:C284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IFERROR(VLOOKUP(B258,input_591010!L:R,7,FALSE),VLOOKUP(tables_591010!C258,input_591010!A:H,8,FALSE))</f>
        <v>130950</v>
      </c>
      <c r="P258" s="46">
        <f ca="1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input_591010!A$2</f>
        <v>591010</v>
      </c>
      <c r="B259" s="99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IFERROR(VLOOKUP(B259,input_591010!L:R,7,FALSE),VLOOKUP(tables_591010!C259,input_591010!A:H,8,FALSE))</f>
        <v>14550</v>
      </c>
      <c r="P259" s="46">
        <f ca="1">O259/SUM(O:O)</f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input_591010!A$2</f>
        <v>591010</v>
      </c>
      <c r="B260" s="99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IFERROR(VLOOKUP(B260,input_591010!L:R,7,FALSE),VLOOKUP(tables_591010!C260,input_591010!A:H,8,FALSE))</f>
        <v>130950</v>
      </c>
      <c r="P260" s="46">
        <f ca="1">O260/SUM(O:O)</f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input_591010!A$2</f>
        <v>591010</v>
      </c>
      <c r="B261" s="99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IFERROR(VLOOKUP(B261,input_591010!L:R,7,FALSE),VLOOKUP(tables_591010!C261,input_591010!A:H,8,FALSE))</f>
        <v>14550</v>
      </c>
      <c r="P261" s="46">
        <f ca="1">O261/SUM(O:O)</f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input_591010!A$2</f>
        <v>591010</v>
      </c>
      <c r="B262" s="99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IFERROR(VLOOKUP(B262,input_591010!L:R,7,FALSE),VLOOKUP(tables_591010!C262,input_591010!A:H,8,FALSE))</f>
        <v>1196035.71429</v>
      </c>
      <c r="P262" s="46">
        <f ca="1">O262/SUM(O:O)</f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input_591010!A$2</f>
        <v>591010</v>
      </c>
      <c r="B263" s="99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IFERROR(VLOOKUP(B263,input_591010!L:R,7,FALSE),VLOOKUP(tables_591010!C263,input_591010!A:H,8,FALSE))</f>
        <v>137250</v>
      </c>
      <c r="P263" s="46">
        <f ca="1">O263/SUM(O:O)</f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input_591010!A$2</f>
        <v>591010</v>
      </c>
      <c r="B264" s="99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IFERROR(VLOOKUP(B264,input_591010!L:R,7,FALSE),VLOOKUP(tables_591010!C264,input_591010!A:H,8,FALSE))</f>
        <v>1196035.71429</v>
      </c>
      <c r="P264" s="46">
        <f ca="1">O264/SUM(O:O)</f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input_591010!A$2</f>
        <v>591010</v>
      </c>
      <c r="B265" s="99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IFERROR(VLOOKUP(B265,input_591010!L:R,7,FALSE),VLOOKUP(tables_591010!C265,input_591010!A:H,8,FALSE))</f>
        <v>137250</v>
      </c>
      <c r="P265" s="46">
        <f ca="1">O265/SUM(O:O)</f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input_591010!A$2</f>
        <v>591010</v>
      </c>
      <c r="B266" s="99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IFERROR(VLOOKUP(B266,input_591010!L:R,7,FALSE),VLOOKUP(tables_591010!C266,input_591010!A:H,8,FALSE))</f>
        <v>145500</v>
      </c>
      <c r="P266" s="46">
        <f ca="1">O266/SUM(O:O)</f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input_591010!A$2</f>
        <v>591010</v>
      </c>
      <c r="B267" s="99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IFERROR(VLOOKUP(B267,input_591010!L:R,7,FALSE),VLOOKUP(tables_591010!C267,input_591010!A:H,8,FALSE))</f>
        <v>145500</v>
      </c>
      <c r="P267" s="46">
        <f ca="1">O267/SUM(O:O)</f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input_591010!A$2</f>
        <v>591010</v>
      </c>
      <c r="B268" s="99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IFERROR(VLOOKUP(B268,input_591010!L:R,7,FALSE),VLOOKUP(tables_591010!C268,input_591010!A:H,8,FALSE))</f>
        <v>145500</v>
      </c>
      <c r="P268" s="46">
        <f ca="1">O268/SUM(O:O)</f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input_591010!A$2</f>
        <v>591010</v>
      </c>
      <c r="B269" s="99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IFERROR(VLOOKUP(B269,input_591010!L:R,7,FALSE),VLOOKUP(tables_591010!C269,input_591010!A:H,8,FALSE))</f>
        <v>145500</v>
      </c>
      <c r="P269" s="46">
        <f ca="1">O269/SUM(O:O)</f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input_591010!A$2</f>
        <v>591010</v>
      </c>
      <c r="B270" s="99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IFERROR(VLOOKUP(B270,input_591010!L:R,7,FALSE),VLOOKUP(tables_591010!C270,input_591010!A:H,8,FALSE))</f>
        <v>1196035.71429</v>
      </c>
      <c r="P270" s="46">
        <f ca="1">O270/SUM(O:O)</f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input_591010!A$2</f>
        <v>591010</v>
      </c>
      <c r="B271" s="101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IFERROR(VLOOKUP(B271,input_591010!L:R,7,FALSE),VLOOKUP(tables_591010!C271,input_591010!A:H,8,FALSE))</f>
        <v>137250</v>
      </c>
      <c r="P271" s="46">
        <f ca="1">O271/SUM(O:O)</f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input_591010!A$2</f>
        <v>591010</v>
      </c>
      <c r="B272" s="101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IFERROR(VLOOKUP(B272,input_591010!L:R,7,FALSE),VLOOKUP(tables_591010!C272,input_591010!A:H,8,FALSE))</f>
        <v>1196035.71429</v>
      </c>
      <c r="P272" s="46">
        <f ca="1">O272/SUM(O:O)</f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input_591010!A$2</f>
        <v>591010</v>
      </c>
      <c r="B273" s="101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IFERROR(VLOOKUP(B273,input_591010!L:R,7,FALSE),VLOOKUP(tables_591010!C273,input_591010!A:H,8,FALSE))</f>
        <v>137250</v>
      </c>
      <c r="P273" s="46">
        <f ca="1">O273/SUM(O:O)</f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input_591010!A$2</f>
        <v>591010</v>
      </c>
      <c r="B274" s="101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IFERROR(VLOOKUP(B274,input_591010!L:R,7,FALSE),VLOOKUP(tables_591010!C274,input_591010!A:H,8,FALSE))</f>
        <v>130950</v>
      </c>
      <c r="P274" s="46">
        <f ca="1">O274/SUM(O:O)</f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input_591010!A$2</f>
        <v>591010</v>
      </c>
      <c r="B275" s="101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IFERROR(VLOOKUP(B275,input_591010!L:R,7,FALSE),VLOOKUP(tables_591010!C275,input_591010!A:H,8,FALSE))</f>
        <v>14550</v>
      </c>
      <c r="P275" s="46">
        <f ca="1">O275/SUM(O:O)</f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input_591010!A$2</f>
        <v>591010</v>
      </c>
      <c r="B276" s="101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IFERROR(VLOOKUP(B276,input_591010!L:R,7,FALSE),VLOOKUP(tables_591010!C276,input_591010!A:H,8,FALSE))</f>
        <v>130950</v>
      </c>
      <c r="P276" s="46">
        <f ca="1">O276/SUM(O:O)</f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input_591010!A$2</f>
        <v>591010</v>
      </c>
      <c r="B277" s="101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IFERROR(VLOOKUP(B277,input_591010!L:R,7,FALSE),VLOOKUP(tables_591010!C277,input_591010!A:H,8,FALSE))</f>
        <v>14550</v>
      </c>
      <c r="P277" s="46">
        <f ca="1">O277/SUM(O:O)</f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input_591010!A$2</f>
        <v>591010</v>
      </c>
      <c r="B278" s="101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IFERROR(VLOOKUP(B278,input_591010!L:R,7,FALSE),VLOOKUP(tables_591010!C278,input_591010!A:H,8,FALSE))</f>
        <v>617625</v>
      </c>
      <c r="P278" s="46">
        <f ca="1">O278/SUM(O:O)</f>
        <v>4.2448453608267848E-3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input_591010!A$2</f>
        <v>591010</v>
      </c>
      <c r="B279" s="101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IFERROR(VLOOKUP(B279,input_591010!L:R,7,FALSE),VLOOKUP(tables_591010!C279,input_591010!A:H,8,FALSE))</f>
        <v>617625</v>
      </c>
      <c r="P279" s="46">
        <f ca="1">O279/SUM(O:O)</f>
        <v>4.2448453608267848E-3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input_591010!A$2</f>
        <v>591010</v>
      </c>
      <c r="B280" s="101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IFERROR(VLOOKUP(B280,input_591010!L:R,7,FALSE),VLOOKUP(tables_591010!C280,input_591010!A:H,8,FALSE))</f>
        <v>30660.57692</v>
      </c>
      <c r="P280" s="46">
        <f ca="1">O280/SUM(O:O)</f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input_591010!A$2</f>
        <v>591010</v>
      </c>
      <c r="B281" s="101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IFERROR(VLOOKUP(B281,input_591010!L:R,7,FALSE),VLOOKUP(tables_591010!C281,input_591010!A:H,8,FALSE))</f>
        <v>617625</v>
      </c>
      <c r="P281" s="46">
        <f ca="1">O281/SUM(O:O)</f>
        <v>4.2448453608267848E-3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input_591010!A$2</f>
        <v>591010</v>
      </c>
      <c r="B282" s="101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IFERROR(VLOOKUP(B282,input_591010!L:R,7,FALSE),VLOOKUP(tables_591010!C282,input_591010!A:H,8,FALSE))</f>
        <v>617625</v>
      </c>
      <c r="P282" s="46">
        <f ca="1">O282/SUM(O:O)</f>
        <v>4.2448453608267848E-3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input_591010!A$2</f>
        <v>591010</v>
      </c>
      <c r="B283" s="101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IFERROR(VLOOKUP(B283,input_591010!L:R,7,FALSE),VLOOKUP(tables_591010!C283,input_591010!A:H,8,FALSE))</f>
        <v>30660.57692</v>
      </c>
      <c r="P283" s="46">
        <f ca="1">O283/SUM(O:O)</f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input_591010!A$2</f>
        <v>591010</v>
      </c>
      <c r="B284" s="101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IFERROR(VLOOKUP(B284,input_591010!L:R,7,FALSE),VLOOKUP(tables_591010!C284,input_591010!A:H,8,FALSE))</f>
        <v>145500</v>
      </c>
      <c r="P284" s="46">
        <f ca="1">O284/SUM(O:O)</f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input_591010!A$2</f>
        <v>591010</v>
      </c>
      <c r="B285" s="101">
        <v>850</v>
      </c>
      <c r="C285" s="7" t="str">
        <f t="shared" ref="C285:C289" si="10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IFERROR(VLOOKUP(B285,input_591010!L:R,7,FALSE),VLOOKUP(tables_591010!C285,input_591010!A:H,8,FALSE))</f>
        <v>145500</v>
      </c>
      <c r="P285" s="46">
        <f ca="1">O285/SUM(O:O)</f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input_591010!A$2</f>
        <v>591010</v>
      </c>
      <c r="B286" s="101">
        <v>852</v>
      </c>
      <c r="C286" s="7" t="str">
        <f t="shared" si="10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IFERROR(VLOOKUP(B286,input_591010!L:R,7,FALSE),VLOOKUP(tables_591010!C286,input_591010!A:H,8,FALSE))</f>
        <v>1196035.71429</v>
      </c>
      <c r="P286" s="46">
        <f ca="1">O286/SUM(O:O)</f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input_591010!A$2</f>
        <v>591010</v>
      </c>
      <c r="B287" s="101">
        <v>853</v>
      </c>
      <c r="C287" s="7" t="str">
        <f t="shared" si="10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IFERROR(VLOOKUP(B287,input_591010!L:R,7,FALSE),VLOOKUP(tables_591010!C287,input_591010!A:H,8,FALSE))</f>
        <v>137250</v>
      </c>
      <c r="P287" s="46">
        <f ca="1">O287/SUM(O:O)</f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input_591010!A$2</f>
        <v>591010</v>
      </c>
      <c r="B288" s="101">
        <v>854</v>
      </c>
      <c r="C288" s="7" t="str">
        <f t="shared" si="10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IFERROR(VLOOKUP(B288,input_591010!L:R,7,FALSE),VLOOKUP(tables_591010!C288,input_591010!A:H,8,FALSE))</f>
        <v>1196035.71429</v>
      </c>
      <c r="P288" s="46">
        <f ca="1">O288/SUM(O:O)</f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input_591010!A$2</f>
        <v>591010</v>
      </c>
      <c r="B289" s="101">
        <v>855</v>
      </c>
      <c r="C289" s="7" t="str">
        <f t="shared" si="10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IFERROR(VLOOKUP(B289,input_591010!L:R,7,FALSE),VLOOKUP(tables_591010!C289,input_591010!A:H,8,FALSE))</f>
        <v>137250</v>
      </c>
      <c r="P289" s="46">
        <f ca="1">O289/SUM(O:O)</f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input_591010!A$2</f>
        <v>591010</v>
      </c>
      <c r="B290" s="101">
        <v>862</v>
      </c>
      <c r="C290" s="7" t="str">
        <f t="shared" ref="C290:C294" si="11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IFERROR(VLOOKUP(B290,input_591010!L:R,7,FALSE),VLOOKUP(tables_591010!C290,input_591010!A:H,8,FALSE))</f>
        <v>1196035.71429</v>
      </c>
      <c r="P290" s="46">
        <f ca="1">O290/SUM(O:O)</f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input_591010!A$2</f>
        <v>591010</v>
      </c>
      <c r="B291" s="101">
        <v>863</v>
      </c>
      <c r="C291" s="7" t="str">
        <f t="shared" si="11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IFERROR(VLOOKUP(B291,input_591010!L:R,7,FALSE),VLOOKUP(tables_591010!C291,input_591010!A:H,8,FALSE))</f>
        <v>137250</v>
      </c>
      <c r="P291" s="46">
        <f ca="1">O291/SUM(O:O)</f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input_591010!A$2</f>
        <v>591010</v>
      </c>
      <c r="B292" s="101">
        <v>864</v>
      </c>
      <c r="C292" s="7" t="str">
        <f t="shared" si="11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IFERROR(VLOOKUP(B292,input_591010!L:R,7,FALSE),VLOOKUP(tables_591010!C292,input_591010!A:H,8,FALSE))</f>
        <v>1196035.71429</v>
      </c>
      <c r="P292" s="46">
        <f ca="1">O292/SUM(O:O)</f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input_591010!A$2</f>
        <v>591010</v>
      </c>
      <c r="B293" s="101">
        <v>865</v>
      </c>
      <c r="C293" s="7" t="str">
        <f t="shared" si="11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IFERROR(VLOOKUP(B293,input_591010!L:R,7,FALSE),VLOOKUP(tables_591010!C293,input_591010!A:H,8,FALSE))</f>
        <v>137250</v>
      </c>
      <c r="P293" s="46">
        <f ca="1">O293/SUM(O:O)</f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input_591010!A$2</f>
        <v>591010</v>
      </c>
      <c r="B294" s="101">
        <v>866</v>
      </c>
      <c r="C294" s="7" t="str">
        <f t="shared" si="11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IFERROR(VLOOKUP(B294,input_591010!L:R,7,FALSE),VLOOKUP(tables_591010!C294,input_591010!A:H,8,FALSE))</f>
        <v>145500</v>
      </c>
      <c r="P294" s="46">
        <f ca="1">O294/SUM(O:O)</f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input_591010!A$2</f>
        <v>591010</v>
      </c>
      <c r="B295" s="101">
        <v>868</v>
      </c>
      <c r="C295" s="7" t="str">
        <f t="shared" ref="C295:C299" si="12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IFERROR(VLOOKUP(B295,input_591010!L:R,7,FALSE),VLOOKUP(tables_591010!C295,input_591010!A:H,8,FALSE))</f>
        <v>145500</v>
      </c>
      <c r="P295" s="46">
        <f ca="1">O295/SUM(O:O)</f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input_591010!A$2</f>
        <v>591010</v>
      </c>
      <c r="B296" s="101">
        <v>937</v>
      </c>
      <c r="C296" s="7" t="str">
        <f t="shared" si="12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IFERROR(VLOOKUP(B296,input_591010!L:R,7,FALSE),VLOOKUP(tables_591010!C296,input_591010!A:H,8,FALSE))</f>
        <v>145500</v>
      </c>
      <c r="P296" s="46">
        <f ca="1">O296/SUM(O:O)</f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input_591010!A$2</f>
        <v>591010</v>
      </c>
      <c r="B297" s="101">
        <v>939</v>
      </c>
      <c r="C297" s="7" t="str">
        <f t="shared" si="12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IFERROR(VLOOKUP(B297,input_591010!L:R,7,FALSE),VLOOKUP(tables_591010!C297,input_591010!A:H,8,FALSE))</f>
        <v>1196035.71429</v>
      </c>
      <c r="P297" s="46">
        <f ca="1">O297/SUM(O:O)</f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input_591010!A$2</f>
        <v>591010</v>
      </c>
      <c r="B298" s="101">
        <v>940</v>
      </c>
      <c r="C298" s="7" t="str">
        <f t="shared" si="12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IFERROR(VLOOKUP(B298,input_591010!L:R,7,FALSE),VLOOKUP(tables_591010!C298,input_591010!A:H,8,FALSE))</f>
        <v>137250</v>
      </c>
      <c r="P298" s="46">
        <f ca="1">O298/SUM(O:O)</f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input_591010!A$2</f>
        <v>591010</v>
      </c>
      <c r="B299" s="101">
        <v>941</v>
      </c>
      <c r="C299" s="7" t="str">
        <f t="shared" si="12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IFERROR(VLOOKUP(B299,input_591010!L:R,7,FALSE),VLOOKUP(tables_591010!C299,input_591010!A:H,8,FALSE))</f>
        <v>145500</v>
      </c>
      <c r="P299" s="46">
        <f ca="1">O299/SUM(O:O)</f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input_591010!A$2</f>
        <v>591010</v>
      </c>
      <c r="B300" s="101">
        <v>943</v>
      </c>
      <c r="C300" s="7" t="str">
        <f t="shared" ref="C300:C304" si="13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IFERROR(VLOOKUP(B300,input_591010!L:R,7,FALSE),VLOOKUP(tables_591010!C300,input_591010!A:H,8,FALSE))</f>
        <v>145500</v>
      </c>
      <c r="P300" s="46">
        <f ca="1">O300/SUM(O:O)</f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input_591010!A$2</f>
        <v>591010</v>
      </c>
      <c r="B301" s="101">
        <v>1012</v>
      </c>
      <c r="C301" s="7" t="str">
        <f t="shared" si="13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IFERROR(VLOOKUP(B301,input_591010!L:R,7,FALSE),VLOOKUP(tables_591010!C301,input_591010!A:H,8,FALSE))</f>
        <v>145500</v>
      </c>
      <c r="P301" s="46">
        <f ca="1">O301/SUM(O:O)</f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input_591010!A$2</f>
        <v>591010</v>
      </c>
      <c r="B302" s="101">
        <v>1014</v>
      </c>
      <c r="C302" s="7" t="str">
        <f t="shared" si="13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IFERROR(VLOOKUP(B302,input_591010!L:R,7,FALSE),VLOOKUP(tables_591010!C302,input_591010!A:H,8,FALSE))</f>
        <v>145500</v>
      </c>
      <c r="P302" s="46">
        <f ca="1">O302/SUM(O:O)</f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input_591010!A$2</f>
        <v>591010</v>
      </c>
      <c r="B303" s="101">
        <v>1016</v>
      </c>
      <c r="C303" s="7" t="str">
        <f t="shared" si="13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IFERROR(VLOOKUP(B303,input_591010!L:R,7,FALSE),VLOOKUP(tables_591010!C303,input_591010!A:H,8,FALSE))</f>
        <v>1196035.71429</v>
      </c>
      <c r="P303" s="46">
        <f ca="1">O303/SUM(O:O)</f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input_591010!A$2</f>
        <v>591010</v>
      </c>
      <c r="B304" s="101">
        <v>1017</v>
      </c>
      <c r="C304" s="7" t="str">
        <f t="shared" si="13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IFERROR(VLOOKUP(B304,input_591010!L:R,7,FALSE),VLOOKUP(tables_591010!C304,input_591010!A:H,8,FALSE))</f>
        <v>137250</v>
      </c>
      <c r="P304" s="46">
        <f ca="1">O304/SUM(O:O)</f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input_591010!A$2</f>
        <v>591010</v>
      </c>
      <c r="B305" s="101">
        <v>1018</v>
      </c>
      <c r="C305" s="7" t="str">
        <f t="shared" ref="C305:C309" si="14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IFERROR(VLOOKUP(B305,input_591010!L:R,7,FALSE),VLOOKUP(tables_591010!C305,input_591010!A:H,8,FALSE))</f>
        <v>145500</v>
      </c>
      <c r="P305" s="46">
        <f ca="1">O305/SUM(O:O)</f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input_591010!A$2</f>
        <v>591010</v>
      </c>
      <c r="B306" s="101">
        <v>1026</v>
      </c>
      <c r="C306" s="7" t="str">
        <f t="shared" si="14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IFERROR(VLOOKUP(B306,input_591010!L:R,7,FALSE),VLOOKUP(tables_591010!C306,input_591010!A:H,8,FALSE))</f>
        <v>1196035.71429</v>
      </c>
      <c r="P306" s="46">
        <f ca="1">O306/SUM(O:O)</f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input_591010!A$2</f>
        <v>591010</v>
      </c>
      <c r="B307" s="101">
        <v>1027</v>
      </c>
      <c r="C307" s="7" t="str">
        <f t="shared" si="14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IFERROR(VLOOKUP(B307,input_591010!L:R,7,FALSE),VLOOKUP(tables_591010!C307,input_591010!A:H,8,FALSE))</f>
        <v>137250</v>
      </c>
      <c r="P307" s="46">
        <f ca="1">O307/SUM(O:O)</f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input_591010!A$2</f>
        <v>591010</v>
      </c>
      <c r="B308" s="101">
        <v>1028</v>
      </c>
      <c r="C308" s="7" t="str">
        <f t="shared" si="14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IFERROR(VLOOKUP(B308,input_591010!L:R,7,FALSE),VLOOKUP(tables_591010!C308,input_591010!A:H,8,FALSE))</f>
        <v>145500</v>
      </c>
      <c r="P308" s="46">
        <f ca="1">O308/SUM(O:O)</f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input_591010!A$2</f>
        <v>591010</v>
      </c>
      <c r="B309" s="101">
        <v>1031</v>
      </c>
      <c r="C309" s="7" t="str">
        <f t="shared" si="14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IFERROR(VLOOKUP(B309,input_591010!L:R,7,FALSE),VLOOKUP(tables_591010!C309,input_591010!A:H,8,FALSE))</f>
        <v>145500</v>
      </c>
      <c r="P309" s="46">
        <f ca="1">O309/SUM(O:O)</f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input_591010!A$2</f>
        <v>591010</v>
      </c>
      <c r="B310" s="101">
        <v>1033</v>
      </c>
      <c r="C310" s="7" t="str">
        <f t="shared" ref="C310:C314" si="15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IFERROR(VLOOKUP(B310,input_591010!L:R,7,FALSE),VLOOKUP(tables_591010!C310,input_591010!A:H,8,FALSE))</f>
        <v>145500</v>
      </c>
      <c r="P310" s="46">
        <f ca="1">O310/SUM(O:O)</f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input_591010!A$2</f>
        <v>591010</v>
      </c>
      <c r="B311" s="101">
        <v>1067</v>
      </c>
      <c r="C311" s="7" t="str">
        <f t="shared" si="15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IFERROR(VLOOKUP(B311,input_591010!L:R,7,FALSE),VLOOKUP(tables_591010!C311,input_591010!A:H,8,FALSE))</f>
        <v>1196035.71429</v>
      </c>
      <c r="P311" s="46">
        <f ca="1">O311/SUM(O:O)</f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input_591010!A$2</f>
        <v>591010</v>
      </c>
      <c r="B312" s="101">
        <v>1068</v>
      </c>
      <c r="C312" s="7" t="str">
        <f t="shared" si="15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IFERROR(VLOOKUP(B312,input_591010!L:R,7,FALSE),VLOOKUP(tables_591010!C312,input_591010!A:H,8,FALSE))</f>
        <v>137250</v>
      </c>
      <c r="P312" s="46">
        <f ca="1">O312/SUM(O:O)</f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input_591010!A$2</f>
        <v>591010</v>
      </c>
      <c r="B313" s="101">
        <v>1069</v>
      </c>
      <c r="C313" s="7" t="str">
        <f t="shared" si="15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IFERROR(VLOOKUP(B313,input_591010!L:R,7,FALSE),VLOOKUP(tables_591010!C313,input_591010!A:H,8,FALSE))</f>
        <v>145500</v>
      </c>
      <c r="P313" s="46">
        <f ca="1">O313/SUM(O:O)</f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input_591010!A$2</f>
        <v>591010</v>
      </c>
      <c r="B314" s="101">
        <v>1072</v>
      </c>
      <c r="C314" s="7" t="str">
        <f t="shared" si="15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IFERROR(VLOOKUP(B314,input_591010!L:R,7,FALSE),VLOOKUP(tables_591010!C314,input_591010!A:H,8,FALSE))</f>
        <v>145500</v>
      </c>
      <c r="P314" s="46">
        <f ca="1">O314/SUM(O:O)</f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input_591010!A$2</f>
        <v>591010</v>
      </c>
      <c r="B315" s="101">
        <v>1074</v>
      </c>
      <c r="C315" s="7" t="str">
        <f t="shared" ref="C315:C319" si="16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IFERROR(VLOOKUP(B315,input_591010!L:R,7,FALSE),VLOOKUP(tables_591010!C315,input_591010!A:H,8,FALSE))</f>
        <v>145500</v>
      </c>
      <c r="P315" s="46">
        <f ca="1">O315/SUM(O:O)</f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input_591010!A$2</f>
        <v>591010</v>
      </c>
      <c r="B316" s="101">
        <v>1100</v>
      </c>
      <c r="C316" s="7" t="str">
        <f t="shared" si="16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IFERROR(VLOOKUP(B316,input_591010!L:R,7,FALSE),VLOOKUP(tables_591010!C316,input_591010!A:H,8,FALSE))</f>
        <v>145500</v>
      </c>
      <c r="P316" s="46">
        <f ca="1">O316/SUM(O:O)</f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input_591010!A$2</f>
        <v>591010</v>
      </c>
      <c r="B317" s="101">
        <v>1102</v>
      </c>
      <c r="C317" s="7" t="str">
        <f t="shared" si="16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IFERROR(VLOOKUP(B317,input_591010!L:R,7,FALSE),VLOOKUP(tables_591010!C317,input_591010!A:H,8,FALSE))</f>
        <v>145500</v>
      </c>
      <c r="P317" s="46">
        <f ca="1">O317/SUM(O:O)</f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input_591010!A$2</f>
        <v>591010</v>
      </c>
      <c r="B318" s="101">
        <v>1104</v>
      </c>
      <c r="C318" s="7" t="str">
        <f t="shared" si="16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IFERROR(VLOOKUP(B318,input_591010!L:R,7,FALSE),VLOOKUP(tables_591010!C318,input_591010!A:H,8,FALSE))</f>
        <v>1196035.71429</v>
      </c>
      <c r="P318" s="46">
        <f ca="1">O318/SUM(O:O)</f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input_591010!A$2</f>
        <v>591010</v>
      </c>
      <c r="B319" s="101">
        <v>1105</v>
      </c>
      <c r="C319" s="7" t="str">
        <f t="shared" si="16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IFERROR(VLOOKUP(B319,input_591010!L:R,7,FALSE),VLOOKUP(tables_591010!C319,input_591010!A:H,8,FALSE))</f>
        <v>137250</v>
      </c>
      <c r="P319" s="46">
        <f ca="1">O319/SUM(O:O)</f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input_591010!A$2</f>
        <v>591010</v>
      </c>
      <c r="B320" s="101">
        <v>1106</v>
      </c>
      <c r="C320" s="7" t="str">
        <f t="shared" ref="C320:C324" si="17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IFERROR(VLOOKUP(B320,input_591010!L:R,7,FALSE),VLOOKUP(tables_591010!C320,input_591010!A:H,8,FALSE))</f>
        <v>145500</v>
      </c>
      <c r="P320" s="46">
        <f ca="1">O320/SUM(O:O)</f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input_591010!A$2</f>
        <v>591010</v>
      </c>
      <c r="B321" s="101">
        <v>1137</v>
      </c>
      <c r="C321" s="7" t="str">
        <f t="shared" si="17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IFERROR(VLOOKUP(B321,input_591010!L:R,7,FALSE),VLOOKUP(tables_591010!C321,input_591010!A:H,8,FALSE))</f>
        <v>145500</v>
      </c>
      <c r="P321" s="46">
        <f ca="1">O321/SUM(O:O)</f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input_591010!A$2</f>
        <v>591010</v>
      </c>
      <c r="B322" s="101">
        <v>1139</v>
      </c>
      <c r="C322" s="7" t="str">
        <f t="shared" si="17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IFERROR(VLOOKUP(B322,input_591010!L:R,7,FALSE),VLOOKUP(tables_591010!C322,input_591010!A:H,8,FALSE))</f>
        <v>145500</v>
      </c>
      <c r="P322" s="46">
        <f ca="1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input_591010!A$2</f>
        <v>591010</v>
      </c>
      <c r="B323" s="101">
        <v>1141</v>
      </c>
      <c r="C323" s="7" t="str">
        <f t="shared" si="17"/>
        <v>PremiumSS5R5only</v>
      </c>
      <c r="D323" s="7" t="str">
        <f t="shared" ref="D323:D33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IFERROR(VLOOKUP(B323,input_591010!L:R,7,FALSE),VLOOKUP(tables_591010!C323,input_591010!A:H,8,FALSE))</f>
        <v>145500</v>
      </c>
      <c r="P323" s="46">
        <f ca="1">O323/SUM(O:O)</f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input_591010!A$2</f>
        <v>591010</v>
      </c>
      <c r="B324" s="101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IFERROR(VLOOKUP(B324,input_591010!L:R,7,FALSE),VLOOKUP(tables_591010!C324,input_591010!A:H,8,FALSE))</f>
        <v>1196035.71429</v>
      </c>
      <c r="P324" s="46">
        <f ca="1">O324/SUM(O:O)</f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input_591010!A$2</f>
        <v>591010</v>
      </c>
      <c r="B325" s="101">
        <v>1144</v>
      </c>
      <c r="C325" s="7" t="str">
        <f t="shared" ref="C325:C330" si="19">D325&amp;J325&amp;E325&amp;F325&amp;G325</f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IFERROR(VLOOKUP(B325,input_591010!L:R,7,FALSE),VLOOKUP(tables_591010!C325,input_591010!A:H,8,FALSE))</f>
        <v>137250</v>
      </c>
      <c r="P325" s="46">
        <f ca="1">O325/SUM(O:O)</f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input_591010!A$2</f>
        <v>591010</v>
      </c>
      <c r="B326" s="101">
        <v>1151</v>
      </c>
      <c r="C326" s="7" t="str">
        <f t="shared" si="19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IFERROR(VLOOKUP(B326,input_591010!L:R,7,FALSE),VLOOKUP(tables_591010!C326,input_591010!A:H,8,FALSE))</f>
        <v>1196035.71429</v>
      </c>
      <c r="P326" s="46">
        <f ca="1">O326/SUM(O:O)</f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input_591010!A$2</f>
        <v>591010</v>
      </c>
      <c r="B327" s="101">
        <v>1152</v>
      </c>
      <c r="C327" s="7" t="str">
        <f t="shared" si="19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IFERROR(VLOOKUP(B327,input_591010!L:R,7,FALSE),VLOOKUP(tables_591010!C327,input_591010!A:H,8,FALSE))</f>
        <v>137250</v>
      </c>
      <c r="P327" s="46">
        <f ca="1">O327/SUM(O:O)</f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input_591010!A$2</f>
        <v>591010</v>
      </c>
      <c r="B328" s="101">
        <v>1153</v>
      </c>
      <c r="C328" s="7" t="str">
        <f t="shared" si="19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IFERROR(VLOOKUP(B328,input_591010!L:R,7,FALSE),VLOOKUP(tables_591010!C328,input_591010!A:H,8,FALSE))</f>
        <v>145500</v>
      </c>
      <c r="P328" s="46">
        <f ca="1">O328/SUM(O:O)</f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input_591010!A$2</f>
        <v>591010</v>
      </c>
      <c r="B329" s="101">
        <v>1155</v>
      </c>
      <c r="C329" s="7" t="str">
        <f t="shared" si="19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IFERROR(VLOOKUP(B329,input_591010!L:R,7,FALSE),VLOOKUP(tables_591010!C329,input_591010!A:H,8,FALSE))</f>
        <v>145500</v>
      </c>
      <c r="P329" s="46">
        <f ca="1">O329/SUM(O:O)</f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input_591010!A$2</f>
        <v>591010</v>
      </c>
      <c r="B330" s="101">
        <v>1157</v>
      </c>
      <c r="C330" s="7" t="str">
        <f t="shared" si="19"/>
        <v>PremiumSS5R5only</v>
      </c>
      <c r="D330" s="7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IFERROR(VLOOKUP(B330,input_591010!L:R,7,FALSE),VLOOKUP(tables_591010!C330,input_591010!A:H,8,FALSE))</f>
        <v>145500</v>
      </c>
      <c r="P330" s="46">
        <f ca="1">O330/SUM(O:O)</f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input_591010!A$2</f>
        <v>591010</v>
      </c>
      <c r="B331" s="99">
        <v>1214</v>
      </c>
      <c r="C331" s="7" t="str">
        <f t="shared" ref="C331:C335" si="20">D331&amp;J331&amp;E331&amp;F331&amp;G331</f>
        <v>PremiumSS5R5only</v>
      </c>
      <c r="D331" s="7" t="str">
        <f t="shared" ref="D331:D335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IFERROR(VLOOKUP(B331,input_591010!L:R,7,FALSE),VLOOKUP(tables_591010!C331,input_591010!A:H,8,FALSE))</f>
        <v>145500</v>
      </c>
      <c r="P331" s="46">
        <f ca="1">O331/SUM(O:O)</f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input_591010!A$2</f>
        <v>591010</v>
      </c>
      <c r="B332" s="99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IFERROR(VLOOKUP(B332,input_591010!L:R,7,FALSE),VLOOKUP(tables_591010!C332,input_591010!A:H,8,FALSE))</f>
        <v>145500</v>
      </c>
      <c r="P332" s="46">
        <f ca="1">O332/SUM(O:O)</f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input_591010!A$2</f>
        <v>591010</v>
      </c>
      <c r="B333" s="99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IFERROR(VLOOKUP(B333,input_591010!L:R,7,FALSE),VLOOKUP(tables_591010!C333,input_591010!A:H,8,FALSE))</f>
        <v>145500</v>
      </c>
      <c r="P333" s="46">
        <f ca="1">O333/SUM(O:O)</f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input_591010!A$2</f>
        <v>591010</v>
      </c>
      <c r="B334" s="100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IFERROR(VLOOKUP(B334,input_591010!L:R,7,FALSE),VLOOKUP(tables_591010!C334,input_591010!A:H,8,FALSE))</f>
        <v>1196035.71429</v>
      </c>
      <c r="P334" s="46">
        <f ca="1">O334/SUM(O:O)</f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input_591010!A$2</f>
        <v>591010</v>
      </c>
      <c r="B335" s="99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IFERROR(VLOOKUP(B335,input_591010!L:R,7,FALSE),VLOOKUP(tables_591010!C335,input_591010!A:H,8,FALSE))</f>
        <v>137250</v>
      </c>
      <c r="P335" s="46">
        <f ca="1">O335/SUM(O:O)</f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input_591010!A$2</f>
        <v>591010</v>
      </c>
      <c r="B336" s="101">
        <v>1224</v>
      </c>
      <c r="C336" s="7" t="str">
        <f t="shared" ref="C336:C340" si="22">D336&amp;J336&amp;E336&amp;F336&amp;G336</f>
        <v>Premium4R3less</v>
      </c>
      <c r="D336" s="7" t="str">
        <f t="shared" ref="D336:D340" si="23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IFERROR(VLOOKUP(B336,input_591010!L:R,7,FALSE),VLOOKUP(tables_591010!C336,input_591010!A:H,8,FALSE))</f>
        <v>1196035.71429</v>
      </c>
      <c r="P336" s="46">
        <f ca="1">O336/SUM(O:O)</f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input_591010!A$2</f>
        <v>591010</v>
      </c>
      <c r="B337" s="101">
        <v>1225</v>
      </c>
      <c r="C337" s="7" t="str">
        <f t="shared" si="22"/>
        <v>Premium5R3less</v>
      </c>
      <c r="D337" s="7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IFERROR(VLOOKUP(B337,input_591010!L:R,7,FALSE),VLOOKUP(tables_591010!C337,input_591010!A:H,8,FALSE))</f>
        <v>137250</v>
      </c>
      <c r="P337" s="46">
        <f ca="1">O337/SUM(O:O)</f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input_591010!A$2</f>
        <v>591010</v>
      </c>
      <c r="B338" s="101">
        <v>1226</v>
      </c>
      <c r="C338" s="7" t="str">
        <f t="shared" si="22"/>
        <v>PremiumSS5R5only</v>
      </c>
      <c r="D338" s="7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IFERROR(VLOOKUP(B338,input_591010!L:R,7,FALSE),VLOOKUP(tables_591010!C338,input_591010!A:H,8,FALSE))</f>
        <v>145500</v>
      </c>
      <c r="P338" s="46">
        <f ca="1">O338/SUM(O:O)</f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input_591010!A$2</f>
        <v>591010</v>
      </c>
      <c r="B339" s="101">
        <v>1228</v>
      </c>
      <c r="C339" s="7" t="str">
        <f t="shared" si="22"/>
        <v>PremiumSS5R5only</v>
      </c>
      <c r="D339" s="7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IFERROR(VLOOKUP(B339,input_591010!L:R,7,FALSE),VLOOKUP(tables_591010!C339,input_591010!A:H,8,FALSE))</f>
        <v>145500</v>
      </c>
      <c r="P339" s="46">
        <f ca="1">O339/SUM(O:O)</f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input_591010!A$2</f>
        <v>591010</v>
      </c>
      <c r="B340" s="101">
        <v>1230</v>
      </c>
      <c r="C340" s="7" t="str">
        <f t="shared" si="22"/>
        <v>PremiumSS5R5only</v>
      </c>
      <c r="D340" s="7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IFERROR(VLOOKUP(B340,input_591010!L:R,7,FALSE),VLOOKUP(tables_591010!C340,input_591010!A:H,8,FALSE))</f>
        <v>145500</v>
      </c>
      <c r="P340" s="46">
        <f ca="1">O340/SUM(O:O)</f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input_591010!A$2</f>
        <v>591010</v>
      </c>
      <c r="B341" s="101">
        <v>1244</v>
      </c>
      <c r="C341" s="7" t="str">
        <f t="shared" ref="C341:C342" si="24">D341&amp;J341&amp;E341&amp;F341&amp;G341</f>
        <v>PremiumSS5R5only</v>
      </c>
      <c r="D341" s="7" t="str">
        <f t="shared" ref="D341:D342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IFERROR(VLOOKUP(B341,input_591010!L:R,7,FALSE),VLOOKUP(tables_591010!C341,input_591010!A:H,8,FALSE))</f>
        <v>145500</v>
      </c>
      <c r="P341" s="46">
        <f ca="1">O341/SUM(O:O)</f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input_591010!A$2</f>
        <v>591010</v>
      </c>
      <c r="B342" s="101">
        <v>1246</v>
      </c>
      <c r="C342" s="7" t="str">
        <f t="shared" si="24"/>
        <v>PremiumSS5R5only</v>
      </c>
      <c r="D342" s="7" t="str">
        <f t="shared" si="25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IFERROR(VLOOKUP(B342,input_591010!L:R,7,FALSE),VLOOKUP(tables_591010!C342,input_591010!A:H,8,FALSE))</f>
        <v>145500</v>
      </c>
      <c r="P342" s="46">
        <f ca="1">O342/SUM(O:O)</f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input_591010!A$2</f>
        <v>591010</v>
      </c>
      <c r="B343" s="101">
        <v>1248</v>
      </c>
      <c r="C343" s="7" t="str">
        <f t="shared" ref="C343:C345" si="26">D343&amp;J343&amp;E343&amp;F343&amp;G343</f>
        <v>Premium4R3less</v>
      </c>
      <c r="D343" s="7" t="str">
        <f t="shared" ref="D343:D345" si="27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IFERROR(VLOOKUP(B343,input_591010!L:R,7,FALSE),VLOOKUP(tables_591010!C343,input_591010!A:H,8,FALSE))</f>
        <v>1196035.71429</v>
      </c>
      <c r="P343" s="46">
        <f ca="1">O343/SUM(O:O)</f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input_591010!A$2</f>
        <v>591010</v>
      </c>
      <c r="B344" s="101">
        <v>1249</v>
      </c>
      <c r="C344" s="7" t="str">
        <f t="shared" si="26"/>
        <v>Premium5R3less</v>
      </c>
      <c r="D344" s="7" t="str">
        <f t="shared" si="2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IFERROR(VLOOKUP(B344,input_591010!L:R,7,FALSE),VLOOKUP(tables_591010!C344,input_591010!A:H,8,FALSE))</f>
        <v>137250</v>
      </c>
      <c r="P344" s="46">
        <f ca="1">O344/SUM(O:O)</f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input_591010!A$2</f>
        <v>591010</v>
      </c>
      <c r="B345" s="101">
        <v>1250</v>
      </c>
      <c r="C345" s="7" t="str">
        <f t="shared" si="26"/>
        <v>PremiumSS5R5only</v>
      </c>
      <c r="D345" s="7" t="str">
        <f t="shared" si="2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IFERROR(VLOOKUP(B345,input_591010!L:R,7,FALSE),VLOOKUP(tables_591010!C345,input_591010!A:H,8,FALSE))</f>
        <v>145500</v>
      </c>
      <c r="P345" s="46">
        <f ca="1">O345/SUM(O:O)</f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input_591010!A$2</f>
        <v>591010</v>
      </c>
      <c r="B346" s="101">
        <v>1260</v>
      </c>
      <c r="C346" s="7" t="str">
        <f t="shared" ref="C346" si="28">D346&amp;J346&amp;E346&amp;F346&amp;G346</f>
        <v>PremiumSS5R5only</v>
      </c>
      <c r="D346" s="7" t="str">
        <f t="shared" ref="D346" si="2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IFERROR(VLOOKUP(B346,input_591010!L:R,7,FALSE),VLOOKUP(tables_591010!C346,input_591010!A:H,8,FALSE))</f>
        <v>145500</v>
      </c>
      <c r="P346" s="46">
        <f ca="1">O346/SUM(O:O)</f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input_591010!A$2</f>
        <v>591010</v>
      </c>
      <c r="B347" s="101">
        <v>1262</v>
      </c>
      <c r="C347" s="7" t="str">
        <f t="shared" ref="C347:C348" si="30">D347&amp;J347&amp;E347&amp;F347&amp;G347</f>
        <v>PremiumSS5R5only</v>
      </c>
      <c r="D347" s="7" t="str">
        <f t="shared" ref="D347:D348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IFERROR(VLOOKUP(B347,input_591010!L:R,7,FALSE),VLOOKUP(tables_591010!C347,input_591010!A:H,8,FALSE))</f>
        <v>145500</v>
      </c>
      <c r="P347" s="46">
        <f ca="1">O347/SUM(O:O)</f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input_591010!A$2</f>
        <v>591010</v>
      </c>
      <c r="B348" s="101">
        <v>1264</v>
      </c>
      <c r="C348" s="7" t="str">
        <f t="shared" si="30"/>
        <v>PremiumSS5R5only</v>
      </c>
      <c r="D348" s="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IFERROR(VLOOKUP(B348,input_591010!L:R,7,FALSE),VLOOKUP(tables_591010!C348,input_591010!A:H,8,FALSE))</f>
        <v>145500</v>
      </c>
      <c r="P348" s="46">
        <f ca="1">O348/SUM(O:O)</f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input_591010!A$2</f>
        <v>591010</v>
      </c>
      <c r="B349" s="101">
        <v>1266</v>
      </c>
      <c r="C349" s="7" t="str">
        <f t="shared" ref="C349:C362" si="32">D349&amp;J349&amp;E349&amp;F349&amp;G349</f>
        <v>Premium4R3less</v>
      </c>
      <c r="D349" s="7" t="str">
        <f t="shared" ref="D349:D362" si="33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IFERROR(VLOOKUP(B349,input_591010!L:R,7,FALSE),VLOOKUP(tables_591010!C349,input_591010!A:H,8,FALSE))</f>
        <v>1196035.71429</v>
      </c>
      <c r="P349" s="46">
        <f ca="1">O349/SUM(O:O)</f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input_591010!A$2</f>
        <v>591010</v>
      </c>
      <c r="B350" s="101">
        <v>1267</v>
      </c>
      <c r="C350" s="7" t="str">
        <f t="shared" si="32"/>
        <v>Premium5R3less</v>
      </c>
      <c r="D350" s="7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IFERROR(VLOOKUP(B350,input_591010!L:R,7,FALSE),VLOOKUP(tables_591010!C350,input_591010!A:H,8,FALSE))</f>
        <v>137250</v>
      </c>
      <c r="P350" s="46">
        <f ca="1">O350/SUM(O:O)</f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input_591010!A$2</f>
        <v>591010</v>
      </c>
      <c r="B351" s="101">
        <v>1332</v>
      </c>
      <c r="C351" s="7" t="str">
        <f t="shared" si="32"/>
        <v>PremiumSS5R5only</v>
      </c>
      <c r="D351" s="7" t="str">
        <f t="shared" si="3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IFERROR(VLOOKUP(B351,input_591010!L:R,7,FALSE),VLOOKUP(tables_591010!C351,input_591010!A:H,8,FALSE))</f>
        <v>145500</v>
      </c>
      <c r="P351" s="46">
        <f ca="1">O351/SUM(O:O)</f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input_591010!A$2</f>
        <v>591010</v>
      </c>
      <c r="B352" s="101">
        <v>1336</v>
      </c>
      <c r="C352" s="7" t="str">
        <f t="shared" si="32"/>
        <v>PremiumSS5R5only</v>
      </c>
      <c r="D352" s="7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IFERROR(VLOOKUP(B352,input_591010!L:R,7,FALSE),VLOOKUP(tables_591010!C352,input_591010!A:H,8,FALSE))</f>
        <v>145500</v>
      </c>
      <c r="P352" s="46">
        <f ca="1">O352/SUM(O:O)</f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input_591010!A$2</f>
        <v>591010</v>
      </c>
      <c r="B353" s="101">
        <v>1338</v>
      </c>
      <c r="C353" s="7" t="str">
        <f t="shared" si="32"/>
        <v>PremiumSS5R5only</v>
      </c>
      <c r="D353" s="7" t="str">
        <f t="shared" si="3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IFERROR(VLOOKUP(B353,input_591010!L:R,7,FALSE),VLOOKUP(tables_591010!C353,input_591010!A:H,8,FALSE))</f>
        <v>145500</v>
      </c>
      <c r="P353" s="46">
        <f ca="1">O353/SUM(O:O)</f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input_591010!A$2</f>
        <v>591010</v>
      </c>
      <c r="B354" s="101">
        <v>1334</v>
      </c>
      <c r="C354" s="7" t="str">
        <f t="shared" si="32"/>
        <v>Premium4R3less</v>
      </c>
      <c r="D354" s="7" t="str">
        <f t="shared" si="3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IFERROR(VLOOKUP(B354,input_591010!L:R,7,FALSE),VLOOKUP(tables_591010!C354,input_591010!A:H,8,FALSE))</f>
        <v>1196035.71429</v>
      </c>
      <c r="P354" s="46">
        <f ca="1">O354/SUM(O:O)</f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input_591010!A$2</f>
        <v>591010</v>
      </c>
      <c r="B355" s="101">
        <v>1335</v>
      </c>
      <c r="C355" s="7" t="str">
        <f t="shared" si="32"/>
        <v>Premium5R3less</v>
      </c>
      <c r="D355" s="7" t="str">
        <f t="shared" si="3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IFERROR(VLOOKUP(B355,input_591010!L:R,7,FALSE),VLOOKUP(tables_591010!C355,input_591010!A:H,8,FALSE))</f>
        <v>137250</v>
      </c>
      <c r="P355" s="46">
        <f ca="1">O355/SUM(O:O)</f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input_591010!A$2</f>
        <v>591010</v>
      </c>
      <c r="B356" s="102">
        <v>1381</v>
      </c>
      <c r="C356" s="7" t="str">
        <f t="shared" ref="C356" si="34">D356&amp;J356&amp;E356&amp;F356&amp;G356</f>
        <v>Premium4R3less</v>
      </c>
      <c r="D356" s="7" t="str">
        <f t="shared" ref="D356" si="35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IFERROR(VLOOKUP(B356,input_591010!L:R,7,FALSE),VLOOKUP(tables_591010!C356,input_591010!A:H,8,FALSE))</f>
        <v>1196035.71429</v>
      </c>
      <c r="P356" s="46">
        <f ca="1">O356/SUM(O:O)</f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input_591010!A$2</f>
        <v>591010</v>
      </c>
      <c r="B357" s="102">
        <v>1382</v>
      </c>
      <c r="C357" s="7" t="str">
        <f t="shared" ref="C357:C360" si="36">D357&amp;J357&amp;E357&amp;F357&amp;G357</f>
        <v>Premium5R3less</v>
      </c>
      <c r="D357" s="7" t="str">
        <f t="shared" ref="D357:D360" si="37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IFERROR(VLOOKUP(B357,input_591010!L:R,7,FALSE),VLOOKUP(tables_591010!C357,input_591010!A:H,8,FALSE))</f>
        <v>137250</v>
      </c>
      <c r="P357" s="46">
        <f t="shared" ref="P357:P360" ca="1" si="38">O357/SUM(O:O)</f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input_591010!A$2</f>
        <v>591010</v>
      </c>
      <c r="B358" s="102">
        <v>1383</v>
      </c>
      <c r="C358" s="7" t="str">
        <f t="shared" si="36"/>
        <v>PremiumSS5R5only</v>
      </c>
      <c r="D358" s="7" t="str">
        <f t="shared" si="37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IFERROR(VLOOKUP(B358,input_591010!L:R,7,FALSE),VLOOKUP(tables_591010!C358,input_591010!A:H,8,FALSE))</f>
        <v>145500</v>
      </c>
      <c r="P358" s="46">
        <f t="shared" ca="1" si="38"/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input_591010!A$2</f>
        <v>591010</v>
      </c>
      <c r="B359" s="102">
        <v>1385</v>
      </c>
      <c r="C359" s="7" t="str">
        <f t="shared" si="36"/>
        <v>PremiumSS5R5only</v>
      </c>
      <c r="D359" s="7" t="str">
        <f t="shared" si="37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IFERROR(VLOOKUP(B359,input_591010!L:R,7,FALSE),VLOOKUP(tables_591010!C359,input_591010!A:H,8,FALSE))</f>
        <v>145500</v>
      </c>
      <c r="P359" s="46">
        <f t="shared" ca="1" si="38"/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input_591010!A$2</f>
        <v>591010</v>
      </c>
      <c r="B360" s="102">
        <v>1387</v>
      </c>
      <c r="C360" s="7" t="str">
        <f t="shared" si="36"/>
        <v>PremiumSS5R5only</v>
      </c>
      <c r="D360" s="7" t="str">
        <f t="shared" si="37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IFERROR(VLOOKUP(B360,input_591010!L:R,7,FALSE),VLOOKUP(tables_591010!C360,input_591010!A:H,8,FALSE))</f>
        <v>145500</v>
      </c>
      <c r="P360" s="46">
        <f t="shared" ca="1" si="38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input_591010!A$2</f>
        <v>591010</v>
      </c>
      <c r="B361" s="5">
        <v>783</v>
      </c>
      <c r="C361" s="7" t="str">
        <f t="shared" si="32"/>
        <v>PremiumSSS5R3less</v>
      </c>
      <c r="D361" s="7" t="str">
        <f t="shared" si="33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モールス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 ca="1">IFERROR(VLOOKUP(B361,input_591010!L:R,7,FALSE),VLOOKUP(tables_591010!C361,input_591010!A:H,8,FALSE))</f>
        <v>727500</v>
      </c>
      <c r="P361" s="46">
        <f ca="1">O361/SUM(O:O)</f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input_591010!A$2</f>
        <v>591010</v>
      </c>
      <c r="B362" s="5">
        <v>1425</v>
      </c>
      <c r="C362" s="7" t="str">
        <f t="shared" si="32"/>
        <v>PremiumSSS5R3less</v>
      </c>
      <c r="D362" s="7" t="str">
        <f t="shared" si="33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ヴォルタ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 t="str">
        <f>VLOOKUP(B362,[1]characters!$A:$G,7,FALSE)</f>
        <v>不明</v>
      </c>
      <c r="O362" s="45">
        <f ca="1">IFERROR(VLOOKUP(B362,input_591010!L:R,7,FALSE),VLOOKUP(tables_591010!C362,input_591010!A:H,8,FALSE))</f>
        <v>727500</v>
      </c>
      <c r="P362" s="46">
        <f ca="1">O362/SUM(O:O)</f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customFormat="1" ht="21" customHeight="1" x14ac:dyDescent="0.15"/>
    <row r="364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F50" sqref="F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VLOOKUP(L3,tables_591100!B:C,2,FALSE)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VLOOKUP(L4,tables_591100!B:C,2,FALSE)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(COUNTIF(tables_591100!C:C,input_591100!A28)+COUNTIF(tables_591100!C:C,input_591100!A29))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9.4329896907216493E-3</v>
      </c>
      <c r="F6">
        <f>(COUNTIF(tables_591100!C:C,input_591100!A25)+COUNTIF(tables_591100!C:C,input_591100!A18)+COUNTIF(tables_591100!C:C,input_591100!A20)+COUNTIF(tables_591100!C:C,input_591100!A22))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COUNTIF(tables_591100!C:C,input_591100!A17)-COUNTIF(Q:Q,A17)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0.22675360824742274</v>
      </c>
      <c r="C18" s="84">
        <f t="shared" si="2"/>
        <v>0</v>
      </c>
      <c r="D18" s="74">
        <f t="shared" si="3"/>
        <v>0.22675360824742274</v>
      </c>
      <c r="E18">
        <f>COUNTIF(tables_591100!C:C,input_591100!A18)-COUNTIF(Q:Q,A18)</f>
        <v>20</v>
      </c>
      <c r="F18" s="43">
        <f>IFERROR(B18/E18,0)</f>
        <v>1.1337680412371137E-2</v>
      </c>
      <c r="G18">
        <f t="shared" si="4"/>
        <v>32992650.000000007</v>
      </c>
      <c r="H18">
        <f t="shared" si="5"/>
        <v>1649632.5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COUNTIF(tables_591100!C:C,input_591100!A19)-COUNTIF(Q:Q,A19)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0.44146391752577319</v>
      </c>
      <c r="C20" s="84">
        <f t="shared" si="2"/>
        <v>0</v>
      </c>
      <c r="D20" s="74">
        <f t="shared" si="3"/>
        <v>0.44146391752577319</v>
      </c>
      <c r="E20">
        <f>COUNTIF(tables_591100!C:C,input_591100!A20)-COUNTIF(Q:Q,A20)</f>
        <v>52</v>
      </c>
      <c r="F20" s="43">
        <f t="shared" si="8"/>
        <v>8.4896907216494844E-3</v>
      </c>
      <c r="G20">
        <f t="shared" si="4"/>
        <v>64233000</v>
      </c>
      <c r="H20">
        <f t="shared" si="5"/>
        <v>1235250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COUNTIF(tables_591100!C:C,input_591100!A21)-COUNTIF(Q:Q,A21)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COUNTIF(tables_591100!C:C,input_591100!A22)-COUNTIF(Q:Q,A22)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COUNTIF(tables_591100!C:C,input_591100!A23)-COUNTIF(Q:Q,A23)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COUNTIF(tables_591100!C:C,input_591100!A24)-COUNTIF(Q:Q,A24)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3.3958762886597937E-2</v>
      </c>
      <c r="C25" s="84">
        <f t="shared" si="2"/>
        <v>0</v>
      </c>
      <c r="D25" s="74">
        <f t="shared" si="3"/>
        <v>3.3958762886597937E-2</v>
      </c>
      <c r="E25">
        <f>COUNTIF(tables_591100!C:C,input_591100!A25)-COUNTIF(Q:Q,A25)</f>
        <v>4</v>
      </c>
      <c r="F25" s="43">
        <f t="shared" si="8"/>
        <v>8.4896907216494844E-3</v>
      </c>
      <c r="G25">
        <f t="shared" si="4"/>
        <v>4941000</v>
      </c>
      <c r="H25">
        <f t="shared" si="5"/>
        <v>1235250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COUNTIF(tables_591100!C:C,input_591100!A26)-COUNTIF(Q:Q,A26)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2.52E-2</v>
      </c>
      <c r="C27" s="84">
        <f t="shared" si="2"/>
        <v>0</v>
      </c>
      <c r="D27" s="74">
        <f t="shared" si="3"/>
        <v>2.52E-2</v>
      </c>
      <c r="E27">
        <f>COUNTIF(tables_591100!C:C,input_591100!A27)-COUNTIF(Q:Q,A27)</f>
        <v>28</v>
      </c>
      <c r="F27" s="43">
        <f>IFERROR(B27/E27,0)</f>
        <v>8.9999999999999998E-4</v>
      </c>
      <c r="G27">
        <f t="shared" si="4"/>
        <v>3666600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COUNTIF(tables_591100!C:C,input_591100!A28)-COUNTIF(Q:Q,A28)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COUNTIF(tables_591100!C:C,input_591100!A29)-COUNTIF(Q:Q,A29)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COUNTIF(tables_591100!C:C,input_591100!A30)-COUNTIF(Q:Q,A30)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COUNTIF(tables_591100!C:C,input_591100!A31)-COUNTIF(Q:Q,A31)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-0.45000000000061752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SUMIF(tables_591100!C:C,input_591100!A40,tables_591100!O:O)</f>
        <v>0</v>
      </c>
      <c r="C40" s="54">
        <f t="shared" ref="C40:C46" ca="1" si="9">B40/B$47</f>
        <v>0</v>
      </c>
      <c r="E40">
        <v>3</v>
      </c>
      <c r="F40">
        <f ca="1">SUMIF(tables_591100!J:J,input_591100!E40,tables_591100!O:O)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SUMIF(tables_591100!C:C,input_591100!A41,tables_591100!O:O)</f>
        <v>64233000</v>
      </c>
      <c r="C41" s="54">
        <f t="shared" ca="1" si="9"/>
        <v>0.91890929145355604</v>
      </c>
      <c r="E41">
        <v>4</v>
      </c>
      <c r="F41">
        <f ca="1">SUMIF(tables_591100!J:J,input_591100!E41,tables_591100!O:O)</f>
        <v>130950000.00008985</v>
      </c>
      <c r="G41">
        <f ca="1">F41/A36</f>
        <v>0.90000000000061753</v>
      </c>
    </row>
    <row r="42" spans="1:7" x14ac:dyDescent="0.15">
      <c r="A42" s="33" t="s">
        <v>106</v>
      </c>
      <c r="B42">
        <f ca="1">SUMIF(tables_591100!C:C,input_591100!A42,tables_591100!O:O)</f>
        <v>3666600</v>
      </c>
      <c r="C42" s="54">
        <f t="shared" ca="1" si="9"/>
        <v>5.2453922563847379E-2</v>
      </c>
      <c r="E42">
        <v>5</v>
      </c>
      <c r="F42">
        <f ca="1">SUMIF(tables_591100!J:J,input_591100!E42,tables_591100!O:O)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SUMIF(tables_591100!C:C,input_591100!A43,tables_591100!O:O)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SUMIF(tables_591100!C:C,input_591100!A44,tables_591100!O:O)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SUMIF(tables_591100!C:C,input_591100!A45,tables_591100!O:O)</f>
        <v>407400</v>
      </c>
      <c r="C45" s="54">
        <f t="shared" ca="1" si="9"/>
        <v>5.8282136182052644E-3</v>
      </c>
      <c r="E45" t="s">
        <v>204</v>
      </c>
      <c r="F45" s="55">
        <f ca="1">SUMIF(tables_591100!I:I,input_591100!E45,tables_591100!P:P)</f>
        <v>0.23241340206196751</v>
      </c>
    </row>
    <row r="46" spans="1:7" x14ac:dyDescent="0.15">
      <c r="A46" s="33" t="s">
        <v>108</v>
      </c>
      <c r="B46">
        <f>SUMIF(tables_591100!C:C,input_591100!A46,tables_591100!O:O)</f>
        <v>0</v>
      </c>
      <c r="C46" s="54">
        <f t="shared" ca="1" si="9"/>
        <v>0</v>
      </c>
      <c r="E46" t="s">
        <v>205</v>
      </c>
      <c r="F46" s="55">
        <f ca="1">SUMIF(tables_591100!I:I,input_591100!E46,tables_591100!P:P)</f>
        <v>0.17620604678798851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SUMIF(tables_591100!I:I,input_591100!E47,tables_591100!P:P)</f>
        <v>0.5063805511500038</v>
      </c>
    </row>
    <row r="48" spans="1:7" x14ac:dyDescent="0.15">
      <c r="E48" t="s">
        <v>207</v>
      </c>
      <c r="F48" s="55">
        <f ca="1">SUMIF(tables_591100!I:I,input_591100!E48,tables_591100!P:P)</f>
        <v>6.5000000000031227E-2</v>
      </c>
      <c r="G48" s="55"/>
    </row>
    <row r="49" spans="5:6" x14ac:dyDescent="0.15">
      <c r="E49" t="s">
        <v>250</v>
      </c>
      <c r="F49" s="55">
        <f ca="1">SUMIF(tables_591100!I:I,input_591100!E49,tables_591100!P:P)</f>
        <v>1.0000000000004812E-2</v>
      </c>
    </row>
    <row r="50" spans="5:6" x14ac:dyDescent="0.15">
      <c r="E50" t="s">
        <v>265</v>
      </c>
      <c r="F50" s="55">
        <f ca="1">SUMIF(tables_591100!I:I,input_591100!E50,tables_591100!P:P)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3" activePane="bottomLeft" state="frozen"/>
      <selection activeCell="B33" sqref="B33"/>
      <selection pane="bottomLeft" activeCell="C362" sqref="C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input_591100!A$2</f>
        <v>591100</v>
      </c>
      <c r="B2" s="99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IFERROR(VLOOKUP(B2,input_591100!L:R,7,FALSE),VLOOKUP(tables_591100!C2,input_591100!A:H,8,FALSE))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input_591100!A$2</f>
        <v>591100</v>
      </c>
      <c r="B3" s="99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IFERROR(VLOOKUP(B3,input_591100!L:R,7,FALSE),VLOOKUP(tables_591100!C3,input_591100!A:H,8,FALSE))</f>
        <v>1649632.5</v>
      </c>
      <c r="P3" s="46">
        <f t="shared" ca="1" si="1"/>
        <v>1.1337680412376589E-2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input_591100!A$2</f>
        <v>591100</v>
      </c>
      <c r="B4" s="99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IFERROR(VLOOKUP(B4,input_591100!L:R,7,FALSE),VLOOKUP(tables_591100!C4,input_591100!A:H,8,FALSE))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input_591100!A$2</f>
        <v>591100</v>
      </c>
      <c r="B5" s="99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IFERROR(VLOOKUP(B5,input_591100!L:R,7,FALSE),VLOOKUP(tables_591100!C5,input_591100!A:H,8,FALSE))</f>
        <v>1649632.5</v>
      </c>
      <c r="P5" s="46">
        <f t="shared" ca="1" si="1"/>
        <v>1.1337680412376589E-2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input_591100!A$2</f>
        <v>591100</v>
      </c>
      <c r="B6" s="99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IFERROR(VLOOKUP(B6,input_591100!L:R,7,FALSE),VLOOKUP(tables_591100!C6,input_591100!A:H,8,FALSE))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input_591100!A$2</f>
        <v>591100</v>
      </c>
      <c r="B7" s="99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IFERROR(VLOOKUP(B7,input_591100!L:R,7,FALSE),VLOOKUP(tables_591100!C7,input_591100!A:H,8,FALSE))</f>
        <v>1649632.5</v>
      </c>
      <c r="P7" s="46">
        <f t="shared" ca="1" si="1"/>
        <v>1.1337680412376589E-2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input_591100!A$2</f>
        <v>591100</v>
      </c>
      <c r="B8" s="99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IFERROR(VLOOKUP(B8,input_591100!L:R,7,FALSE),VLOOKUP(tables_591100!C8,input_591100!A:H,8,FALSE))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input_591100!A$2</f>
        <v>591100</v>
      </c>
      <c r="B9" s="99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IFERROR(VLOOKUP(B9,input_591100!L:R,7,FALSE),VLOOKUP(tables_591100!C9,input_591100!A:H,8,FALSE))</f>
        <v>1649632.5</v>
      </c>
      <c r="P9" s="46">
        <f t="shared" ca="1" si="1"/>
        <v>1.1337680412376589E-2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input_591100!A$2</f>
        <v>591100</v>
      </c>
      <c r="B10" s="99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IFERROR(VLOOKUP(B10,input_591100!L:R,7,FALSE),VLOOKUP(tables_591100!C10,input_591100!A:H,8,FALSE))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input_591100!A$2</f>
        <v>591100</v>
      </c>
      <c r="B11" s="99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IFERROR(VLOOKUP(B11,input_591100!L:R,7,FALSE),VLOOKUP(tables_591100!C11,input_591100!A:H,8,FALSE))</f>
        <v>1649632.5</v>
      </c>
      <c r="P11" s="46">
        <f t="shared" ca="1" si="1"/>
        <v>1.1337680412376589E-2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input_591100!A$2</f>
        <v>591100</v>
      </c>
      <c r="B12" s="100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IFERROR(VLOOKUP(B12,input_591100!L:R,7,FALSE),VLOOKUP(tables_591100!C12,input_591100!A:H,8,FALSE))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input_591100!A$2</f>
        <v>591100</v>
      </c>
      <c r="B13" s="100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IFERROR(VLOOKUP(B13,input_591100!L:R,7,FALSE),VLOOKUP(tables_591100!C13,input_591100!A:H,8,FALSE))</f>
        <v>1649632.5</v>
      </c>
      <c r="P13" s="46">
        <f t="shared" ca="1" si="1"/>
        <v>1.1337680412376589E-2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input_591100!A$2</f>
        <v>591100</v>
      </c>
      <c r="B14" s="99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IFERROR(VLOOKUP(B14,input_591100!L:R,7,FALSE),VLOOKUP(tables_591100!C14,input_591100!A:H,8,FALSE))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input_591100!A$2</f>
        <v>591100</v>
      </c>
      <c r="B15" s="99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IFERROR(VLOOKUP(B15,input_591100!L:R,7,FALSE),VLOOKUP(tables_591100!C15,input_591100!A:H,8,FALSE))</f>
        <v>1649632.5</v>
      </c>
      <c r="P15" s="46">
        <f t="shared" ca="1" si="1"/>
        <v>1.1337680412376589E-2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input_591100!A$2</f>
        <v>591100</v>
      </c>
      <c r="B16" s="99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IFERROR(VLOOKUP(B16,input_591100!L:R,7,FALSE),VLOOKUP(tables_591100!C16,input_591100!A:H,8,FALSE))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input_591100!A$2</f>
        <v>591100</v>
      </c>
      <c r="B17" s="99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IFERROR(VLOOKUP(B17,input_591100!L:R,7,FALSE),VLOOKUP(tables_591100!C17,input_591100!A:H,8,FALSE))</f>
        <v>1649632.5</v>
      </c>
      <c r="P17" s="46">
        <f t="shared" ca="1" si="1"/>
        <v>1.1337680412376589E-2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input_591100!A$2</f>
        <v>591100</v>
      </c>
      <c r="B18" s="99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IFERROR(VLOOKUP(B18,input_591100!L:R,7,FALSE),VLOOKUP(tables_591100!C18,input_591100!A:H,8,FALSE))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input_591100!A$2</f>
        <v>591100</v>
      </c>
      <c r="B19" s="99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IFERROR(VLOOKUP(B19,input_591100!L:R,7,FALSE),VLOOKUP(tables_591100!C19,input_591100!A:H,8,FALSE))</f>
        <v>1649632.5</v>
      </c>
      <c r="P19" s="46">
        <f t="shared" ca="1" si="1"/>
        <v>1.1337680412376589E-2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input_591100!A$2</f>
        <v>591100</v>
      </c>
      <c r="B20" s="99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IFERROR(VLOOKUP(B20,input_591100!L:R,7,FALSE),VLOOKUP(tables_591100!C20,input_591100!A:H,8,FALSE))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input_591100!A$2</f>
        <v>591100</v>
      </c>
      <c r="B21" s="99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IFERROR(VLOOKUP(B21,input_591100!L:R,7,FALSE),VLOOKUP(tables_591100!C21,input_591100!A:H,8,FALSE))</f>
        <v>1649632.5</v>
      </c>
      <c r="P21" s="46">
        <f t="shared" ca="1" si="1"/>
        <v>1.1337680412376589E-2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input_591100!A$2</f>
        <v>591100</v>
      </c>
      <c r="B22" s="99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IFERROR(VLOOKUP(B22,input_591100!L:R,7,FALSE),VLOOKUP(tables_591100!C22,input_591100!A:H,8,FALSE))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input_591100!A$2</f>
        <v>591100</v>
      </c>
      <c r="B23" s="99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IFERROR(VLOOKUP(B23,input_591100!L:R,7,FALSE),VLOOKUP(tables_591100!C23,input_591100!A:H,8,FALSE))</f>
        <v>1649632.5</v>
      </c>
      <c r="P23" s="46">
        <f t="shared" ca="1" si="1"/>
        <v>1.1337680412376589E-2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input_591100!A$2</f>
        <v>591100</v>
      </c>
      <c r="B24" s="99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IFERROR(VLOOKUP(B24,input_591100!L:R,7,FALSE),VLOOKUP(tables_591100!C24,input_591100!A:H,8,FALSE))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input_591100!A$2</f>
        <v>591100</v>
      </c>
      <c r="B25" s="99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IFERROR(VLOOKUP(B25,input_591100!L:R,7,FALSE),VLOOKUP(tables_591100!C25,input_591100!A:H,8,FALSE))</f>
        <v>1649632.5</v>
      </c>
      <c r="P25" s="46">
        <f t="shared" ca="1" si="1"/>
        <v>1.1337680412376589E-2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input_591100!A$2</f>
        <v>591100</v>
      </c>
      <c r="B26" s="99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IFERROR(VLOOKUP(B26,input_591100!L:R,7,FALSE),VLOOKUP(tables_591100!C26,input_591100!A:H,8,FALSE))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input_591100!A$2</f>
        <v>591100</v>
      </c>
      <c r="B27" s="99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IFERROR(VLOOKUP(B27,input_591100!L:R,7,FALSE),VLOOKUP(tables_591100!C27,input_591100!A:H,8,FALSE))</f>
        <v>1649632.5</v>
      </c>
      <c r="P27" s="46">
        <f t="shared" ca="1" si="1"/>
        <v>1.1337680412376589E-2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input_591100!A$2</f>
        <v>591100</v>
      </c>
      <c r="B28" s="99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IFERROR(VLOOKUP(B28,input_591100!L:R,7,FALSE),VLOOKUP(tables_591100!C28,input_591100!A:H,8,FALSE))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input_591100!A$2</f>
        <v>591100</v>
      </c>
      <c r="B29" s="99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IFERROR(VLOOKUP(B29,input_591100!L:R,7,FALSE),VLOOKUP(tables_591100!C29,input_591100!A:H,8,FALSE))</f>
        <v>1649632.5</v>
      </c>
      <c r="P29" s="46">
        <f t="shared" ca="1" si="1"/>
        <v>1.1337680412376589E-2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input_591100!A$2</f>
        <v>591100</v>
      </c>
      <c r="B30" s="99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IFERROR(VLOOKUP(B30,input_591100!L:R,7,FALSE),VLOOKUP(tables_591100!C30,input_591100!A:H,8,FALSE))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input_591100!A$2</f>
        <v>591100</v>
      </c>
      <c r="B31" s="99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IFERROR(VLOOKUP(B31,input_591100!L:R,7,FALSE),VLOOKUP(tables_591100!C31,input_591100!A:H,8,FALSE))</f>
        <v>1649632.5</v>
      </c>
      <c r="P31" s="46">
        <f t="shared" ca="1" si="1"/>
        <v>1.1337680412376589E-2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input_591100!A$2</f>
        <v>591100</v>
      </c>
      <c r="B32" s="99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IFERROR(VLOOKUP(B32,input_591100!L:R,7,FALSE),VLOOKUP(tables_591100!C32,input_591100!A:H,8,FALSE))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input_591100!A$2</f>
        <v>591100</v>
      </c>
      <c r="B33" s="99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IFERROR(VLOOKUP(B33,input_591100!L:R,7,FALSE),VLOOKUP(tables_591100!C33,input_591100!A:H,8,FALSE))</f>
        <v>1649632.5</v>
      </c>
      <c r="P33" s="46">
        <f t="shared" ca="1" si="1"/>
        <v>1.1337680412376589E-2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input_591100!A$2</f>
        <v>591100</v>
      </c>
      <c r="B34" s="99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IFERROR(VLOOKUP(B34,input_591100!L:R,7,FALSE),VLOOKUP(tables_591100!C34,input_591100!A:H,8,FALSE))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input_591100!A$2</f>
        <v>591100</v>
      </c>
      <c r="B35" s="99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IFERROR(VLOOKUP(B35,input_591100!L:R,7,FALSE),VLOOKUP(tables_591100!C35,input_591100!A:H,8,FALSE))</f>
        <v>1649632.5</v>
      </c>
      <c r="P35" s="46">
        <f t="shared" ca="1" si="1"/>
        <v>1.1337680412376589E-2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input_591100!A$2</f>
        <v>591100</v>
      </c>
      <c r="B36" s="99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IFERROR(VLOOKUP(B36,input_591100!L:R,7,FALSE),VLOOKUP(tables_591100!C36,input_591100!A:H,8,FALSE))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input_591100!A$2</f>
        <v>591100</v>
      </c>
      <c r="B37" s="99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IFERROR(VLOOKUP(B37,input_591100!L:R,7,FALSE),VLOOKUP(tables_591100!C37,input_591100!A:H,8,FALSE))</f>
        <v>1649632.5</v>
      </c>
      <c r="P37" s="46">
        <f t="shared" ca="1" si="1"/>
        <v>1.1337680412376589E-2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input_591100!A$2</f>
        <v>591100</v>
      </c>
      <c r="B38" s="99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IFERROR(VLOOKUP(B38,input_591100!L:R,7,FALSE),VLOOKUP(tables_591100!C38,input_591100!A:H,8,FALSE))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input_591100!A$2</f>
        <v>591100</v>
      </c>
      <c r="B39" s="99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IFERROR(VLOOKUP(B39,input_591100!L:R,7,FALSE),VLOOKUP(tables_591100!C39,input_591100!A:H,8,FALSE))</f>
        <v>1649632.5</v>
      </c>
      <c r="P39" s="46">
        <f t="shared" ca="1" si="1"/>
        <v>1.1337680412376589E-2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input_591100!A$2</f>
        <v>591100</v>
      </c>
      <c r="B40" s="99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IFERROR(VLOOKUP(B40,input_591100!L:R,7,FALSE),VLOOKUP(tables_591100!C40,input_591100!A:H,8,FALSE))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input_591100!A$2</f>
        <v>591100</v>
      </c>
      <c r="B41" s="99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IFERROR(VLOOKUP(B41,input_591100!L:R,7,FALSE),VLOOKUP(tables_591100!C41,input_591100!A:H,8,FALSE))</f>
        <v>1649632.5</v>
      </c>
      <c r="P41" s="46">
        <f t="shared" ca="1" si="1"/>
        <v>1.1337680412376589E-2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input_591100!A$2</f>
        <v>591100</v>
      </c>
      <c r="B42" s="99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IFERROR(VLOOKUP(B42,input_591100!L:R,7,FALSE),VLOOKUP(tables_591100!C42,input_591100!A:H,8,FALSE))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input_591100!A$2</f>
        <v>591100</v>
      </c>
      <c r="B43" s="99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IFERROR(VLOOKUP(B43,input_591100!L:R,7,FALSE),VLOOKUP(tables_591100!C43,input_591100!A:H,8,FALSE))</f>
        <v>1235250</v>
      </c>
      <c r="P43" s="46">
        <f t="shared" ca="1" si="1"/>
        <v>8.4896907216535696E-3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input_591100!A$2</f>
        <v>591100</v>
      </c>
      <c r="B44" s="99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IFERROR(VLOOKUP(B44,input_591100!L:R,7,FALSE),VLOOKUP(tables_591100!C44,input_591100!A:H,8,FALSE))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input_591100!A$2</f>
        <v>591100</v>
      </c>
      <c r="B45" s="99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IFERROR(VLOOKUP(B45,input_591100!L:R,7,FALSE),VLOOKUP(tables_591100!C45,input_591100!A:H,8,FALSE))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input_591100!A$2</f>
        <v>591100</v>
      </c>
      <c r="B46" s="99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IFERROR(VLOOKUP(B46,input_591100!L:R,7,FALSE),VLOOKUP(tables_591100!C46,input_591100!A:H,8,FALSE))</f>
        <v>1235250</v>
      </c>
      <c r="P46" s="46">
        <f t="shared" ca="1" si="1"/>
        <v>8.4896907216535696E-3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input_591100!A$2</f>
        <v>591100</v>
      </c>
      <c r="B47" s="99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IFERROR(VLOOKUP(B47,input_591100!L:R,7,FALSE),VLOOKUP(tables_591100!C47,input_591100!A:H,8,FALSE))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input_591100!A$2</f>
        <v>591100</v>
      </c>
      <c r="B48" s="99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IFERROR(VLOOKUP(B48,input_591100!L:R,7,FALSE),VLOOKUP(tables_591100!C48,input_591100!A:H,8,FALSE))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input_591100!A$2</f>
        <v>591100</v>
      </c>
      <c r="B49" s="99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IFERROR(VLOOKUP(B49,input_591100!L:R,7,FALSE),VLOOKUP(tables_591100!C49,input_591100!A:H,8,FALSE))</f>
        <v>1235250</v>
      </c>
      <c r="P49" s="46">
        <f t="shared" ca="1" si="1"/>
        <v>8.4896907216535696E-3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input_591100!A$2</f>
        <v>591100</v>
      </c>
      <c r="B50" s="99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IFERROR(VLOOKUP(B50,input_591100!L:R,7,FALSE),VLOOKUP(tables_591100!C50,input_591100!A:H,8,FALSE))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input_591100!A$2</f>
        <v>591100</v>
      </c>
      <c r="B51" s="99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IFERROR(VLOOKUP(B51,input_591100!L:R,7,FALSE),VLOOKUP(tables_591100!C51,input_591100!A:H,8,FALSE))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input_591100!A$2</f>
        <v>591100</v>
      </c>
      <c r="B52" s="99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IFERROR(VLOOKUP(B52,input_591100!L:R,7,FALSE),VLOOKUP(tables_591100!C52,input_591100!A:H,8,FALSE))</f>
        <v>1235250</v>
      </c>
      <c r="P52" s="46">
        <f t="shared" ca="1" si="1"/>
        <v>8.4896907216535696E-3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input_591100!A$2</f>
        <v>591100</v>
      </c>
      <c r="B53" s="99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IFERROR(VLOOKUP(B53,input_591100!L:R,7,FALSE),VLOOKUP(tables_591100!C53,input_591100!A:H,8,FALSE))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input_591100!A$2</f>
        <v>591100</v>
      </c>
      <c r="B54" s="99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IFERROR(VLOOKUP(B54,input_591100!L:R,7,FALSE),VLOOKUP(tables_591100!C54,input_591100!A:H,8,FALSE))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input_591100!A$2</f>
        <v>591100</v>
      </c>
      <c r="B55" s="99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IFERROR(VLOOKUP(B55,input_591100!L:R,7,FALSE),VLOOKUP(tables_591100!C55,input_591100!A:H,8,FALSE))</f>
        <v>1235250</v>
      </c>
      <c r="P55" s="46">
        <f t="shared" ca="1" si="1"/>
        <v>8.4896907216535696E-3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input_591100!A$2</f>
        <v>591100</v>
      </c>
      <c r="B56" s="99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IFERROR(VLOOKUP(B56,input_591100!L:R,7,FALSE),VLOOKUP(tables_591100!C56,input_591100!A:H,8,FALSE))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input_591100!A$2</f>
        <v>591100</v>
      </c>
      <c r="B57" s="99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IFERROR(VLOOKUP(B57,input_591100!L:R,7,FALSE),VLOOKUP(tables_591100!C57,input_591100!A:H,8,FALSE))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input_591100!A$2</f>
        <v>591100</v>
      </c>
      <c r="B58" s="99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IFERROR(VLOOKUP(B58,input_591100!L:R,7,FALSE),VLOOKUP(tables_591100!C58,input_591100!A:H,8,FALSE))</f>
        <v>1235250</v>
      </c>
      <c r="P58" s="46">
        <f t="shared" ca="1" si="1"/>
        <v>8.4896907216535696E-3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input_591100!A$2</f>
        <v>591100</v>
      </c>
      <c r="B59" s="99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IFERROR(VLOOKUP(B59,input_591100!L:R,7,FALSE),VLOOKUP(tables_591100!C59,input_591100!A:H,8,FALSE))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input_591100!A$2</f>
        <v>591100</v>
      </c>
      <c r="B60" s="99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IFERROR(VLOOKUP(B60,input_591100!L:R,7,FALSE),VLOOKUP(tables_591100!C60,input_591100!A:H,8,FALSE))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input_591100!A$2</f>
        <v>591100</v>
      </c>
      <c r="B61" s="99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IFERROR(VLOOKUP(B61,input_591100!L:R,7,FALSE),VLOOKUP(tables_591100!C61,input_591100!A:H,8,FALSE))</f>
        <v>1235250</v>
      </c>
      <c r="P61" s="46">
        <f t="shared" ca="1" si="1"/>
        <v>8.4896907216535696E-3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input_591100!A$2</f>
        <v>591100</v>
      </c>
      <c r="B62" s="100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IFERROR(VLOOKUP(B62,input_591100!L:R,7,FALSE),VLOOKUP(tables_591100!C62,input_591100!A:H,8,FALSE))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input_591100!A$2</f>
        <v>591100</v>
      </c>
      <c r="B63" s="100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IFERROR(VLOOKUP(B63,input_591100!L:R,7,FALSE),VLOOKUP(tables_591100!C63,input_591100!A:H,8,FALSE))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input_591100!A$2</f>
        <v>591100</v>
      </c>
      <c r="B64" s="100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IFERROR(VLOOKUP(B64,input_591100!L:R,7,FALSE),VLOOKUP(tables_591100!C64,input_591100!A:H,8,FALSE))</f>
        <v>1235250</v>
      </c>
      <c r="P64" s="46">
        <f t="shared" ca="1" si="1"/>
        <v>8.4896907216535696E-3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input_591100!A$2</f>
        <v>591100</v>
      </c>
      <c r="B65" s="100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IFERROR(VLOOKUP(B65,input_591100!L:R,7,FALSE),VLOOKUP(tables_591100!C65,input_591100!A:H,8,FALSE))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input_591100!A$2</f>
        <v>591100</v>
      </c>
      <c r="B66" s="99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IFERROR(VLOOKUP(B66,input_591100!L:R,7,FALSE),VLOOKUP(tables_591100!C66,input_591100!A:H,8,FALSE))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input_591100!A$2</f>
        <v>591100</v>
      </c>
      <c r="B67" s="99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IFERROR(VLOOKUP(B67,input_591100!L:R,7,FALSE),VLOOKUP(tables_591100!C67,input_591100!A:H,8,FALSE))</f>
        <v>1235250</v>
      </c>
      <c r="P67" s="46">
        <f t="shared" ca="1" si="4"/>
        <v>8.4896907216535696E-3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input_591100!A$2</f>
        <v>591100</v>
      </c>
      <c r="B68" s="99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IFERROR(VLOOKUP(B68,input_591100!L:R,7,FALSE),VLOOKUP(tables_591100!C68,input_591100!A:H,8,FALSE))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input_591100!A$2</f>
        <v>591100</v>
      </c>
      <c r="B69" s="99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IFERROR(VLOOKUP(B69,input_591100!L:R,7,FALSE),VLOOKUP(tables_591100!C69,input_591100!A:H,8,FALSE))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input_591100!A$2</f>
        <v>591100</v>
      </c>
      <c r="B70" s="99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IFERROR(VLOOKUP(B70,input_591100!L:R,7,FALSE),VLOOKUP(tables_591100!C70,input_591100!A:H,8,FALSE))</f>
        <v>1235250</v>
      </c>
      <c r="P70" s="46">
        <f t="shared" ca="1" si="4"/>
        <v>8.4896907216535696E-3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input_591100!A$2</f>
        <v>591100</v>
      </c>
      <c r="B71" s="99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IFERROR(VLOOKUP(B71,input_591100!L:R,7,FALSE),VLOOKUP(tables_591100!C71,input_591100!A:H,8,FALSE))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input_591100!A$2</f>
        <v>591100</v>
      </c>
      <c r="B72" s="99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IFERROR(VLOOKUP(B72,input_591100!L:R,7,FALSE),VLOOKUP(tables_591100!C72,input_591100!A:H,8,FALSE))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input_591100!A$2</f>
        <v>591100</v>
      </c>
      <c r="B73" s="99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IFERROR(VLOOKUP(B73,input_591100!L:R,7,FALSE),VLOOKUP(tables_591100!C73,input_591100!A:H,8,FALSE))</f>
        <v>1235250</v>
      </c>
      <c r="P73" s="46">
        <f t="shared" ca="1" si="4"/>
        <v>8.4896907216535696E-3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input_591100!A$2</f>
        <v>591100</v>
      </c>
      <c r="B74" s="99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IFERROR(VLOOKUP(B74,input_591100!L:R,7,FALSE),VLOOKUP(tables_591100!C74,input_591100!A:H,8,FALSE))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input_591100!A$2</f>
        <v>591100</v>
      </c>
      <c r="B75" s="99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IFERROR(VLOOKUP(B75,input_591100!L:R,7,FALSE),VLOOKUP(tables_591100!C75,input_591100!A:H,8,FALSE))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input_591100!A$2</f>
        <v>591100</v>
      </c>
      <c r="B76" s="99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IFERROR(VLOOKUP(B76,input_591100!L:R,7,FALSE),VLOOKUP(tables_591100!C76,input_591100!A:H,8,FALSE))</f>
        <v>1235250</v>
      </c>
      <c r="P76" s="46">
        <f t="shared" ca="1" si="4"/>
        <v>8.4896907216535696E-3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input_591100!A$2</f>
        <v>591100</v>
      </c>
      <c r="B77" s="101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IFERROR(VLOOKUP(B77,input_591100!L:R,7,FALSE),VLOOKUP(tables_591100!C77,input_591100!A:H,8,FALSE))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input_591100!A$2</f>
        <v>591100</v>
      </c>
      <c r="B78" s="101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IFERROR(VLOOKUP(B78,input_591100!L:R,7,FALSE),VLOOKUP(tables_591100!C78,input_591100!A:H,8,FALSE))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input_591100!A$2</f>
        <v>591100</v>
      </c>
      <c r="B79" s="101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IFERROR(VLOOKUP(B79,input_591100!L:R,7,FALSE),VLOOKUP(tables_591100!C79,input_591100!A:H,8,FALSE))</f>
        <v>1235250</v>
      </c>
      <c r="P79" s="46">
        <f t="shared" ca="1" si="4"/>
        <v>8.4896907216535696E-3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input_591100!A$2</f>
        <v>591100</v>
      </c>
      <c r="B80" s="101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IFERROR(VLOOKUP(B80,input_591100!L:R,7,FALSE),VLOOKUP(tables_591100!C80,input_591100!A:H,8,FALSE))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input_591100!A$2</f>
        <v>591100</v>
      </c>
      <c r="B81" s="101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IFERROR(VLOOKUP(B81,input_591100!L:R,7,FALSE),VLOOKUP(tables_591100!C81,input_591100!A:H,8,FALSE))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input_591100!A$2</f>
        <v>591100</v>
      </c>
      <c r="B82" s="101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IFERROR(VLOOKUP(B82,input_591100!L:R,7,FALSE),VLOOKUP(tables_591100!C82,input_591100!A:H,8,FALSE))</f>
        <v>1235250</v>
      </c>
      <c r="P82" s="46">
        <f t="shared" ca="1" si="4"/>
        <v>8.4896907216535696E-3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input_591100!A$2</f>
        <v>591100</v>
      </c>
      <c r="B83" s="101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IFERROR(VLOOKUP(B83,input_591100!L:R,7,FALSE),VLOOKUP(tables_591100!C83,input_591100!A:H,8,FALSE))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input_591100!A$2</f>
        <v>591100</v>
      </c>
      <c r="B84" s="101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IFERROR(VLOOKUP(B84,input_591100!L:R,7,FALSE),VLOOKUP(tables_591100!C84,input_591100!A:H,8,FALSE))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input_591100!A$2</f>
        <v>591100</v>
      </c>
      <c r="B85" s="101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IFERROR(VLOOKUP(B85,input_591100!L:R,7,FALSE),VLOOKUP(tables_591100!C85,input_591100!A:H,8,FALSE))</f>
        <v>1235250</v>
      </c>
      <c r="P85" s="46">
        <f t="shared" ca="1" si="4"/>
        <v>8.4896907216535696E-3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input_591100!A$2</f>
        <v>591100</v>
      </c>
      <c r="B86" s="101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IFERROR(VLOOKUP(B86,input_591100!L:R,7,FALSE),VLOOKUP(tables_591100!C86,input_591100!A:H,8,FALSE))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input_591100!A$2</f>
        <v>591100</v>
      </c>
      <c r="B87" s="101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IFERROR(VLOOKUP(B87,input_591100!L:R,7,FALSE),VLOOKUP(tables_591100!C87,input_591100!A:H,8,FALSE))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input_591100!A$2</f>
        <v>591100</v>
      </c>
      <c r="B88" s="101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IFERROR(VLOOKUP(B88,input_591100!L:R,7,FALSE),VLOOKUP(tables_591100!C88,input_591100!A:H,8,FALSE))</f>
        <v>1235250</v>
      </c>
      <c r="P88" s="46">
        <f t="shared" ca="1" si="4"/>
        <v>8.4896907216535696E-3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input_591100!A$2</f>
        <v>591100</v>
      </c>
      <c r="B89" s="101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IFERROR(VLOOKUP(B89,input_591100!L:R,7,FALSE),VLOOKUP(tables_591100!C89,input_591100!A:H,8,FALSE))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input_591100!A$2</f>
        <v>591100</v>
      </c>
      <c r="B90" s="101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IFERROR(VLOOKUP(B90,input_591100!L:R,7,FALSE),VLOOKUP(tables_591100!C90,input_591100!A:H,8,FALSE))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input_591100!A$2</f>
        <v>591100</v>
      </c>
      <c r="B91" s="101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IFERROR(VLOOKUP(B91,input_591100!L:R,7,FALSE),VLOOKUP(tables_591100!C91,input_591100!A:H,8,FALSE))</f>
        <v>1235250</v>
      </c>
      <c r="P91" s="46">
        <f t="shared" ca="1" si="4"/>
        <v>8.4896907216535696E-3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input_591100!A$2</f>
        <v>591100</v>
      </c>
      <c r="B92" s="101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IFERROR(VLOOKUP(B92,input_591100!L:R,7,FALSE),VLOOKUP(tables_591100!C92,input_591100!A:H,8,FALSE))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input_591100!A$2</f>
        <v>591100</v>
      </c>
      <c r="B93" s="101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IFERROR(VLOOKUP(B93,input_591100!L:R,7,FALSE),VLOOKUP(tables_591100!C93,input_591100!A:H,8,FALSE))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input_591100!A$2</f>
        <v>591100</v>
      </c>
      <c r="B94" s="101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IFERROR(VLOOKUP(B94,input_591100!L:R,7,FALSE),VLOOKUP(tables_591100!C94,input_591100!A:H,8,FALSE))</f>
        <v>1235250</v>
      </c>
      <c r="P94" s="46">
        <f t="shared" ca="1" si="4"/>
        <v>8.4896907216535696E-3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input_591100!A$2</f>
        <v>591100</v>
      </c>
      <c r="B95" s="101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IFERROR(VLOOKUP(B95,input_591100!L:R,7,FALSE),VLOOKUP(tables_591100!C95,input_591100!A:H,8,FALSE))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input_591100!A$2</f>
        <v>591100</v>
      </c>
      <c r="B96" s="101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IFERROR(VLOOKUP(B96,input_591100!L:R,7,FALSE),VLOOKUP(tables_591100!C96,input_591100!A:H,8,FALSE))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input_591100!A$2</f>
        <v>591100</v>
      </c>
      <c r="B97" s="101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IFERROR(VLOOKUP(B97,input_591100!L:R,7,FALSE),VLOOKUP(tables_591100!C97,input_591100!A:H,8,FALSE))</f>
        <v>1235250</v>
      </c>
      <c r="P97" s="46">
        <f t="shared" ca="1" si="4"/>
        <v>8.4896907216535696E-3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input_591100!A$2</f>
        <v>591100</v>
      </c>
      <c r="B98" s="101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IFERROR(VLOOKUP(B98,input_591100!L:R,7,FALSE),VLOOKUP(tables_591100!C98,input_591100!A:H,8,FALSE))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input_591100!A$2</f>
        <v>591100</v>
      </c>
      <c r="B99" s="101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IFERROR(VLOOKUP(B99,input_591100!L:R,7,FALSE),VLOOKUP(tables_591100!C99,input_591100!A:H,8,FALSE))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input_591100!A$2</f>
        <v>591100</v>
      </c>
      <c r="B100" s="101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IFERROR(VLOOKUP(B100,input_591100!L:R,7,FALSE),VLOOKUP(tables_591100!C100,input_591100!A:H,8,FALSE))</f>
        <v>1235250</v>
      </c>
      <c r="P100" s="46">
        <f t="shared" ca="1" si="4"/>
        <v>8.4896907216535696E-3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input_591100!A$2</f>
        <v>591100</v>
      </c>
      <c r="B101" s="101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IFERROR(VLOOKUP(B101,input_591100!L:R,7,FALSE),VLOOKUP(tables_591100!C101,input_591100!A:H,8,FALSE))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input_591100!A$2</f>
        <v>591100</v>
      </c>
      <c r="B102" s="101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IFERROR(VLOOKUP(B102,input_591100!L:R,7,FALSE),VLOOKUP(tables_591100!C102,input_591100!A:H,8,FALSE))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input_591100!A$2</f>
        <v>591100</v>
      </c>
      <c r="B103" s="101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IFERROR(VLOOKUP(B103,input_591100!L:R,7,FALSE),VLOOKUP(tables_591100!C103,input_591100!A:H,8,FALSE))</f>
        <v>1235250</v>
      </c>
      <c r="P103" s="46">
        <f t="shared" ca="1" si="4"/>
        <v>8.4896907216535696E-3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input_591100!A$2</f>
        <v>591100</v>
      </c>
      <c r="B104" s="101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IFERROR(VLOOKUP(B104,input_591100!L:R,7,FALSE),VLOOKUP(tables_591100!C104,input_591100!A:H,8,FALSE))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input_591100!A$2</f>
        <v>591100</v>
      </c>
      <c r="B105" s="101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IFERROR(VLOOKUP(B105,input_591100!L:R,7,FALSE),VLOOKUP(tables_591100!C105,input_591100!A:H,8,FALSE))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input_591100!A$2</f>
        <v>591100</v>
      </c>
      <c r="B106" s="101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IFERROR(VLOOKUP(B106,input_591100!L:R,7,FALSE),VLOOKUP(tables_591100!C106,input_591100!A:H,8,FALSE))</f>
        <v>1235250</v>
      </c>
      <c r="P106" s="46">
        <f t="shared" ca="1" si="4"/>
        <v>8.4896907216535696E-3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input_591100!A$2</f>
        <v>591100</v>
      </c>
      <c r="B107" s="101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IFERROR(VLOOKUP(B107,input_591100!L:R,7,FALSE),VLOOKUP(tables_591100!C107,input_591100!A:H,8,FALSE))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input_591100!A$2</f>
        <v>591100</v>
      </c>
      <c r="B108" s="101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IFERROR(VLOOKUP(B108,input_591100!L:R,7,FALSE),VLOOKUP(tables_591100!C108,input_591100!A:H,8,FALSE))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input_591100!A$2</f>
        <v>591100</v>
      </c>
      <c r="B109" s="101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IFERROR(VLOOKUP(B109,input_591100!L:R,7,FALSE),VLOOKUP(tables_591100!C109,input_591100!A:H,8,FALSE))</f>
        <v>1235250</v>
      </c>
      <c r="P109" s="46">
        <f t="shared" ca="1" si="4"/>
        <v>8.4896907216535696E-3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input_591100!A$2</f>
        <v>591100</v>
      </c>
      <c r="B110" s="101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IFERROR(VLOOKUP(B110,input_591100!L:R,7,FALSE),VLOOKUP(tables_591100!C110,input_591100!A:H,8,FALSE))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input_591100!A$2</f>
        <v>591100</v>
      </c>
      <c r="B111" s="101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IFERROR(VLOOKUP(B111,input_591100!L:R,7,FALSE),VLOOKUP(tables_591100!C111,input_591100!A:H,8,FALSE))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input_591100!A$2</f>
        <v>591100</v>
      </c>
      <c r="B112" s="101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IFERROR(VLOOKUP(B112,input_591100!L:R,7,FALSE),VLOOKUP(tables_591100!C112,input_591100!A:H,8,FALSE))</f>
        <v>1235250</v>
      </c>
      <c r="P112" s="46">
        <f t="shared" ca="1" si="4"/>
        <v>8.4896907216535696E-3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input_591100!A$2</f>
        <v>591100</v>
      </c>
      <c r="B113" s="101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IFERROR(VLOOKUP(B113,input_591100!L:R,7,FALSE),VLOOKUP(tables_591100!C113,input_591100!A:H,8,FALSE))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input_591100!A$2</f>
        <v>591100</v>
      </c>
      <c r="B114" s="101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IFERROR(VLOOKUP(B114,input_591100!L:R,7,FALSE),VLOOKUP(tables_591100!C114,input_591100!A:H,8,FALSE))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input_591100!A$2</f>
        <v>591100</v>
      </c>
      <c r="B115" s="101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IFERROR(VLOOKUP(B115,input_591100!L:R,7,FALSE),VLOOKUP(tables_591100!C115,input_591100!A:H,8,FALSE))</f>
        <v>1235250</v>
      </c>
      <c r="P115" s="46">
        <f t="shared" ca="1" si="4"/>
        <v>8.4896907216535696E-3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input_591100!A$2</f>
        <v>591100</v>
      </c>
      <c r="B116" s="101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IFERROR(VLOOKUP(B116,input_591100!L:R,7,FALSE),VLOOKUP(tables_591100!C116,input_591100!A:H,8,FALSE))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input_591100!A$2</f>
        <v>591100</v>
      </c>
      <c r="B117" s="101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IFERROR(VLOOKUP(B117,input_591100!L:R,7,FALSE),VLOOKUP(tables_591100!C117,input_591100!A:H,8,FALSE))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input_591100!A$2</f>
        <v>591100</v>
      </c>
      <c r="B118" s="101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IFERROR(VLOOKUP(B118,input_591100!L:R,7,FALSE),VLOOKUP(tables_591100!C118,input_591100!A:H,8,FALSE))</f>
        <v>1235250</v>
      </c>
      <c r="P118" s="46">
        <f t="shared" ca="1" si="4"/>
        <v>8.4896907216535696E-3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input_591100!A$2</f>
        <v>591100</v>
      </c>
      <c r="B119" s="101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IFERROR(VLOOKUP(B119,input_591100!L:R,7,FALSE),VLOOKUP(tables_591100!C119,input_591100!A:H,8,FALSE))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input_591100!A$2</f>
        <v>591100</v>
      </c>
      <c r="B120" s="101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IFERROR(VLOOKUP(B120,input_591100!L:R,7,FALSE),VLOOKUP(tables_591100!C120,input_591100!A:H,8,FALSE))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input_591100!A$2</f>
        <v>591100</v>
      </c>
      <c r="B121" s="101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IFERROR(VLOOKUP(B121,input_591100!L:R,7,FALSE),VLOOKUP(tables_591100!C121,input_591100!A:H,8,FALSE))</f>
        <v>1235250</v>
      </c>
      <c r="P121" s="46">
        <f t="shared" ca="1" si="4"/>
        <v>8.4896907216535696E-3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input_591100!A$2</f>
        <v>591100</v>
      </c>
      <c r="B122" s="101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IFERROR(VLOOKUP(B122,input_591100!L:R,7,FALSE),VLOOKUP(tables_591100!C122,input_591100!A:H,8,FALSE))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input_591100!A$2</f>
        <v>591100</v>
      </c>
      <c r="B123" s="101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IFERROR(VLOOKUP(B123,input_591100!L:R,7,FALSE),VLOOKUP(tables_591100!C123,input_591100!A:H,8,FALSE))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input_591100!A$2</f>
        <v>591100</v>
      </c>
      <c r="B124" s="101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IFERROR(VLOOKUP(B124,input_591100!L:R,7,FALSE),VLOOKUP(tables_591100!C124,input_591100!A:H,8,FALSE))</f>
        <v>1235250</v>
      </c>
      <c r="P124" s="46">
        <f t="shared" ca="1" si="4"/>
        <v>8.4896907216535696E-3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input_591100!A$2</f>
        <v>591100</v>
      </c>
      <c r="B125" s="99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IFERROR(VLOOKUP(B125,input_591100!L:R,7,FALSE),VLOOKUP(tables_591100!C125,input_591100!A:H,8,FALSE))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input_591100!A$2</f>
        <v>591100</v>
      </c>
      <c r="B126" s="99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IFERROR(VLOOKUP(B126,input_591100!L:R,7,FALSE),VLOOKUP(tables_591100!C126,input_591100!A:H,8,FALSE))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input_591100!A$2</f>
        <v>591100</v>
      </c>
      <c r="B127" s="99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IFERROR(VLOOKUP(B127,input_591100!L:R,7,FALSE),VLOOKUP(tables_591100!C127,input_591100!A:H,8,FALSE))</f>
        <v>1235250</v>
      </c>
      <c r="P127" s="46">
        <f t="shared" ca="1" si="4"/>
        <v>8.4896907216535696E-3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input_591100!A$2</f>
        <v>591100</v>
      </c>
      <c r="B128" s="99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IFERROR(VLOOKUP(B128,input_591100!L:R,7,FALSE),VLOOKUP(tables_591100!C128,input_591100!A:H,8,FALSE))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input_591100!A$2</f>
        <v>591100</v>
      </c>
      <c r="B129" s="99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IFERROR(VLOOKUP(B129,input_591100!L:R,7,FALSE),VLOOKUP(tables_591100!C129,input_591100!A:H,8,FALSE))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input_591100!A$2</f>
        <v>591100</v>
      </c>
      <c r="B130" s="99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IFERROR(VLOOKUP(B130,input_591100!L:R,7,FALSE),VLOOKUP(tables_591100!C130,input_591100!A:H,8,FALSE))</f>
        <v>1235250</v>
      </c>
      <c r="P130" s="46">
        <f t="shared" ref="P130:P193" ca="1" si="7">O130/SUM(O:O)</f>
        <v>8.4896907216535696E-3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input_591100!A$2</f>
        <v>591100</v>
      </c>
      <c r="B131" s="99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IFERROR(VLOOKUP(B131,input_591100!L:R,7,FALSE),VLOOKUP(tables_591100!C131,input_591100!A:H,8,FALSE))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input_591100!A$2</f>
        <v>591100</v>
      </c>
      <c r="B132" s="99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IFERROR(VLOOKUP(B132,input_591100!L:R,7,FALSE),VLOOKUP(tables_591100!C132,input_591100!A:H,8,FALSE))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input_591100!A$2</f>
        <v>591100</v>
      </c>
      <c r="B133" s="99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IFERROR(VLOOKUP(B133,input_591100!L:R,7,FALSE),VLOOKUP(tables_591100!C133,input_591100!A:H,8,FALSE))</f>
        <v>1235250</v>
      </c>
      <c r="P133" s="46">
        <f t="shared" ca="1" si="7"/>
        <v>8.4896907216535696E-3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input_591100!A$2</f>
        <v>591100</v>
      </c>
      <c r="B134" s="99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IFERROR(VLOOKUP(B134,input_591100!L:R,7,FALSE),VLOOKUP(tables_591100!C134,input_591100!A:H,8,FALSE))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input_591100!A$2</f>
        <v>591100</v>
      </c>
      <c r="B135" s="99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IFERROR(VLOOKUP(B135,input_591100!L:R,7,FALSE),VLOOKUP(tables_591100!C135,input_591100!A:H,8,FALSE))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input_591100!A$2</f>
        <v>591100</v>
      </c>
      <c r="B136" s="100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IFERROR(VLOOKUP(B136,input_591100!L:R,7,FALSE),VLOOKUP(tables_591100!C136,input_591100!A:H,8,FALSE))</f>
        <v>1235250</v>
      </c>
      <c r="P136" s="46">
        <f t="shared" ca="1" si="7"/>
        <v>8.4896907216535696E-3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input_591100!A$2</f>
        <v>591100</v>
      </c>
      <c r="B137" s="100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IFERROR(VLOOKUP(B137,input_591100!L:R,7,FALSE),VLOOKUP(tables_591100!C137,input_591100!A:H,8,FALSE))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input_591100!A$2</f>
        <v>591100</v>
      </c>
      <c r="B138" s="99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IFERROR(VLOOKUP(B138,input_591100!L:R,7,FALSE),VLOOKUP(tables_591100!C138,input_591100!A:H,8,FALSE))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input_591100!A$2</f>
        <v>591100</v>
      </c>
      <c r="B139" s="99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IFERROR(VLOOKUP(B139,input_591100!L:R,7,FALSE),VLOOKUP(tables_591100!C139,input_591100!A:H,8,FALSE))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input_591100!A$2</f>
        <v>591100</v>
      </c>
      <c r="B140" s="99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IFERROR(VLOOKUP(B140,input_591100!L:R,7,FALSE),VLOOKUP(tables_591100!C140,input_591100!A:H,8,FALSE))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input_591100!A$2</f>
        <v>591100</v>
      </c>
      <c r="B141" s="99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IFERROR(VLOOKUP(B141,input_591100!L:R,7,FALSE),VLOOKUP(tables_591100!C141,input_591100!A:H,8,FALSE))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input_591100!A$2</f>
        <v>591100</v>
      </c>
      <c r="B142" s="99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IFERROR(VLOOKUP(B142,input_591100!L:R,7,FALSE),VLOOKUP(tables_591100!C142,input_591100!A:H,8,FALSE))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input_591100!A$2</f>
        <v>591100</v>
      </c>
      <c r="B143" s="99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IFERROR(VLOOKUP(B143,input_591100!L:R,7,FALSE),VLOOKUP(tables_591100!C143,input_591100!A:H,8,FALSE))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input_591100!A$2</f>
        <v>591100</v>
      </c>
      <c r="B144" s="99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IFERROR(VLOOKUP(B144,input_591100!L:R,7,FALSE),VLOOKUP(tables_591100!C144,input_591100!A:H,8,FALSE))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input_591100!A$2</f>
        <v>591100</v>
      </c>
      <c r="B145" s="99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IFERROR(VLOOKUP(B145,input_591100!L:R,7,FALSE),VLOOKUP(tables_591100!C145,input_591100!A:H,8,FALSE))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input_591100!A$2</f>
        <v>591100</v>
      </c>
      <c r="B146" s="99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IFERROR(VLOOKUP(B146,input_591100!L:R,7,FALSE),VLOOKUP(tables_591100!C146,input_591100!A:H,8,FALSE))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input_591100!A$2</f>
        <v>591100</v>
      </c>
      <c r="B147" s="99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IFERROR(VLOOKUP(B147,input_591100!L:R,7,FALSE),VLOOKUP(tables_591100!C147,input_591100!A:H,8,FALSE))</f>
        <v>1235250</v>
      </c>
      <c r="P147" s="46">
        <f t="shared" ca="1" si="7"/>
        <v>8.4896907216535696E-3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input_591100!A$2</f>
        <v>591100</v>
      </c>
      <c r="B148" s="99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IFERROR(VLOOKUP(B148,input_591100!L:R,7,FALSE),VLOOKUP(tables_591100!C148,input_591100!A:H,8,FALSE))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input_591100!A$2</f>
        <v>591100</v>
      </c>
      <c r="B149" s="99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IFERROR(VLOOKUP(B149,input_591100!L:R,7,FALSE),VLOOKUP(tables_591100!C149,input_591100!A:H,8,FALSE))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input_591100!A$2</f>
        <v>591100</v>
      </c>
      <c r="B150" s="99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IFERROR(VLOOKUP(B150,input_591100!L:R,7,FALSE),VLOOKUP(tables_591100!C150,input_591100!A:H,8,FALSE))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input_591100!A$2</f>
        <v>591100</v>
      </c>
      <c r="B151" s="99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IFERROR(VLOOKUP(B151,input_591100!L:R,7,FALSE),VLOOKUP(tables_591100!C151,input_591100!A:H,8,FALSE))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input_591100!A$2</f>
        <v>591100</v>
      </c>
      <c r="B152" s="99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IFERROR(VLOOKUP(B152,input_591100!L:R,7,FALSE),VLOOKUP(tables_591100!C152,input_591100!A:H,8,FALSE))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input_591100!A$2</f>
        <v>591100</v>
      </c>
      <c r="B153" s="99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IFERROR(VLOOKUP(B153,input_591100!L:R,7,FALSE),VLOOKUP(tables_591100!C153,input_591100!A:H,8,FALSE))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input_591100!A$2</f>
        <v>591100</v>
      </c>
      <c r="B154" s="99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IFERROR(VLOOKUP(B154,input_591100!L:R,7,FALSE),VLOOKUP(tables_591100!C154,input_591100!A:H,8,FALSE))</f>
        <v>1235250</v>
      </c>
      <c r="P154" s="46">
        <f t="shared" ca="1" si="7"/>
        <v>8.4896907216535696E-3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input_591100!A$2</f>
        <v>591100</v>
      </c>
      <c r="B155" s="99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IFERROR(VLOOKUP(B155,input_591100!L:R,7,FALSE),VLOOKUP(tables_591100!C155,input_591100!A:H,8,FALSE))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input_591100!A$2</f>
        <v>591100</v>
      </c>
      <c r="B156" s="99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IFERROR(VLOOKUP(B156,input_591100!L:R,7,FALSE),VLOOKUP(tables_591100!C156,input_591100!A:H,8,FALSE))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input_591100!A$2</f>
        <v>591100</v>
      </c>
      <c r="B157" s="99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IFERROR(VLOOKUP(B157,input_591100!L:R,7,FALSE),VLOOKUP(tables_591100!C157,input_591100!A:H,8,FALSE))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input_591100!A$2</f>
        <v>591100</v>
      </c>
      <c r="B158" s="99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IFERROR(VLOOKUP(B158,input_591100!L:R,7,FALSE),VLOOKUP(tables_591100!C158,input_591100!A:H,8,FALSE))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input_591100!A$2</f>
        <v>591100</v>
      </c>
      <c r="B159" s="99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IFERROR(VLOOKUP(B159,input_591100!L:R,7,FALSE),VLOOKUP(tables_591100!C159,input_591100!A:H,8,FALSE))</f>
        <v>1235250</v>
      </c>
      <c r="P159" s="46">
        <f t="shared" ca="1" si="7"/>
        <v>8.4896907216535696E-3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input_591100!A$2</f>
        <v>591100</v>
      </c>
      <c r="B160" s="99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IFERROR(VLOOKUP(B160,input_591100!L:R,7,FALSE),VLOOKUP(tables_591100!C160,input_591100!A:H,8,FALSE))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input_591100!A$2</f>
        <v>591100</v>
      </c>
      <c r="B161" s="99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IFERROR(VLOOKUP(B161,input_591100!L:R,7,FALSE),VLOOKUP(tables_591100!C161,input_591100!A:H,8,FALSE))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input_591100!A$2</f>
        <v>591100</v>
      </c>
      <c r="B162" s="99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IFERROR(VLOOKUP(B162,input_591100!L:R,7,FALSE),VLOOKUP(tables_591100!C162,input_591100!A:H,8,FALSE))</f>
        <v>1235250</v>
      </c>
      <c r="P162" s="46">
        <f t="shared" ca="1" si="7"/>
        <v>8.4896907216535696E-3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input_591100!A$2</f>
        <v>591100</v>
      </c>
      <c r="B163" s="99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IFERROR(VLOOKUP(B163,input_591100!L:R,7,FALSE),VLOOKUP(tables_591100!C163,input_591100!A:H,8,FALSE))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input_591100!A$2</f>
        <v>591100</v>
      </c>
      <c r="B164" s="99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IFERROR(VLOOKUP(B164,input_591100!L:R,7,FALSE),VLOOKUP(tables_591100!C164,input_591100!A:H,8,FALSE))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input_591100!A$2</f>
        <v>591100</v>
      </c>
      <c r="B165" s="99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IFERROR(VLOOKUP(B165,input_591100!L:R,7,FALSE),VLOOKUP(tables_591100!C165,input_591100!A:H,8,FALSE))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input_591100!A$2</f>
        <v>591100</v>
      </c>
      <c r="B166" s="99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IFERROR(VLOOKUP(B166,input_591100!L:R,7,FALSE),VLOOKUP(tables_591100!C166,input_591100!A:H,8,FALSE))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input_591100!A$2</f>
        <v>591100</v>
      </c>
      <c r="B167" s="99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IFERROR(VLOOKUP(B167,input_591100!L:R,7,FALSE),VLOOKUP(tables_591100!C167,input_591100!A:H,8,FALSE))</f>
        <v>1235250</v>
      </c>
      <c r="P167" s="46">
        <f t="shared" ca="1" si="7"/>
        <v>8.4896907216535696E-3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input_591100!A$2</f>
        <v>591100</v>
      </c>
      <c r="B168" s="99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IFERROR(VLOOKUP(B168,input_591100!L:R,7,FALSE),VLOOKUP(tables_591100!C168,input_591100!A:H,8,FALSE))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input_591100!A$2</f>
        <v>591100</v>
      </c>
      <c r="B169" s="99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IFERROR(VLOOKUP(B169,input_591100!L:R,7,FALSE),VLOOKUP(tables_591100!C169,input_591100!A:H,8,FALSE))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input_591100!A$2</f>
        <v>591100</v>
      </c>
      <c r="B170" s="99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IFERROR(VLOOKUP(B170,input_591100!L:R,7,FALSE),VLOOKUP(tables_591100!C170,input_591100!A:H,8,FALSE))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input_591100!A$2</f>
        <v>591100</v>
      </c>
      <c r="B171" s="99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IFERROR(VLOOKUP(B171,input_591100!L:R,7,FALSE),VLOOKUP(tables_591100!C171,input_591100!A:H,8,FALSE))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input_591100!A$2</f>
        <v>591100</v>
      </c>
      <c r="B172" s="99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IFERROR(VLOOKUP(B172,input_591100!L:R,7,FALSE),VLOOKUP(tables_591100!C172,input_591100!A:H,8,FALSE))</f>
        <v>1235250</v>
      </c>
      <c r="P172" s="46">
        <f t="shared" ca="1" si="7"/>
        <v>8.4896907216535696E-3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input_591100!A$2</f>
        <v>591100</v>
      </c>
      <c r="B173" s="99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IFERROR(VLOOKUP(B173,input_591100!L:R,7,FALSE),VLOOKUP(tables_591100!C173,input_591100!A:H,8,FALSE))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input_591100!A$2</f>
        <v>591100</v>
      </c>
      <c r="B174" s="99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IFERROR(VLOOKUP(B174,input_591100!L:R,7,FALSE),VLOOKUP(tables_591100!C174,input_591100!A:H,8,FALSE))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input_591100!A$2</f>
        <v>591100</v>
      </c>
      <c r="B175" s="99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IFERROR(VLOOKUP(B175,input_591100!L:R,7,FALSE),VLOOKUP(tables_591100!C175,input_591100!A:H,8,FALSE))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input_591100!A$2</f>
        <v>591100</v>
      </c>
      <c r="B176" s="99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IFERROR(VLOOKUP(B176,input_591100!L:R,7,FALSE),VLOOKUP(tables_591100!C176,input_591100!A:H,8,FALSE))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input_591100!A$2</f>
        <v>591100</v>
      </c>
      <c r="B177" s="99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IFERROR(VLOOKUP(B177,input_591100!L:R,7,FALSE),VLOOKUP(tables_591100!C177,input_591100!A:H,8,FALSE))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input_591100!A$2</f>
        <v>591100</v>
      </c>
      <c r="B178" s="99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IFERROR(VLOOKUP(B178,input_591100!L:R,7,FALSE),VLOOKUP(tables_591100!C178,input_591100!A:H,8,FALSE))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input_591100!A$2</f>
        <v>591100</v>
      </c>
      <c r="B179" s="99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IFERROR(VLOOKUP(B179,input_591100!L:R,7,FALSE),VLOOKUP(tables_591100!C179,input_591100!A:H,8,FALSE))</f>
        <v>1235250</v>
      </c>
      <c r="P179" s="46">
        <f t="shared" ca="1" si="7"/>
        <v>8.4896907216535696E-3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input_591100!A$2</f>
        <v>591100</v>
      </c>
      <c r="B180" s="99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IFERROR(VLOOKUP(B180,input_591100!L:R,7,FALSE),VLOOKUP(tables_591100!C180,input_591100!A:H,8,FALSE))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input_591100!A$2</f>
        <v>591100</v>
      </c>
      <c r="B181" s="99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IFERROR(VLOOKUP(B181,input_591100!L:R,7,FALSE),VLOOKUP(tables_591100!C181,input_591100!A:H,8,FALSE))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input_591100!A$2</f>
        <v>591100</v>
      </c>
      <c r="B182" s="99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IFERROR(VLOOKUP(B182,input_591100!L:R,7,FALSE),VLOOKUP(tables_591100!C182,input_591100!A:H,8,FALSE))</f>
        <v>1235250</v>
      </c>
      <c r="P182" s="46">
        <f t="shared" ca="1" si="7"/>
        <v>8.4896907216535696E-3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input_591100!A$2</f>
        <v>591100</v>
      </c>
      <c r="B183" s="99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IFERROR(VLOOKUP(B183,input_591100!L:R,7,FALSE),VLOOKUP(tables_591100!C183,input_591100!A:H,8,FALSE))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input_591100!A$2</f>
        <v>591100</v>
      </c>
      <c r="B184" s="99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IFERROR(VLOOKUP(B184,input_591100!L:R,7,FALSE),VLOOKUP(tables_591100!C184,input_591100!A:H,8,FALSE))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input_591100!A$2</f>
        <v>591100</v>
      </c>
      <c r="B185" s="99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IFERROR(VLOOKUP(B185,input_591100!L:R,7,FALSE),VLOOKUP(tables_591100!C185,input_591100!A:H,8,FALSE))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input_591100!A$2</f>
        <v>591100</v>
      </c>
      <c r="B186" s="100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IFERROR(VLOOKUP(B186,input_591100!L:R,7,FALSE),VLOOKUP(tables_591100!C186,input_591100!A:H,8,FALSE))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input_591100!A$2</f>
        <v>591100</v>
      </c>
      <c r="B187" s="100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IFERROR(VLOOKUP(B187,input_591100!L:R,7,FALSE),VLOOKUP(tables_591100!C187,input_591100!A:H,8,FALSE))</f>
        <v>1235250</v>
      </c>
      <c r="P187" s="46">
        <f t="shared" ca="1" si="7"/>
        <v>8.4896907216535696E-3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input_591100!A$2</f>
        <v>591100</v>
      </c>
      <c r="B188" s="100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IFERROR(VLOOKUP(B188,input_591100!L:R,7,FALSE),VLOOKUP(tables_591100!C188,input_591100!A:H,8,FALSE))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input_591100!A$2</f>
        <v>591100</v>
      </c>
      <c r="B189" s="100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IFERROR(VLOOKUP(B189,input_591100!L:R,7,FALSE),VLOOKUP(tables_591100!C189,input_591100!A:H,8,FALSE))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input_591100!A$2</f>
        <v>591100</v>
      </c>
      <c r="B190" s="99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IFERROR(VLOOKUP(B190,input_591100!L:R,7,FALSE),VLOOKUP(tables_591100!C190,input_591100!A:H,8,FALSE))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input_591100!A$2</f>
        <v>591100</v>
      </c>
      <c r="B191" s="99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IFERROR(VLOOKUP(B191,input_591100!L:R,7,FALSE),VLOOKUP(tables_591100!C191,input_591100!A:H,8,FALSE))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input_591100!A$2</f>
        <v>591100</v>
      </c>
      <c r="B192" s="99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IFERROR(VLOOKUP(B192,input_591100!L:R,7,FALSE),VLOOKUP(tables_591100!C192,input_591100!A:H,8,FALSE))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input_591100!A$2</f>
        <v>591100</v>
      </c>
      <c r="B193" s="99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IFERROR(VLOOKUP(B193,input_591100!L:R,7,FALSE),VLOOKUP(tables_591100!C193,input_591100!A:H,8,FALSE))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input_591100!A$2</f>
        <v>591100</v>
      </c>
      <c r="B194" s="99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IFERROR(VLOOKUP(B194,input_591100!L:R,7,FALSE),VLOOKUP(tables_591100!C194,input_591100!A:H,8,FALSE))</f>
        <v>1235250</v>
      </c>
      <c r="P194" s="46">
        <f t="shared" ref="P194:P257" ca="1" si="10">O194/SUM(O:O)</f>
        <v>8.4896907216535696E-3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input_591100!A$2</f>
        <v>591100</v>
      </c>
      <c r="B195" s="99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IFERROR(VLOOKUP(B195,input_591100!L:R,7,FALSE),VLOOKUP(tables_591100!C195,input_591100!A:H,8,FALSE))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input_591100!A$2</f>
        <v>591100</v>
      </c>
      <c r="B196" s="99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IFERROR(VLOOKUP(B196,input_591100!L:R,7,FALSE),VLOOKUP(tables_591100!C196,input_591100!A:H,8,FALSE))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input_591100!A$2</f>
        <v>591100</v>
      </c>
      <c r="B197" s="99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IFERROR(VLOOKUP(B197,input_591100!L:R,7,FALSE),VLOOKUP(tables_591100!C197,input_591100!A:H,8,FALSE))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input_591100!A$2</f>
        <v>591100</v>
      </c>
      <c r="B198" s="99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IFERROR(VLOOKUP(B198,input_591100!L:R,7,FALSE),VLOOKUP(tables_591100!C198,input_591100!A:H,8,FALSE))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input_591100!A$2</f>
        <v>591100</v>
      </c>
      <c r="B199" s="99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IFERROR(VLOOKUP(B199,input_591100!L:R,7,FALSE),VLOOKUP(tables_591100!C199,input_591100!A:H,8,FALSE))</f>
        <v>1235250</v>
      </c>
      <c r="P199" s="46">
        <f t="shared" ca="1" si="10"/>
        <v>8.4896907216535696E-3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input_591100!A$2</f>
        <v>591100</v>
      </c>
      <c r="B200" s="99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IFERROR(VLOOKUP(B200,input_591100!L:R,7,FALSE),VLOOKUP(tables_591100!C200,input_591100!A:H,8,FALSE))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input_591100!A$2</f>
        <v>591100</v>
      </c>
      <c r="B201" s="99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IFERROR(VLOOKUP(B201,input_591100!L:R,7,FALSE),VLOOKUP(tables_591100!C201,input_591100!A:H,8,FALSE))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input_591100!A$2</f>
        <v>591100</v>
      </c>
      <c r="B202" s="99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IFERROR(VLOOKUP(B202,input_591100!L:R,7,FALSE),VLOOKUP(tables_591100!C202,input_591100!A:H,8,FALSE))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input_591100!A$2</f>
        <v>591100</v>
      </c>
      <c r="B203" s="99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IFERROR(VLOOKUP(B203,input_591100!L:R,7,FALSE),VLOOKUP(tables_591100!C203,input_591100!A:H,8,FALSE))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input_591100!A$2</f>
        <v>591100</v>
      </c>
      <c r="B204" s="99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IFERROR(VLOOKUP(B204,input_591100!L:R,7,FALSE),VLOOKUP(tables_591100!C204,input_591100!A:H,8,FALSE))</f>
        <v>1235250</v>
      </c>
      <c r="P204" s="46">
        <f t="shared" ca="1" si="10"/>
        <v>8.4896907216535696E-3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input_591100!A$2</f>
        <v>591100</v>
      </c>
      <c r="B205" s="99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IFERROR(VLOOKUP(B205,input_591100!L:R,7,FALSE),VLOOKUP(tables_591100!C205,input_591100!A:H,8,FALSE))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input_591100!A$2</f>
        <v>591100</v>
      </c>
      <c r="B206" s="99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IFERROR(VLOOKUP(B206,input_591100!L:R,7,FALSE),VLOOKUP(tables_591100!C206,input_591100!A:H,8,FALSE))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input_591100!A$2</f>
        <v>591100</v>
      </c>
      <c r="B207" s="99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IFERROR(VLOOKUP(B207,input_591100!L:R,7,FALSE),VLOOKUP(tables_591100!C207,input_591100!A:H,8,FALSE))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input_591100!A$2</f>
        <v>591100</v>
      </c>
      <c r="B208" s="99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IFERROR(VLOOKUP(B208,input_591100!L:R,7,FALSE),VLOOKUP(tables_591100!C208,input_591100!A:H,8,FALSE))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input_591100!A$2</f>
        <v>591100</v>
      </c>
      <c r="B209" s="99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IFERROR(VLOOKUP(B209,input_591100!L:R,7,FALSE),VLOOKUP(tables_591100!C209,input_591100!A:H,8,FALSE))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input_591100!A$2</f>
        <v>591100</v>
      </c>
      <c r="B210" s="99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IFERROR(VLOOKUP(B210,input_591100!L:R,7,FALSE),VLOOKUP(tables_591100!C210,input_591100!A:H,8,FALSE))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input_591100!A$2</f>
        <v>591100</v>
      </c>
      <c r="B211" s="99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IFERROR(VLOOKUP(B211,input_591100!L:R,7,FALSE),VLOOKUP(tables_591100!C211,input_591100!A:H,8,FALSE))</f>
        <v>1235250</v>
      </c>
      <c r="P211" s="46">
        <f t="shared" ca="1" si="10"/>
        <v>8.4896907216535696E-3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input_591100!A$2</f>
        <v>591100</v>
      </c>
      <c r="B212" s="99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IFERROR(VLOOKUP(B212,input_591100!L:R,7,FALSE),VLOOKUP(tables_591100!C212,input_591100!A:H,8,FALSE))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input_591100!A$2</f>
        <v>591100</v>
      </c>
      <c r="B213" s="99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IFERROR(VLOOKUP(B213,input_591100!L:R,7,FALSE),VLOOKUP(tables_591100!C213,input_591100!A:H,8,FALSE))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input_591100!A$2</f>
        <v>591100</v>
      </c>
      <c r="B214" s="99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IFERROR(VLOOKUP(B214,input_591100!L:R,7,FALSE),VLOOKUP(tables_591100!C214,input_591100!A:H,8,FALSE))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input_591100!A$2</f>
        <v>591100</v>
      </c>
      <c r="B215" s="99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IFERROR(VLOOKUP(B215,input_591100!L:R,7,FALSE),VLOOKUP(tables_591100!C215,input_591100!A:H,8,FALSE))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input_591100!A$2</f>
        <v>591100</v>
      </c>
      <c r="B216" s="99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IFERROR(VLOOKUP(B216,input_591100!L:R,7,FALSE),VLOOKUP(tables_591100!C216,input_591100!A:H,8,FALSE))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input_591100!A$2</f>
        <v>591100</v>
      </c>
      <c r="B217" s="99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IFERROR(VLOOKUP(B217,input_591100!L:R,7,FALSE),VLOOKUP(tables_591100!C217,input_591100!A:H,8,FALSE))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input_591100!A$2</f>
        <v>591100</v>
      </c>
      <c r="B218" s="99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IFERROR(VLOOKUP(B218,input_591100!L:R,7,FALSE),VLOOKUP(tables_591100!C218,input_591100!A:H,8,FALSE))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input_591100!A$2</f>
        <v>591100</v>
      </c>
      <c r="B219" s="99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IFERROR(VLOOKUP(B219,input_591100!L:R,7,FALSE),VLOOKUP(tables_591100!C219,input_591100!A:H,8,FALSE))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input_591100!A$2</f>
        <v>591100</v>
      </c>
      <c r="B220" s="99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IFERROR(VLOOKUP(B220,input_591100!L:R,7,FALSE),VLOOKUP(tables_591100!C220,input_591100!A:H,8,FALSE))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input_591100!A$2</f>
        <v>591100</v>
      </c>
      <c r="B221" s="99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IFERROR(VLOOKUP(B221,input_591100!L:R,7,FALSE),VLOOKUP(tables_591100!C221,input_591100!A:H,8,FALSE))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input_591100!A$2</f>
        <v>591100</v>
      </c>
      <c r="B222" s="99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IFERROR(VLOOKUP(B222,input_591100!L:R,7,FALSE),VLOOKUP(tables_591100!C222,input_591100!A:H,8,FALSE))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input_591100!A$2</f>
        <v>591100</v>
      </c>
      <c r="B223" s="99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IFERROR(VLOOKUP(B223,input_591100!L:R,7,FALSE),VLOOKUP(tables_591100!C223,input_591100!A:H,8,FALSE))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input_591100!A$2</f>
        <v>591100</v>
      </c>
      <c r="B224" s="99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IFERROR(VLOOKUP(B224,input_591100!L:R,7,FALSE),VLOOKUP(tables_591100!C224,input_591100!A:H,8,FALSE))</f>
        <v>1235250</v>
      </c>
      <c r="P224" s="46">
        <f t="shared" ca="1" si="10"/>
        <v>8.4896907216535696E-3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input_591100!A$2</f>
        <v>591100</v>
      </c>
      <c r="B225" s="99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IFERROR(VLOOKUP(B225,input_591100!L:R,7,FALSE),VLOOKUP(tables_591100!C225,input_591100!A:H,8,FALSE))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input_591100!A$2</f>
        <v>591100</v>
      </c>
      <c r="B226" s="99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IFERROR(VLOOKUP(B226,input_591100!L:R,7,FALSE),VLOOKUP(tables_591100!C226,input_591100!A:H,8,FALSE))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input_591100!A$2</f>
        <v>591100</v>
      </c>
      <c r="B227" s="99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IFERROR(VLOOKUP(B227,input_591100!L:R,7,FALSE),VLOOKUP(tables_591100!C227,input_591100!A:H,8,FALSE))</f>
        <v>1235250</v>
      </c>
      <c r="P227" s="46">
        <f t="shared" ca="1" si="10"/>
        <v>8.4896907216535696E-3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input_591100!A$2</f>
        <v>591100</v>
      </c>
      <c r="B228" s="99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IFERROR(VLOOKUP(B228,input_591100!L:R,7,FALSE),VLOOKUP(tables_591100!C228,input_591100!A:H,8,FALSE))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input_591100!A$2</f>
        <v>591100</v>
      </c>
      <c r="B229" s="99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IFERROR(VLOOKUP(B229,input_591100!L:R,7,FALSE),VLOOKUP(tables_591100!C229,input_591100!A:H,8,FALSE))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input_591100!A$2</f>
        <v>591100</v>
      </c>
      <c r="B230" s="99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IFERROR(VLOOKUP(B230,input_591100!L:R,7,FALSE),VLOOKUP(tables_591100!C230,input_591100!A:H,8,FALSE))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input_591100!A$2</f>
        <v>591100</v>
      </c>
      <c r="B231" s="99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IFERROR(VLOOKUP(B231,input_591100!L:R,7,FALSE),VLOOKUP(tables_591100!C231,input_591100!A:H,8,FALSE))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input_591100!A$2</f>
        <v>591100</v>
      </c>
      <c r="B232" s="99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IFERROR(VLOOKUP(B232,input_591100!L:R,7,FALSE),VLOOKUP(tables_591100!C232,input_591100!A:H,8,FALSE))</f>
        <v>1235250</v>
      </c>
      <c r="P232" s="46">
        <f t="shared" ca="1" si="10"/>
        <v>8.4896907216535696E-3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input_591100!A$2</f>
        <v>591100</v>
      </c>
      <c r="B233" s="99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IFERROR(VLOOKUP(B233,input_591100!L:R,7,FALSE),VLOOKUP(tables_591100!C233,input_591100!A:H,8,FALSE))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input_591100!A$2</f>
        <v>591100</v>
      </c>
      <c r="B234" s="99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IFERROR(VLOOKUP(B234,input_591100!L:R,7,FALSE),VLOOKUP(tables_591100!C234,input_591100!A:H,8,FALSE))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input_591100!A$2</f>
        <v>591100</v>
      </c>
      <c r="B235" s="99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IFERROR(VLOOKUP(B235,input_591100!L:R,7,FALSE),VLOOKUP(tables_591100!C235,input_591100!A:H,8,FALSE))</f>
        <v>1235250</v>
      </c>
      <c r="P235" s="46">
        <f t="shared" ca="1" si="10"/>
        <v>8.4896907216535696E-3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input_591100!A$2</f>
        <v>591100</v>
      </c>
      <c r="B236" s="99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IFERROR(VLOOKUP(B236,input_591100!L:R,7,FALSE),VLOOKUP(tables_591100!C236,input_591100!A:H,8,FALSE))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input_591100!A$2</f>
        <v>591100</v>
      </c>
      <c r="B237" s="99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IFERROR(VLOOKUP(B237,input_591100!L:R,7,FALSE),VLOOKUP(tables_591100!C237,input_591100!A:H,8,FALSE))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input_591100!A$2</f>
        <v>591100</v>
      </c>
      <c r="B238" s="99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IFERROR(VLOOKUP(B238,input_591100!L:R,7,FALSE),VLOOKUP(tables_591100!C238,input_591100!A:H,8,FALSE))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input_591100!A$2</f>
        <v>591100</v>
      </c>
      <c r="B239" s="99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IFERROR(VLOOKUP(B239,input_591100!L:R,7,FALSE),VLOOKUP(tables_591100!C239,input_591100!A:H,8,FALSE))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input_591100!A$2</f>
        <v>591100</v>
      </c>
      <c r="B240" s="99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IFERROR(VLOOKUP(B240,input_591100!L:R,7,FALSE),VLOOKUP(tables_591100!C240,input_591100!A:H,8,FALSE))</f>
        <v>1235250</v>
      </c>
      <c r="P240" s="46">
        <f t="shared" ca="1" si="10"/>
        <v>8.4896907216535696E-3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input_591100!A$2</f>
        <v>591100</v>
      </c>
      <c r="B241" s="99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IFERROR(VLOOKUP(B241,input_591100!L:R,7,FALSE),VLOOKUP(tables_591100!C241,input_591100!A:H,8,FALSE))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input_591100!A$2</f>
        <v>591100</v>
      </c>
      <c r="B242" s="99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IFERROR(VLOOKUP(B242,input_591100!L:R,7,FALSE),VLOOKUP(tables_591100!C242,input_591100!A:H,8,FALSE))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input_591100!A$2</f>
        <v>591100</v>
      </c>
      <c r="B243" s="99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IFERROR(VLOOKUP(B243,input_591100!L:R,7,FALSE),VLOOKUP(tables_591100!C243,input_591100!A:H,8,FALSE))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input_591100!A$2</f>
        <v>591100</v>
      </c>
      <c r="B244" s="99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IFERROR(VLOOKUP(B244,input_591100!L:R,7,FALSE),VLOOKUP(tables_591100!C244,input_591100!A:H,8,FALSE))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input_591100!A$2</f>
        <v>591100</v>
      </c>
      <c r="B245" s="99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IFERROR(VLOOKUP(B245,input_591100!L:R,7,FALSE),VLOOKUP(tables_591100!C245,input_591100!A:H,8,FALSE))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input_591100!A$2</f>
        <v>591100</v>
      </c>
      <c r="B246" s="99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IFERROR(VLOOKUP(B246,input_591100!L:R,7,FALSE),VLOOKUP(tables_591100!C246,input_591100!A:H,8,FALSE))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input_591100!A$2</f>
        <v>591100</v>
      </c>
      <c r="B247" s="99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IFERROR(VLOOKUP(B247,input_591100!L:R,7,FALSE),VLOOKUP(tables_591100!C247,input_591100!A:H,8,FALSE))</f>
        <v>1235250</v>
      </c>
      <c r="P247" s="46">
        <f t="shared" ca="1" si="10"/>
        <v>8.4896907216535696E-3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input_591100!A$2</f>
        <v>591100</v>
      </c>
      <c r="B248" s="99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IFERROR(VLOOKUP(B248,input_591100!L:R,7,FALSE),VLOOKUP(tables_591100!C248,input_591100!A:H,8,FALSE))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input_591100!A$2</f>
        <v>591100</v>
      </c>
      <c r="B249" s="99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IFERROR(VLOOKUP(B249,input_591100!L:R,7,FALSE),VLOOKUP(tables_591100!C249,input_591100!A:H,8,FALSE))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input_591100!A$2</f>
        <v>591100</v>
      </c>
      <c r="B250" s="99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IFERROR(VLOOKUP(B250,input_591100!L:R,7,FALSE),VLOOKUP(tables_591100!C250,input_591100!A:H,8,FALSE))</f>
        <v>1235250</v>
      </c>
      <c r="P250" s="46">
        <f t="shared" ca="1" si="10"/>
        <v>8.4896907216535696E-3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input_591100!A$2</f>
        <v>591100</v>
      </c>
      <c r="B251" s="99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IFERROR(VLOOKUP(B251,input_591100!L:R,7,FALSE),VLOOKUP(tables_591100!C251,input_591100!A:H,8,FALSE))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input_591100!A$2</f>
        <v>591100</v>
      </c>
      <c r="B252" s="99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IFERROR(VLOOKUP(B252,input_591100!L:R,7,FALSE),VLOOKUP(tables_591100!C252,input_591100!A:H,8,FALSE))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input_591100!A$2</f>
        <v>591100</v>
      </c>
      <c r="B253" s="99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IFERROR(VLOOKUP(B253,input_591100!L:R,7,FALSE),VLOOKUP(tables_591100!C253,input_591100!A:H,8,FALSE))</f>
        <v>1235250</v>
      </c>
      <c r="P253" s="46">
        <f t="shared" ca="1" si="10"/>
        <v>8.4896907216535696E-3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input_591100!A$2</f>
        <v>591100</v>
      </c>
      <c r="B254" s="99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IFERROR(VLOOKUP(B254,input_591100!L:R,7,FALSE),VLOOKUP(tables_591100!C254,input_591100!A:H,8,FALSE))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input_591100!A$2</f>
        <v>591100</v>
      </c>
      <c r="B255" s="99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IFERROR(VLOOKUP(B255,input_591100!L:R,7,FALSE),VLOOKUP(tables_591100!C255,input_591100!A:H,8,FALSE))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input_591100!A$2</f>
        <v>591100</v>
      </c>
      <c r="B256" s="99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IFERROR(VLOOKUP(B256,input_591100!L:R,7,FALSE),VLOOKUP(tables_591100!C256,input_591100!A:H,8,FALSE))</f>
        <v>1235250</v>
      </c>
      <c r="P256" s="46">
        <f t="shared" ca="1" si="10"/>
        <v>8.4896907216535696E-3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input_591100!A$2</f>
        <v>591100</v>
      </c>
      <c r="B257" s="99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IFERROR(VLOOKUP(B257,input_591100!L:R,7,FALSE),VLOOKUP(tables_591100!C257,input_591100!A:H,8,FALSE))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input_591100!A$2</f>
        <v>591100</v>
      </c>
      <c r="B258" s="99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IFERROR(VLOOKUP(B258,input_591100!L:R,7,FALSE),VLOOKUP(tables_591100!C258,input_591100!A:H,8,FALSE))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input_591100!A$2</f>
        <v>591100</v>
      </c>
      <c r="B259" s="99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IFERROR(VLOOKUP(B259,input_591100!L:R,7,FALSE),VLOOKUP(tables_591100!C259,input_591100!A:H,8,FALSE))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input_591100!A$2</f>
        <v>591100</v>
      </c>
      <c r="B260" s="99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IFERROR(VLOOKUP(B260,input_591100!L:R,7,FALSE),VLOOKUP(tables_591100!C260,input_591100!A:H,8,FALSE))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input_591100!A$2</f>
        <v>591100</v>
      </c>
      <c r="B261" s="99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IFERROR(VLOOKUP(B261,input_591100!L:R,7,FALSE),VLOOKUP(tables_591100!C261,input_591100!A:H,8,FALSE))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input_591100!A$2</f>
        <v>591100</v>
      </c>
      <c r="B262" s="99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IFERROR(VLOOKUP(B262,input_591100!L:R,7,FALSE),VLOOKUP(tables_591100!C262,input_591100!A:H,8,FALSE))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input_591100!A$2</f>
        <v>591100</v>
      </c>
      <c r="B263" s="99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IFERROR(VLOOKUP(B263,input_591100!L:R,7,FALSE),VLOOKUP(tables_591100!C263,input_591100!A:H,8,FALSE))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input_591100!A$2</f>
        <v>591100</v>
      </c>
      <c r="B264" s="99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IFERROR(VLOOKUP(B264,input_591100!L:R,7,FALSE),VLOOKUP(tables_591100!C264,input_591100!A:H,8,FALSE))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input_591100!A$2</f>
        <v>591100</v>
      </c>
      <c r="B265" s="99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IFERROR(VLOOKUP(B265,input_591100!L:R,7,FALSE),VLOOKUP(tables_591100!C265,input_591100!A:H,8,FALSE))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input_591100!A$2</f>
        <v>591100</v>
      </c>
      <c r="B266" s="99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IFERROR(VLOOKUP(B266,input_591100!L:R,7,FALSE),VLOOKUP(tables_591100!C266,input_591100!A:H,8,FALSE))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input_591100!A$2</f>
        <v>591100</v>
      </c>
      <c r="B267" s="99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IFERROR(VLOOKUP(B267,input_591100!L:R,7,FALSE),VLOOKUP(tables_591100!C267,input_591100!A:H,8,FALSE))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input_591100!A$2</f>
        <v>591100</v>
      </c>
      <c r="B268" s="99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IFERROR(VLOOKUP(B268,input_591100!L:R,7,FALSE),VLOOKUP(tables_591100!C268,input_591100!A:H,8,FALSE))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input_591100!A$2</f>
        <v>591100</v>
      </c>
      <c r="B269" s="99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IFERROR(VLOOKUP(B269,input_591100!L:R,7,FALSE),VLOOKUP(tables_591100!C269,input_591100!A:H,8,FALSE))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input_591100!A$2</f>
        <v>591100</v>
      </c>
      <c r="B270" s="99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IFERROR(VLOOKUP(B270,input_591100!L:R,7,FALSE),VLOOKUP(tables_591100!C270,input_591100!A:H,8,FALSE))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input_591100!A$2</f>
        <v>591100</v>
      </c>
      <c r="B271" s="10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IFERROR(VLOOKUP(B271,input_591100!L:R,7,FALSE),VLOOKUP(tables_591100!C271,input_591100!A:H,8,FALSE))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input_591100!A$2</f>
        <v>591100</v>
      </c>
      <c r="B272" s="10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IFERROR(VLOOKUP(B272,input_591100!L:R,7,FALSE),VLOOKUP(tables_591100!C272,input_591100!A:H,8,FALSE))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input_591100!A$2</f>
        <v>591100</v>
      </c>
      <c r="B273" s="10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IFERROR(VLOOKUP(B273,input_591100!L:R,7,FALSE),VLOOKUP(tables_591100!C273,input_591100!A:H,8,FALSE))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input_591100!A$2</f>
        <v>591100</v>
      </c>
      <c r="B274" s="10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IFERROR(VLOOKUP(B274,input_591100!L:R,7,FALSE),VLOOKUP(tables_591100!C274,input_591100!A:H,8,FALSE))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input_591100!A$2</f>
        <v>591100</v>
      </c>
      <c r="B275" s="10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IFERROR(VLOOKUP(B275,input_591100!L:R,7,FALSE),VLOOKUP(tables_591100!C275,input_591100!A:H,8,FALSE))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input_591100!A$2</f>
        <v>591100</v>
      </c>
      <c r="B276" s="10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IFERROR(VLOOKUP(B276,input_591100!L:R,7,FALSE),VLOOKUP(tables_591100!C276,input_591100!A:H,8,FALSE))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input_591100!A$2</f>
        <v>591100</v>
      </c>
      <c r="B277" s="10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IFERROR(VLOOKUP(B277,input_591100!L:R,7,FALSE),VLOOKUP(tables_591100!C277,input_591100!A:H,8,FALSE))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input_591100!A$2</f>
        <v>591100</v>
      </c>
      <c r="B278" s="10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IFERROR(VLOOKUP(B278,input_591100!L:R,7,FALSE),VLOOKUP(tables_591100!C278,input_591100!A:H,8,FALSE))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input_591100!A$2</f>
        <v>591100</v>
      </c>
      <c r="B279" s="10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IFERROR(VLOOKUP(B279,input_591100!L:R,7,FALSE),VLOOKUP(tables_591100!C279,input_591100!A:H,8,FALSE))</f>
        <v>1235250</v>
      </c>
      <c r="P279" s="46">
        <f t="shared" ca="1" si="13"/>
        <v>8.4896907216535696E-3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input_591100!A$2</f>
        <v>591100</v>
      </c>
      <c r="B280" s="10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IFERROR(VLOOKUP(B280,input_591100!L:R,7,FALSE),VLOOKUP(tables_591100!C280,input_591100!A:H,8,FALSE))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input_591100!A$2</f>
        <v>591100</v>
      </c>
      <c r="B281" s="10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IFERROR(VLOOKUP(B281,input_591100!L:R,7,FALSE),VLOOKUP(tables_591100!C281,input_591100!A:H,8,FALSE))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input_591100!A$2</f>
        <v>591100</v>
      </c>
      <c r="B282" s="10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IFERROR(VLOOKUP(B282,input_591100!L:R,7,FALSE),VLOOKUP(tables_591100!C282,input_591100!A:H,8,FALSE))</f>
        <v>1235250</v>
      </c>
      <c r="P282" s="46">
        <f t="shared" ca="1" si="13"/>
        <v>8.4896907216535696E-3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input_591100!A$2</f>
        <v>591100</v>
      </c>
      <c r="B283" s="101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IFERROR(VLOOKUP(B283,input_591100!L:R,7,FALSE),VLOOKUP(tables_591100!C283,input_591100!A:H,8,FALSE))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input_591100!A$2</f>
        <v>591100</v>
      </c>
      <c r="B284" s="101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IFERROR(VLOOKUP(B284,input_591100!L:R,7,FALSE),VLOOKUP(tables_591100!C284,input_591100!A:H,8,FALSE))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input_591100!A$2</f>
        <v>591100</v>
      </c>
      <c r="B285" s="101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IFERROR(VLOOKUP(B285,input_591100!L:R,7,FALSE),VLOOKUP(tables_591100!C285,input_591100!A:H,8,FALSE))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input_591100!A$2</f>
        <v>591100</v>
      </c>
      <c r="B286" s="101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IFERROR(VLOOKUP(B286,input_591100!L:R,7,FALSE),VLOOKUP(tables_591100!C286,input_591100!A:H,8,FALSE))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input_591100!A$2</f>
        <v>591100</v>
      </c>
      <c r="B287" s="101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IFERROR(VLOOKUP(B287,input_591100!L:R,7,FALSE),VLOOKUP(tables_591100!C287,input_591100!A:H,8,FALSE))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input_591100!A$2</f>
        <v>591100</v>
      </c>
      <c r="B288" s="101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IFERROR(VLOOKUP(B288,input_591100!L:R,7,FALSE),VLOOKUP(tables_591100!C288,input_591100!A:H,8,FALSE))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input_591100!A$2</f>
        <v>591100</v>
      </c>
      <c r="B289" s="101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IFERROR(VLOOKUP(B289,input_591100!L:R,7,FALSE),VLOOKUP(tables_591100!C289,input_591100!A:H,8,FALSE))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input_591100!A$2</f>
        <v>591100</v>
      </c>
      <c r="B290" s="101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IFERROR(VLOOKUP(B290,input_591100!L:R,7,FALSE),VLOOKUP(tables_591100!C290,input_591100!A:H,8,FALSE))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input_591100!A$2</f>
        <v>591100</v>
      </c>
      <c r="B291" s="101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IFERROR(VLOOKUP(B291,input_591100!L:R,7,FALSE),VLOOKUP(tables_591100!C291,input_591100!A:H,8,FALSE))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input_591100!A$2</f>
        <v>591100</v>
      </c>
      <c r="B292" s="101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IFERROR(VLOOKUP(B292,input_591100!L:R,7,FALSE),VLOOKUP(tables_591100!C292,input_591100!A:H,8,FALSE))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input_591100!A$2</f>
        <v>591100</v>
      </c>
      <c r="B293" s="101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IFERROR(VLOOKUP(B293,input_591100!L:R,7,FALSE),VLOOKUP(tables_591100!C293,input_591100!A:H,8,FALSE))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input_591100!A$2</f>
        <v>591100</v>
      </c>
      <c r="B294" s="101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IFERROR(VLOOKUP(B294,input_591100!L:R,7,FALSE),VLOOKUP(tables_591100!C294,input_591100!A:H,8,FALSE))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input_591100!A$2</f>
        <v>591100</v>
      </c>
      <c r="B295" s="101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IFERROR(VLOOKUP(B295,input_591100!L:R,7,FALSE),VLOOKUP(tables_591100!C295,input_591100!A:H,8,FALSE))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input_591100!A$2</f>
        <v>591100</v>
      </c>
      <c r="B296" s="101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IFERROR(VLOOKUP(B296,input_591100!L:R,7,FALSE),VLOOKUP(tables_591100!C296,input_591100!A:H,8,FALSE))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input_591100!A$2</f>
        <v>591100</v>
      </c>
      <c r="B297" s="101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IFERROR(VLOOKUP(B297,input_591100!L:R,7,FALSE),VLOOKUP(tables_591100!C297,input_591100!A:H,8,FALSE))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input_591100!A$2</f>
        <v>591100</v>
      </c>
      <c r="B298" s="101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IFERROR(VLOOKUP(B298,input_591100!L:R,7,FALSE),VLOOKUP(tables_591100!C298,input_591100!A:H,8,FALSE))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input_591100!A$2</f>
        <v>591100</v>
      </c>
      <c r="B299" s="101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IFERROR(VLOOKUP(B299,input_591100!L:R,7,FALSE),VLOOKUP(tables_591100!C299,input_591100!A:H,8,FALSE))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input_591100!A$2</f>
        <v>591100</v>
      </c>
      <c r="B300" s="101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IFERROR(VLOOKUP(B300,input_591100!L:R,7,FALSE),VLOOKUP(tables_591100!C300,input_591100!A:H,8,FALSE))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input_591100!A$2</f>
        <v>591100</v>
      </c>
      <c r="B301" s="101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IFERROR(VLOOKUP(B301,input_591100!L:R,7,FALSE),VLOOKUP(tables_591100!C301,input_591100!A:H,8,FALSE))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input_591100!A$2</f>
        <v>591100</v>
      </c>
      <c r="B302" s="101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IFERROR(VLOOKUP(B302,input_591100!L:R,7,FALSE),VLOOKUP(tables_591100!C302,input_591100!A:H,8,FALSE))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input_591100!A$2</f>
        <v>591100</v>
      </c>
      <c r="B303" s="101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IFERROR(VLOOKUP(B303,input_591100!L:R,7,FALSE),VLOOKUP(tables_591100!C303,input_591100!A:H,8,FALSE))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input_591100!A$2</f>
        <v>591100</v>
      </c>
      <c r="B304" s="101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IFERROR(VLOOKUP(B304,input_591100!L:R,7,FALSE),VLOOKUP(tables_591100!C304,input_591100!A:H,8,FALSE))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input_591100!A$2</f>
        <v>591100</v>
      </c>
      <c r="B305" s="101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IFERROR(VLOOKUP(B305,input_591100!L:R,7,FALSE),VLOOKUP(tables_591100!C305,input_591100!A:H,8,FALSE))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input_591100!A$2</f>
        <v>591100</v>
      </c>
      <c r="B306" s="101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IFERROR(VLOOKUP(B306,input_591100!L:R,7,FALSE),VLOOKUP(tables_591100!C306,input_591100!A:H,8,FALSE))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input_591100!A$2</f>
        <v>591100</v>
      </c>
      <c r="B307" s="101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IFERROR(VLOOKUP(B307,input_591100!L:R,7,FALSE),VLOOKUP(tables_591100!C307,input_591100!A:H,8,FALSE))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input_591100!A$2</f>
        <v>591100</v>
      </c>
      <c r="B308" s="101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IFERROR(VLOOKUP(B308,input_591100!L:R,7,FALSE),VLOOKUP(tables_591100!C308,input_591100!A:H,8,FALSE))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input_591100!A$2</f>
        <v>591100</v>
      </c>
      <c r="B309" s="101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IFERROR(VLOOKUP(B309,input_591100!L:R,7,FALSE),VLOOKUP(tables_591100!C309,input_591100!A:H,8,FALSE))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input_591100!A$2</f>
        <v>591100</v>
      </c>
      <c r="B310" s="101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IFERROR(VLOOKUP(B310,input_591100!L:R,7,FALSE),VLOOKUP(tables_591100!C310,input_591100!A:H,8,FALSE))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input_591100!A$2</f>
        <v>591100</v>
      </c>
      <c r="B311" s="101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IFERROR(VLOOKUP(B311,input_591100!L:R,7,FALSE),VLOOKUP(tables_591100!C311,input_591100!A:H,8,FALSE))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input_591100!A$2</f>
        <v>591100</v>
      </c>
      <c r="B312" s="101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IFERROR(VLOOKUP(B312,input_591100!L:R,7,FALSE),VLOOKUP(tables_591100!C312,input_591100!A:H,8,FALSE))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input_591100!A$2</f>
        <v>591100</v>
      </c>
      <c r="B313" s="101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IFERROR(VLOOKUP(B313,input_591100!L:R,7,FALSE),VLOOKUP(tables_591100!C313,input_591100!A:H,8,FALSE))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input_591100!A$2</f>
        <v>591100</v>
      </c>
      <c r="B314" s="101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IFERROR(VLOOKUP(B314,input_591100!L:R,7,FALSE),VLOOKUP(tables_591100!C314,input_591100!A:H,8,FALSE))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input_591100!A$2</f>
        <v>591100</v>
      </c>
      <c r="B315" s="101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IFERROR(VLOOKUP(B315,input_591100!L:R,7,FALSE),VLOOKUP(tables_591100!C315,input_591100!A:H,8,FALSE))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input_591100!A$2</f>
        <v>591100</v>
      </c>
      <c r="B316" s="101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IFERROR(VLOOKUP(B316,input_591100!L:R,7,FALSE),VLOOKUP(tables_591100!C316,input_591100!A:H,8,FALSE))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input_591100!A$2</f>
        <v>591100</v>
      </c>
      <c r="B317" s="101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IFERROR(VLOOKUP(B317,input_591100!L:R,7,FALSE),VLOOKUP(tables_591100!C317,input_591100!A:H,8,FALSE))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input_591100!A$2</f>
        <v>591100</v>
      </c>
      <c r="B318" s="101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IFERROR(VLOOKUP(B318,input_591100!L:R,7,FALSE),VLOOKUP(tables_591100!C318,input_591100!A:H,8,FALSE))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input_591100!A$2</f>
        <v>591100</v>
      </c>
      <c r="B319" s="101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IFERROR(VLOOKUP(B319,input_591100!L:R,7,FALSE),VLOOKUP(tables_591100!C319,input_591100!A:H,8,FALSE))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input_591100!A$2</f>
        <v>591100</v>
      </c>
      <c r="B320" s="101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IFERROR(VLOOKUP(B320,input_591100!L:R,7,FALSE),VLOOKUP(tables_591100!C320,input_591100!A:H,8,FALSE))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input_591100!A$2</f>
        <v>591100</v>
      </c>
      <c r="B321" s="101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IFERROR(VLOOKUP(B321,input_591100!L:R,7,FALSE),VLOOKUP(tables_591100!C321,input_591100!A:H,8,FALSE))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input_591100!A$2</f>
        <v>591100</v>
      </c>
      <c r="B322" s="101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IFERROR(VLOOKUP(B322,input_591100!L:R,7,FALSE),VLOOKUP(tables_591100!C322,input_591100!A:H,8,FALSE))</f>
        <v>145500</v>
      </c>
      <c r="P322" s="46">
        <f t="shared" ref="P322:P340" ca="1" si="26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input_591100!A$2</f>
        <v>591100</v>
      </c>
      <c r="B323" s="101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IFERROR(VLOOKUP(B323,input_591100!L:R,7,FALSE),VLOOKUP(tables_591100!C323,input_591100!A:H,8,FALSE))</f>
        <v>145500</v>
      </c>
      <c r="P323" s="46">
        <f t="shared" ca="1" si="26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input_591100!A$2</f>
        <v>591100</v>
      </c>
      <c r="B324" s="101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IFERROR(VLOOKUP(B324,input_591100!L:R,7,FALSE),VLOOKUP(tables_591100!C324,input_591100!A:H,8,FALSE))</f>
        <v>1196035.71429</v>
      </c>
      <c r="P324" s="46">
        <f t="shared" ca="1" si="26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input_591100!A$2</f>
        <v>591100</v>
      </c>
      <c r="B325" s="101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IFERROR(VLOOKUP(B325,input_591100!L:R,7,FALSE),VLOOKUP(tables_591100!C325,input_591100!A:H,8,FALSE))</f>
        <v>137250</v>
      </c>
      <c r="P325" s="46">
        <f t="shared" ca="1" si="26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input_591100!A$2</f>
        <v>591100</v>
      </c>
      <c r="B326" s="101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IFERROR(VLOOKUP(B326,input_591100!L:R,7,FALSE),VLOOKUP(tables_591100!C326,input_591100!A:H,8,FALSE))</f>
        <v>1196035.71429</v>
      </c>
      <c r="P326" s="46">
        <f t="shared" ca="1" si="26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input_591100!A$2</f>
        <v>591100</v>
      </c>
      <c r="B327" s="101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IFERROR(VLOOKUP(B327,input_591100!L:R,7,FALSE),VLOOKUP(tables_591100!C327,input_591100!A:H,8,FALSE))</f>
        <v>137250</v>
      </c>
      <c r="P327" s="46">
        <f t="shared" ca="1" si="26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input_591100!A$2</f>
        <v>591100</v>
      </c>
      <c r="B328" s="101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IFERROR(VLOOKUP(B328,input_591100!L:R,7,FALSE),VLOOKUP(tables_591100!C328,input_591100!A:H,8,FALSE))</f>
        <v>145500</v>
      </c>
      <c r="P328" s="46">
        <f t="shared" ca="1" si="26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input_591100!A$2</f>
        <v>591100</v>
      </c>
      <c r="B329" s="101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IFERROR(VLOOKUP(B329,input_591100!L:R,7,FALSE),VLOOKUP(tables_591100!C329,input_591100!A:H,8,FALSE))</f>
        <v>145500</v>
      </c>
      <c r="P329" s="46">
        <f t="shared" ca="1" si="26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input_591100!A$2</f>
        <v>591100</v>
      </c>
      <c r="B330" s="101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IFERROR(VLOOKUP(B330,input_591100!L:R,7,FALSE),VLOOKUP(tables_591100!C330,input_591100!A:H,8,FALSE))</f>
        <v>145500</v>
      </c>
      <c r="P330" s="46">
        <f t="shared" ca="1" si="26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input_591100!A$2</f>
        <v>591100</v>
      </c>
      <c r="B331" s="99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IFERROR(VLOOKUP(B331,input_591100!L:R,7,FALSE),VLOOKUP(tables_591100!C331,input_591100!A:H,8,FALSE))</f>
        <v>145500</v>
      </c>
      <c r="P331" s="46">
        <f t="shared" ca="1" si="26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input_591100!A$2</f>
        <v>591100</v>
      </c>
      <c r="B332" s="99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IFERROR(VLOOKUP(B332,input_591100!L:R,7,FALSE),VLOOKUP(tables_591100!C332,input_591100!A:H,8,FALSE))</f>
        <v>145500</v>
      </c>
      <c r="P332" s="46">
        <f t="shared" ca="1" si="26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input_591100!A$2</f>
        <v>591100</v>
      </c>
      <c r="B333" s="99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IFERROR(VLOOKUP(B333,input_591100!L:R,7,FALSE),VLOOKUP(tables_591100!C333,input_591100!A:H,8,FALSE))</f>
        <v>145500</v>
      </c>
      <c r="P333" s="46">
        <f t="shared" ca="1" si="26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input_591100!A$2</f>
        <v>591100</v>
      </c>
      <c r="B334" s="100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IFERROR(VLOOKUP(B334,input_591100!L:R,7,FALSE),VLOOKUP(tables_591100!C334,input_591100!A:H,8,FALSE))</f>
        <v>1196035.71429</v>
      </c>
      <c r="P334" s="46">
        <f t="shared" ca="1" si="26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input_591100!A$2</f>
        <v>591100</v>
      </c>
      <c r="B335" s="99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IFERROR(VLOOKUP(B335,input_591100!L:R,7,FALSE),VLOOKUP(tables_591100!C335,input_591100!A:H,8,FALSE))</f>
        <v>137250</v>
      </c>
      <c r="P335" s="46">
        <f t="shared" ca="1" si="26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input_591100!A$2</f>
        <v>591100</v>
      </c>
      <c r="B336" s="101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IFERROR(VLOOKUP(B336,input_591100!L:R,7,FALSE),VLOOKUP(tables_591100!C336,input_591100!A:H,8,FALSE))</f>
        <v>1196035.71429</v>
      </c>
      <c r="P336" s="46">
        <f t="shared" ca="1" si="26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input_591100!A$2</f>
        <v>591100</v>
      </c>
      <c r="B337" s="101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IFERROR(VLOOKUP(B337,input_591100!L:R,7,FALSE),VLOOKUP(tables_591100!C337,input_591100!A:H,8,FALSE))</f>
        <v>137250</v>
      </c>
      <c r="P337" s="46">
        <f t="shared" ca="1" si="26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input_591100!A$2</f>
        <v>591100</v>
      </c>
      <c r="B338" s="101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IFERROR(VLOOKUP(B338,input_591100!L:R,7,FALSE),VLOOKUP(tables_591100!C338,input_591100!A:H,8,FALSE))</f>
        <v>145500</v>
      </c>
      <c r="P338" s="46">
        <f t="shared" ca="1" si="26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input_591100!A$2</f>
        <v>591100</v>
      </c>
      <c r="B339" s="101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IFERROR(VLOOKUP(B339,input_591100!L:R,7,FALSE),VLOOKUP(tables_591100!C339,input_591100!A:H,8,FALSE))</f>
        <v>145500</v>
      </c>
      <c r="P339" s="46">
        <f t="shared" ca="1" si="26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input_591100!A$2</f>
        <v>591100</v>
      </c>
      <c r="B340" s="101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IFERROR(VLOOKUP(B340,input_591100!L:R,7,FALSE),VLOOKUP(tables_591100!C340,input_591100!A:H,8,FALSE))</f>
        <v>145500</v>
      </c>
      <c r="P340" s="46">
        <f t="shared" ca="1" si="26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input_591100!A$2</f>
        <v>591100</v>
      </c>
      <c r="B341" s="101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IFERROR(VLOOKUP(B341,input_591100!L:R,7,FALSE),VLOOKUP(tables_591100!C341,input_591100!A:H,8,FALSE))</f>
        <v>145500</v>
      </c>
      <c r="P341" s="46">
        <f t="shared" ref="P341:P346" ca="1" si="35">O341/SUM(O:O)</f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input_591100!A$2</f>
        <v>591100</v>
      </c>
      <c r="B342" s="101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IFERROR(VLOOKUP(B342,input_591100!L:R,7,FALSE),VLOOKUP(tables_591100!C342,input_591100!A:H,8,FALSE))</f>
        <v>145500</v>
      </c>
      <c r="P342" s="46">
        <f t="shared" ca="1" si="35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input_591100!A$2</f>
        <v>591100</v>
      </c>
      <c r="B343" s="101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IFERROR(VLOOKUP(B343,input_591100!L:R,7,FALSE),VLOOKUP(tables_591100!C343,input_591100!A:H,8,FALSE))</f>
        <v>1196035.71429</v>
      </c>
      <c r="P343" s="46">
        <f t="shared" ca="1" si="35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input_591100!A$2</f>
        <v>591100</v>
      </c>
      <c r="B344" s="101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IFERROR(VLOOKUP(B344,input_591100!L:R,7,FALSE),VLOOKUP(tables_591100!C344,input_591100!A:H,8,FALSE))</f>
        <v>137250</v>
      </c>
      <c r="P344" s="46">
        <f t="shared" ca="1" si="35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input_591100!A$2</f>
        <v>591100</v>
      </c>
      <c r="B345" s="101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IFERROR(VLOOKUP(B345,input_591100!L:R,7,FALSE),VLOOKUP(tables_591100!C345,input_591100!A:H,8,FALSE))</f>
        <v>145500</v>
      </c>
      <c r="P345" s="46">
        <f t="shared" ca="1" si="35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input_591100!A$2</f>
        <v>591100</v>
      </c>
      <c r="B346" s="101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IFERROR(VLOOKUP(B346,input_591100!L:R,7,FALSE),VLOOKUP(tables_591100!C346,input_591100!A:H,8,FALSE))</f>
        <v>145500</v>
      </c>
      <c r="P346" s="46">
        <f t="shared" ca="1" si="35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input_591100!A$2</f>
        <v>591100</v>
      </c>
      <c r="B347" s="101">
        <v>1262</v>
      </c>
      <c r="C347" s="7" t="str">
        <f t="shared" ref="C347" si="36">D347&amp;J347&amp;E347&amp;F347&amp;G347</f>
        <v>PremiumSS5R5only</v>
      </c>
      <c r="D347" s="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IFERROR(VLOOKUP(B347,input_591100!L:R,7,FALSE),VLOOKUP(tables_591100!C347,input_591100!A:H,8,FALSE))</f>
        <v>145500</v>
      </c>
      <c r="P347" s="46">
        <f ca="1">O347/SUM(O:O)</f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input_591100!A$2</f>
        <v>591100</v>
      </c>
      <c r="B348" s="101">
        <v>1264</v>
      </c>
      <c r="C348" s="7" t="str">
        <f t="shared" ref="C348:C357" si="38">D348&amp;J348&amp;E348&amp;F348&amp;G348</f>
        <v>PremiumSS5R5only</v>
      </c>
      <c r="D348" s="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IFERROR(VLOOKUP(B348,input_591100!L:R,7,FALSE),VLOOKUP(tables_591100!C348,input_591100!A:H,8,FALSE))</f>
        <v>145500</v>
      </c>
      <c r="P348" s="46">
        <f t="shared" ref="P348:P357" ca="1" si="40">O348/SUM(O:O)</f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input_591100!A$2</f>
        <v>591100</v>
      </c>
      <c r="B349" s="101">
        <v>1266</v>
      </c>
      <c r="C349" s="7" t="str">
        <f t="shared" si="38"/>
        <v>Premium4R3less</v>
      </c>
      <c r="D349" s="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IFERROR(VLOOKUP(B349,input_591100!L:R,7,FALSE),VLOOKUP(tables_591100!C349,input_591100!A:H,8,FALSE))</f>
        <v>1196035.71429</v>
      </c>
      <c r="P349" s="46">
        <f t="shared" ca="1" si="40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input_591100!A$2</f>
        <v>591100</v>
      </c>
      <c r="B350" s="101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IFERROR(VLOOKUP(B350,input_591100!L:R,7,FALSE),VLOOKUP(tables_591100!C350,input_591100!A:H,8,FALSE))</f>
        <v>137250</v>
      </c>
      <c r="P350" s="46">
        <f t="shared" ca="1" si="40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input_591100!A$2</f>
        <v>591100</v>
      </c>
      <c r="B351" s="101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IFERROR(VLOOKUP(B351,input_591100!L:R,7,FALSE),VLOOKUP(tables_591100!C351,input_591100!A:H,8,FALSE))</f>
        <v>145500</v>
      </c>
      <c r="P351" s="46">
        <f t="shared" ca="1" si="40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input_591100!A$2</f>
        <v>591100</v>
      </c>
      <c r="B352" s="101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IFERROR(VLOOKUP(B352,input_591100!L:R,7,FALSE),VLOOKUP(tables_591100!C352,input_591100!A:H,8,FALSE))</f>
        <v>145500</v>
      </c>
      <c r="P352" s="46">
        <f t="shared" ca="1" si="40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input_591100!A$2</f>
        <v>591100</v>
      </c>
      <c r="B353" s="101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IFERROR(VLOOKUP(B353,input_591100!L:R,7,FALSE),VLOOKUP(tables_591100!C353,input_591100!A:H,8,FALSE))</f>
        <v>145500</v>
      </c>
      <c r="P353" s="46">
        <f t="shared" ca="1" si="40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input_591100!A$2</f>
        <v>591100</v>
      </c>
      <c r="B354" s="101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IFERROR(VLOOKUP(B354,input_591100!L:R,7,FALSE),VLOOKUP(tables_591100!C354,input_591100!A:H,8,FALSE))</f>
        <v>1196035.71429</v>
      </c>
      <c r="P354" s="46">
        <f t="shared" ca="1" si="40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input_591100!A$2</f>
        <v>591100</v>
      </c>
      <c r="B355" s="101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IFERROR(VLOOKUP(B355,input_591100!L:R,7,FALSE),VLOOKUP(tables_591100!C355,input_591100!A:H,8,FALSE))</f>
        <v>137250</v>
      </c>
      <c r="P355" s="46">
        <f t="shared" ca="1" si="40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input_591100!A$2</f>
        <v>591100</v>
      </c>
      <c r="B356" s="102">
        <v>1381</v>
      </c>
      <c r="C356" s="7" t="str">
        <f t="shared" si="38"/>
        <v>Premium4R3less</v>
      </c>
      <c r="D356" s="7" t="str">
        <f t="shared" si="3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IFERROR(VLOOKUP(B356,input_591100!L:R,7,FALSE),VLOOKUP(tables_591100!C356,input_591100!A:H,8,FALSE))</f>
        <v>1196035.71429</v>
      </c>
      <c r="P356" s="46">
        <f t="shared" ca="1" si="40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input_591100!A$2</f>
        <v>591100</v>
      </c>
      <c r="B357" s="102">
        <v>1382</v>
      </c>
      <c r="C357" s="7" t="str">
        <f t="shared" si="38"/>
        <v>Premium5R3less</v>
      </c>
      <c r="D357" s="7" t="str">
        <f t="shared" si="3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IFERROR(VLOOKUP(B357,input_591100!L:R,7,FALSE),VLOOKUP(tables_591100!C357,input_591100!A:H,8,FALSE))</f>
        <v>137250</v>
      </c>
      <c r="P357" s="46">
        <f t="shared" ca="1" si="40"/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input_591100!A$2</f>
        <v>591100</v>
      </c>
      <c r="B358" s="102">
        <v>1383</v>
      </c>
      <c r="C358" s="7" t="str">
        <f t="shared" ref="C358" si="41">D358&amp;J358&amp;E358&amp;F358&amp;G358</f>
        <v>PremiumSS5R5only</v>
      </c>
      <c r="D358" s="7" t="str">
        <f t="shared" ref="D358" si="4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IFERROR(VLOOKUP(B358,input_591100!L:R,7,FALSE),VLOOKUP(tables_591100!C358,input_591100!A:H,8,FALSE))</f>
        <v>145500</v>
      </c>
      <c r="P358" s="46">
        <f t="shared" ref="P358" ca="1" si="43">O358/SUM(O:O)</f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input_591100!A$2</f>
        <v>591100</v>
      </c>
      <c r="B359" s="102">
        <v>1385</v>
      </c>
      <c r="C359" s="7" t="str">
        <f t="shared" ref="C359:C362" si="44">D359&amp;J359&amp;E359&amp;F359&amp;G359</f>
        <v>PremiumSS5R5only</v>
      </c>
      <c r="D359" s="7" t="str">
        <f t="shared" ref="D359:D362" si="4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IFERROR(VLOOKUP(B359,input_591100!L:R,7,FALSE),VLOOKUP(tables_591100!C359,input_591100!A:H,8,FALSE))</f>
        <v>145500</v>
      </c>
      <c r="P359" s="46">
        <f t="shared" ref="P359:P362" ca="1" si="46">O359/SUM(O:O)</f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input_591100!A$2</f>
        <v>591100</v>
      </c>
      <c r="B360" s="102">
        <v>1387</v>
      </c>
      <c r="C360" s="7" t="str">
        <f t="shared" si="44"/>
        <v>PremiumSS5R5only</v>
      </c>
      <c r="D360" s="7" t="str">
        <f t="shared" si="4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IFERROR(VLOOKUP(B360,input_591100!L:R,7,FALSE),VLOOKUP(tables_591100!C360,input_591100!A:H,8,FALSE))</f>
        <v>145500</v>
      </c>
      <c r="P360" s="46">
        <f t="shared" ca="1" si="46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input_591100!A$2</f>
        <v>591100</v>
      </c>
      <c r="B361" s="5">
        <v>783</v>
      </c>
      <c r="C361" s="7" t="str">
        <f t="shared" si="44"/>
        <v>PremiumSSS5R3less</v>
      </c>
      <c r="D361" s="7" t="str">
        <f t="shared" si="4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モールス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 ca="1">IFERROR(VLOOKUP(B361,input_591100!L:R,7,FALSE),VLOOKUP(tables_591100!C361,input_591100!A:H,8,FALSE))</f>
        <v>727500</v>
      </c>
      <c r="P361" s="46">
        <f t="shared" ca="1" si="46"/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input_591100!A$2</f>
        <v>591100</v>
      </c>
      <c r="B362" s="5">
        <v>1425</v>
      </c>
      <c r="C362" s="7" t="str">
        <f t="shared" si="44"/>
        <v>PremiumSSS5R3less</v>
      </c>
      <c r="D362" s="7" t="str">
        <f t="shared" si="4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ヴォルタ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 t="str">
        <f>VLOOKUP(B362,[1]characters!$A:$G,7,FALSE)</f>
        <v>不明</v>
      </c>
      <c r="O362" s="45">
        <f ca="1">IFERROR(VLOOKUP(B362,input_591100!L:R,7,FALSE),VLOOKUP(tables_591100!C362,input_591100!A:H,8,FALSE))</f>
        <v>727500</v>
      </c>
      <c r="P362" s="46">
        <f t="shared" ca="1" si="46"/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G48" sqref="G48: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VLOOKUP(L3,tables_settle_591100!B:C,2,FALSE)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VLOOKUP(L4,tables_settle_591100!B:C,2,FALSE)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(COUNTIF(tables_settle_591100!C:C,input_settle_591100!A28)+COUNTIF(tables_settle_591100!C:C,input_settle_591100!A29))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VLOOKUP(L5,tables_settle_591100!B:C,2,FALSE)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9.4329896907216493E-3</v>
      </c>
      <c r="F6">
        <f>(COUNTIF(tables_settle_591100!C:C,input_settle_591100!A25)+COUNTIF(tables_settle_591100!C:C,input_settle_591100!A18)+COUNTIF(tables_settle_591100!C:C,input_settle_591100!A20)+COUNTIF(tables_settle_591100!C:C,input_settle_591100!A22))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VLOOKUP(L6,tables_settle_591100!B:C,2,FALSE)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VLOOKUP(L7,tables_settle_591100!B:C,2,FALSE)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VLOOKUP(L8,tables_settle_591100!B:C,2,FALSE)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VLOOKUP(L9,tables_settle_591100!B:C,2,FALSE)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VLOOKUP(L10,tables_settle_591100!B:C,2,FALSE)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VLOOKUP(L11,tables_settle_591100!B:C,2,FALSE)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VLOOKUP(L12,tables_settle_591100!B:C,2,FALSE)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VLOOKUP(L13,tables_settle_591100!B:C,2,FALSE)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VLOOKUP(L14,tables_settle_591100!B:C,2,FALSE)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VLOOKUP(L15,tables_settle_591100!B:C,2,FALSE)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VLOOKUP(L16,tables_settle_591100!B:C,2,FALSE)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COUNTIF(tables_settle_591100!C:C,input_settle_591100!A17)-COUNTIF(Q:Q,A17)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VLOOKUP(L17,tables_settle_591100!B:C,2,FALSE)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COUNTIF(tables_settle_591100!C:C,input_settle_591100!A18)-COUNTIF(Q:Q,A18)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VLOOKUP(L18,tables_settle_591100!B:C,2,FALSE)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COUNTIF(tables_settle_591100!C:C,input_settle_591100!A19)-COUNTIF(Q:Q,A19)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VLOOKUP(L19,tables_settle_591100!B:C,2,FALSE)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COUNTIF(tables_settle_591100!C:C,input_settle_591100!A20)-COUNTIF(Q:Q,A20)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VLOOKUP(L20,tables_settle_591100!B:C,2,FALSE)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0.62257731958762885</v>
      </c>
      <c r="C21" s="84">
        <f t="shared" si="2"/>
        <v>0</v>
      </c>
      <c r="D21" s="74">
        <f t="shared" si="3"/>
        <v>0.62257731958762885</v>
      </c>
      <c r="E21">
        <f>COUNTIF(tables_settle_591100!C:C,input_settle_591100!A21)-COUNTIF(Q:Q,A21)</f>
        <v>52</v>
      </c>
      <c r="F21" s="43">
        <f t="shared" si="8"/>
        <v>1.1972640761300555E-2</v>
      </c>
      <c r="G21">
        <f t="shared" si="4"/>
        <v>90585000</v>
      </c>
      <c r="H21">
        <f t="shared" si="5"/>
        <v>1742019.23077</v>
      </c>
      <c r="I21">
        <f t="shared" si="6"/>
        <v>0.23077000002376735</v>
      </c>
      <c r="J21">
        <f t="shared" si="7"/>
        <v>4.3333188884907416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COUNTIF(tables_settle_591100!C:C,input_settle_591100!A22)-COUNTIF(Q:Q,A22)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0.25469072164948453</v>
      </c>
      <c r="C23" s="84">
        <f t="shared" si="2"/>
        <v>0</v>
      </c>
      <c r="D23" s="74">
        <f t="shared" si="3"/>
        <v>0.25469072164948453</v>
      </c>
      <c r="E23">
        <f>COUNTIF(tables_settle_591100!C:C,input_settle_591100!A23)-COUNTIF(Q:Q,A23)</f>
        <v>27</v>
      </c>
      <c r="F23" s="43">
        <f t="shared" si="8"/>
        <v>9.4329896907216493E-3</v>
      </c>
      <c r="G23">
        <f t="shared" si="4"/>
        <v>37057500</v>
      </c>
      <c r="H23">
        <f t="shared" si="5"/>
        <v>1372500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COUNTIF(tables_settle_591100!C:C,input_settle_591100!A24)-COUNTIF(Q:Q,A24)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COUNTIF(tables_settle_591100!C:C,input_settle_591100!A25)-COUNTIF(Q:Q,A25)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3.7731958762886597E-2</v>
      </c>
      <c r="C26" s="84">
        <f t="shared" si="2"/>
        <v>0</v>
      </c>
      <c r="D26" s="74">
        <f t="shared" si="3"/>
        <v>3.7731958762886597E-2</v>
      </c>
      <c r="E26">
        <f>COUNTIF(tables_settle_591100!C:C,input_settle_591100!A26)-COUNTIF(Q:Q,A26)</f>
        <v>4</v>
      </c>
      <c r="F26" s="43">
        <f t="shared" si="8"/>
        <v>9.4329896907216493E-3</v>
      </c>
      <c r="G26">
        <f t="shared" si="4"/>
        <v>5490000</v>
      </c>
      <c r="H26">
        <f t="shared" si="5"/>
        <v>1372500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COUNTIF(tables_settle_591100!C:C,input_settle_591100!A27)-COUNTIF(Q:Q,A27)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2.8000000000000001E-2</v>
      </c>
      <c r="C28" s="84">
        <f t="shared" si="2"/>
        <v>0</v>
      </c>
      <c r="D28" s="74">
        <f t="shared" si="3"/>
        <v>2.8000000000000001E-2</v>
      </c>
      <c r="E28">
        <f>COUNTIF(tables_settle_591100!C:C,input_settle_591100!A28)-COUNTIF(Q:Q,A28)</f>
        <v>28</v>
      </c>
      <c r="F28" s="43">
        <f t="shared" si="8"/>
        <v>1E-3</v>
      </c>
      <c r="G28">
        <f t="shared" si="4"/>
        <v>4074000</v>
      </c>
      <c r="H28">
        <f t="shared" si="5"/>
        <v>145500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COUNTIF(tables_settle_591100!C:C,input_settle_591100!A29)-COUNTIF(Q:Q,A29)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COUNTIF(tables_settle_591100!C:C,input_settle_591100!A30)-COUNTIF(Q:Q,A30)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COUNTIF(tables_settle_591100!C:C,input_settle_591100!A31)-COUNTIF(Q:Q,A31)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SUMIF(tables_settle_591100!C:C,input_settle_591100!A40,tables_settle_591100!O:O)</f>
        <v>0</v>
      </c>
      <c r="C40" s="54">
        <f t="shared" ref="C40:C46" ca="1" si="9">B40/B$47</f>
        <v>0</v>
      </c>
      <c r="E40">
        <v>3</v>
      </c>
      <c r="F40">
        <f ca="1">SUMIF(tables_settle_591100!J:J,input_settle_591100!E40,tables_settle_591100!O:O)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SUMIF(tables_settle_591100!C:C,input_settle_591100!A41,tables_settle_591100!O:O)</f>
        <v>0</v>
      </c>
      <c r="C41" s="54">
        <f t="shared" ca="1" si="9"/>
        <v>0</v>
      </c>
      <c r="E41">
        <v>4</v>
      </c>
      <c r="F41">
        <f ca="1">SUMIF(tables_settle_591100!J:J,input_settle_591100!E41,tables_settle_591100!O:O)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SUMIF(tables_settle_591100!C:C,input_settle_591100!A42,tables_settle_591100!O:O)</f>
        <v>0</v>
      </c>
      <c r="C42" s="54">
        <f t="shared" ca="1" si="9"/>
        <v>0</v>
      </c>
      <c r="E42">
        <v>5</v>
      </c>
      <c r="F42">
        <f ca="1">SUMIF(tables_settle_591100!J:J,input_settle_591100!E42,tables_settle_591100!O:O)</f>
        <v>145500000.00004011</v>
      </c>
      <c r="G42">
        <f ca="1">F42/A36</f>
        <v>1.0000000000002758</v>
      </c>
    </row>
    <row r="43" spans="1:7" x14ac:dyDescent="0.15">
      <c r="A43" s="33" t="s">
        <v>109</v>
      </c>
      <c r="B43">
        <f>SUMIF(tables_settle_591100!C:C,input_settle_591100!A43,tables_settle_591100!O:O)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SUMIF(tables_settle_591100!C:C,input_settle_591100!A44,tables_settle_591100!O:O)</f>
        <v>90585000.000040069</v>
      </c>
      <c r="C44" s="54">
        <f t="shared" ca="1" si="9"/>
        <v>0.95696130320415096</v>
      </c>
      <c r="E44" t="s">
        <v>54</v>
      </c>
      <c r="F44" s="55"/>
    </row>
    <row r="45" spans="1:7" x14ac:dyDescent="0.15">
      <c r="A45" s="33" t="s">
        <v>107</v>
      </c>
      <c r="B45">
        <f ca="1">SUMIF(tables_settle_591100!C:C,input_settle_591100!A45,tables_settle_591100!O:O)</f>
        <v>4074000</v>
      </c>
      <c r="C45" s="54">
        <f t="shared" ca="1" si="9"/>
        <v>4.3038696795849055E-2</v>
      </c>
      <c r="E45" t="s">
        <v>204</v>
      </c>
      <c r="F45" s="55">
        <f ca="1">SUMIF(tables_settle_591100!I:I,input_settle_591100!E45,tables_settle_591100!P:P)</f>
        <v>5.659793814431429E-2</v>
      </c>
    </row>
    <row r="46" spans="1:7" x14ac:dyDescent="0.15">
      <c r="A46" s="33" t="s">
        <v>108</v>
      </c>
      <c r="B46">
        <f>SUMIF(tables_settle_591100!C:C,input_settle_591100!A46,tables_settle_591100!O:O)</f>
        <v>0</v>
      </c>
      <c r="C46" s="54">
        <f t="shared" ca="1" si="9"/>
        <v>0</v>
      </c>
      <c r="E46" t="s">
        <v>205</v>
      </c>
      <c r="F46" s="55">
        <f ca="1">SUMIF(tables_settle_591100!I:I,input_settle_591100!E46,tables_settle_591100!P:P)</f>
        <v>0.23183386201430045</v>
      </c>
    </row>
    <row r="47" spans="1:7" x14ac:dyDescent="0.15">
      <c r="A47" s="39" t="s">
        <v>59</v>
      </c>
      <c r="B47">
        <f ca="1">SUM(B40:B46)</f>
        <v>94659000.000040069</v>
      </c>
      <c r="C47" s="55">
        <f ca="1">SUM(C40:C46)</f>
        <v>1</v>
      </c>
      <c r="E47" t="s">
        <v>206</v>
      </c>
      <c r="F47" s="55">
        <f ca="1">SUMIF(tables_settle_591100!I:I,input_settle_591100!E47,tables_settle_591100!P:P)</f>
        <v>0.62656819984140821</v>
      </c>
    </row>
    <row r="48" spans="1:7" x14ac:dyDescent="0.15">
      <c r="E48" t="s">
        <v>207</v>
      </c>
      <c r="F48" s="55">
        <f ca="1">SUMIF(tables_settle_591100!I:I,input_settle_591100!E48,tables_settle_591100!P:P)</f>
        <v>6.499999999998203E-2</v>
      </c>
      <c r="G48" s="55"/>
    </row>
    <row r="49" spans="5:6" x14ac:dyDescent="0.15">
      <c r="E49" t="s">
        <v>249</v>
      </c>
      <c r="F49" s="55">
        <f ca="1">SUMIF(tables_settle_591100!I:I,input_settle_591100!E49,tables_settle_591100!P:P)</f>
        <v>9.9999999999972403E-3</v>
      </c>
    </row>
    <row r="50" spans="5:6" x14ac:dyDescent="0.15">
      <c r="E50" t="s">
        <v>264</v>
      </c>
      <c r="F50" s="55">
        <f ca="1">SUMIF(tables_settle_591100!I:I,input_settle_591100!E50,tables_settle_591100!P:P)</f>
        <v>9.9999999999972437E-3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3" activePane="bottomLeft" state="frozen"/>
      <selection activeCell="P347" sqref="P347"/>
      <selection pane="bottomLeft" activeCell="B362" sqref="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input_settle_591100!A$2</f>
        <v>591100</v>
      </c>
      <c r="B2" s="99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IFERROR(VLOOKUP(B2,input_settle_591100!L:R,7,FALSE),VLOOKUP(tables_settle_591100!C2,input_settle_591100!A:H,8,FALSE))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input_settle_591100!A$2</f>
        <v>591100</v>
      </c>
      <c r="B3" s="99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IFERROR(VLOOKUP(B3,input_settle_591100!L:R,7,FALSE),VLOOKUP(tables_settle_591100!C3,input_settle_591100!A:H,8,FALSE))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input_settle_591100!A$2</f>
        <v>591100</v>
      </c>
      <c r="B4" s="99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IFERROR(VLOOKUP(B4,input_settle_591100!L:R,7,FALSE),VLOOKUP(tables_settle_591100!C4,input_settle_591100!A:H,8,FALSE))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input_settle_591100!A$2</f>
        <v>591100</v>
      </c>
      <c r="B5" s="99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IFERROR(VLOOKUP(B5,input_settle_591100!L:R,7,FALSE),VLOOKUP(tables_settle_591100!C5,input_settle_591100!A:H,8,FALSE))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input_settle_591100!A$2</f>
        <v>591100</v>
      </c>
      <c r="B6" s="99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IFERROR(VLOOKUP(B6,input_settle_591100!L:R,7,FALSE),VLOOKUP(tables_settle_591100!C6,input_settle_591100!A:H,8,FALSE))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input_settle_591100!A$2</f>
        <v>591100</v>
      </c>
      <c r="B7" s="99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IFERROR(VLOOKUP(B7,input_settle_591100!L:R,7,FALSE),VLOOKUP(tables_settle_591100!C7,input_settle_591100!A:H,8,FALSE))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input_settle_591100!A$2</f>
        <v>591100</v>
      </c>
      <c r="B8" s="99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IFERROR(VLOOKUP(B8,input_settle_591100!L:R,7,FALSE),VLOOKUP(tables_settle_591100!C8,input_settle_591100!A:H,8,FALSE))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input_settle_591100!A$2</f>
        <v>591100</v>
      </c>
      <c r="B9" s="99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IFERROR(VLOOKUP(B9,input_settle_591100!L:R,7,FALSE),VLOOKUP(tables_settle_591100!C9,input_settle_591100!A:H,8,FALSE))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input_settle_591100!A$2</f>
        <v>591100</v>
      </c>
      <c r="B10" s="99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IFERROR(VLOOKUP(B10,input_settle_591100!L:R,7,FALSE),VLOOKUP(tables_settle_591100!C10,input_settle_591100!A:H,8,FALSE))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input_settle_591100!A$2</f>
        <v>591100</v>
      </c>
      <c r="B11" s="99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IFERROR(VLOOKUP(B11,input_settle_591100!L:R,7,FALSE),VLOOKUP(tables_settle_591100!C11,input_settle_591100!A:H,8,FALSE))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input_settle_591100!A$2</f>
        <v>591100</v>
      </c>
      <c r="B12" s="100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IFERROR(VLOOKUP(B12,input_settle_591100!L:R,7,FALSE),VLOOKUP(tables_settle_591100!C12,input_settle_591100!A:H,8,FALSE))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input_settle_591100!A$2</f>
        <v>591100</v>
      </c>
      <c r="B13" s="100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IFERROR(VLOOKUP(B13,input_settle_591100!L:R,7,FALSE),VLOOKUP(tables_settle_591100!C13,input_settle_591100!A:H,8,FALSE))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input_settle_591100!A$2</f>
        <v>591100</v>
      </c>
      <c r="B14" s="99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IFERROR(VLOOKUP(B14,input_settle_591100!L:R,7,FALSE),VLOOKUP(tables_settle_591100!C14,input_settle_591100!A:H,8,FALSE))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input_settle_591100!A$2</f>
        <v>591100</v>
      </c>
      <c r="B15" s="99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IFERROR(VLOOKUP(B15,input_settle_591100!L:R,7,FALSE),VLOOKUP(tables_settle_591100!C15,input_settle_591100!A:H,8,FALSE))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input_settle_591100!A$2</f>
        <v>591100</v>
      </c>
      <c r="B16" s="99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IFERROR(VLOOKUP(B16,input_settle_591100!L:R,7,FALSE),VLOOKUP(tables_settle_591100!C16,input_settle_591100!A:H,8,FALSE))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input_settle_591100!A$2</f>
        <v>591100</v>
      </c>
      <c r="B17" s="99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IFERROR(VLOOKUP(B17,input_settle_591100!L:R,7,FALSE),VLOOKUP(tables_settle_591100!C17,input_settle_591100!A:H,8,FALSE))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input_settle_591100!A$2</f>
        <v>591100</v>
      </c>
      <c r="B18" s="99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IFERROR(VLOOKUP(B18,input_settle_591100!L:R,7,FALSE),VLOOKUP(tables_settle_591100!C18,input_settle_591100!A:H,8,FALSE))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input_settle_591100!A$2</f>
        <v>591100</v>
      </c>
      <c r="B19" s="99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IFERROR(VLOOKUP(B19,input_settle_591100!L:R,7,FALSE),VLOOKUP(tables_settle_591100!C19,input_settle_591100!A:H,8,FALSE))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input_settle_591100!A$2</f>
        <v>591100</v>
      </c>
      <c r="B20" s="99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IFERROR(VLOOKUP(B20,input_settle_591100!L:R,7,FALSE),VLOOKUP(tables_settle_591100!C20,input_settle_591100!A:H,8,FALSE))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input_settle_591100!A$2</f>
        <v>591100</v>
      </c>
      <c r="B21" s="99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IFERROR(VLOOKUP(B21,input_settle_591100!L:R,7,FALSE),VLOOKUP(tables_settle_591100!C21,input_settle_591100!A:H,8,FALSE))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input_settle_591100!A$2</f>
        <v>591100</v>
      </c>
      <c r="B22" s="99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IFERROR(VLOOKUP(B22,input_settle_591100!L:R,7,FALSE),VLOOKUP(tables_settle_591100!C22,input_settle_591100!A:H,8,FALSE))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input_settle_591100!A$2</f>
        <v>591100</v>
      </c>
      <c r="B23" s="99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IFERROR(VLOOKUP(B23,input_settle_591100!L:R,7,FALSE),VLOOKUP(tables_settle_591100!C23,input_settle_591100!A:H,8,FALSE))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input_settle_591100!A$2</f>
        <v>591100</v>
      </c>
      <c r="B24" s="99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IFERROR(VLOOKUP(B24,input_settle_591100!L:R,7,FALSE),VLOOKUP(tables_settle_591100!C24,input_settle_591100!A:H,8,FALSE))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input_settle_591100!A$2</f>
        <v>591100</v>
      </c>
      <c r="B25" s="99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IFERROR(VLOOKUP(B25,input_settle_591100!L:R,7,FALSE),VLOOKUP(tables_settle_591100!C25,input_settle_591100!A:H,8,FALSE))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input_settle_591100!A$2</f>
        <v>591100</v>
      </c>
      <c r="B26" s="99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IFERROR(VLOOKUP(B26,input_settle_591100!L:R,7,FALSE),VLOOKUP(tables_settle_591100!C26,input_settle_591100!A:H,8,FALSE))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input_settle_591100!A$2</f>
        <v>591100</v>
      </c>
      <c r="B27" s="99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IFERROR(VLOOKUP(B27,input_settle_591100!L:R,7,FALSE),VLOOKUP(tables_settle_591100!C27,input_settle_591100!A:H,8,FALSE))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input_settle_591100!A$2</f>
        <v>591100</v>
      </c>
      <c r="B28" s="99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IFERROR(VLOOKUP(B28,input_settle_591100!L:R,7,FALSE),VLOOKUP(tables_settle_591100!C28,input_settle_591100!A:H,8,FALSE))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input_settle_591100!A$2</f>
        <v>591100</v>
      </c>
      <c r="B29" s="99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IFERROR(VLOOKUP(B29,input_settle_591100!L:R,7,FALSE),VLOOKUP(tables_settle_591100!C29,input_settle_591100!A:H,8,FALSE))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input_settle_591100!A$2</f>
        <v>591100</v>
      </c>
      <c r="B30" s="99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IFERROR(VLOOKUP(B30,input_settle_591100!L:R,7,FALSE),VLOOKUP(tables_settle_591100!C30,input_settle_591100!A:H,8,FALSE))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input_settle_591100!A$2</f>
        <v>591100</v>
      </c>
      <c r="B31" s="99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IFERROR(VLOOKUP(B31,input_settle_591100!L:R,7,FALSE),VLOOKUP(tables_settle_591100!C31,input_settle_591100!A:H,8,FALSE))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input_settle_591100!A$2</f>
        <v>591100</v>
      </c>
      <c r="B32" s="99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IFERROR(VLOOKUP(B32,input_settle_591100!L:R,7,FALSE),VLOOKUP(tables_settle_591100!C32,input_settle_591100!A:H,8,FALSE))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input_settle_591100!A$2</f>
        <v>591100</v>
      </c>
      <c r="B33" s="99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IFERROR(VLOOKUP(B33,input_settle_591100!L:R,7,FALSE),VLOOKUP(tables_settle_591100!C33,input_settle_591100!A:H,8,FALSE))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input_settle_591100!A$2</f>
        <v>591100</v>
      </c>
      <c r="B34" s="99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IFERROR(VLOOKUP(B34,input_settle_591100!L:R,7,FALSE),VLOOKUP(tables_settle_591100!C34,input_settle_591100!A:H,8,FALSE))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input_settle_591100!A$2</f>
        <v>591100</v>
      </c>
      <c r="B35" s="99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IFERROR(VLOOKUP(B35,input_settle_591100!L:R,7,FALSE),VLOOKUP(tables_settle_591100!C35,input_settle_591100!A:H,8,FALSE))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input_settle_591100!A$2</f>
        <v>591100</v>
      </c>
      <c r="B36" s="99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IFERROR(VLOOKUP(B36,input_settle_591100!L:R,7,FALSE),VLOOKUP(tables_settle_591100!C36,input_settle_591100!A:H,8,FALSE))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input_settle_591100!A$2</f>
        <v>591100</v>
      </c>
      <c r="B37" s="99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IFERROR(VLOOKUP(B37,input_settle_591100!L:R,7,FALSE),VLOOKUP(tables_settle_591100!C37,input_settle_591100!A:H,8,FALSE))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input_settle_591100!A$2</f>
        <v>591100</v>
      </c>
      <c r="B38" s="99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IFERROR(VLOOKUP(B38,input_settle_591100!L:R,7,FALSE),VLOOKUP(tables_settle_591100!C38,input_settle_591100!A:H,8,FALSE))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input_settle_591100!A$2</f>
        <v>591100</v>
      </c>
      <c r="B39" s="99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IFERROR(VLOOKUP(B39,input_settle_591100!L:R,7,FALSE),VLOOKUP(tables_settle_591100!C39,input_settle_591100!A:H,8,FALSE))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input_settle_591100!A$2</f>
        <v>591100</v>
      </c>
      <c r="B40" s="99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IFERROR(VLOOKUP(B40,input_settle_591100!L:R,7,FALSE),VLOOKUP(tables_settle_591100!C40,input_settle_591100!A:H,8,FALSE))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input_settle_591100!A$2</f>
        <v>591100</v>
      </c>
      <c r="B41" s="99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IFERROR(VLOOKUP(B41,input_settle_591100!L:R,7,FALSE),VLOOKUP(tables_settle_591100!C41,input_settle_591100!A:H,8,FALSE))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input_settle_591100!A$2</f>
        <v>591100</v>
      </c>
      <c r="B42" s="99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IFERROR(VLOOKUP(B42,input_settle_591100!L:R,7,FALSE),VLOOKUP(tables_settle_591100!C42,input_settle_591100!A:H,8,FALSE))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input_settle_591100!A$2</f>
        <v>591100</v>
      </c>
      <c r="B43" s="99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IFERROR(VLOOKUP(B43,input_settle_591100!L:R,7,FALSE),VLOOKUP(tables_settle_591100!C43,input_settle_591100!A:H,8,FALSE))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input_settle_591100!A$2</f>
        <v>591100</v>
      </c>
      <c r="B44" s="99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IFERROR(VLOOKUP(B44,input_settle_591100!L:R,7,FALSE),VLOOKUP(tables_settle_591100!C44,input_settle_591100!A:H,8,FALSE))</f>
        <v>1372500</v>
      </c>
      <c r="P44" s="46">
        <f t="shared" ca="1" si="1"/>
        <v>9.4329896907190489E-3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input_settle_591100!A$2</f>
        <v>591100</v>
      </c>
      <c r="B45" s="99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IFERROR(VLOOKUP(B45,input_settle_591100!L:R,7,FALSE),VLOOKUP(tables_settle_591100!C45,input_settle_591100!A:H,8,FALSE))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input_settle_591100!A$2</f>
        <v>591100</v>
      </c>
      <c r="B46" s="99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IFERROR(VLOOKUP(B46,input_settle_591100!L:R,7,FALSE),VLOOKUP(tables_settle_591100!C46,input_settle_591100!A:H,8,FALSE))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input_settle_591100!A$2</f>
        <v>591100</v>
      </c>
      <c r="B47" s="99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IFERROR(VLOOKUP(B47,input_settle_591100!L:R,7,FALSE),VLOOKUP(tables_settle_591100!C47,input_settle_591100!A:H,8,FALSE))</f>
        <v>1372500</v>
      </c>
      <c r="P47" s="46">
        <f t="shared" ca="1" si="1"/>
        <v>9.4329896907190489E-3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input_settle_591100!A$2</f>
        <v>591100</v>
      </c>
      <c r="B48" s="99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IFERROR(VLOOKUP(B48,input_settle_591100!L:R,7,FALSE),VLOOKUP(tables_settle_591100!C48,input_settle_591100!A:H,8,FALSE))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input_settle_591100!A$2</f>
        <v>591100</v>
      </c>
      <c r="B49" s="99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IFERROR(VLOOKUP(B49,input_settle_591100!L:R,7,FALSE),VLOOKUP(tables_settle_591100!C49,input_settle_591100!A:H,8,FALSE))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input_settle_591100!A$2</f>
        <v>591100</v>
      </c>
      <c r="B50" s="99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IFERROR(VLOOKUP(B50,input_settle_591100!L:R,7,FALSE),VLOOKUP(tables_settle_591100!C50,input_settle_591100!A:H,8,FALSE))</f>
        <v>1372500</v>
      </c>
      <c r="P50" s="46">
        <f t="shared" ca="1" si="1"/>
        <v>9.4329896907190489E-3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input_settle_591100!A$2</f>
        <v>591100</v>
      </c>
      <c r="B51" s="99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IFERROR(VLOOKUP(B51,input_settle_591100!L:R,7,FALSE),VLOOKUP(tables_settle_591100!C51,input_settle_591100!A:H,8,FALSE))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input_settle_591100!A$2</f>
        <v>591100</v>
      </c>
      <c r="B52" s="99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IFERROR(VLOOKUP(B52,input_settle_591100!L:R,7,FALSE),VLOOKUP(tables_settle_591100!C52,input_settle_591100!A:H,8,FALSE))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input_settle_591100!A$2</f>
        <v>591100</v>
      </c>
      <c r="B53" s="99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IFERROR(VLOOKUP(B53,input_settle_591100!L:R,7,FALSE),VLOOKUP(tables_settle_591100!C53,input_settle_591100!A:H,8,FALSE))</f>
        <v>1742019.23077</v>
      </c>
      <c r="P53" s="46">
        <f t="shared" ca="1" si="1"/>
        <v>1.1972640761302542E-2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input_settle_591100!A$2</f>
        <v>591100</v>
      </c>
      <c r="B54" s="99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IFERROR(VLOOKUP(B54,input_settle_591100!L:R,7,FALSE),VLOOKUP(tables_settle_591100!C54,input_settle_591100!A:H,8,FALSE))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input_settle_591100!A$2</f>
        <v>591100</v>
      </c>
      <c r="B55" s="99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IFERROR(VLOOKUP(B55,input_settle_591100!L:R,7,FALSE),VLOOKUP(tables_settle_591100!C55,input_settle_591100!A:H,8,FALSE))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input_settle_591100!A$2</f>
        <v>591100</v>
      </c>
      <c r="B56" s="99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IFERROR(VLOOKUP(B56,input_settle_591100!L:R,7,FALSE),VLOOKUP(tables_settle_591100!C56,input_settle_591100!A:H,8,FALSE))</f>
        <v>1742019.23077</v>
      </c>
      <c r="P56" s="46">
        <f t="shared" ca="1" si="1"/>
        <v>1.1972640761302542E-2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input_settle_591100!A$2</f>
        <v>591100</v>
      </c>
      <c r="B57" s="99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IFERROR(VLOOKUP(B57,input_settle_591100!L:R,7,FALSE),VLOOKUP(tables_settle_591100!C57,input_settle_591100!A:H,8,FALSE))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input_settle_591100!A$2</f>
        <v>591100</v>
      </c>
      <c r="B58" s="99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IFERROR(VLOOKUP(B58,input_settle_591100!L:R,7,FALSE),VLOOKUP(tables_settle_591100!C58,input_settle_591100!A:H,8,FALSE))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input_settle_591100!A$2</f>
        <v>591100</v>
      </c>
      <c r="B59" s="99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IFERROR(VLOOKUP(B59,input_settle_591100!L:R,7,FALSE),VLOOKUP(tables_settle_591100!C59,input_settle_591100!A:H,8,FALSE))</f>
        <v>1742019.23077</v>
      </c>
      <c r="P59" s="46">
        <f t="shared" ca="1" si="1"/>
        <v>1.1972640761302542E-2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input_settle_591100!A$2</f>
        <v>591100</v>
      </c>
      <c r="B60" s="99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IFERROR(VLOOKUP(B60,input_settle_591100!L:R,7,FALSE),VLOOKUP(tables_settle_591100!C60,input_settle_591100!A:H,8,FALSE))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input_settle_591100!A$2</f>
        <v>591100</v>
      </c>
      <c r="B61" s="99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IFERROR(VLOOKUP(B61,input_settle_591100!L:R,7,FALSE),VLOOKUP(tables_settle_591100!C61,input_settle_591100!A:H,8,FALSE))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input_settle_591100!A$2</f>
        <v>591100</v>
      </c>
      <c r="B62" s="100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IFERROR(VLOOKUP(B62,input_settle_591100!L:R,7,FALSE),VLOOKUP(tables_settle_591100!C62,input_settle_591100!A:H,8,FALSE))</f>
        <v>1742019.23077</v>
      </c>
      <c r="P62" s="46">
        <f t="shared" ca="1" si="1"/>
        <v>1.1972640761302542E-2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input_settle_591100!A$2</f>
        <v>591100</v>
      </c>
      <c r="B63" s="100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IFERROR(VLOOKUP(B63,input_settle_591100!L:R,7,FALSE),VLOOKUP(tables_settle_591100!C63,input_settle_591100!A:H,8,FALSE))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input_settle_591100!A$2</f>
        <v>591100</v>
      </c>
      <c r="B64" s="100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IFERROR(VLOOKUP(B64,input_settle_591100!L:R,7,FALSE),VLOOKUP(tables_settle_591100!C64,input_settle_591100!A:H,8,FALSE))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input_settle_591100!A$2</f>
        <v>591100</v>
      </c>
      <c r="B65" s="100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IFERROR(VLOOKUP(B65,input_settle_591100!L:R,7,FALSE),VLOOKUP(tables_settle_591100!C65,input_settle_591100!A:H,8,FALSE))</f>
        <v>1742019.23077</v>
      </c>
      <c r="P65" s="46">
        <f t="shared" ca="1" si="1"/>
        <v>1.1972640761302542E-2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input_settle_591100!A$2</f>
        <v>591100</v>
      </c>
      <c r="B66" s="99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IFERROR(VLOOKUP(B66,input_settle_591100!L:R,7,FALSE),VLOOKUP(tables_settle_591100!C66,input_settle_591100!A:H,8,FALSE))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input_settle_591100!A$2</f>
        <v>591100</v>
      </c>
      <c r="B67" s="99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IFERROR(VLOOKUP(B67,input_settle_591100!L:R,7,FALSE),VLOOKUP(tables_settle_591100!C67,input_settle_591100!A:H,8,FALSE))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input_settle_591100!A$2</f>
        <v>591100</v>
      </c>
      <c r="B68" s="99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IFERROR(VLOOKUP(B68,input_settle_591100!L:R,7,FALSE),VLOOKUP(tables_settle_591100!C68,input_settle_591100!A:H,8,FALSE))</f>
        <v>1742019.23077</v>
      </c>
      <c r="P68" s="46">
        <f t="shared" ca="1" si="4"/>
        <v>1.1972640761302542E-2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input_settle_591100!A$2</f>
        <v>591100</v>
      </c>
      <c r="B69" s="99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IFERROR(VLOOKUP(B69,input_settle_591100!L:R,7,FALSE),VLOOKUP(tables_settle_591100!C69,input_settle_591100!A:H,8,FALSE))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input_settle_591100!A$2</f>
        <v>591100</v>
      </c>
      <c r="B70" s="99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IFERROR(VLOOKUP(B70,input_settle_591100!L:R,7,FALSE),VLOOKUP(tables_settle_591100!C70,input_settle_591100!A:H,8,FALSE))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input_settle_591100!A$2</f>
        <v>591100</v>
      </c>
      <c r="B71" s="99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IFERROR(VLOOKUP(B71,input_settle_591100!L:R,7,FALSE),VLOOKUP(tables_settle_591100!C71,input_settle_591100!A:H,8,FALSE))</f>
        <v>1742019.23077</v>
      </c>
      <c r="P71" s="46">
        <f t="shared" ca="1" si="4"/>
        <v>1.1972640761302542E-2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input_settle_591100!A$2</f>
        <v>591100</v>
      </c>
      <c r="B72" s="99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IFERROR(VLOOKUP(B72,input_settle_591100!L:R,7,FALSE),VLOOKUP(tables_settle_591100!C72,input_settle_591100!A:H,8,FALSE))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input_settle_591100!A$2</f>
        <v>591100</v>
      </c>
      <c r="B73" s="99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IFERROR(VLOOKUP(B73,input_settle_591100!L:R,7,FALSE),VLOOKUP(tables_settle_591100!C73,input_settle_591100!A:H,8,FALSE))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input_settle_591100!A$2</f>
        <v>591100</v>
      </c>
      <c r="B74" s="99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IFERROR(VLOOKUP(B74,input_settle_591100!L:R,7,FALSE),VLOOKUP(tables_settle_591100!C74,input_settle_591100!A:H,8,FALSE))</f>
        <v>1742019.23077</v>
      </c>
      <c r="P74" s="46">
        <f t="shared" ca="1" si="4"/>
        <v>1.1972640761302542E-2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input_settle_591100!A$2</f>
        <v>591100</v>
      </c>
      <c r="B75" s="99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IFERROR(VLOOKUP(B75,input_settle_591100!L:R,7,FALSE),VLOOKUP(tables_settle_591100!C75,input_settle_591100!A:H,8,FALSE))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input_settle_591100!A$2</f>
        <v>591100</v>
      </c>
      <c r="B76" s="99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IFERROR(VLOOKUP(B76,input_settle_591100!L:R,7,FALSE),VLOOKUP(tables_settle_591100!C76,input_settle_591100!A:H,8,FALSE))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input_settle_591100!A$2</f>
        <v>591100</v>
      </c>
      <c r="B77" s="101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IFERROR(VLOOKUP(B77,input_settle_591100!L:R,7,FALSE),VLOOKUP(tables_settle_591100!C77,input_settle_591100!A:H,8,FALSE))</f>
        <v>1742019.23077</v>
      </c>
      <c r="P77" s="46">
        <f t="shared" ca="1" si="4"/>
        <v>1.1972640761302542E-2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input_settle_591100!A$2</f>
        <v>591100</v>
      </c>
      <c r="B78" s="101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IFERROR(VLOOKUP(B78,input_settle_591100!L:R,7,FALSE),VLOOKUP(tables_settle_591100!C78,input_settle_591100!A:H,8,FALSE))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input_settle_591100!A$2</f>
        <v>591100</v>
      </c>
      <c r="B79" s="101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IFERROR(VLOOKUP(B79,input_settle_591100!L:R,7,FALSE),VLOOKUP(tables_settle_591100!C79,input_settle_591100!A:H,8,FALSE))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input_settle_591100!A$2</f>
        <v>591100</v>
      </c>
      <c r="B80" s="101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IFERROR(VLOOKUP(B80,input_settle_591100!L:R,7,FALSE),VLOOKUP(tables_settle_591100!C80,input_settle_591100!A:H,8,FALSE))</f>
        <v>1742019.23077</v>
      </c>
      <c r="P80" s="46">
        <f t="shared" ca="1" si="4"/>
        <v>1.1972640761302542E-2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input_settle_591100!A$2</f>
        <v>591100</v>
      </c>
      <c r="B81" s="101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IFERROR(VLOOKUP(B81,input_settle_591100!L:R,7,FALSE),VLOOKUP(tables_settle_591100!C81,input_settle_591100!A:H,8,FALSE))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input_settle_591100!A$2</f>
        <v>591100</v>
      </c>
      <c r="B82" s="101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IFERROR(VLOOKUP(B82,input_settle_591100!L:R,7,FALSE),VLOOKUP(tables_settle_591100!C82,input_settle_591100!A:H,8,FALSE))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input_settle_591100!A$2</f>
        <v>591100</v>
      </c>
      <c r="B83" s="101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IFERROR(VLOOKUP(B83,input_settle_591100!L:R,7,FALSE),VLOOKUP(tables_settle_591100!C83,input_settle_591100!A:H,8,FALSE))</f>
        <v>1742019.23077</v>
      </c>
      <c r="P83" s="46">
        <f t="shared" ca="1" si="4"/>
        <v>1.1972640761302542E-2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input_settle_591100!A$2</f>
        <v>591100</v>
      </c>
      <c r="B84" s="101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IFERROR(VLOOKUP(B84,input_settle_591100!L:R,7,FALSE),VLOOKUP(tables_settle_591100!C84,input_settle_591100!A:H,8,FALSE))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input_settle_591100!A$2</f>
        <v>591100</v>
      </c>
      <c r="B85" s="101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IFERROR(VLOOKUP(B85,input_settle_591100!L:R,7,FALSE),VLOOKUP(tables_settle_591100!C85,input_settle_591100!A:H,8,FALSE))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input_settle_591100!A$2</f>
        <v>591100</v>
      </c>
      <c r="B86" s="101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IFERROR(VLOOKUP(B86,input_settle_591100!L:R,7,FALSE),VLOOKUP(tables_settle_591100!C86,input_settle_591100!A:H,8,FALSE))</f>
        <v>1742019.23077</v>
      </c>
      <c r="P86" s="46">
        <f t="shared" ca="1" si="4"/>
        <v>1.1972640761302542E-2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input_settle_591100!A$2</f>
        <v>591100</v>
      </c>
      <c r="B87" s="101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IFERROR(VLOOKUP(B87,input_settle_591100!L:R,7,FALSE),VLOOKUP(tables_settle_591100!C87,input_settle_591100!A:H,8,FALSE))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input_settle_591100!A$2</f>
        <v>591100</v>
      </c>
      <c r="B88" s="101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IFERROR(VLOOKUP(B88,input_settle_591100!L:R,7,FALSE),VLOOKUP(tables_settle_591100!C88,input_settle_591100!A:H,8,FALSE))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input_settle_591100!A$2</f>
        <v>591100</v>
      </c>
      <c r="B89" s="101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IFERROR(VLOOKUP(B89,input_settle_591100!L:R,7,FALSE),VLOOKUP(tables_settle_591100!C89,input_settle_591100!A:H,8,FALSE))</f>
        <v>1742019.23077</v>
      </c>
      <c r="P89" s="46">
        <f t="shared" ca="1" si="4"/>
        <v>1.1972640761302542E-2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input_settle_591100!A$2</f>
        <v>591100</v>
      </c>
      <c r="B90" s="101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IFERROR(VLOOKUP(B90,input_settle_591100!L:R,7,FALSE),VLOOKUP(tables_settle_591100!C90,input_settle_591100!A:H,8,FALSE))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input_settle_591100!A$2</f>
        <v>591100</v>
      </c>
      <c r="B91" s="101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IFERROR(VLOOKUP(B91,input_settle_591100!L:R,7,FALSE),VLOOKUP(tables_settle_591100!C91,input_settle_591100!A:H,8,FALSE))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input_settle_591100!A$2</f>
        <v>591100</v>
      </c>
      <c r="B92" s="101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IFERROR(VLOOKUP(B92,input_settle_591100!L:R,7,FALSE),VLOOKUP(tables_settle_591100!C92,input_settle_591100!A:H,8,FALSE))</f>
        <v>1742019.23077</v>
      </c>
      <c r="P92" s="46">
        <f t="shared" ca="1" si="4"/>
        <v>1.1972640761302542E-2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input_settle_591100!A$2</f>
        <v>591100</v>
      </c>
      <c r="B93" s="101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IFERROR(VLOOKUP(B93,input_settle_591100!L:R,7,FALSE),VLOOKUP(tables_settle_591100!C93,input_settle_591100!A:H,8,FALSE))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input_settle_591100!A$2</f>
        <v>591100</v>
      </c>
      <c r="B94" s="101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IFERROR(VLOOKUP(B94,input_settle_591100!L:R,7,FALSE),VLOOKUP(tables_settle_591100!C94,input_settle_591100!A:H,8,FALSE))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input_settle_591100!A$2</f>
        <v>591100</v>
      </c>
      <c r="B95" s="101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IFERROR(VLOOKUP(B95,input_settle_591100!L:R,7,FALSE),VLOOKUP(tables_settle_591100!C95,input_settle_591100!A:H,8,FALSE))</f>
        <v>1742019.23077</v>
      </c>
      <c r="P95" s="46">
        <f t="shared" ca="1" si="4"/>
        <v>1.1972640761302542E-2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input_settle_591100!A$2</f>
        <v>591100</v>
      </c>
      <c r="B96" s="101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IFERROR(VLOOKUP(B96,input_settle_591100!L:R,7,FALSE),VLOOKUP(tables_settle_591100!C96,input_settle_591100!A:H,8,FALSE))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input_settle_591100!A$2</f>
        <v>591100</v>
      </c>
      <c r="B97" s="101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IFERROR(VLOOKUP(B97,input_settle_591100!L:R,7,FALSE),VLOOKUP(tables_settle_591100!C97,input_settle_591100!A:H,8,FALSE))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input_settle_591100!A$2</f>
        <v>591100</v>
      </c>
      <c r="B98" s="101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IFERROR(VLOOKUP(B98,input_settle_591100!L:R,7,FALSE),VLOOKUP(tables_settle_591100!C98,input_settle_591100!A:H,8,FALSE))</f>
        <v>1742019.23077</v>
      </c>
      <c r="P98" s="46">
        <f t="shared" ca="1" si="4"/>
        <v>1.1972640761302542E-2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input_settle_591100!A$2</f>
        <v>591100</v>
      </c>
      <c r="B99" s="101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IFERROR(VLOOKUP(B99,input_settle_591100!L:R,7,FALSE),VLOOKUP(tables_settle_591100!C99,input_settle_591100!A:H,8,FALSE))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input_settle_591100!A$2</f>
        <v>591100</v>
      </c>
      <c r="B100" s="101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IFERROR(VLOOKUP(B100,input_settle_591100!L:R,7,FALSE),VLOOKUP(tables_settle_591100!C100,input_settle_591100!A:H,8,FALSE))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input_settle_591100!A$2</f>
        <v>591100</v>
      </c>
      <c r="B101" s="101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IFERROR(VLOOKUP(B101,input_settle_591100!L:R,7,FALSE),VLOOKUP(tables_settle_591100!C101,input_settle_591100!A:H,8,FALSE))</f>
        <v>1742019.23077</v>
      </c>
      <c r="P101" s="46">
        <f t="shared" ca="1" si="4"/>
        <v>1.1972640761302542E-2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input_settle_591100!A$2</f>
        <v>591100</v>
      </c>
      <c r="B102" s="101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IFERROR(VLOOKUP(B102,input_settle_591100!L:R,7,FALSE),VLOOKUP(tables_settle_591100!C102,input_settle_591100!A:H,8,FALSE))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input_settle_591100!A$2</f>
        <v>591100</v>
      </c>
      <c r="B103" s="101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IFERROR(VLOOKUP(B103,input_settle_591100!L:R,7,FALSE),VLOOKUP(tables_settle_591100!C103,input_settle_591100!A:H,8,FALSE))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input_settle_591100!A$2</f>
        <v>591100</v>
      </c>
      <c r="B104" s="101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IFERROR(VLOOKUP(B104,input_settle_591100!L:R,7,FALSE),VLOOKUP(tables_settle_591100!C104,input_settle_591100!A:H,8,FALSE))</f>
        <v>1742019.23077</v>
      </c>
      <c r="P104" s="46">
        <f t="shared" ca="1" si="4"/>
        <v>1.1972640761302542E-2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input_settle_591100!A$2</f>
        <v>591100</v>
      </c>
      <c r="B105" s="101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IFERROR(VLOOKUP(B105,input_settle_591100!L:R,7,FALSE),VLOOKUP(tables_settle_591100!C105,input_settle_591100!A:H,8,FALSE))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input_settle_591100!A$2</f>
        <v>591100</v>
      </c>
      <c r="B106" s="101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IFERROR(VLOOKUP(B106,input_settle_591100!L:R,7,FALSE),VLOOKUP(tables_settle_591100!C106,input_settle_591100!A:H,8,FALSE))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input_settle_591100!A$2</f>
        <v>591100</v>
      </c>
      <c r="B107" s="101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IFERROR(VLOOKUP(B107,input_settle_591100!L:R,7,FALSE),VLOOKUP(tables_settle_591100!C107,input_settle_591100!A:H,8,FALSE))</f>
        <v>1742019.23077</v>
      </c>
      <c r="P107" s="46">
        <f t="shared" ca="1" si="4"/>
        <v>1.1972640761302542E-2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input_settle_591100!A$2</f>
        <v>591100</v>
      </c>
      <c r="B108" s="101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IFERROR(VLOOKUP(B108,input_settle_591100!L:R,7,FALSE),VLOOKUP(tables_settle_591100!C108,input_settle_591100!A:H,8,FALSE))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input_settle_591100!A$2</f>
        <v>591100</v>
      </c>
      <c r="B109" s="101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IFERROR(VLOOKUP(B109,input_settle_591100!L:R,7,FALSE),VLOOKUP(tables_settle_591100!C109,input_settle_591100!A:H,8,FALSE))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input_settle_591100!A$2</f>
        <v>591100</v>
      </c>
      <c r="B110" s="101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IFERROR(VLOOKUP(B110,input_settle_591100!L:R,7,FALSE),VLOOKUP(tables_settle_591100!C110,input_settle_591100!A:H,8,FALSE))</f>
        <v>1742019.23077</v>
      </c>
      <c r="P110" s="46">
        <f t="shared" ca="1" si="4"/>
        <v>1.1972640761302542E-2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input_settle_591100!A$2</f>
        <v>591100</v>
      </c>
      <c r="B111" s="101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IFERROR(VLOOKUP(B111,input_settle_591100!L:R,7,FALSE),VLOOKUP(tables_settle_591100!C111,input_settle_591100!A:H,8,FALSE))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input_settle_591100!A$2</f>
        <v>591100</v>
      </c>
      <c r="B112" s="101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IFERROR(VLOOKUP(B112,input_settle_591100!L:R,7,FALSE),VLOOKUP(tables_settle_591100!C112,input_settle_591100!A:H,8,FALSE))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input_settle_591100!A$2</f>
        <v>591100</v>
      </c>
      <c r="B113" s="101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IFERROR(VLOOKUP(B113,input_settle_591100!L:R,7,FALSE),VLOOKUP(tables_settle_591100!C113,input_settle_591100!A:H,8,FALSE))</f>
        <v>1372500</v>
      </c>
      <c r="P113" s="46">
        <f t="shared" ca="1" si="4"/>
        <v>9.4329896907190489E-3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input_settle_591100!A$2</f>
        <v>591100</v>
      </c>
      <c r="B114" s="101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IFERROR(VLOOKUP(B114,input_settle_591100!L:R,7,FALSE),VLOOKUP(tables_settle_591100!C114,input_settle_591100!A:H,8,FALSE))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input_settle_591100!A$2</f>
        <v>591100</v>
      </c>
      <c r="B115" s="101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IFERROR(VLOOKUP(B115,input_settle_591100!L:R,7,FALSE),VLOOKUP(tables_settle_591100!C115,input_settle_591100!A:H,8,FALSE))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input_settle_591100!A$2</f>
        <v>591100</v>
      </c>
      <c r="B116" s="101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IFERROR(VLOOKUP(B116,input_settle_591100!L:R,7,FALSE),VLOOKUP(tables_settle_591100!C116,input_settle_591100!A:H,8,FALSE))</f>
        <v>1742019.23077</v>
      </c>
      <c r="P116" s="46">
        <f t="shared" ca="1" si="4"/>
        <v>1.1972640761302542E-2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input_settle_591100!A$2</f>
        <v>591100</v>
      </c>
      <c r="B117" s="101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IFERROR(VLOOKUP(B117,input_settle_591100!L:R,7,FALSE),VLOOKUP(tables_settle_591100!C117,input_settle_591100!A:H,8,FALSE))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input_settle_591100!A$2</f>
        <v>591100</v>
      </c>
      <c r="B118" s="101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IFERROR(VLOOKUP(B118,input_settle_591100!L:R,7,FALSE),VLOOKUP(tables_settle_591100!C118,input_settle_591100!A:H,8,FALSE))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input_settle_591100!A$2</f>
        <v>591100</v>
      </c>
      <c r="B119" s="101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IFERROR(VLOOKUP(B119,input_settle_591100!L:R,7,FALSE),VLOOKUP(tables_settle_591100!C119,input_settle_591100!A:H,8,FALSE))</f>
        <v>1742019.23077</v>
      </c>
      <c r="P119" s="46">
        <f t="shared" ca="1" si="4"/>
        <v>1.1972640761302542E-2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input_settle_591100!A$2</f>
        <v>591100</v>
      </c>
      <c r="B120" s="101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IFERROR(VLOOKUP(B120,input_settle_591100!L:R,7,FALSE),VLOOKUP(tables_settle_591100!C120,input_settle_591100!A:H,8,FALSE))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input_settle_591100!A$2</f>
        <v>591100</v>
      </c>
      <c r="B121" s="101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IFERROR(VLOOKUP(B121,input_settle_591100!L:R,7,FALSE),VLOOKUP(tables_settle_591100!C121,input_settle_591100!A:H,8,FALSE))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input_settle_591100!A$2</f>
        <v>591100</v>
      </c>
      <c r="B122" s="101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IFERROR(VLOOKUP(B122,input_settle_591100!L:R,7,FALSE),VLOOKUP(tables_settle_591100!C122,input_settle_591100!A:H,8,FALSE))</f>
        <v>1742019.23077</v>
      </c>
      <c r="P122" s="46">
        <f t="shared" ca="1" si="4"/>
        <v>1.1972640761302542E-2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input_settle_591100!A$2</f>
        <v>591100</v>
      </c>
      <c r="B123" s="101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IFERROR(VLOOKUP(B123,input_settle_591100!L:R,7,FALSE),VLOOKUP(tables_settle_591100!C123,input_settle_591100!A:H,8,FALSE))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input_settle_591100!A$2</f>
        <v>591100</v>
      </c>
      <c r="B124" s="101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IFERROR(VLOOKUP(B124,input_settle_591100!L:R,7,FALSE),VLOOKUP(tables_settle_591100!C124,input_settle_591100!A:H,8,FALSE))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input_settle_591100!A$2</f>
        <v>591100</v>
      </c>
      <c r="B125" s="99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IFERROR(VLOOKUP(B125,input_settle_591100!L:R,7,FALSE),VLOOKUP(tables_settle_591100!C125,input_settle_591100!A:H,8,FALSE))</f>
        <v>1742019.23077</v>
      </c>
      <c r="P125" s="46">
        <f t="shared" ca="1" si="4"/>
        <v>1.1972640761302542E-2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input_settle_591100!A$2</f>
        <v>591100</v>
      </c>
      <c r="B126" s="99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IFERROR(VLOOKUP(B126,input_settle_591100!L:R,7,FALSE),VLOOKUP(tables_settle_591100!C126,input_settle_591100!A:H,8,FALSE))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input_settle_591100!A$2</f>
        <v>591100</v>
      </c>
      <c r="B127" s="99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IFERROR(VLOOKUP(B127,input_settle_591100!L:R,7,FALSE),VLOOKUP(tables_settle_591100!C127,input_settle_591100!A:H,8,FALSE))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input_settle_591100!A$2</f>
        <v>591100</v>
      </c>
      <c r="B128" s="99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IFERROR(VLOOKUP(B128,input_settle_591100!L:R,7,FALSE),VLOOKUP(tables_settle_591100!C128,input_settle_591100!A:H,8,FALSE))</f>
        <v>1742019.23077</v>
      </c>
      <c r="P128" s="46">
        <f t="shared" ca="1" si="4"/>
        <v>1.1972640761302542E-2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input_settle_591100!A$2</f>
        <v>591100</v>
      </c>
      <c r="B129" s="99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IFERROR(VLOOKUP(B129,input_settle_591100!L:R,7,FALSE),VLOOKUP(tables_settle_591100!C129,input_settle_591100!A:H,8,FALSE))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input_settle_591100!A$2</f>
        <v>591100</v>
      </c>
      <c r="B130" s="99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IFERROR(VLOOKUP(B130,input_settle_591100!L:R,7,FALSE),VLOOKUP(tables_settle_591100!C130,input_settle_591100!A:H,8,FALSE))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input_settle_591100!A$2</f>
        <v>591100</v>
      </c>
      <c r="B131" s="99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IFERROR(VLOOKUP(B131,input_settle_591100!L:R,7,FALSE),VLOOKUP(tables_settle_591100!C131,input_settle_591100!A:H,8,FALSE))</f>
        <v>1742019.23077</v>
      </c>
      <c r="P131" s="46">
        <f t="shared" ca="1" si="7"/>
        <v>1.1972640761302542E-2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input_settle_591100!A$2</f>
        <v>591100</v>
      </c>
      <c r="B132" s="99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IFERROR(VLOOKUP(B132,input_settle_591100!L:R,7,FALSE),VLOOKUP(tables_settle_591100!C132,input_settle_591100!A:H,8,FALSE))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input_settle_591100!A$2</f>
        <v>591100</v>
      </c>
      <c r="B133" s="99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IFERROR(VLOOKUP(B133,input_settle_591100!L:R,7,FALSE),VLOOKUP(tables_settle_591100!C133,input_settle_591100!A:H,8,FALSE))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input_settle_591100!A$2</f>
        <v>591100</v>
      </c>
      <c r="B134" s="99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IFERROR(VLOOKUP(B134,input_settle_591100!L:R,7,FALSE),VLOOKUP(tables_settle_591100!C134,input_settle_591100!A:H,8,FALSE))</f>
        <v>1742019.23077</v>
      </c>
      <c r="P134" s="46">
        <f t="shared" ca="1" si="7"/>
        <v>1.1972640761302542E-2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input_settle_591100!A$2</f>
        <v>591100</v>
      </c>
      <c r="B135" s="99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IFERROR(VLOOKUP(B135,input_settle_591100!L:R,7,FALSE),VLOOKUP(tables_settle_591100!C135,input_settle_591100!A:H,8,FALSE))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input_settle_591100!A$2</f>
        <v>591100</v>
      </c>
      <c r="B136" s="100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IFERROR(VLOOKUP(B136,input_settle_591100!L:R,7,FALSE),VLOOKUP(tables_settle_591100!C136,input_settle_591100!A:H,8,FALSE))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input_settle_591100!A$2</f>
        <v>591100</v>
      </c>
      <c r="B137" s="100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IFERROR(VLOOKUP(B137,input_settle_591100!L:R,7,FALSE),VLOOKUP(tables_settle_591100!C137,input_settle_591100!A:H,8,FALSE))</f>
        <v>1742019.23077</v>
      </c>
      <c r="P137" s="46">
        <f t="shared" ca="1" si="7"/>
        <v>1.1972640761302542E-2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input_settle_591100!A$2</f>
        <v>591100</v>
      </c>
      <c r="B138" s="99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IFERROR(VLOOKUP(B138,input_settle_591100!L:R,7,FALSE),VLOOKUP(tables_settle_591100!C138,input_settle_591100!A:H,8,FALSE))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input_settle_591100!A$2</f>
        <v>591100</v>
      </c>
      <c r="B139" s="99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IFERROR(VLOOKUP(B139,input_settle_591100!L:R,7,FALSE),VLOOKUP(tables_settle_591100!C139,input_settle_591100!A:H,8,FALSE))</f>
        <v>145500</v>
      </c>
      <c r="P139" s="46">
        <f t="shared" ca="1" si="7"/>
        <v>9.999999999997242E-4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input_settle_591100!A$2</f>
        <v>591100</v>
      </c>
      <c r="B140" s="99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IFERROR(VLOOKUP(B140,input_settle_591100!L:R,7,FALSE),VLOOKUP(tables_settle_591100!C140,input_settle_591100!A:H,8,FALSE))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input_settle_591100!A$2</f>
        <v>591100</v>
      </c>
      <c r="B141" s="99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IFERROR(VLOOKUP(B141,input_settle_591100!L:R,7,FALSE),VLOOKUP(tables_settle_591100!C141,input_settle_591100!A:H,8,FALSE))</f>
        <v>145500</v>
      </c>
      <c r="P141" s="46">
        <f t="shared" ca="1" si="7"/>
        <v>9.999999999997242E-4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input_settle_591100!A$2</f>
        <v>591100</v>
      </c>
      <c r="B142" s="99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IFERROR(VLOOKUP(B142,input_settle_591100!L:R,7,FALSE),VLOOKUP(tables_settle_591100!C142,input_settle_591100!A:H,8,FALSE))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input_settle_591100!A$2</f>
        <v>591100</v>
      </c>
      <c r="B143" s="99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IFERROR(VLOOKUP(B143,input_settle_591100!L:R,7,FALSE),VLOOKUP(tables_settle_591100!C143,input_settle_591100!A:H,8,FALSE))</f>
        <v>145500</v>
      </c>
      <c r="P143" s="46">
        <f t="shared" ca="1" si="7"/>
        <v>9.999999999997242E-4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input_settle_591100!A$2</f>
        <v>591100</v>
      </c>
      <c r="B144" s="99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IFERROR(VLOOKUP(B144,input_settle_591100!L:R,7,FALSE),VLOOKUP(tables_settle_591100!C144,input_settle_591100!A:H,8,FALSE))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input_settle_591100!A$2</f>
        <v>591100</v>
      </c>
      <c r="B145" s="99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IFERROR(VLOOKUP(B145,input_settle_591100!L:R,7,FALSE),VLOOKUP(tables_settle_591100!C145,input_settle_591100!A:H,8,FALSE))</f>
        <v>145500</v>
      </c>
      <c r="P145" s="46">
        <f t="shared" ca="1" si="7"/>
        <v>9.999999999997242E-4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input_settle_591100!A$2</f>
        <v>591100</v>
      </c>
      <c r="B146" s="99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IFERROR(VLOOKUP(B146,input_settle_591100!L:R,7,FALSE),VLOOKUP(tables_settle_591100!C146,input_settle_591100!A:H,8,FALSE))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input_settle_591100!A$2</f>
        <v>591100</v>
      </c>
      <c r="B147" s="99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IFERROR(VLOOKUP(B147,input_settle_591100!L:R,7,FALSE),VLOOKUP(tables_settle_591100!C147,input_settle_591100!A:H,8,FALSE))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input_settle_591100!A$2</f>
        <v>591100</v>
      </c>
      <c r="B148" s="99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IFERROR(VLOOKUP(B148,input_settle_591100!L:R,7,FALSE),VLOOKUP(tables_settle_591100!C148,input_settle_591100!A:H,8,FALSE))</f>
        <v>1742019.23077</v>
      </c>
      <c r="P148" s="46">
        <f t="shared" ca="1" si="7"/>
        <v>1.1972640761302542E-2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input_settle_591100!A$2</f>
        <v>591100</v>
      </c>
      <c r="B149" s="99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IFERROR(VLOOKUP(B149,input_settle_591100!L:R,7,FALSE),VLOOKUP(tables_settle_591100!C149,input_settle_591100!A:H,8,FALSE))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input_settle_591100!A$2</f>
        <v>591100</v>
      </c>
      <c r="B150" s="99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IFERROR(VLOOKUP(B150,input_settle_591100!L:R,7,FALSE),VLOOKUP(tables_settle_591100!C150,input_settle_591100!A:H,8,FALSE))</f>
        <v>145500</v>
      </c>
      <c r="P150" s="46">
        <f t="shared" ca="1" si="7"/>
        <v>9.999999999997242E-4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input_settle_591100!A$2</f>
        <v>591100</v>
      </c>
      <c r="B151" s="99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IFERROR(VLOOKUP(B151,input_settle_591100!L:R,7,FALSE),VLOOKUP(tables_settle_591100!C151,input_settle_591100!A:H,8,FALSE))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input_settle_591100!A$2</f>
        <v>591100</v>
      </c>
      <c r="B152" s="99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IFERROR(VLOOKUP(B152,input_settle_591100!L:R,7,FALSE),VLOOKUP(tables_settle_591100!C152,input_settle_591100!A:H,8,FALSE))</f>
        <v>145500</v>
      </c>
      <c r="P152" s="46">
        <f t="shared" ca="1" si="7"/>
        <v>9.999999999997242E-4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input_settle_591100!A$2</f>
        <v>591100</v>
      </c>
      <c r="B153" s="99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IFERROR(VLOOKUP(B153,input_settle_591100!L:R,7,FALSE),VLOOKUP(tables_settle_591100!C153,input_settle_591100!A:H,8,FALSE))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input_settle_591100!A$2</f>
        <v>591100</v>
      </c>
      <c r="B154" s="99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IFERROR(VLOOKUP(B154,input_settle_591100!L:R,7,FALSE),VLOOKUP(tables_settle_591100!C154,input_settle_591100!A:H,8,FALSE))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input_settle_591100!A$2</f>
        <v>591100</v>
      </c>
      <c r="B155" s="99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IFERROR(VLOOKUP(B155,input_settle_591100!L:R,7,FALSE),VLOOKUP(tables_settle_591100!C155,input_settle_591100!A:H,8,FALSE))</f>
        <v>1742019.23077</v>
      </c>
      <c r="P155" s="46">
        <f t="shared" ca="1" si="7"/>
        <v>1.1972640761302542E-2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input_settle_591100!A$2</f>
        <v>591100</v>
      </c>
      <c r="B156" s="99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IFERROR(VLOOKUP(B156,input_settle_591100!L:R,7,FALSE),VLOOKUP(tables_settle_591100!C156,input_settle_591100!A:H,8,FALSE))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input_settle_591100!A$2</f>
        <v>591100</v>
      </c>
      <c r="B157" s="99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IFERROR(VLOOKUP(B157,input_settle_591100!L:R,7,FALSE),VLOOKUP(tables_settle_591100!C157,input_settle_591100!A:H,8,FALSE))</f>
        <v>145500</v>
      </c>
      <c r="P157" s="46">
        <f t="shared" ca="1" si="7"/>
        <v>9.999999999997242E-4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input_settle_591100!A$2</f>
        <v>591100</v>
      </c>
      <c r="B158" s="99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IFERROR(VLOOKUP(B158,input_settle_591100!L:R,7,FALSE),VLOOKUP(tables_settle_591100!C158,input_settle_591100!A:H,8,FALSE))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input_settle_591100!A$2</f>
        <v>591100</v>
      </c>
      <c r="B159" s="99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IFERROR(VLOOKUP(B159,input_settle_591100!L:R,7,FALSE),VLOOKUP(tables_settle_591100!C159,input_settle_591100!A:H,8,FALSE))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input_settle_591100!A$2</f>
        <v>591100</v>
      </c>
      <c r="B160" s="99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IFERROR(VLOOKUP(B160,input_settle_591100!L:R,7,FALSE),VLOOKUP(tables_settle_591100!C160,input_settle_591100!A:H,8,FALSE))</f>
        <v>1742019.23077</v>
      </c>
      <c r="P160" s="46">
        <f t="shared" ca="1" si="7"/>
        <v>1.1972640761302542E-2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input_settle_591100!A$2</f>
        <v>591100</v>
      </c>
      <c r="B161" s="99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IFERROR(VLOOKUP(B161,input_settle_591100!L:R,7,FALSE),VLOOKUP(tables_settle_591100!C161,input_settle_591100!A:H,8,FALSE))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input_settle_591100!A$2</f>
        <v>591100</v>
      </c>
      <c r="B162" s="99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IFERROR(VLOOKUP(B162,input_settle_591100!L:R,7,FALSE),VLOOKUP(tables_settle_591100!C162,input_settle_591100!A:H,8,FALSE))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input_settle_591100!A$2</f>
        <v>591100</v>
      </c>
      <c r="B163" s="99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IFERROR(VLOOKUP(B163,input_settle_591100!L:R,7,FALSE),VLOOKUP(tables_settle_591100!C163,input_settle_591100!A:H,8,FALSE))</f>
        <v>1742019.23077</v>
      </c>
      <c r="P163" s="46">
        <f t="shared" ca="1" si="7"/>
        <v>1.1972640761302542E-2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input_settle_591100!A$2</f>
        <v>591100</v>
      </c>
      <c r="B164" s="99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IFERROR(VLOOKUP(B164,input_settle_591100!L:R,7,FALSE),VLOOKUP(tables_settle_591100!C164,input_settle_591100!A:H,8,FALSE))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input_settle_591100!A$2</f>
        <v>591100</v>
      </c>
      <c r="B165" s="99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IFERROR(VLOOKUP(B165,input_settle_591100!L:R,7,FALSE),VLOOKUP(tables_settle_591100!C165,input_settle_591100!A:H,8,FALSE))</f>
        <v>145500</v>
      </c>
      <c r="P165" s="46">
        <f t="shared" ca="1" si="7"/>
        <v>9.999999999997242E-4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input_settle_591100!A$2</f>
        <v>591100</v>
      </c>
      <c r="B166" s="99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IFERROR(VLOOKUP(B166,input_settle_591100!L:R,7,FALSE),VLOOKUP(tables_settle_591100!C166,input_settle_591100!A:H,8,FALSE))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input_settle_591100!A$2</f>
        <v>591100</v>
      </c>
      <c r="B167" s="99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IFERROR(VLOOKUP(B167,input_settle_591100!L:R,7,FALSE),VLOOKUP(tables_settle_591100!C167,input_settle_591100!A:H,8,FALSE))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input_settle_591100!A$2</f>
        <v>591100</v>
      </c>
      <c r="B168" s="99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IFERROR(VLOOKUP(B168,input_settle_591100!L:R,7,FALSE),VLOOKUP(tables_settle_591100!C168,input_settle_591100!A:H,8,FALSE))</f>
        <v>1742019.23077</v>
      </c>
      <c r="P168" s="46">
        <f t="shared" ca="1" si="7"/>
        <v>1.1972640761302542E-2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input_settle_591100!A$2</f>
        <v>591100</v>
      </c>
      <c r="B169" s="99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IFERROR(VLOOKUP(B169,input_settle_591100!L:R,7,FALSE),VLOOKUP(tables_settle_591100!C169,input_settle_591100!A:H,8,FALSE))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input_settle_591100!A$2</f>
        <v>591100</v>
      </c>
      <c r="B170" s="99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IFERROR(VLOOKUP(B170,input_settle_591100!L:R,7,FALSE),VLOOKUP(tables_settle_591100!C170,input_settle_591100!A:H,8,FALSE))</f>
        <v>145500</v>
      </c>
      <c r="P170" s="46">
        <f t="shared" ca="1" si="7"/>
        <v>9.999999999997242E-4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input_settle_591100!A$2</f>
        <v>591100</v>
      </c>
      <c r="B171" s="99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IFERROR(VLOOKUP(B171,input_settle_591100!L:R,7,FALSE),VLOOKUP(tables_settle_591100!C171,input_settle_591100!A:H,8,FALSE))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input_settle_591100!A$2</f>
        <v>591100</v>
      </c>
      <c r="B172" s="99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IFERROR(VLOOKUP(B172,input_settle_591100!L:R,7,FALSE),VLOOKUP(tables_settle_591100!C172,input_settle_591100!A:H,8,FALSE))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input_settle_591100!A$2</f>
        <v>591100</v>
      </c>
      <c r="B173" s="99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IFERROR(VLOOKUP(B173,input_settle_591100!L:R,7,FALSE),VLOOKUP(tables_settle_591100!C173,input_settle_591100!A:H,8,FALSE))</f>
        <v>1742019.23077</v>
      </c>
      <c r="P173" s="46">
        <f t="shared" ca="1" si="7"/>
        <v>1.1972640761302542E-2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input_settle_591100!A$2</f>
        <v>591100</v>
      </c>
      <c r="B174" s="99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IFERROR(VLOOKUP(B174,input_settle_591100!L:R,7,FALSE),VLOOKUP(tables_settle_591100!C174,input_settle_591100!A:H,8,FALSE))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input_settle_591100!A$2</f>
        <v>591100</v>
      </c>
      <c r="B175" s="99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IFERROR(VLOOKUP(B175,input_settle_591100!L:R,7,FALSE),VLOOKUP(tables_settle_591100!C175,input_settle_591100!A:H,8,FALSE))</f>
        <v>145500</v>
      </c>
      <c r="P175" s="46">
        <f t="shared" ca="1" si="7"/>
        <v>9.999999999997242E-4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input_settle_591100!A$2</f>
        <v>591100</v>
      </c>
      <c r="B176" s="99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IFERROR(VLOOKUP(B176,input_settle_591100!L:R,7,FALSE),VLOOKUP(tables_settle_591100!C176,input_settle_591100!A:H,8,FALSE))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input_settle_591100!A$2</f>
        <v>591100</v>
      </c>
      <c r="B177" s="99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IFERROR(VLOOKUP(B177,input_settle_591100!L:R,7,FALSE),VLOOKUP(tables_settle_591100!C177,input_settle_591100!A:H,8,FALSE))</f>
        <v>145500</v>
      </c>
      <c r="P177" s="46">
        <f t="shared" ca="1" si="7"/>
        <v>9.999999999997242E-4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input_settle_591100!A$2</f>
        <v>591100</v>
      </c>
      <c r="B178" s="99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IFERROR(VLOOKUP(B178,input_settle_591100!L:R,7,FALSE),VLOOKUP(tables_settle_591100!C178,input_settle_591100!A:H,8,FALSE))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input_settle_591100!A$2</f>
        <v>591100</v>
      </c>
      <c r="B179" s="99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IFERROR(VLOOKUP(B179,input_settle_591100!L:R,7,FALSE),VLOOKUP(tables_settle_591100!C179,input_settle_591100!A:H,8,FALSE))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input_settle_591100!A$2</f>
        <v>591100</v>
      </c>
      <c r="B180" s="99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IFERROR(VLOOKUP(B180,input_settle_591100!L:R,7,FALSE),VLOOKUP(tables_settle_591100!C180,input_settle_591100!A:H,8,FALSE))</f>
        <v>1742019.23077</v>
      </c>
      <c r="P180" s="46">
        <f t="shared" ca="1" si="7"/>
        <v>1.1972640761302542E-2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input_settle_591100!A$2</f>
        <v>591100</v>
      </c>
      <c r="B181" s="99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IFERROR(VLOOKUP(B181,input_settle_591100!L:R,7,FALSE),VLOOKUP(tables_settle_591100!C181,input_settle_591100!A:H,8,FALSE))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input_settle_591100!A$2</f>
        <v>591100</v>
      </c>
      <c r="B182" s="99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IFERROR(VLOOKUP(B182,input_settle_591100!L:R,7,FALSE),VLOOKUP(tables_settle_591100!C182,input_settle_591100!A:H,8,FALSE))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input_settle_591100!A$2</f>
        <v>591100</v>
      </c>
      <c r="B183" s="99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IFERROR(VLOOKUP(B183,input_settle_591100!L:R,7,FALSE),VLOOKUP(tables_settle_591100!C183,input_settle_591100!A:H,8,FALSE))</f>
        <v>1742019.23077</v>
      </c>
      <c r="P183" s="46">
        <f t="shared" ca="1" si="7"/>
        <v>1.1972640761302542E-2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input_settle_591100!A$2</f>
        <v>591100</v>
      </c>
      <c r="B184" s="99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IFERROR(VLOOKUP(B184,input_settle_591100!L:R,7,FALSE),VLOOKUP(tables_settle_591100!C184,input_settle_591100!A:H,8,FALSE))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input_settle_591100!A$2</f>
        <v>591100</v>
      </c>
      <c r="B185" s="99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IFERROR(VLOOKUP(B185,input_settle_591100!L:R,7,FALSE),VLOOKUP(tables_settle_591100!C185,input_settle_591100!A:H,8,FALSE))</f>
        <v>145500</v>
      </c>
      <c r="P185" s="46">
        <f t="shared" ca="1" si="7"/>
        <v>9.999999999997242E-4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input_settle_591100!A$2</f>
        <v>591100</v>
      </c>
      <c r="B186" s="100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IFERROR(VLOOKUP(B186,input_settle_591100!L:R,7,FALSE),VLOOKUP(tables_settle_591100!C186,input_settle_591100!A:H,8,FALSE))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input_settle_591100!A$2</f>
        <v>591100</v>
      </c>
      <c r="B187" s="100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IFERROR(VLOOKUP(B187,input_settle_591100!L:R,7,FALSE),VLOOKUP(tables_settle_591100!C187,input_settle_591100!A:H,8,FALSE))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input_settle_591100!A$2</f>
        <v>591100</v>
      </c>
      <c r="B188" s="100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IFERROR(VLOOKUP(B188,input_settle_591100!L:R,7,FALSE),VLOOKUP(tables_settle_591100!C188,input_settle_591100!A:H,8,FALSE))</f>
        <v>1742019.23077</v>
      </c>
      <c r="P188" s="46">
        <f t="shared" ca="1" si="7"/>
        <v>1.1972640761302542E-2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input_settle_591100!A$2</f>
        <v>591100</v>
      </c>
      <c r="B189" s="100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IFERROR(VLOOKUP(B189,input_settle_591100!L:R,7,FALSE),VLOOKUP(tables_settle_591100!C189,input_settle_591100!A:H,8,FALSE))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input_settle_591100!A$2</f>
        <v>591100</v>
      </c>
      <c r="B190" s="99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IFERROR(VLOOKUP(B190,input_settle_591100!L:R,7,FALSE),VLOOKUP(tables_settle_591100!C190,input_settle_591100!A:H,8,FALSE))</f>
        <v>145500</v>
      </c>
      <c r="P190" s="46">
        <f t="shared" ca="1" si="7"/>
        <v>9.999999999997242E-4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input_settle_591100!A$2</f>
        <v>591100</v>
      </c>
      <c r="B191" s="99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IFERROR(VLOOKUP(B191,input_settle_591100!L:R,7,FALSE),VLOOKUP(tables_settle_591100!C191,input_settle_591100!A:H,8,FALSE))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input_settle_591100!A$2</f>
        <v>591100</v>
      </c>
      <c r="B192" s="99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IFERROR(VLOOKUP(B192,input_settle_591100!L:R,7,FALSE),VLOOKUP(tables_settle_591100!C192,input_settle_591100!A:H,8,FALSE))</f>
        <v>145500</v>
      </c>
      <c r="P192" s="46">
        <f t="shared" ca="1" si="7"/>
        <v>9.999999999997242E-4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input_settle_591100!A$2</f>
        <v>591100</v>
      </c>
      <c r="B193" s="99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IFERROR(VLOOKUP(B193,input_settle_591100!L:R,7,FALSE),VLOOKUP(tables_settle_591100!C193,input_settle_591100!A:H,8,FALSE))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input_settle_591100!A$2</f>
        <v>591100</v>
      </c>
      <c r="B194" s="99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IFERROR(VLOOKUP(B194,input_settle_591100!L:R,7,FALSE),VLOOKUP(tables_settle_591100!C194,input_settle_591100!A:H,8,FALSE))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input_settle_591100!A$2</f>
        <v>591100</v>
      </c>
      <c r="B195" s="99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IFERROR(VLOOKUP(B195,input_settle_591100!L:R,7,FALSE),VLOOKUP(tables_settle_591100!C195,input_settle_591100!A:H,8,FALSE))</f>
        <v>1742019.23077</v>
      </c>
      <c r="P195" s="46">
        <f t="shared" ca="1" si="10"/>
        <v>1.1972640761302542E-2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input_settle_591100!A$2</f>
        <v>591100</v>
      </c>
      <c r="B196" s="99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IFERROR(VLOOKUP(B196,input_settle_591100!L:R,7,FALSE),VLOOKUP(tables_settle_591100!C196,input_settle_591100!A:H,8,FALSE))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input_settle_591100!A$2</f>
        <v>591100</v>
      </c>
      <c r="B197" s="99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IFERROR(VLOOKUP(B197,input_settle_591100!L:R,7,FALSE),VLOOKUP(tables_settle_591100!C197,input_settle_591100!A:H,8,FALSE))</f>
        <v>145500</v>
      </c>
      <c r="P197" s="46">
        <f t="shared" ca="1" si="10"/>
        <v>9.999999999997242E-4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input_settle_591100!A$2</f>
        <v>591100</v>
      </c>
      <c r="B198" s="99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IFERROR(VLOOKUP(B198,input_settle_591100!L:R,7,FALSE),VLOOKUP(tables_settle_591100!C198,input_settle_591100!A:H,8,FALSE))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input_settle_591100!A$2</f>
        <v>591100</v>
      </c>
      <c r="B199" s="99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IFERROR(VLOOKUP(B199,input_settle_591100!L:R,7,FALSE),VLOOKUP(tables_settle_591100!C199,input_settle_591100!A:H,8,FALSE))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input_settle_591100!A$2</f>
        <v>591100</v>
      </c>
      <c r="B200" s="99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IFERROR(VLOOKUP(B200,input_settle_591100!L:R,7,FALSE),VLOOKUP(tables_settle_591100!C200,input_settle_591100!A:H,8,FALSE))</f>
        <v>1742019.23077</v>
      </c>
      <c r="P200" s="46">
        <f t="shared" ca="1" si="10"/>
        <v>1.1972640761302542E-2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input_settle_591100!A$2</f>
        <v>591100</v>
      </c>
      <c r="B201" s="99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IFERROR(VLOOKUP(B201,input_settle_591100!L:R,7,FALSE),VLOOKUP(tables_settle_591100!C201,input_settle_591100!A:H,8,FALSE))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input_settle_591100!A$2</f>
        <v>591100</v>
      </c>
      <c r="B202" s="99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IFERROR(VLOOKUP(B202,input_settle_591100!L:R,7,FALSE),VLOOKUP(tables_settle_591100!C202,input_settle_591100!A:H,8,FALSE))</f>
        <v>145500</v>
      </c>
      <c r="P202" s="46">
        <f t="shared" ca="1" si="10"/>
        <v>9.999999999997242E-4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input_settle_591100!A$2</f>
        <v>591100</v>
      </c>
      <c r="B203" s="99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IFERROR(VLOOKUP(B203,input_settle_591100!L:R,7,FALSE),VLOOKUP(tables_settle_591100!C203,input_settle_591100!A:H,8,FALSE))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input_settle_591100!A$2</f>
        <v>591100</v>
      </c>
      <c r="B204" s="99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IFERROR(VLOOKUP(B204,input_settle_591100!L:R,7,FALSE),VLOOKUP(tables_settle_591100!C204,input_settle_591100!A:H,8,FALSE))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input_settle_591100!A$2</f>
        <v>591100</v>
      </c>
      <c r="B205" s="99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IFERROR(VLOOKUP(B205,input_settle_591100!L:R,7,FALSE),VLOOKUP(tables_settle_591100!C205,input_settle_591100!A:H,8,FALSE))</f>
        <v>1742019.23077</v>
      </c>
      <c r="P205" s="46">
        <f t="shared" ca="1" si="10"/>
        <v>1.1972640761302542E-2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input_settle_591100!A$2</f>
        <v>591100</v>
      </c>
      <c r="B206" s="99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IFERROR(VLOOKUP(B206,input_settle_591100!L:R,7,FALSE),VLOOKUP(tables_settle_591100!C206,input_settle_591100!A:H,8,FALSE))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input_settle_591100!A$2</f>
        <v>591100</v>
      </c>
      <c r="B207" s="99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IFERROR(VLOOKUP(B207,input_settle_591100!L:R,7,FALSE),VLOOKUP(tables_settle_591100!C207,input_settle_591100!A:H,8,FALSE))</f>
        <v>145500</v>
      </c>
      <c r="P207" s="46">
        <f t="shared" ca="1" si="10"/>
        <v>9.999999999997242E-4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input_settle_591100!A$2</f>
        <v>591100</v>
      </c>
      <c r="B208" s="99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IFERROR(VLOOKUP(B208,input_settle_591100!L:R,7,FALSE),VLOOKUP(tables_settle_591100!C208,input_settle_591100!A:H,8,FALSE))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input_settle_591100!A$2</f>
        <v>591100</v>
      </c>
      <c r="B209" s="99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IFERROR(VLOOKUP(B209,input_settle_591100!L:R,7,FALSE),VLOOKUP(tables_settle_591100!C209,input_settle_591100!A:H,8,FALSE))</f>
        <v>145500</v>
      </c>
      <c r="P209" s="46">
        <f t="shared" ca="1" si="10"/>
        <v>9.999999999997242E-4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input_settle_591100!A$2</f>
        <v>591100</v>
      </c>
      <c r="B210" s="99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IFERROR(VLOOKUP(B210,input_settle_591100!L:R,7,FALSE),VLOOKUP(tables_settle_591100!C210,input_settle_591100!A:H,8,FALSE))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input_settle_591100!A$2</f>
        <v>591100</v>
      </c>
      <c r="B211" s="99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IFERROR(VLOOKUP(B211,input_settle_591100!L:R,7,FALSE),VLOOKUP(tables_settle_591100!C211,input_settle_591100!A:H,8,FALSE))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input_settle_591100!A$2</f>
        <v>591100</v>
      </c>
      <c r="B212" s="99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IFERROR(VLOOKUP(B212,input_settle_591100!L:R,7,FALSE),VLOOKUP(tables_settle_591100!C212,input_settle_591100!A:H,8,FALSE))</f>
        <v>1742019.23077</v>
      </c>
      <c r="P212" s="46">
        <f t="shared" ca="1" si="10"/>
        <v>1.1972640761302542E-2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input_settle_591100!A$2</f>
        <v>591100</v>
      </c>
      <c r="B213" s="99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IFERROR(VLOOKUP(B213,input_settle_591100!L:R,7,FALSE),VLOOKUP(tables_settle_591100!C213,input_settle_591100!A:H,8,FALSE))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input_settle_591100!A$2</f>
        <v>591100</v>
      </c>
      <c r="B214" s="99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IFERROR(VLOOKUP(B214,input_settle_591100!L:R,7,FALSE),VLOOKUP(tables_settle_591100!C214,input_settle_591100!A:H,8,FALSE))</f>
        <v>145500</v>
      </c>
      <c r="P214" s="46">
        <f t="shared" ca="1" si="10"/>
        <v>9.999999999997242E-4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input_settle_591100!A$2</f>
        <v>591100</v>
      </c>
      <c r="B215" s="99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IFERROR(VLOOKUP(B215,input_settle_591100!L:R,7,FALSE),VLOOKUP(tables_settle_591100!C215,input_settle_591100!A:H,8,FALSE))</f>
        <v>1372500</v>
      </c>
      <c r="P215" s="46">
        <f t="shared" ca="1" si="10"/>
        <v>9.4329896907190489E-3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input_settle_591100!A$2</f>
        <v>591100</v>
      </c>
      <c r="B216" s="99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IFERROR(VLOOKUP(B216,input_settle_591100!L:R,7,FALSE),VLOOKUP(tables_settle_591100!C216,input_settle_591100!A:H,8,FALSE))</f>
        <v>1372500</v>
      </c>
      <c r="P216" s="46">
        <f t="shared" ca="1" si="10"/>
        <v>9.4329896907190489E-3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input_settle_591100!A$2</f>
        <v>591100</v>
      </c>
      <c r="B217" s="99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IFERROR(VLOOKUP(B217,input_settle_591100!L:R,7,FALSE),VLOOKUP(tables_settle_591100!C217,input_settle_591100!A:H,8,FALSE))</f>
        <v>1372500</v>
      </c>
      <c r="P217" s="46">
        <f t="shared" ca="1" si="10"/>
        <v>9.4329896907190489E-3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input_settle_591100!A$2</f>
        <v>591100</v>
      </c>
      <c r="B218" s="99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IFERROR(VLOOKUP(B218,input_settle_591100!L:R,7,FALSE),VLOOKUP(tables_settle_591100!C218,input_settle_591100!A:H,8,FALSE))</f>
        <v>1372500</v>
      </c>
      <c r="P218" s="46">
        <f t="shared" ca="1" si="10"/>
        <v>9.4329896907190489E-3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input_settle_591100!A$2</f>
        <v>591100</v>
      </c>
      <c r="B219" s="99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IFERROR(VLOOKUP(B219,input_settle_591100!L:R,7,FALSE),VLOOKUP(tables_settle_591100!C219,input_settle_591100!A:H,8,FALSE))</f>
        <v>1372500</v>
      </c>
      <c r="P219" s="46">
        <f t="shared" ca="1" si="10"/>
        <v>9.4329896907190489E-3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input_settle_591100!A$2</f>
        <v>591100</v>
      </c>
      <c r="B220" s="99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IFERROR(VLOOKUP(B220,input_settle_591100!L:R,7,FALSE),VLOOKUP(tables_settle_591100!C220,input_settle_591100!A:H,8,FALSE))</f>
        <v>1372500</v>
      </c>
      <c r="P220" s="46">
        <f t="shared" ca="1" si="10"/>
        <v>9.4329896907190489E-3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input_settle_591100!A$2</f>
        <v>591100</v>
      </c>
      <c r="B221" s="99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IFERROR(VLOOKUP(B221,input_settle_591100!L:R,7,FALSE),VLOOKUP(tables_settle_591100!C221,input_settle_591100!A:H,8,FALSE))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input_settle_591100!A$2</f>
        <v>591100</v>
      </c>
      <c r="B222" s="99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IFERROR(VLOOKUP(B222,input_settle_591100!L:R,7,FALSE),VLOOKUP(tables_settle_591100!C222,input_settle_591100!A:H,8,FALSE))</f>
        <v>145500</v>
      </c>
      <c r="P222" s="46">
        <f t="shared" ca="1" si="10"/>
        <v>9.999999999997242E-4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input_settle_591100!A$2</f>
        <v>591100</v>
      </c>
      <c r="B223" s="99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IFERROR(VLOOKUP(B223,input_settle_591100!L:R,7,FALSE),VLOOKUP(tables_settle_591100!C223,input_settle_591100!A:H,8,FALSE))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input_settle_591100!A$2</f>
        <v>591100</v>
      </c>
      <c r="B224" s="99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IFERROR(VLOOKUP(B224,input_settle_591100!L:R,7,FALSE),VLOOKUP(tables_settle_591100!C224,input_settle_591100!A:H,8,FALSE))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input_settle_591100!A$2</f>
        <v>591100</v>
      </c>
      <c r="B225" s="99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IFERROR(VLOOKUP(B225,input_settle_591100!L:R,7,FALSE),VLOOKUP(tables_settle_591100!C225,input_settle_591100!A:H,8,FALSE))</f>
        <v>1742019.23077</v>
      </c>
      <c r="P225" s="46">
        <f t="shared" ca="1" si="10"/>
        <v>1.1972640761302542E-2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input_settle_591100!A$2</f>
        <v>591100</v>
      </c>
      <c r="B226" s="99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IFERROR(VLOOKUP(B226,input_settle_591100!L:R,7,FALSE),VLOOKUP(tables_settle_591100!C226,input_settle_591100!A:H,8,FALSE))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input_settle_591100!A$2</f>
        <v>591100</v>
      </c>
      <c r="B227" s="99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IFERROR(VLOOKUP(B227,input_settle_591100!L:R,7,FALSE),VLOOKUP(tables_settle_591100!C227,input_settle_591100!A:H,8,FALSE))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input_settle_591100!A$2</f>
        <v>591100</v>
      </c>
      <c r="B228" s="99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IFERROR(VLOOKUP(B228,input_settle_591100!L:R,7,FALSE),VLOOKUP(tables_settle_591100!C228,input_settle_591100!A:H,8,FALSE))</f>
        <v>1742019.23077</v>
      </c>
      <c r="P228" s="46">
        <f t="shared" ca="1" si="10"/>
        <v>1.1972640761302542E-2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input_settle_591100!A$2</f>
        <v>591100</v>
      </c>
      <c r="B229" s="99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IFERROR(VLOOKUP(B229,input_settle_591100!L:R,7,FALSE),VLOOKUP(tables_settle_591100!C229,input_settle_591100!A:H,8,FALSE))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input_settle_591100!A$2</f>
        <v>591100</v>
      </c>
      <c r="B230" s="99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IFERROR(VLOOKUP(B230,input_settle_591100!L:R,7,FALSE),VLOOKUP(tables_settle_591100!C230,input_settle_591100!A:H,8,FALSE))</f>
        <v>145500</v>
      </c>
      <c r="P230" s="46">
        <f t="shared" ca="1" si="10"/>
        <v>9.999999999997242E-4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input_settle_591100!A$2</f>
        <v>591100</v>
      </c>
      <c r="B231" s="99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IFERROR(VLOOKUP(B231,input_settle_591100!L:R,7,FALSE),VLOOKUP(tables_settle_591100!C231,input_settle_591100!A:H,8,FALSE))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input_settle_591100!A$2</f>
        <v>591100</v>
      </c>
      <c r="B232" s="99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IFERROR(VLOOKUP(B232,input_settle_591100!L:R,7,FALSE),VLOOKUP(tables_settle_591100!C232,input_settle_591100!A:H,8,FALSE))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input_settle_591100!A$2</f>
        <v>591100</v>
      </c>
      <c r="B233" s="99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IFERROR(VLOOKUP(B233,input_settle_591100!L:R,7,FALSE),VLOOKUP(tables_settle_591100!C233,input_settle_591100!A:H,8,FALSE))</f>
        <v>1742019.23077</v>
      </c>
      <c r="P233" s="46">
        <f t="shared" ca="1" si="10"/>
        <v>1.1972640761302542E-2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input_settle_591100!A$2</f>
        <v>591100</v>
      </c>
      <c r="B234" s="99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IFERROR(VLOOKUP(B234,input_settle_591100!L:R,7,FALSE),VLOOKUP(tables_settle_591100!C234,input_settle_591100!A:H,8,FALSE))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input_settle_591100!A$2</f>
        <v>591100</v>
      </c>
      <c r="B235" s="99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IFERROR(VLOOKUP(B235,input_settle_591100!L:R,7,FALSE),VLOOKUP(tables_settle_591100!C235,input_settle_591100!A:H,8,FALSE))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input_settle_591100!A$2</f>
        <v>591100</v>
      </c>
      <c r="B236" s="99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IFERROR(VLOOKUP(B236,input_settle_591100!L:R,7,FALSE),VLOOKUP(tables_settle_591100!C236,input_settle_591100!A:H,8,FALSE))</f>
        <v>1742019.23077</v>
      </c>
      <c r="P236" s="46">
        <f t="shared" ca="1" si="10"/>
        <v>1.1972640761302542E-2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input_settle_591100!A$2</f>
        <v>591100</v>
      </c>
      <c r="B237" s="99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IFERROR(VLOOKUP(B237,input_settle_591100!L:R,7,FALSE),VLOOKUP(tables_settle_591100!C237,input_settle_591100!A:H,8,FALSE))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input_settle_591100!A$2</f>
        <v>591100</v>
      </c>
      <c r="B238" s="99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IFERROR(VLOOKUP(B238,input_settle_591100!L:R,7,FALSE),VLOOKUP(tables_settle_591100!C238,input_settle_591100!A:H,8,FALSE))</f>
        <v>145500</v>
      </c>
      <c r="P238" s="46">
        <f t="shared" ca="1" si="10"/>
        <v>9.999999999997242E-4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input_settle_591100!A$2</f>
        <v>591100</v>
      </c>
      <c r="B239" s="99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IFERROR(VLOOKUP(B239,input_settle_591100!L:R,7,FALSE),VLOOKUP(tables_settle_591100!C239,input_settle_591100!A:H,8,FALSE))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input_settle_591100!A$2</f>
        <v>591100</v>
      </c>
      <c r="B240" s="99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IFERROR(VLOOKUP(B240,input_settle_591100!L:R,7,FALSE),VLOOKUP(tables_settle_591100!C240,input_settle_591100!A:H,8,FALSE))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input_settle_591100!A$2</f>
        <v>591100</v>
      </c>
      <c r="B241" s="99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IFERROR(VLOOKUP(B241,input_settle_591100!L:R,7,FALSE),VLOOKUP(tables_settle_591100!C241,input_settle_591100!A:H,8,FALSE))</f>
        <v>1742019.23077</v>
      </c>
      <c r="P241" s="46">
        <f t="shared" ca="1" si="10"/>
        <v>1.1972640761302542E-2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input_settle_591100!A$2</f>
        <v>591100</v>
      </c>
      <c r="B242" s="99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IFERROR(VLOOKUP(B242,input_settle_591100!L:R,7,FALSE),VLOOKUP(tables_settle_591100!C242,input_settle_591100!A:H,8,FALSE))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input_settle_591100!A$2</f>
        <v>591100</v>
      </c>
      <c r="B243" s="99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IFERROR(VLOOKUP(B243,input_settle_591100!L:R,7,FALSE),VLOOKUP(tables_settle_591100!C243,input_settle_591100!A:H,8,FALSE))</f>
        <v>145500</v>
      </c>
      <c r="P243" s="46">
        <f t="shared" ca="1" si="10"/>
        <v>9.999999999997242E-4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input_settle_591100!A$2</f>
        <v>591100</v>
      </c>
      <c r="B244" s="99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IFERROR(VLOOKUP(B244,input_settle_591100!L:R,7,FALSE),VLOOKUP(tables_settle_591100!C244,input_settle_591100!A:H,8,FALSE))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input_settle_591100!A$2</f>
        <v>591100</v>
      </c>
      <c r="B245" s="99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IFERROR(VLOOKUP(B245,input_settle_591100!L:R,7,FALSE),VLOOKUP(tables_settle_591100!C245,input_settle_591100!A:H,8,FALSE))</f>
        <v>145500</v>
      </c>
      <c r="P245" s="46">
        <f t="shared" ca="1" si="10"/>
        <v>9.999999999997242E-4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input_settle_591100!A$2</f>
        <v>591100</v>
      </c>
      <c r="B246" s="99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IFERROR(VLOOKUP(B246,input_settle_591100!L:R,7,FALSE),VLOOKUP(tables_settle_591100!C246,input_settle_591100!A:H,8,FALSE))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input_settle_591100!A$2</f>
        <v>591100</v>
      </c>
      <c r="B247" s="99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IFERROR(VLOOKUP(B247,input_settle_591100!L:R,7,FALSE),VLOOKUP(tables_settle_591100!C247,input_settle_591100!A:H,8,FALSE))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input_settle_591100!A$2</f>
        <v>591100</v>
      </c>
      <c r="B248" s="99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IFERROR(VLOOKUP(B248,input_settle_591100!L:R,7,FALSE),VLOOKUP(tables_settle_591100!C248,input_settle_591100!A:H,8,FALSE))</f>
        <v>1742019.23077</v>
      </c>
      <c r="P248" s="46">
        <f t="shared" ca="1" si="10"/>
        <v>1.1972640761302542E-2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input_settle_591100!A$2</f>
        <v>591100</v>
      </c>
      <c r="B249" s="99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IFERROR(VLOOKUP(B249,input_settle_591100!L:R,7,FALSE),VLOOKUP(tables_settle_591100!C249,input_settle_591100!A:H,8,FALSE))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input_settle_591100!A$2</f>
        <v>591100</v>
      </c>
      <c r="B250" s="99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IFERROR(VLOOKUP(B250,input_settle_591100!L:R,7,FALSE),VLOOKUP(tables_settle_591100!C250,input_settle_591100!A:H,8,FALSE))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input_settle_591100!A$2</f>
        <v>591100</v>
      </c>
      <c r="B251" s="99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IFERROR(VLOOKUP(B251,input_settle_591100!L:R,7,FALSE),VLOOKUP(tables_settle_591100!C251,input_settle_591100!A:H,8,FALSE))</f>
        <v>1742019.23077</v>
      </c>
      <c r="P251" s="46">
        <f t="shared" ca="1" si="10"/>
        <v>1.1972640761302542E-2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input_settle_591100!A$2</f>
        <v>591100</v>
      </c>
      <c r="B252" s="99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IFERROR(VLOOKUP(B252,input_settle_591100!L:R,7,FALSE),VLOOKUP(tables_settle_591100!C252,input_settle_591100!A:H,8,FALSE))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input_settle_591100!A$2</f>
        <v>591100</v>
      </c>
      <c r="B253" s="99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IFERROR(VLOOKUP(B253,input_settle_591100!L:R,7,FALSE),VLOOKUP(tables_settle_591100!C253,input_settle_591100!A:H,8,FALSE))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input_settle_591100!A$2</f>
        <v>591100</v>
      </c>
      <c r="B254" s="99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IFERROR(VLOOKUP(B254,input_settle_591100!L:R,7,FALSE),VLOOKUP(tables_settle_591100!C254,input_settle_591100!A:H,8,FALSE))</f>
        <v>1742019.23077</v>
      </c>
      <c r="P254" s="46">
        <f t="shared" ca="1" si="10"/>
        <v>1.1972640761302542E-2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input_settle_591100!A$2</f>
        <v>591100</v>
      </c>
      <c r="B255" s="99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IFERROR(VLOOKUP(B255,input_settle_591100!L:R,7,FALSE),VLOOKUP(tables_settle_591100!C255,input_settle_591100!A:H,8,FALSE))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input_settle_591100!A$2</f>
        <v>591100</v>
      </c>
      <c r="B256" s="99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IFERROR(VLOOKUP(B256,input_settle_591100!L:R,7,FALSE),VLOOKUP(tables_settle_591100!C256,input_settle_591100!A:H,8,FALSE))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input_settle_591100!A$2</f>
        <v>591100</v>
      </c>
      <c r="B257" s="99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IFERROR(VLOOKUP(B257,input_settle_591100!L:R,7,FALSE),VLOOKUP(tables_settle_591100!C257,input_settle_591100!A:H,8,FALSE))</f>
        <v>1742019.23077</v>
      </c>
      <c r="P257" s="46">
        <f t="shared" ca="1" si="10"/>
        <v>1.1972640761302542E-2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input_settle_591100!A$2</f>
        <v>591100</v>
      </c>
      <c r="B258" s="99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IFERROR(VLOOKUP(B258,input_settle_591100!L:R,7,FALSE),VLOOKUP(tables_settle_591100!C258,input_settle_591100!A:H,8,FALSE))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input_settle_591100!A$2</f>
        <v>591100</v>
      </c>
      <c r="B259" s="99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IFERROR(VLOOKUP(B259,input_settle_591100!L:R,7,FALSE),VLOOKUP(tables_settle_591100!C259,input_settle_591100!A:H,8,FALSE))</f>
        <v>145500</v>
      </c>
      <c r="P259" s="46">
        <f t="shared" ca="1" si="13"/>
        <v>9.999999999997242E-4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input_settle_591100!A$2</f>
        <v>591100</v>
      </c>
      <c r="B260" s="99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IFERROR(VLOOKUP(B260,input_settle_591100!L:R,7,FALSE),VLOOKUP(tables_settle_591100!C260,input_settle_591100!A:H,8,FALSE))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input_settle_591100!A$2</f>
        <v>591100</v>
      </c>
      <c r="B261" s="99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IFERROR(VLOOKUP(B261,input_settle_591100!L:R,7,FALSE),VLOOKUP(tables_settle_591100!C261,input_settle_591100!A:H,8,FALSE))</f>
        <v>145500</v>
      </c>
      <c r="P261" s="46">
        <f t="shared" ca="1" si="13"/>
        <v>9.999999999997242E-4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input_settle_591100!A$2</f>
        <v>591100</v>
      </c>
      <c r="B262" s="99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IFERROR(VLOOKUP(B262,input_settle_591100!L:R,7,FALSE),VLOOKUP(tables_settle_591100!C262,input_settle_591100!A:H,8,FALSE))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input_settle_591100!A$2</f>
        <v>591100</v>
      </c>
      <c r="B263" s="99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IFERROR(VLOOKUP(B263,input_settle_591100!L:R,7,FALSE),VLOOKUP(tables_settle_591100!C263,input_settle_591100!A:H,8,FALSE))</f>
        <v>1372500</v>
      </c>
      <c r="P263" s="46">
        <f t="shared" ca="1" si="13"/>
        <v>9.4329896907190489E-3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input_settle_591100!A$2</f>
        <v>591100</v>
      </c>
      <c r="B264" s="99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IFERROR(VLOOKUP(B264,input_settle_591100!L:R,7,FALSE),VLOOKUP(tables_settle_591100!C264,input_settle_591100!A:H,8,FALSE))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input_settle_591100!A$2</f>
        <v>591100</v>
      </c>
      <c r="B265" s="99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IFERROR(VLOOKUP(B265,input_settle_591100!L:R,7,FALSE),VLOOKUP(tables_settle_591100!C265,input_settle_591100!A:H,8,FALSE))</f>
        <v>1372500</v>
      </c>
      <c r="P265" s="46">
        <f t="shared" ca="1" si="13"/>
        <v>9.4329896907190489E-3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input_settle_591100!A$2</f>
        <v>591100</v>
      </c>
      <c r="B266" s="99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IFERROR(VLOOKUP(B266,input_settle_591100!L:R,7,FALSE),VLOOKUP(tables_settle_591100!C266,input_settle_591100!A:H,8,FALSE))</f>
        <v>145500</v>
      </c>
      <c r="P266" s="46">
        <f t="shared" ca="1" si="13"/>
        <v>9.999999999997242E-4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input_settle_591100!A$2</f>
        <v>591100</v>
      </c>
      <c r="B267" s="99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IFERROR(VLOOKUP(B267,input_settle_591100!L:R,7,FALSE),VLOOKUP(tables_settle_591100!C267,input_settle_591100!A:H,8,FALSE))</f>
        <v>145500</v>
      </c>
      <c r="P267" s="46">
        <f t="shared" ca="1" si="13"/>
        <v>9.999999999997242E-4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input_settle_591100!A$2</f>
        <v>591100</v>
      </c>
      <c r="B268" s="99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IFERROR(VLOOKUP(B268,input_settle_591100!L:R,7,FALSE),VLOOKUP(tables_settle_591100!C268,input_settle_591100!A:H,8,FALSE))</f>
        <v>145500</v>
      </c>
      <c r="P268" s="46">
        <f t="shared" ca="1" si="13"/>
        <v>9.999999999997242E-4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input_settle_591100!A$2</f>
        <v>591100</v>
      </c>
      <c r="B269" s="99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IFERROR(VLOOKUP(B269,input_settle_591100!L:R,7,FALSE),VLOOKUP(tables_settle_591100!C269,input_settle_591100!A:H,8,FALSE))</f>
        <v>145500</v>
      </c>
      <c r="P269" s="46">
        <f t="shared" ca="1" si="13"/>
        <v>9.999999999997242E-4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input_settle_591100!A$2</f>
        <v>591100</v>
      </c>
      <c r="B270" s="99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IFERROR(VLOOKUP(B270,input_settle_591100!L:R,7,FALSE),VLOOKUP(tables_settle_591100!C270,input_settle_591100!A:H,8,FALSE))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input_settle_591100!A$2</f>
        <v>591100</v>
      </c>
      <c r="B271" s="10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IFERROR(VLOOKUP(B271,input_settle_591100!L:R,7,FALSE),VLOOKUP(tables_settle_591100!C271,input_settle_591100!A:H,8,FALSE))</f>
        <v>1372500</v>
      </c>
      <c r="P271" s="46">
        <f t="shared" ca="1" si="13"/>
        <v>9.4329896907190489E-3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input_settle_591100!A$2</f>
        <v>591100</v>
      </c>
      <c r="B272" s="10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IFERROR(VLOOKUP(B272,input_settle_591100!L:R,7,FALSE),VLOOKUP(tables_settle_591100!C272,input_settle_591100!A:H,8,FALSE))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input_settle_591100!A$2</f>
        <v>591100</v>
      </c>
      <c r="B273" s="10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IFERROR(VLOOKUP(B273,input_settle_591100!L:R,7,FALSE),VLOOKUP(tables_settle_591100!C273,input_settle_591100!A:H,8,FALSE))</f>
        <v>1372500</v>
      </c>
      <c r="P273" s="46">
        <f t="shared" ca="1" si="13"/>
        <v>9.4329896907190489E-3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input_settle_591100!A$2</f>
        <v>591100</v>
      </c>
      <c r="B274" s="10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IFERROR(VLOOKUP(B274,input_settle_591100!L:R,7,FALSE),VLOOKUP(tables_settle_591100!C274,input_settle_591100!A:H,8,FALSE))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input_settle_591100!A$2</f>
        <v>591100</v>
      </c>
      <c r="B275" s="10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IFERROR(VLOOKUP(B275,input_settle_591100!L:R,7,FALSE),VLOOKUP(tables_settle_591100!C275,input_settle_591100!A:H,8,FALSE))</f>
        <v>145500</v>
      </c>
      <c r="P275" s="46">
        <f t="shared" ca="1" si="13"/>
        <v>9.999999999997242E-4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input_settle_591100!A$2</f>
        <v>591100</v>
      </c>
      <c r="B276" s="10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IFERROR(VLOOKUP(B276,input_settle_591100!L:R,7,FALSE),VLOOKUP(tables_settle_591100!C276,input_settle_591100!A:H,8,FALSE))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input_settle_591100!A$2</f>
        <v>591100</v>
      </c>
      <c r="B277" s="10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IFERROR(VLOOKUP(B277,input_settle_591100!L:R,7,FALSE),VLOOKUP(tables_settle_591100!C277,input_settle_591100!A:H,8,FALSE))</f>
        <v>145500</v>
      </c>
      <c r="P277" s="46">
        <f t="shared" ca="1" si="13"/>
        <v>9.999999999997242E-4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input_settle_591100!A$2</f>
        <v>591100</v>
      </c>
      <c r="B278" s="10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IFERROR(VLOOKUP(B278,input_settle_591100!L:R,7,FALSE),VLOOKUP(tables_settle_591100!C278,input_settle_591100!A:H,8,FALSE))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input_settle_591100!A$2</f>
        <v>591100</v>
      </c>
      <c r="B279" s="10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IFERROR(VLOOKUP(B279,input_settle_591100!L:R,7,FALSE),VLOOKUP(tables_settle_591100!C279,input_settle_591100!A:H,8,FALSE))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input_settle_591100!A$2</f>
        <v>591100</v>
      </c>
      <c r="B280" s="10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IFERROR(VLOOKUP(B280,input_settle_591100!L:R,7,FALSE),VLOOKUP(tables_settle_591100!C280,input_settle_591100!A:H,8,FALSE))</f>
        <v>1742019.23077</v>
      </c>
      <c r="P280" s="46">
        <f t="shared" ca="1" si="13"/>
        <v>1.1972640761302542E-2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input_settle_591100!A$2</f>
        <v>591100</v>
      </c>
      <c r="B281" s="10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IFERROR(VLOOKUP(B281,input_settle_591100!L:R,7,FALSE),VLOOKUP(tables_settle_591100!C281,input_settle_591100!A:H,8,FALSE))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input_settle_591100!A$2</f>
        <v>591100</v>
      </c>
      <c r="B282" s="10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IFERROR(VLOOKUP(B282,input_settle_591100!L:R,7,FALSE),VLOOKUP(tables_settle_591100!C282,input_settle_591100!A:H,8,FALSE))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input_settle_591100!A$2</f>
        <v>591100</v>
      </c>
      <c r="B283" s="101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IFERROR(VLOOKUP(B283,input_settle_591100!L:R,7,FALSE),VLOOKUP(tables_settle_591100!C283,input_settle_591100!A:H,8,FALSE))</f>
        <v>1742019.23077</v>
      </c>
      <c r="P283" s="46">
        <f t="shared" ca="1" si="13"/>
        <v>1.1972640761302542E-2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input_settle_591100!A$2</f>
        <v>591100</v>
      </c>
      <c r="B284" s="101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IFERROR(VLOOKUP(B284,input_settle_591100!L:R,7,FALSE),VLOOKUP(tables_settle_591100!C284,input_settle_591100!A:H,8,FALSE))</f>
        <v>145500</v>
      </c>
      <c r="P284" s="46">
        <f t="shared" ca="1" si="13"/>
        <v>9.999999999997242E-4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input_settle_591100!A$2</f>
        <v>591100</v>
      </c>
      <c r="B285" s="101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IFERROR(VLOOKUP(B285,input_settle_591100!L:R,7,FALSE),VLOOKUP(tables_settle_591100!C285,input_settle_591100!A:H,8,FALSE))</f>
        <v>145500</v>
      </c>
      <c r="P285" s="46">
        <f t="shared" ca="1" si="13"/>
        <v>9.999999999997242E-4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input_settle_591100!A$2</f>
        <v>591100</v>
      </c>
      <c r="B286" s="101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IFERROR(VLOOKUP(B286,input_settle_591100!L:R,7,FALSE),VLOOKUP(tables_settle_591100!C286,input_settle_591100!A:H,8,FALSE))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input_settle_591100!A$2</f>
        <v>591100</v>
      </c>
      <c r="B287" s="101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IFERROR(VLOOKUP(B287,input_settle_591100!L:R,7,FALSE),VLOOKUP(tables_settle_591100!C287,input_settle_591100!A:H,8,FALSE))</f>
        <v>1372500</v>
      </c>
      <c r="P287" s="46">
        <f t="shared" ca="1" si="13"/>
        <v>9.4329896907190489E-3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input_settle_591100!A$2</f>
        <v>591100</v>
      </c>
      <c r="B288" s="101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IFERROR(VLOOKUP(B288,input_settle_591100!L:R,7,FALSE),VLOOKUP(tables_settle_591100!C288,input_settle_591100!A:H,8,FALSE))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input_settle_591100!A$2</f>
        <v>591100</v>
      </c>
      <c r="B289" s="101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IFERROR(VLOOKUP(B289,input_settle_591100!L:R,7,FALSE),VLOOKUP(tables_settle_591100!C289,input_settle_591100!A:H,8,FALSE))</f>
        <v>1372500</v>
      </c>
      <c r="P289" s="46">
        <f t="shared" ca="1" si="13"/>
        <v>9.4329896907190489E-3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input_settle_591100!A$2</f>
        <v>591100</v>
      </c>
      <c r="B290" s="101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IFERROR(VLOOKUP(B290,input_settle_591100!L:R,7,FALSE),VLOOKUP(tables_settle_591100!C290,input_settle_591100!A:H,8,FALSE))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input_settle_591100!A$2</f>
        <v>591100</v>
      </c>
      <c r="B291" s="101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IFERROR(VLOOKUP(B291,input_settle_591100!L:R,7,FALSE),VLOOKUP(tables_settle_591100!C291,input_settle_591100!A:H,8,FALSE))</f>
        <v>1372500</v>
      </c>
      <c r="P291" s="46">
        <f t="shared" ca="1" si="13"/>
        <v>9.4329896907190489E-3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input_settle_591100!A$2</f>
        <v>591100</v>
      </c>
      <c r="B292" s="101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IFERROR(VLOOKUP(B292,input_settle_591100!L:R,7,FALSE),VLOOKUP(tables_settle_591100!C292,input_settle_591100!A:H,8,FALSE))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input_settle_591100!A$2</f>
        <v>591100</v>
      </c>
      <c r="B293" s="101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IFERROR(VLOOKUP(B293,input_settle_591100!L:R,7,FALSE),VLOOKUP(tables_settle_591100!C293,input_settle_591100!A:H,8,FALSE))</f>
        <v>1372500</v>
      </c>
      <c r="P293" s="46">
        <f t="shared" ca="1" si="13"/>
        <v>9.4329896907190489E-3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input_settle_591100!A$2</f>
        <v>591100</v>
      </c>
      <c r="B294" s="101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IFERROR(VLOOKUP(B294,input_settle_591100!L:R,7,FALSE),VLOOKUP(tables_settle_591100!C294,input_settle_591100!A:H,8,FALSE))</f>
        <v>145500</v>
      </c>
      <c r="P294" s="46">
        <f t="shared" ca="1" si="13"/>
        <v>9.999999999997242E-4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input_settle_591100!A$2</f>
        <v>591100</v>
      </c>
      <c r="B295" s="101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IFERROR(VLOOKUP(B295,input_settle_591100!L:R,7,FALSE),VLOOKUP(tables_settle_591100!C295,input_settle_591100!A:H,8,FALSE))</f>
        <v>145500</v>
      </c>
      <c r="P295" s="46">
        <f t="shared" ca="1" si="13"/>
        <v>9.999999999997242E-4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input_settle_591100!A$2</f>
        <v>591100</v>
      </c>
      <c r="B296" s="101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IFERROR(VLOOKUP(B296,input_settle_591100!L:R,7,FALSE),VLOOKUP(tables_settle_591100!C296,input_settle_591100!A:H,8,FALSE))</f>
        <v>145500</v>
      </c>
      <c r="P296" s="46">
        <f t="shared" ca="1" si="13"/>
        <v>9.999999999997242E-4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input_settle_591100!A$2</f>
        <v>591100</v>
      </c>
      <c r="B297" s="101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IFERROR(VLOOKUP(B297,input_settle_591100!L:R,7,FALSE),VLOOKUP(tables_settle_591100!C297,input_settle_591100!A:H,8,FALSE))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input_settle_591100!A$2</f>
        <v>591100</v>
      </c>
      <c r="B298" s="101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IFERROR(VLOOKUP(B298,input_settle_591100!L:R,7,FALSE),VLOOKUP(tables_settle_591100!C298,input_settle_591100!A:H,8,FALSE))</f>
        <v>1372500</v>
      </c>
      <c r="P298" s="46">
        <f t="shared" ca="1" si="13"/>
        <v>9.4329896907190489E-3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input_settle_591100!A$2</f>
        <v>591100</v>
      </c>
      <c r="B299" s="101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IFERROR(VLOOKUP(B299,input_settle_591100!L:R,7,FALSE),VLOOKUP(tables_settle_591100!C299,input_settle_591100!A:H,8,FALSE))</f>
        <v>145500</v>
      </c>
      <c r="P299" s="46">
        <f t="shared" ca="1" si="13"/>
        <v>9.999999999997242E-4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input_settle_591100!A$2</f>
        <v>591100</v>
      </c>
      <c r="B300" s="101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IFERROR(VLOOKUP(B300,input_settle_591100!L:R,7,FALSE),VLOOKUP(tables_settle_591100!C300,input_settle_591100!A:H,8,FALSE))</f>
        <v>145500</v>
      </c>
      <c r="P300" s="46">
        <f t="shared" ca="1" si="13"/>
        <v>9.999999999997242E-4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input_settle_591100!A$2</f>
        <v>591100</v>
      </c>
      <c r="B301" s="101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IFERROR(VLOOKUP(B301,input_settle_591100!L:R,7,FALSE),VLOOKUP(tables_settle_591100!C301,input_settle_591100!A:H,8,FALSE))</f>
        <v>145500</v>
      </c>
      <c r="P301" s="46">
        <f t="shared" ca="1" si="13"/>
        <v>9.999999999997242E-4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input_settle_591100!A$2</f>
        <v>591100</v>
      </c>
      <c r="B302" s="101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IFERROR(VLOOKUP(B302,input_settle_591100!L:R,7,FALSE),VLOOKUP(tables_settle_591100!C302,input_settle_591100!A:H,8,FALSE))</f>
        <v>145500</v>
      </c>
      <c r="P302" s="46">
        <f t="shared" ca="1" si="13"/>
        <v>9.999999999997242E-4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input_settle_591100!A$2</f>
        <v>591100</v>
      </c>
      <c r="B303" s="101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IFERROR(VLOOKUP(B303,input_settle_591100!L:R,7,FALSE),VLOOKUP(tables_settle_591100!C303,input_settle_591100!A:H,8,FALSE))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input_settle_591100!A$2</f>
        <v>591100</v>
      </c>
      <c r="B304" s="101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IFERROR(VLOOKUP(B304,input_settle_591100!L:R,7,FALSE),VLOOKUP(tables_settle_591100!C304,input_settle_591100!A:H,8,FALSE))</f>
        <v>1372500</v>
      </c>
      <c r="P304" s="46">
        <f t="shared" ca="1" si="13"/>
        <v>9.4329896907190489E-3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input_settle_591100!A$2</f>
        <v>591100</v>
      </c>
      <c r="B305" s="101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IFERROR(VLOOKUP(B305,input_settle_591100!L:R,7,FALSE),VLOOKUP(tables_settle_591100!C305,input_settle_591100!A:H,8,FALSE))</f>
        <v>145500</v>
      </c>
      <c r="P305" s="46">
        <f t="shared" ca="1" si="13"/>
        <v>9.999999999997242E-4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input_settle_591100!A$2</f>
        <v>591100</v>
      </c>
      <c r="B306" s="101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IFERROR(VLOOKUP(B306,input_settle_591100!L:R,7,FALSE),VLOOKUP(tables_settle_591100!C306,input_settle_591100!A:H,8,FALSE))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input_settle_591100!A$2</f>
        <v>591100</v>
      </c>
      <c r="B307" s="101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IFERROR(VLOOKUP(B307,input_settle_591100!L:R,7,FALSE),VLOOKUP(tables_settle_591100!C307,input_settle_591100!A:H,8,FALSE))</f>
        <v>1372500</v>
      </c>
      <c r="P307" s="46">
        <f t="shared" ca="1" si="13"/>
        <v>9.4329896907190489E-3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input_settle_591100!A$2</f>
        <v>591100</v>
      </c>
      <c r="B308" s="101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IFERROR(VLOOKUP(B308,input_settle_591100!L:R,7,FALSE),VLOOKUP(tables_settle_591100!C308,input_settle_591100!A:H,8,FALSE))</f>
        <v>145500</v>
      </c>
      <c r="P308" s="46">
        <f t="shared" ca="1" si="13"/>
        <v>9.999999999997242E-4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input_settle_591100!A$2</f>
        <v>591100</v>
      </c>
      <c r="B309" s="101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IFERROR(VLOOKUP(B309,input_settle_591100!L:R,7,FALSE),VLOOKUP(tables_settle_591100!C309,input_settle_591100!A:H,8,FALSE))</f>
        <v>145500</v>
      </c>
      <c r="P309" s="46">
        <f t="shared" ca="1" si="13"/>
        <v>9.999999999997242E-4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input_settle_591100!A$2</f>
        <v>591100</v>
      </c>
      <c r="B310" s="101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IFERROR(VLOOKUP(B310,input_settle_591100!L:R,7,FALSE),VLOOKUP(tables_settle_591100!C310,input_settle_591100!A:H,8,FALSE))</f>
        <v>145500</v>
      </c>
      <c r="P310" s="46">
        <f t="shared" ca="1" si="13"/>
        <v>9.999999999997242E-4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input_settle_591100!A$2</f>
        <v>591100</v>
      </c>
      <c r="B311" s="101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IFERROR(VLOOKUP(B311,input_settle_591100!L:R,7,FALSE),VLOOKUP(tables_settle_591100!C311,input_settle_591100!A:H,8,FALSE))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input_settle_591100!A$2</f>
        <v>591100</v>
      </c>
      <c r="B312" s="101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IFERROR(VLOOKUP(B312,input_settle_591100!L:R,7,FALSE),VLOOKUP(tables_settle_591100!C312,input_settle_591100!A:H,8,FALSE))</f>
        <v>1372500</v>
      </c>
      <c r="P312" s="46">
        <f t="shared" ca="1" si="13"/>
        <v>9.4329896907190489E-3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input_settle_591100!A$2</f>
        <v>591100</v>
      </c>
      <c r="B313" s="101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IFERROR(VLOOKUP(B313,input_settle_591100!L:R,7,FALSE),VLOOKUP(tables_settle_591100!C313,input_settle_591100!A:H,8,FALSE))</f>
        <v>145500</v>
      </c>
      <c r="P313" s="46">
        <f t="shared" ca="1" si="13"/>
        <v>9.999999999997242E-4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input_settle_591100!A$2</f>
        <v>591100</v>
      </c>
      <c r="B314" s="101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IFERROR(VLOOKUP(B314,input_settle_591100!L:R,7,FALSE),VLOOKUP(tables_settle_591100!C314,input_settle_591100!A:H,8,FALSE))</f>
        <v>145500</v>
      </c>
      <c r="P314" s="46">
        <f t="shared" ca="1" si="13"/>
        <v>9.999999999997242E-4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input_settle_591100!A$2</f>
        <v>591100</v>
      </c>
      <c r="B315" s="101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IFERROR(VLOOKUP(B315,input_settle_591100!L:R,7,FALSE),VLOOKUP(tables_settle_591100!C315,input_settle_591100!A:H,8,FALSE))</f>
        <v>145500</v>
      </c>
      <c r="P315" s="46">
        <f t="shared" ca="1" si="13"/>
        <v>9.999999999997242E-4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input_settle_591100!A$2</f>
        <v>591100</v>
      </c>
      <c r="B316" s="101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IFERROR(VLOOKUP(B316,input_settle_591100!L:R,7,FALSE),VLOOKUP(tables_settle_591100!C316,input_settle_591100!A:H,8,FALSE))</f>
        <v>145500</v>
      </c>
      <c r="P316" s="46">
        <f t="shared" ca="1" si="13"/>
        <v>9.999999999997242E-4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input_settle_591100!A$2</f>
        <v>591100</v>
      </c>
      <c r="B317" s="101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IFERROR(VLOOKUP(B317,input_settle_591100!L:R,7,FALSE),VLOOKUP(tables_settle_591100!C317,input_settle_591100!A:H,8,FALSE))</f>
        <v>145500</v>
      </c>
      <c r="P317" s="46">
        <f t="shared" ca="1" si="13"/>
        <v>9.999999999997242E-4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input_settle_591100!A$2</f>
        <v>591100</v>
      </c>
      <c r="B318" s="101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IFERROR(VLOOKUP(B318,input_settle_591100!L:R,7,FALSE),VLOOKUP(tables_settle_591100!C318,input_settle_591100!A:H,8,FALSE))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input_settle_591100!A$2</f>
        <v>591100</v>
      </c>
      <c r="B319" s="101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IFERROR(VLOOKUP(B319,input_settle_591100!L:R,7,FALSE),VLOOKUP(tables_settle_591100!C319,input_settle_591100!A:H,8,FALSE))</f>
        <v>1372500</v>
      </c>
      <c r="P319" s="46">
        <f t="shared" ca="1" si="13"/>
        <v>9.4329896907190489E-3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input_settle_591100!A$2</f>
        <v>591100</v>
      </c>
      <c r="B320" s="101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IFERROR(VLOOKUP(B320,input_settle_591100!L:R,7,FALSE),VLOOKUP(tables_settle_591100!C320,input_settle_591100!A:H,8,FALSE))</f>
        <v>145500</v>
      </c>
      <c r="P320" s="46">
        <f t="shared" ca="1" si="13"/>
        <v>9.999999999997242E-4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input_settle_591100!A$2</f>
        <v>591100</v>
      </c>
      <c r="B321" s="101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IFERROR(VLOOKUP(B321,input_settle_591100!L:R,7,FALSE),VLOOKUP(tables_settle_591100!C321,input_settle_591100!A:H,8,FALSE))</f>
        <v>145500</v>
      </c>
      <c r="P321" s="46">
        <f t="shared" ca="1" si="13"/>
        <v>9.999999999997242E-4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input_settle_591100!A$2</f>
        <v>591100</v>
      </c>
      <c r="B322" s="101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IFERROR(VLOOKUP(B322,input_settle_591100!L:R,7,FALSE),VLOOKUP(tables_settle_591100!C322,input_settle_591100!A:H,8,FALSE))</f>
        <v>145500</v>
      </c>
      <c r="P322" s="46">
        <f t="shared" ref="P322:P346" ca="1" si="16">O322/SUM(O:O)</f>
        <v>9.999999999997242E-4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input_settle_591100!A$2</f>
        <v>591100</v>
      </c>
      <c r="B323" s="101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IFERROR(VLOOKUP(B323,input_settle_591100!L:R,7,FALSE),VLOOKUP(tables_settle_591100!C323,input_settle_591100!A:H,8,FALSE))</f>
        <v>145500</v>
      </c>
      <c r="P323" s="46">
        <f t="shared" ca="1" si="16"/>
        <v>9.999999999997242E-4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input_settle_591100!A$2</f>
        <v>591100</v>
      </c>
      <c r="B324" s="101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IFERROR(VLOOKUP(B324,input_settle_591100!L:R,7,FALSE),VLOOKUP(tables_settle_591100!C324,input_settle_591100!A:H,8,FALSE))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input_settle_591100!A$2</f>
        <v>591100</v>
      </c>
      <c r="B325" s="101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IFERROR(VLOOKUP(B325,input_settle_591100!L:R,7,FALSE),VLOOKUP(tables_settle_591100!C325,input_settle_591100!A:H,8,FALSE))</f>
        <v>1372500</v>
      </c>
      <c r="P325" s="46">
        <f t="shared" ca="1" si="16"/>
        <v>9.4329896907190489E-3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input_settle_591100!A$2</f>
        <v>591100</v>
      </c>
      <c r="B326" s="101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IFERROR(VLOOKUP(B326,input_settle_591100!L:R,7,FALSE),VLOOKUP(tables_settle_591100!C326,input_settle_591100!A:H,8,FALSE))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input_settle_591100!A$2</f>
        <v>591100</v>
      </c>
      <c r="B327" s="101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IFERROR(VLOOKUP(B327,input_settle_591100!L:R,7,FALSE),VLOOKUP(tables_settle_591100!C327,input_settle_591100!A:H,8,FALSE))</f>
        <v>1372500</v>
      </c>
      <c r="P327" s="46">
        <f t="shared" ca="1" si="16"/>
        <v>9.4329896907190489E-3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input_settle_591100!A$2</f>
        <v>591100</v>
      </c>
      <c r="B328" s="101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IFERROR(VLOOKUP(B328,input_settle_591100!L:R,7,FALSE),VLOOKUP(tables_settle_591100!C328,input_settle_591100!A:H,8,FALSE))</f>
        <v>145500</v>
      </c>
      <c r="P328" s="46">
        <f t="shared" ca="1" si="16"/>
        <v>9.999999999997242E-4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input_settle_591100!A$2</f>
        <v>591100</v>
      </c>
      <c r="B329" s="101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IFERROR(VLOOKUP(B329,input_settle_591100!L:R,7,FALSE),VLOOKUP(tables_settle_591100!C329,input_settle_591100!A:H,8,FALSE))</f>
        <v>145500</v>
      </c>
      <c r="P329" s="46">
        <f t="shared" ca="1" si="16"/>
        <v>9.999999999997242E-4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input_settle_591100!A$2</f>
        <v>591100</v>
      </c>
      <c r="B330" s="101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IFERROR(VLOOKUP(B330,input_settle_591100!L:R,7,FALSE),VLOOKUP(tables_settle_591100!C330,input_settle_591100!A:H,8,FALSE))</f>
        <v>145500</v>
      </c>
      <c r="P330" s="46">
        <f t="shared" ca="1" si="16"/>
        <v>9.999999999997242E-4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input_settle_591100!A$2</f>
        <v>591100</v>
      </c>
      <c r="B331" s="99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IFERROR(VLOOKUP(B331,input_settle_591100!L:R,7,FALSE),VLOOKUP(tables_settle_591100!C331,input_settle_591100!A:H,8,FALSE))</f>
        <v>145500</v>
      </c>
      <c r="P331" s="46">
        <f t="shared" ca="1" si="16"/>
        <v>9.999999999997242E-4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input_settle_591100!A$2</f>
        <v>591100</v>
      </c>
      <c r="B332" s="99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IFERROR(VLOOKUP(B332,input_settle_591100!L:R,7,FALSE),VLOOKUP(tables_settle_591100!C332,input_settle_591100!A:H,8,FALSE))</f>
        <v>145500</v>
      </c>
      <c r="P332" s="46">
        <f t="shared" ca="1" si="16"/>
        <v>9.999999999997242E-4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input_settle_591100!A$2</f>
        <v>591100</v>
      </c>
      <c r="B333" s="99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IFERROR(VLOOKUP(B333,input_settle_591100!L:R,7,FALSE),VLOOKUP(tables_settle_591100!C333,input_settle_591100!A:H,8,FALSE))</f>
        <v>145500</v>
      </c>
      <c r="P333" s="46">
        <f t="shared" ca="1" si="16"/>
        <v>9.999999999997242E-4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input_settle_591100!A$2</f>
        <v>591100</v>
      </c>
      <c r="B334" s="100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IFERROR(VLOOKUP(B334,input_settle_591100!L:R,7,FALSE),VLOOKUP(tables_settle_591100!C334,input_settle_591100!A:H,8,FALSE))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input_settle_591100!A$2</f>
        <v>591100</v>
      </c>
      <c r="B335" s="99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IFERROR(VLOOKUP(B335,input_settle_591100!L:R,7,FALSE),VLOOKUP(tables_settle_591100!C335,input_settle_591100!A:H,8,FALSE))</f>
        <v>1372500</v>
      </c>
      <c r="P335" s="46">
        <f t="shared" ca="1" si="16"/>
        <v>9.4329896907190489E-3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input_settle_591100!A$2</f>
        <v>591100</v>
      </c>
      <c r="B336" s="101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IFERROR(VLOOKUP(B336,input_settle_591100!L:R,7,FALSE),VLOOKUP(tables_settle_591100!C336,input_settle_591100!A:H,8,FALSE))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input_settle_591100!A$2</f>
        <v>591100</v>
      </c>
      <c r="B337" s="101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IFERROR(VLOOKUP(B337,input_settle_591100!L:R,7,FALSE),VLOOKUP(tables_settle_591100!C337,input_settle_591100!A:H,8,FALSE))</f>
        <v>1372500</v>
      </c>
      <c r="P337" s="46">
        <f t="shared" ca="1" si="16"/>
        <v>9.4329896907190489E-3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input_settle_591100!A$2</f>
        <v>591100</v>
      </c>
      <c r="B338" s="101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IFERROR(VLOOKUP(B338,input_settle_591100!L:R,7,FALSE),VLOOKUP(tables_settle_591100!C338,input_settle_591100!A:H,8,FALSE))</f>
        <v>145500</v>
      </c>
      <c r="P338" s="46">
        <f t="shared" ca="1" si="16"/>
        <v>9.999999999997242E-4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input_settle_591100!A$2</f>
        <v>591100</v>
      </c>
      <c r="B339" s="101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IFERROR(VLOOKUP(B339,input_settle_591100!L:R,7,FALSE),VLOOKUP(tables_settle_591100!C339,input_settle_591100!A:H,8,FALSE))</f>
        <v>145500</v>
      </c>
      <c r="P339" s="46">
        <f t="shared" ca="1" si="16"/>
        <v>9.999999999997242E-4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input_settle_591100!A$2</f>
        <v>591100</v>
      </c>
      <c r="B340" s="101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IFERROR(VLOOKUP(B340,input_settle_591100!L:R,7,FALSE),VLOOKUP(tables_settle_591100!C340,input_settle_591100!A:H,8,FALSE))</f>
        <v>145500</v>
      </c>
      <c r="P340" s="46">
        <f t="shared" ca="1" si="16"/>
        <v>9.999999999997242E-4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input_settle_591100!A$2</f>
        <v>591100</v>
      </c>
      <c r="B341" s="101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IFERROR(VLOOKUP(B341,input_settle_591100!L:R,7,FALSE),VLOOKUP(tables_settle_591100!C341,input_settle_591100!A:H,8,FALSE))</f>
        <v>145500</v>
      </c>
      <c r="P341" s="46">
        <f t="shared" ca="1" si="16"/>
        <v>9.999999999997242E-4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input_settle_591100!A$2</f>
        <v>591100</v>
      </c>
      <c r="B342" s="101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IFERROR(VLOOKUP(B342,input_settle_591100!L:R,7,FALSE),VLOOKUP(tables_settle_591100!C342,input_settle_591100!A:H,8,FALSE))</f>
        <v>145500</v>
      </c>
      <c r="P342" s="46">
        <f t="shared" ca="1" si="16"/>
        <v>9.999999999997242E-4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input_settle_591100!A$2</f>
        <v>591100</v>
      </c>
      <c r="B343" s="101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IFERROR(VLOOKUP(B343,input_settle_591100!L:R,7,FALSE),VLOOKUP(tables_settle_591100!C343,input_settle_591100!A:H,8,FALSE))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input_settle_591100!A$2</f>
        <v>591100</v>
      </c>
      <c r="B344" s="101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IFERROR(VLOOKUP(B344,input_settle_591100!L:R,7,FALSE),VLOOKUP(tables_settle_591100!C344,input_settle_591100!A:H,8,FALSE))</f>
        <v>1372500</v>
      </c>
      <c r="P344" s="46">
        <f t="shared" ca="1" si="16"/>
        <v>9.4329896907190489E-3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input_settle_591100!A$2</f>
        <v>591100</v>
      </c>
      <c r="B345" s="101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IFERROR(VLOOKUP(B345,input_settle_591100!L:R,7,FALSE),VLOOKUP(tables_settle_591100!C345,input_settle_591100!A:H,8,FALSE))</f>
        <v>145500</v>
      </c>
      <c r="P345" s="46">
        <f t="shared" ca="1" si="16"/>
        <v>9.999999999997242E-4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input_settle_591100!A$2</f>
        <v>591100</v>
      </c>
      <c r="B346" s="101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IFERROR(VLOOKUP(B346,input_settle_591100!L:R,7,FALSE),VLOOKUP(tables_settle_591100!C346,input_settle_591100!A:H,8,FALSE))</f>
        <v>145500</v>
      </c>
      <c r="P346" s="46">
        <f t="shared" ca="1" si="16"/>
        <v>9.999999999997242E-4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input_settle_591100!A$2</f>
        <v>591100</v>
      </c>
      <c r="B347" s="101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IFERROR(VLOOKUP(B347,input_settle_591100!L:R,7,FALSE),VLOOKUP(tables_settle_591100!C347,input_settle_591100!A:H,8,FALSE))</f>
        <v>145500</v>
      </c>
      <c r="P347" s="46">
        <f ca="1">O347/SUM(O:O)</f>
        <v>9.999999999997242E-4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input_settle_591100!A$2</f>
        <v>591100</v>
      </c>
      <c r="B348" s="101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IFERROR(VLOOKUP(B348,input_settle_591100!L:R,7,FALSE),VLOOKUP(tables_settle_591100!C348,input_settle_591100!A:H,8,FALSE))</f>
        <v>145500</v>
      </c>
      <c r="P348" s="46">
        <f t="shared" ref="P348:P357" ca="1" si="20">O348/SUM(O:O)</f>
        <v>9.999999999997242E-4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input_settle_591100!A$2</f>
        <v>591100</v>
      </c>
      <c r="B349" s="101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IFERROR(VLOOKUP(B349,input_settle_591100!L:R,7,FALSE),VLOOKUP(tables_settle_591100!C349,input_settle_591100!A:H,8,FALSE))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input_settle_591100!A$2</f>
        <v>591100</v>
      </c>
      <c r="B350" s="101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IFERROR(VLOOKUP(B350,input_settle_591100!L:R,7,FALSE),VLOOKUP(tables_settle_591100!C350,input_settle_591100!A:H,8,FALSE))</f>
        <v>1372500</v>
      </c>
      <c r="P350" s="46">
        <f t="shared" ca="1" si="20"/>
        <v>9.4329896907190489E-3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input_settle_591100!A$2</f>
        <v>591100</v>
      </c>
      <c r="B351" s="101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IFERROR(VLOOKUP(B351,input_settle_591100!L:R,7,FALSE),VLOOKUP(tables_settle_591100!C351,input_settle_591100!A:H,8,FALSE))</f>
        <v>145500</v>
      </c>
      <c r="P351" s="46">
        <f t="shared" ca="1" si="20"/>
        <v>9.999999999997242E-4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input_settle_591100!A$2</f>
        <v>591100</v>
      </c>
      <c r="B352" s="101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IFERROR(VLOOKUP(B352,input_settle_591100!L:R,7,FALSE),VLOOKUP(tables_settle_591100!C352,input_settle_591100!A:H,8,FALSE))</f>
        <v>145500</v>
      </c>
      <c r="P352" s="46">
        <f t="shared" ca="1" si="20"/>
        <v>9.999999999997242E-4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input_settle_591100!A$2</f>
        <v>591100</v>
      </c>
      <c r="B353" s="101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IFERROR(VLOOKUP(B353,input_settle_591100!L:R,7,FALSE),VLOOKUP(tables_settle_591100!C353,input_settle_591100!A:H,8,FALSE))</f>
        <v>145500</v>
      </c>
      <c r="P353" s="46">
        <f t="shared" ca="1" si="20"/>
        <v>9.999999999997242E-4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input_settle_591100!A$2</f>
        <v>591100</v>
      </c>
      <c r="B354" s="101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IFERROR(VLOOKUP(B354,input_settle_591100!L:R,7,FALSE),VLOOKUP(tables_settle_591100!C354,input_settle_591100!A:H,8,FALSE))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input_settle_591100!A$2</f>
        <v>591100</v>
      </c>
      <c r="B355" s="101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IFERROR(VLOOKUP(B355,input_settle_591100!L:R,7,FALSE),VLOOKUP(tables_settle_591100!C355,input_settle_591100!A:H,8,FALSE))</f>
        <v>1372500</v>
      </c>
      <c r="P355" s="46">
        <f t="shared" ca="1" si="20"/>
        <v>9.4329896907190489E-3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input_settle_591100!A$2</f>
        <v>591100</v>
      </c>
      <c r="B356" s="102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IFERROR(VLOOKUP(B356,input_settle_591100!L:R,7,FALSE),VLOOKUP(tables_settle_591100!C356,input_settle_591100!A:H,8,FALSE))</f>
        <v>0</v>
      </c>
      <c r="P356" s="46">
        <f t="shared" ca="1" si="20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input_settle_591100!A$2</f>
        <v>591100</v>
      </c>
      <c r="B357" s="102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IFERROR(VLOOKUP(B357,input_settle_591100!L:R,7,FALSE),VLOOKUP(tables_settle_591100!C357,input_settle_591100!A:H,8,FALSE))</f>
        <v>1372500</v>
      </c>
      <c r="P357" s="46">
        <f t="shared" ca="1" si="20"/>
        <v>9.4329896907190489E-3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input_settle_591100!A$2</f>
        <v>591100</v>
      </c>
      <c r="B358" s="102">
        <v>1383</v>
      </c>
      <c r="C358" s="7" t="str">
        <f t="shared" ref="C358" si="21">D358&amp;J358&amp;E358&amp;F358&amp;G358</f>
        <v>PremiumSS5R5only</v>
      </c>
      <c r="D358" s="7" t="str">
        <f t="shared" ref="D358" si="2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IFERROR(VLOOKUP(B358,input_settle_591100!L:R,7,FALSE),VLOOKUP(tables_settle_591100!C358,input_settle_591100!A:H,8,FALSE))</f>
        <v>145500</v>
      </c>
      <c r="P358" s="46">
        <f t="shared" ref="P358" ca="1" si="23">O358/SUM(O:O)</f>
        <v>9.999999999997242E-4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input_settle_591100!A$2</f>
        <v>591100</v>
      </c>
      <c r="B359" s="102">
        <v>1385</v>
      </c>
      <c r="C359" s="7" t="str">
        <f t="shared" ref="C359:C362" si="24">D359&amp;J359&amp;E359&amp;F359&amp;G359</f>
        <v>PremiumSS5R5only</v>
      </c>
      <c r="D359" s="7" t="str">
        <f t="shared" ref="D359:D362" si="2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IFERROR(VLOOKUP(B359,input_settle_591100!L:R,7,FALSE),VLOOKUP(tables_settle_591100!C359,input_settle_591100!A:H,8,FALSE))</f>
        <v>145500</v>
      </c>
      <c r="P359" s="46">
        <f t="shared" ref="P359:P362" ca="1" si="26">O359/SUM(O:O)</f>
        <v>9.999999999997242E-4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input_settle_591100!A$2</f>
        <v>591100</v>
      </c>
      <c r="B360" s="102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IFERROR(VLOOKUP(B360,input_settle_591100!L:R,7,FALSE),VLOOKUP(tables_settle_591100!C360,input_settle_591100!A:H,8,FALSE))</f>
        <v>145500</v>
      </c>
      <c r="P360" s="46">
        <f t="shared" ca="1" si="26"/>
        <v>9.999999999997242E-4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input_settle_591100!A$2</f>
        <v>591100</v>
      </c>
      <c r="B361" s="5">
        <v>783</v>
      </c>
      <c r="C361" s="7" t="str">
        <f t="shared" si="24"/>
        <v>PremiumSSS5R3less</v>
      </c>
      <c r="D361" s="7" t="str">
        <f t="shared" si="2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モールス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 ca="1">IFERROR(VLOOKUP(B361,input_settle_591100!L:R,7,FALSE),VLOOKUP(tables_settle_591100!C361,input_settle_591100!A:H,8,FALSE))</f>
        <v>727500</v>
      </c>
      <c r="P361" s="46">
        <f t="shared" ca="1" si="26"/>
        <v>4.9999999999986219E-3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input_settle_591100!A$2</f>
        <v>591100</v>
      </c>
      <c r="B362" s="5">
        <v>1425</v>
      </c>
      <c r="C362" s="7" t="str">
        <f t="shared" si="24"/>
        <v>PremiumSSS5R3less</v>
      </c>
      <c r="D362" s="7" t="str">
        <f t="shared" si="2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ヴォルタ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 t="str">
        <f>VLOOKUP(B362,[1]characters!$A:$G,7,FALSE)</f>
        <v>不明</v>
      </c>
      <c r="O362" s="45">
        <f ca="1">IFERROR(VLOOKUP(B362,input_settle_591100!L:R,7,FALSE),VLOOKUP(tables_settle_591100!C362,input_settle_591100!A:H,8,FALSE))</f>
        <v>727500</v>
      </c>
      <c r="P362" s="46">
        <f t="shared" ca="1" si="26"/>
        <v>4.9999999999986219E-3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591105</v>
      </c>
      <c r="B2" s="97" t="str">
        <f>A2&amp;1</f>
        <v>5911051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input_591010</vt:lpstr>
      <vt:lpstr>tables_591010</vt:lpstr>
      <vt:lpstr>input_591100</vt:lpstr>
      <vt:lpstr>tables_591100</vt:lpstr>
      <vt:lpstr>input_settle_591100</vt:lpstr>
      <vt:lpstr>tables_settle_591100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2017-05-08T08:07:04Z</dcterms:modified>
</cp:coreProperties>
</file>