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240" yWindow="780" windowWidth="27780" windowHeight="15940" tabRatio="963" activeTab="11"/>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ghosts_label" sheetId="59" r:id="rId11"/>
    <sheet name="コスト" sheetId="13" r:id="rId12"/>
    <sheet name="レベル" sheetId="12" r:id="rId13"/>
    <sheet name="経験値" sheetId="10" r:id="rId14"/>
    <sheet name="RC6SV" sheetId="11" r:id="rId15"/>
    <sheet name="ビット" sheetId="15" r:id="rId16"/>
    <sheet name="チェックシート" sheetId="55" r:id="rId17"/>
  </sheets>
  <externalReferences>
    <externalReference r:id="rId18"/>
    <externalReference r:id="rId19"/>
    <externalReference r:id="rId20"/>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fork_awake_units!$A$1:$U$1</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3" i="23" l="1"/>
  <c r="BR3" i="23"/>
  <c r="H4" i="23"/>
  <c r="BR4" i="23"/>
  <c r="H5" i="23"/>
  <c r="BR5" i="23"/>
  <c r="H6" i="23"/>
  <c r="BR6" i="23"/>
  <c r="H7" i="23"/>
  <c r="BR7" i="23"/>
  <c r="H8" i="23"/>
  <c r="BR8" i="23"/>
  <c r="H2" i="23"/>
  <c r="BR2" i="23"/>
  <c r="E12" i="54"/>
  <c r="D12" i="54"/>
  <c r="B12" i="54"/>
  <c r="E9" i="54"/>
  <c r="D9" i="54"/>
  <c r="B9" i="54"/>
  <c r="E6" i="54"/>
  <c r="D6" i="54"/>
  <c r="B6" i="54"/>
  <c r="E3" i="54"/>
  <c r="D3" i="54"/>
  <c r="B3" i="54"/>
  <c r="B2" i="54"/>
  <c r="B25" i="54"/>
  <c r="D25" i="54"/>
  <c r="E25" i="54"/>
  <c r="B26" i="54"/>
  <c r="D26" i="54"/>
  <c r="E26" i="54"/>
  <c r="B27" i="54"/>
  <c r="D27" i="54"/>
  <c r="E27" i="54"/>
  <c r="B20" i="54"/>
  <c r="D20" i="54"/>
  <c r="E20" i="54"/>
  <c r="B21" i="54"/>
  <c r="D21" i="54"/>
  <c r="E21" i="54"/>
  <c r="B22" i="54"/>
  <c r="D22" i="54"/>
  <c r="E22" i="54"/>
  <c r="B16" i="54"/>
  <c r="D16" i="54"/>
  <c r="E16" i="54"/>
  <c r="B17" i="54"/>
  <c r="D17" i="54"/>
  <c r="E17" i="54"/>
  <c r="H2" i="53"/>
  <c r="B2" i="57"/>
  <c r="B3" i="57"/>
  <c r="E2" i="57"/>
  <c r="F2" i="57"/>
  <c r="E3" i="57"/>
  <c r="F3" i="57"/>
  <c r="E4" i="54"/>
  <c r="D4" i="54"/>
  <c r="B4" i="54"/>
  <c r="E2" i="54"/>
  <c r="D2" i="54"/>
  <c r="E10" i="54"/>
  <c r="D10" i="54"/>
  <c r="B10" i="54"/>
  <c r="E8" i="54"/>
  <c r="D8" i="54"/>
  <c r="B8" i="54"/>
  <c r="E13" i="54"/>
  <c r="D13" i="54"/>
  <c r="B13" i="54"/>
  <c r="E11" i="54"/>
  <c r="D11" i="54"/>
  <c r="B11" i="54"/>
  <c r="E7" i="54"/>
  <c r="D7" i="54"/>
  <c r="B7" i="54"/>
  <c r="E5" i="54"/>
  <c r="D5" i="54"/>
  <c r="B5" i="54"/>
  <c r="H5" i="53"/>
  <c r="G5" i="53"/>
  <c r="E5" i="53"/>
  <c r="G2" i="53"/>
  <c r="E2" i="53"/>
  <c r="H3" i="53"/>
  <c r="G3" i="53"/>
  <c r="E3" i="53"/>
  <c r="H4" i="53"/>
  <c r="G4" i="53"/>
  <c r="E4" i="53"/>
  <c r="K2" i="52"/>
  <c r="J2" i="52"/>
  <c r="H2" i="52"/>
  <c r="E2" i="52"/>
  <c r="K3" i="52"/>
  <c r="J3" i="52"/>
  <c r="H3" i="52"/>
  <c r="E3" i="52"/>
  <c r="K4" i="52"/>
  <c r="J4" i="52"/>
  <c r="H4" i="52"/>
  <c r="E4" i="52"/>
  <c r="K5" i="52"/>
  <c r="J5" i="52"/>
  <c r="H5" i="52"/>
  <c r="E5" i="52"/>
  <c r="B2" i="23"/>
  <c r="B3" i="23"/>
  <c r="G4" i="23"/>
  <c r="BC4" i="23"/>
  <c r="BD4" i="23"/>
  <c r="Q4" i="23"/>
  <c r="V4" i="23"/>
  <c r="W4" i="23"/>
  <c r="AD4" i="23"/>
  <c r="I4" i="23"/>
  <c r="M4" i="23"/>
  <c r="BN4" i="23"/>
  <c r="U4" i="23"/>
  <c r="AC4" i="23"/>
  <c r="L4" i="23"/>
  <c r="BM4" i="23"/>
  <c r="T4" i="23"/>
  <c r="AB4" i="23"/>
  <c r="K4" i="23"/>
  <c r="BL4" i="23"/>
  <c r="S4" i="23"/>
  <c r="AA4" i="23"/>
  <c r="J4" i="23"/>
  <c r="BK4" i="23"/>
  <c r="BE4" i="23"/>
  <c r="BJ4" i="23"/>
  <c r="BI4" i="23"/>
  <c r="BH4" i="23"/>
  <c r="BG4" i="23"/>
  <c r="BF4" i="23"/>
  <c r="AX4" i="23"/>
  <c r="AW4" i="23"/>
  <c r="AV4" i="23"/>
  <c r="AU4" i="23"/>
  <c r="AS4" i="23"/>
  <c r="AR4" i="23"/>
  <c r="AQ4" i="23"/>
  <c r="AN4" i="23"/>
  <c r="AM4" i="23"/>
  <c r="AL4" i="23"/>
  <c r="AK4" i="23"/>
  <c r="AI4" i="23"/>
  <c r="AH4" i="23"/>
  <c r="AF4" i="23"/>
  <c r="Y4" i="23"/>
  <c r="Z4" i="23"/>
  <c r="X4" i="23"/>
  <c r="R4" i="23"/>
  <c r="P4" i="23"/>
  <c r="O4" i="23"/>
  <c r="N4" i="23"/>
  <c r="F4" i="23"/>
  <c r="E4" i="23"/>
  <c r="D4" i="23"/>
  <c r="C4" i="23"/>
  <c r="B4" i="23"/>
  <c r="G2" i="23"/>
  <c r="BC2" i="23"/>
  <c r="BD2" i="23"/>
  <c r="Q2" i="23"/>
  <c r="V2" i="23"/>
  <c r="W2" i="23"/>
  <c r="AD2" i="23"/>
  <c r="I2" i="23"/>
  <c r="M2" i="23"/>
  <c r="BN2" i="23"/>
  <c r="U2" i="23"/>
  <c r="AC2" i="23"/>
  <c r="L2" i="23"/>
  <c r="BM2" i="23"/>
  <c r="T2" i="23"/>
  <c r="AB2" i="23"/>
  <c r="K2" i="23"/>
  <c r="BL2" i="23"/>
  <c r="S2" i="23"/>
  <c r="AA2" i="23"/>
  <c r="J2" i="23"/>
  <c r="BK2" i="23"/>
  <c r="BE2" i="23"/>
  <c r="BJ2" i="23"/>
  <c r="BI2" i="23"/>
  <c r="BH2" i="23"/>
  <c r="BG2" i="23"/>
  <c r="BF2" i="23"/>
  <c r="AX2" i="23"/>
  <c r="AW2" i="23"/>
  <c r="AV2" i="23"/>
  <c r="AU2" i="23"/>
  <c r="AS2" i="23"/>
  <c r="AR2" i="23"/>
  <c r="AQ2" i="23"/>
  <c r="AN2" i="23"/>
  <c r="AM2" i="23"/>
  <c r="AL2" i="23"/>
  <c r="AK2" i="23"/>
  <c r="AI2" i="23"/>
  <c r="AH2" i="23"/>
  <c r="AF2" i="23"/>
  <c r="Y2" i="23"/>
  <c r="Z2" i="23"/>
  <c r="X2" i="23"/>
  <c r="R2" i="23"/>
  <c r="P2" i="23"/>
  <c r="O2" i="23"/>
  <c r="N2" i="23"/>
  <c r="F2" i="23"/>
  <c r="E2" i="23"/>
  <c r="D2" i="23"/>
  <c r="C2" i="23"/>
  <c r="G3" i="23"/>
  <c r="BC3" i="23"/>
  <c r="BD3" i="23"/>
  <c r="Q3" i="23"/>
  <c r="V3" i="23"/>
  <c r="W3" i="23"/>
  <c r="AD3" i="23"/>
  <c r="I3" i="23"/>
  <c r="M3" i="23"/>
  <c r="BN3" i="23"/>
  <c r="U3" i="23"/>
  <c r="AC3" i="23"/>
  <c r="L3" i="23"/>
  <c r="BM3" i="23"/>
  <c r="T3" i="23"/>
  <c r="AB3" i="23"/>
  <c r="K3" i="23"/>
  <c r="BL3" i="23"/>
  <c r="S3" i="23"/>
  <c r="AA3" i="23"/>
  <c r="J3" i="23"/>
  <c r="BK3" i="23"/>
  <c r="BE3" i="23"/>
  <c r="BJ3" i="23"/>
  <c r="BI3" i="23"/>
  <c r="BH3" i="23"/>
  <c r="BG3" i="23"/>
  <c r="BF3" i="23"/>
  <c r="AX3" i="23"/>
  <c r="AW3" i="23"/>
  <c r="AV3" i="23"/>
  <c r="AU3" i="23"/>
  <c r="AS3" i="23"/>
  <c r="AR3" i="23"/>
  <c r="AQ3" i="23"/>
  <c r="AN3" i="23"/>
  <c r="AM3" i="23"/>
  <c r="AL3" i="23"/>
  <c r="AK3" i="23"/>
  <c r="AI3" i="23"/>
  <c r="AH3" i="23"/>
  <c r="AF3" i="23"/>
  <c r="Y3" i="23"/>
  <c r="Z3" i="23"/>
  <c r="X3" i="23"/>
  <c r="R3" i="23"/>
  <c r="P3" i="23"/>
  <c r="O3" i="23"/>
  <c r="N3" i="23"/>
  <c r="F3" i="23"/>
  <c r="E3" i="23"/>
  <c r="D3" i="23"/>
  <c r="C3" i="23"/>
  <c r="G5" i="23"/>
  <c r="BC5" i="23"/>
  <c r="BD5" i="23"/>
  <c r="Q5" i="23"/>
  <c r="V5" i="23"/>
  <c r="W5" i="23"/>
  <c r="AD5" i="23"/>
  <c r="I5" i="23"/>
  <c r="M5" i="23"/>
  <c r="BN5" i="23"/>
  <c r="U5" i="23"/>
  <c r="AC5" i="23"/>
  <c r="L5" i="23"/>
  <c r="BM5" i="23"/>
  <c r="T5" i="23"/>
  <c r="AB5" i="23"/>
  <c r="K5" i="23"/>
  <c r="BL5" i="23"/>
  <c r="S5" i="23"/>
  <c r="AA5" i="23"/>
  <c r="J5" i="23"/>
  <c r="BK5" i="23"/>
  <c r="BE5" i="23"/>
  <c r="BJ5" i="23"/>
  <c r="BI5" i="23"/>
  <c r="BH5" i="23"/>
  <c r="BG5" i="23"/>
  <c r="BF5" i="23"/>
  <c r="AX5" i="23"/>
  <c r="AW5" i="23"/>
  <c r="AV5" i="23"/>
  <c r="AU5" i="23"/>
  <c r="AS5" i="23"/>
  <c r="AR5" i="23"/>
  <c r="AQ5" i="23"/>
  <c r="AN5" i="23"/>
  <c r="AM5" i="23"/>
  <c r="AL5" i="23"/>
  <c r="AK5" i="23"/>
  <c r="AI5" i="23"/>
  <c r="AH5" i="23"/>
  <c r="AF5" i="23"/>
  <c r="Y5" i="23"/>
  <c r="Z5" i="23"/>
  <c r="X5" i="23"/>
  <c r="R5" i="23"/>
  <c r="P5" i="23"/>
  <c r="O5" i="23"/>
  <c r="N5" i="23"/>
  <c r="F5" i="23"/>
  <c r="E5" i="23"/>
  <c r="D5" i="23"/>
  <c r="C5" i="23"/>
  <c r="B5" i="23"/>
  <c r="F4" i="57"/>
  <c r="E4" i="57"/>
  <c r="G6" i="23"/>
  <c r="BC6" i="23"/>
  <c r="BD6" i="23"/>
  <c r="Q6" i="23"/>
  <c r="S6" i="23"/>
  <c r="W6" i="23"/>
  <c r="AA6" i="23"/>
  <c r="I6" i="23"/>
  <c r="J6" i="23"/>
  <c r="BK6" i="23"/>
  <c r="V6" i="23"/>
  <c r="AD6" i="23"/>
  <c r="M6" i="23"/>
  <c r="BN6" i="23"/>
  <c r="J4" i="3"/>
  <c r="J3" i="3"/>
  <c r="J5" i="3"/>
  <c r="J2" i="3"/>
  <c r="H5" i="3"/>
  <c r="C5" i="3"/>
  <c r="F5" i="3"/>
  <c r="E5" i="3"/>
  <c r="D5" i="3"/>
  <c r="A5" i="3"/>
  <c r="H4" i="3"/>
  <c r="C4" i="3"/>
  <c r="F4" i="3"/>
  <c r="E4" i="3"/>
  <c r="D4" i="3"/>
  <c r="A4" i="3"/>
  <c r="H3" i="3"/>
  <c r="C3" i="3"/>
  <c r="F3" i="3"/>
  <c r="E3" i="3"/>
  <c r="D3" i="3"/>
  <c r="A3" i="3"/>
  <c r="T6" i="23"/>
  <c r="AB6" i="23"/>
  <c r="K6" i="23"/>
  <c r="BL6" i="23"/>
  <c r="B4" i="57"/>
  <c r="C2" i="3"/>
  <c r="D2" i="3"/>
  <c r="E6" i="52"/>
  <c r="B2" i="58"/>
  <c r="C2" i="58"/>
  <c r="D2" i="58"/>
  <c r="E2" i="58"/>
  <c r="F2" i="58"/>
  <c r="G2" i="58"/>
  <c r="H2" i="58"/>
  <c r="I2" i="58"/>
  <c r="J2" i="58"/>
  <c r="K2" i="58"/>
  <c r="L2" i="58"/>
  <c r="M2" i="58"/>
  <c r="N2" i="58"/>
  <c r="O2" i="58"/>
  <c r="P2" i="58"/>
  <c r="R2" i="58"/>
  <c r="U2" i="58"/>
  <c r="H2" i="3"/>
  <c r="Q7" i="23"/>
  <c r="S7" i="23"/>
  <c r="D24" i="54"/>
  <c r="D23" i="54"/>
  <c r="D19" i="54"/>
  <c r="D18" i="54"/>
  <c r="D15" i="54"/>
  <c r="D14" i="54"/>
  <c r="E24" i="54"/>
  <c r="E23" i="54"/>
  <c r="E19" i="54"/>
  <c r="E18" i="54"/>
  <c r="E15" i="54"/>
  <c r="E14" i="54"/>
  <c r="B24" i="54"/>
  <c r="B23" i="54"/>
  <c r="B19" i="54"/>
  <c r="B18" i="54"/>
  <c r="B15" i="54"/>
  <c r="B14" i="54"/>
  <c r="G7" i="53"/>
  <c r="H8" i="53"/>
  <c r="G8" i="53"/>
  <c r="E8" i="53"/>
  <c r="H7" i="53"/>
  <c r="E7" i="53"/>
  <c r="H6" i="53"/>
  <c r="G6" i="53"/>
  <c r="E6" i="53"/>
  <c r="J8" i="52"/>
  <c r="H8" i="52"/>
  <c r="E8" i="52"/>
  <c r="K7" i="52"/>
  <c r="J7" i="52"/>
  <c r="H7" i="52"/>
  <c r="E7" i="52"/>
  <c r="K6" i="52"/>
  <c r="J6" i="52"/>
  <c r="H6" i="52"/>
  <c r="AH8" i="23"/>
  <c r="AH7" i="23"/>
  <c r="AH6" i="23"/>
  <c r="B8" i="23"/>
  <c r="B7" i="23"/>
  <c r="G10" i="13"/>
  <c r="G11" i="13"/>
  <c r="G9" i="13"/>
  <c r="B6" i="23"/>
  <c r="G3" i="13"/>
  <c r="G8" i="23"/>
  <c r="BC8" i="23"/>
  <c r="BD8" i="23"/>
  <c r="Q8" i="23"/>
  <c r="V8" i="23"/>
  <c r="W8" i="23"/>
  <c r="AD8" i="23"/>
  <c r="I8" i="23"/>
  <c r="M8" i="23"/>
  <c r="BN8" i="23"/>
  <c r="U8" i="23"/>
  <c r="AC8" i="23"/>
  <c r="L8" i="23"/>
  <c r="BM8" i="23"/>
  <c r="T8" i="23"/>
  <c r="AB8" i="23"/>
  <c r="K8" i="23"/>
  <c r="BL8" i="23"/>
  <c r="S8" i="23"/>
  <c r="AA8" i="23"/>
  <c r="J8" i="23"/>
  <c r="BK8" i="23"/>
  <c r="G7" i="23"/>
  <c r="BC7" i="23"/>
  <c r="BE8" i="23"/>
  <c r="BJ8" i="23"/>
  <c r="BI8" i="23"/>
  <c r="BH8" i="23"/>
  <c r="BG8" i="23"/>
  <c r="I7" i="23"/>
  <c r="J7" i="23"/>
  <c r="BF8" i="23"/>
  <c r="AX8" i="23"/>
  <c r="AW8" i="23"/>
  <c r="AV8" i="23"/>
  <c r="AU8" i="23"/>
  <c r="AS8" i="23"/>
  <c r="AR8" i="23"/>
  <c r="AQ8" i="23"/>
  <c r="AN8" i="23"/>
  <c r="AM8" i="23"/>
  <c r="AL8" i="23"/>
  <c r="AK8" i="23"/>
  <c r="AI8" i="23"/>
  <c r="AF8" i="23"/>
  <c r="Y8" i="23"/>
  <c r="Z8" i="23"/>
  <c r="X8" i="23"/>
  <c r="R8" i="23"/>
  <c r="P8" i="23"/>
  <c r="O8" i="23"/>
  <c r="G4" i="13"/>
  <c r="G8" i="13"/>
  <c r="N8" i="23"/>
  <c r="F8" i="23"/>
  <c r="E8" i="23"/>
  <c r="D8" i="23"/>
  <c r="C8" i="23"/>
  <c r="BD7" i="23"/>
  <c r="V7" i="23"/>
  <c r="W7" i="23"/>
  <c r="AD7" i="23"/>
  <c r="M7" i="23"/>
  <c r="BN7" i="23"/>
  <c r="U7" i="23"/>
  <c r="AC7" i="23"/>
  <c r="L7" i="23"/>
  <c r="BM7" i="23"/>
  <c r="T7" i="23"/>
  <c r="AB7" i="23"/>
  <c r="K7" i="23"/>
  <c r="BL7" i="23"/>
  <c r="AA7" i="23"/>
  <c r="BK7" i="23"/>
  <c r="BE7" i="23"/>
  <c r="BJ7" i="23"/>
  <c r="BI7" i="23"/>
  <c r="BH7" i="23"/>
  <c r="BG7" i="23"/>
  <c r="BF7" i="23"/>
  <c r="AX7" i="23"/>
  <c r="AW7" i="23"/>
  <c r="AV7" i="23"/>
  <c r="AU7" i="23"/>
  <c r="AS7" i="23"/>
  <c r="AR7" i="23"/>
  <c r="AQ7" i="23"/>
  <c r="AN7" i="23"/>
  <c r="AM7" i="23"/>
  <c r="AL7" i="23"/>
  <c r="AK7" i="23"/>
  <c r="AI7" i="23"/>
  <c r="AF7" i="23"/>
  <c r="Y7" i="23"/>
  <c r="Z7" i="23"/>
  <c r="X7" i="23"/>
  <c r="R7" i="23"/>
  <c r="P7" i="23"/>
  <c r="O7" i="23"/>
  <c r="N7" i="23"/>
  <c r="F7" i="23"/>
  <c r="E7" i="23"/>
  <c r="D7" i="23"/>
  <c r="C7" i="23"/>
  <c r="U6" i="23"/>
  <c r="AC6" i="23"/>
  <c r="L6" i="23"/>
  <c r="BM6" i="23"/>
  <c r="BE6" i="23"/>
  <c r="BJ6" i="23"/>
  <c r="BI6" i="23"/>
  <c r="BH6" i="23"/>
  <c r="BG6" i="23"/>
  <c r="BF6" i="23"/>
  <c r="AX6" i="23"/>
  <c r="AW6" i="23"/>
  <c r="AV6" i="23"/>
  <c r="AU6" i="23"/>
  <c r="AS6" i="23"/>
  <c r="AR6" i="23"/>
  <c r="AQ6" i="23"/>
  <c r="AN6" i="23"/>
  <c r="AM6" i="23"/>
  <c r="AL6" i="23"/>
  <c r="AK6" i="23"/>
  <c r="AI6" i="23"/>
  <c r="AF6" i="23"/>
  <c r="Y6" i="23"/>
  <c r="Z6" i="23"/>
  <c r="X6" i="23"/>
  <c r="R6" i="23"/>
  <c r="P6" i="23"/>
  <c r="O6" i="23"/>
  <c r="N6" i="23"/>
  <c r="F6" i="23"/>
  <c r="E6" i="23"/>
  <c r="D6" i="23"/>
  <c r="C6" i="23"/>
  <c r="E3" i="49"/>
  <c r="E5" i="49"/>
  <c r="F2" i="3"/>
  <c r="E2" i="3"/>
  <c r="E15" i="49"/>
  <c r="E14" i="49"/>
  <c r="E13" i="49"/>
  <c r="G2" i="1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E10" i="49"/>
  <c r="E9" i="49"/>
  <c r="E8" i="49"/>
  <c r="E7" i="49"/>
  <c r="E11" i="49"/>
  <c r="E12" i="49"/>
  <c r="E4" i="49"/>
  <c r="E6" i="49"/>
  <c r="E2" i="49"/>
  <c r="S2" i="58"/>
  <c r="T2" i="58"/>
</calcChain>
</file>

<file path=xl/sharedStrings.xml><?xml version="1.0" encoding="utf-8"?>
<sst xmlns="http://schemas.openxmlformats.org/spreadsheetml/2006/main" count="1005" uniqueCount="407">
  <si>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</si>
  <si>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</si>
  <si>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</si>
  <si>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</si>
  <si>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</si>
  <si>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</si>
  <si>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</si>
  <si>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</si>
  <si>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</si>
  <si>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</si>
  <si>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</si>
  <si>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</si>
  <si>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</si>
  <si>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</si>
  <si>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</si>
  <si>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</si>
  <si>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</si>
  <si>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</si>
  <si>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</si>
  <si>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</si>
  <si>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</si>
  <si>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</si>
  <si>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</si>
  <si>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</si>
  <si>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</si>
  <si>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</si>
  <si>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</si>
  <si>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</si>
  <si>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</si>
  <si>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</si>
  <si>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</si>
  <si>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</si>
  <si>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</si>
  <si>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</si>
  <si>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</si>
  <si>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</si>
  <si>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</si>
  <si>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</si>
  <si>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</si>
  <si>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</si>
  <si>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</si>
  <si>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</si>
  <si>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</si>
  <si>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</si>
  <si>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</si>
  <si>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</si>
  <si>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</si>
  <si>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</si>
  <si>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</si>
  <si>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</si>
  <si>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</si>
  <si>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</si>
  <si>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</si>
  <si>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</si>
  <si>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</si>
  <si>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</si>
  <si>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</si>
  <si>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</si>
  <si>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</si>
  <si>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</si>
  <si>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</si>
  <si>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</si>
  <si>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</si>
  <si>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</si>
  <si>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</si>
  <si>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</si>
  <si>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</si>
  <si>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</si>
  <si>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</si>
  <si>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</si>
  <si>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</si>
  <si>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</si>
  <si>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</si>
  <si>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</si>
  <si>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</si>
  <si>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</si>
  <si>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</si>
  <si>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</si>
  <si>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</si>
  <si>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</si>
  <si>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</si>
  <si>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</si>
  <si>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</si>
  <si>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</si>
  <si>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</si>
  <si>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</si>
  <si>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</si>
  <si>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</si>
  <si>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</si>
  <si>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</si>
  <si>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</si>
  <si>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</si>
  <si>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</si>
  <si>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</si>
  <si>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</si>
  <si>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</si>
  <si>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</si>
  <si>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</si>
  <si>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</si>
  <si>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</si>
  <si>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</si>
  <si>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</si>
  <si>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</si>
  <si>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</si>
  <si>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</si>
  <si>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</si>
  <si>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</si>
  <si>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</si>
  <si>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</si>
  <si>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</si>
  <si>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</si>
  <si>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</si>
  <si>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</si>
  <si>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</si>
  <si>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</si>
  <si>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</si>
  <si>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</si>
  <si>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</si>
  <si>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</si>
  <si>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</si>
  <si>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</si>
  <si>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</si>
  <si>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</si>
  <si>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</si>
  <si>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</si>
  <si>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</si>
  <si>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</si>
  <si>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</si>
  <si>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</si>
  <si>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</si>
  <si>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</si>
  <si>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</si>
  <si>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</si>
  <si>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</si>
  <si>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</si>
  <si>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</si>
  <si>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</si>
  <si>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</si>
  <si>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</si>
  <si>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</si>
  <si>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</si>
  <si>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</si>
  <si>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</si>
  <si>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</si>
  <si>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</si>
  <si>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</si>
  <si>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</si>
  <si>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</si>
  <si>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</si>
  <si>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</si>
  <si>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</si>
  <si>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</si>
  <si>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</si>
  <si>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</si>
  <si>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</si>
  <si>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</si>
  <si>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</si>
  <si>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</si>
  <si>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</si>
  <si>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</si>
  <si>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</si>
  <si>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</si>
  <si>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</si>
  <si>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</si>
  <si>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</si>
  <si>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</si>
  <si>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</si>
  <si>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</si>
  <si>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</si>
  <si>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</si>
  <si>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</si>
  <si>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</si>
  <si>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</si>
  <si>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</si>
  <si>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</si>
  <si>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</si>
  <si>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</si>
  <si>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</si>
  <si>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</si>
  <si>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</si>
  <si>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</si>
  <si>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</si>
  <si>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</si>
  <si>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</si>
  <si>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</si>
  <si>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</si>
  <si>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</si>
  <si>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</si>
  <si>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</si>
  <si>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</si>
  <si>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</si>
  <si>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</si>
  <si>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</si>
  <si>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</si>
  <si>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</si>
  <si>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</si>
  <si>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</si>
  <si>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</si>
  <si>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</si>
  <si>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</si>
  <si>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</si>
  <si>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</si>
  <si>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</si>
  <si>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</si>
  <si>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</si>
  <si>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</si>
  <si>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</si>
  <si>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</si>
  <si>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</si>
  <si>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</si>
  <si>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</si>
  <si>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</si>
  <si>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</si>
  <si>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</si>
  <si>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</si>
  <si>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</si>
  <si>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</si>
  <si>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</si>
  <si>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</si>
  <si>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</si>
  <si>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</si>
  <si>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</si>
  <si>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</si>
  <si>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</si>
  <si>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</si>
  <si>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</si>
  <si>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</si>
  <si>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</si>
  <si>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</si>
  <si>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</si>
  <si>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</si>
  <si>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</si>
  <si>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</si>
  <si>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</si>
  <si>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</si>
  <si>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</si>
  <si>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</si>
  <si>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</si>
  <si>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</si>
  <si>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</si>
  <si>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</si>
  <si>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</si>
  <si>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</si>
  <si>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</si>
  <si>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</si>
  <si>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</si>
  <si>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</si>
  <si>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</si>
  <si>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</si>
  <si>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</si>
  <si>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</si>
  <si>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</si>
  <si>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</si>
  <si>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</si>
  <si>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</si>
  <si>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</si>
  <si>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</si>
  <si>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</si>
  <si>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</si>
  <si>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</si>
  <si>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</si>
  <si>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</si>
  <si>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</si>
  <si>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</si>
  <si>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</si>
  <si>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</si>
  <si>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</si>
  <si>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</si>
  <si>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</si>
  <si>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</si>
  <si>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</si>
  <si>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</si>
  <si>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</si>
  <si>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</si>
  <si>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1</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</si>
  <si>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</si>
  <si>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</si>
  <si>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</si>
  <si>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</si>
  <si>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</si>
  <si>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</si>
  <si>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</si>
  <si>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</si>
  <si>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</si>
  <si>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</si>
  <si>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</si>
  <si>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</si>
  <si>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</si>
  <si>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</si>
  <si>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</si>
  <si>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</si>
  <si>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</si>
  <si>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</si>
  <si>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</si>
  <si>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</si>
  <si>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</si>
  <si>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</si>
  <si>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</si>
  <si>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</si>
  <si>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</si>
  <si>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</si>
  <si>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</si>
  <si>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</si>
  <si>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</si>
  <si>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</si>
  <si>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</si>
  <si>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</si>
  <si>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</si>
  <si>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</si>
  <si>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</si>
  <si>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</si>
  <si>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</si>
  <si>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</si>
  <si>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</si>
  <si>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</si>
  <si>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old</t>
  </si>
  <si>
    <t>1</t>
    <phoneticPr fontId="22"/>
  </si>
  <si>
    <t>Halloween01</t>
    <phoneticPr fontId="22"/>
  </si>
  <si>
    <t>NULL</t>
    <phoneticPr fontId="10"/>
  </si>
  <si>
    <t>3ターンの間全ユニットの攻撃力を小UP</t>
    <phoneticPr fontId="22"/>
  </si>
  <si>
    <t>1体に小ダメージ</t>
  </si>
  <si>
    <t>HPを150回復する</t>
    <phoneticPr fontId="22"/>
  </si>
  <si>
    <t>ダメージパネルを緑パネルに、赤パネルを最大8個Cパネルに変換し、2ターン緑属性とデーモンの攻撃力を超大UP</t>
    <rPh sb="8" eb="9">
      <t>ミドリ</t>
    </rPh>
    <rPh sb="14" eb="15">
      <t>アカ</t>
    </rPh>
    <rPh sb="19" eb="21">
      <t>サイダイ</t>
    </rPh>
    <rPh sb="22" eb="23">
      <t>コ</t>
    </rPh>
    <rPh sb="36" eb="39">
      <t>ミドリゾクセイ</t>
    </rPh>
    <rPh sb="45" eb="48">
      <t>コウゲキリョクヲ</t>
    </rPh>
    <rPh sb="49" eb="51">
      <t>チョウダイ</t>
    </rPh>
    <phoneticPr fontId="22"/>
  </si>
  <si>
    <t>ダメージパネルを緑パネルに、赤パネルを最大4個Cパネルに変換し、2ターン緑属性とデーモンの攻撃力を特大UP</t>
    <rPh sb="8" eb="9">
      <t>ミドリ</t>
    </rPh>
    <rPh sb="14" eb="15">
      <t>アカ</t>
    </rPh>
    <rPh sb="19" eb="21">
      <t>サイダイ</t>
    </rPh>
    <rPh sb="22" eb="23">
      <t>コ</t>
    </rPh>
    <rPh sb="36" eb="39">
      <t>ミドリゾクセイ</t>
    </rPh>
    <rPh sb="45" eb="48">
      <t>コウゲキリョクヲ</t>
    </rPh>
    <rPh sb="49" eb="51">
      <t>トクダイ</t>
    </rPh>
    <phoneticPr fontId="22"/>
  </si>
  <si>
    <t>ダメージパネルと青パネルを緑パネルに変換+3ターン緑パネル出現率大UPし、緑属性とデーモンの防御力特大UP</t>
    <rPh sb="8" eb="9">
      <t>アオ</t>
    </rPh>
    <rPh sb="13" eb="14">
      <t>ミドリ</t>
    </rPh>
    <rPh sb="25" eb="26">
      <t>ミドリ</t>
    </rPh>
    <rPh sb="29" eb="32">
      <t>シュツゲンリツ</t>
    </rPh>
    <rPh sb="32" eb="33">
      <t>ダイ</t>
    </rPh>
    <rPh sb="37" eb="38">
      <t>ミドリ</t>
    </rPh>
    <rPh sb="38" eb="40">
      <t>ゾクセイ</t>
    </rPh>
    <rPh sb="46" eb="49">
      <t>ボウギョリョク</t>
    </rPh>
    <rPh sb="49" eb="50">
      <t>トク</t>
    </rPh>
    <rPh sb="50" eb="51">
      <t>トクダイ</t>
    </rPh>
    <phoneticPr fontId="22"/>
  </si>
  <si>
    <t>[effect:enhance_unit, target:unit_green/unit_demon/or, turn:2, status:attack, val:0.25, calc:mul, animation:enhance_unit_all_attack04_unit01],[effect:force_change_block, new_block:block_green,target:damage, count:0, val:0, animation:change_block],[effect:force_change_block, new_block:crash, target:block_red, count:8, val:8, animation:change_block]</t>
    <phoneticPr fontId="22"/>
  </si>
  <si>
    <t>[effect:enhance_unit, target:unit_green/unit_demon/or, turn:2, status:attack, val:0.21, calc:mul, animation:enhance_unit_all_attack04_unit01],[effect:force_change_block, new_block:block_green,target:damage, count:0, val:0, animation:change_block],[effect:force_change_block, new_block:crash, target:block_red, count:4, val:8, animation:change_block]</t>
    <phoneticPr fontId="22"/>
  </si>
  <si>
    <t>1体に超大ダメージ</t>
    <phoneticPr fontId="22"/>
  </si>
  <si>
    <t>1体に特大ダメージ</t>
    <rPh sb="3" eb="5">
      <t>トクダイ</t>
    </rPh>
    <phoneticPr fontId="22"/>
  </si>
  <si>
    <t>[effect:damage, target:enemy_one, color:green, val:2.25, animation:damage_one_green04]</t>
    <phoneticPr fontId="22"/>
  </si>
  <si>
    <t>[effect:damage, target:enemy_one, color:green, val:2.5, animation:damage_one_green04]</t>
    <phoneticPr fontId="22"/>
  </si>
  <si>
    <t>1</t>
    <phoneticPr fontId="22"/>
  </si>
  <si>
    <t>1体に超大ダメージ
+HP回復</t>
    <phoneticPr fontId="22"/>
  </si>
  <si>
    <t>abilities_tmp_</t>
    <phoneticPr fontId="22"/>
  </si>
  <si>
    <t>giza</t>
  </si>
  <si>
    <t>驚かせちゃいます…！</t>
  </si>
  <si>
    <t>この姿は今宵だけです！</t>
  </si>
  <si>
    <t>お洒落してきました…！</t>
  </si>
  <si>
    <t>怖がった顔…見たいです</t>
  </si>
  <si>
    <t>ふふっ…ちょっと悪戯です！</t>
  </si>
  <si>
    <t>トリートの嵐でしょ！</t>
  </si>
  <si>
    <t>うなされちゃえー！</t>
  </si>
  <si>
    <t>お菓子は渡さないでしょ</t>
  </si>
  <si>
    <t>夜更かしOKだもんね！</t>
  </si>
  <si>
    <t>ふふー幸せな味でしょー！</t>
  </si>
  <si>
    <t>大きいカボチャはっけーん！</t>
  </si>
  <si>
    <t>ドリーム・アクス・ポタージュ</t>
    <phoneticPr fontId="22"/>
  </si>
  <si>
    <t>クリーム・アクス</t>
    <phoneticPr fontId="22"/>
  </si>
  <si>
    <t>ウルトラハッピー・ナイトメア</t>
    <phoneticPr fontId="22"/>
  </si>
  <si>
    <t>ホーンテッド★シザーズ</t>
    <phoneticPr fontId="22"/>
  </si>
  <si>
    <t>一夜の影断</t>
    <phoneticPr fontId="22"/>
  </si>
  <si>
    <t>[effect:damage, target:enemy_one, color:green, val:2.0, animation:damage_one_green04],[effect:heal_ratio, val:0.18, animation:heal02_unit01]</t>
    <phoneticPr fontId="22"/>
  </si>
  <si>
    <t>[effect:force_change_block, new_block:block_green,target:damage, count:0, val:0, animation:change_block],[effect:force_change_block, new_block:block_green, target:block_blue, count:0, val:0, animation:change_block],[effect:change_panel_ratio, turn:3, block_type:green, val:0.7,animation:block_incidence04],[effect:enhance_unit, target:unit_green/unit_demon/or, turn:3, status:defense, val:1080, calc:add, animation:enhance_unit_all_defense04_unit01]</t>
    <phoneticPr fontId="22"/>
  </si>
  <si>
    <t>トリックヒール</t>
    <phoneticPr fontId="22"/>
  </si>
  <si>
    <t>インテリトリック</t>
    <phoneticPr fontId="22"/>
  </si>
  <si>
    <t>ホラーマイン</t>
    <phoneticPr fontId="22"/>
  </si>
  <si>
    <t>悪戯放電</t>
    <phoneticPr fontId="22"/>
  </si>
  <si>
    <t>はっぴーはろうぃんだワン！</t>
    <phoneticPr fontId="22"/>
  </si>
  <si>
    <t>いたずらするワン！</t>
    <phoneticPr fontId="22"/>
  </si>
  <si>
    <t>お菓子ちょうだいワン！</t>
    <phoneticPr fontId="22"/>
  </si>
  <si>
    <t>おかしほしいな〜</t>
    <phoneticPr fontId="22"/>
  </si>
  <si>
    <t>リ…リリリッ！！</t>
    <phoneticPr fontId="22"/>
  </si>
  <si>
    <t>リー！リリリーー！！</t>
    <phoneticPr fontId="22"/>
  </si>
  <si>
    <t>リリリーリリー♪</t>
    <phoneticPr fontId="22"/>
  </si>
  <si>
    <t>ビガガッビビッ！！</t>
    <phoneticPr fontId="22"/>
  </si>
  <si>
    <t>ガ…ガビガガ！！</t>
    <phoneticPr fontId="22"/>
  </si>
  <si>
    <t>ガガ！！ビガガビ！！</t>
    <phoneticPr fontId="22"/>
  </si>
  <si>
    <t>kumo</t>
  </si>
  <si>
    <t>全体に青属性の小ダメージ</t>
    <rPh sb="3" eb="4">
      <t>アオ</t>
    </rPh>
    <phoneticPr fontId="22"/>
  </si>
  <si>
    <t>[effect:damage, target:enemy_one, color:red, val:1.5, animation:damage_one_red01]</t>
    <phoneticPr fontId="22"/>
  </si>
  <si>
    <t>[effect:damage, target:enemy_one, color:green, val:1.5, animation:damage_one_green01]</t>
    <phoneticPr fontId="22"/>
  </si>
  <si>
    <t>[effect:damage, target:enemy_one, color:blue, val:1.5, animation:damage_one_blue01]</t>
    <phoneticPr fontId="22"/>
  </si>
  <si>
    <t>[effect:damage, target:enemy_one, color:yellow, val:1.5, animation:damage_one_yellow01]</t>
    <phoneticPr fontId="22"/>
  </si>
  <si>
    <t>[effect:damage, target:enemy_one, color:yellow, val:3.0, animation:damage_one_yellow01]</t>
    <phoneticPr fontId="22"/>
  </si>
  <si>
    <t>[effect:damage, target:enemy_all, color:blue, val:1.5, animation:damage_all_blue01]</t>
    <phoneticPr fontId="22"/>
  </si>
  <si>
    <t>1体に黄属性の小ダメージ</t>
    <phoneticPr fontId="22"/>
  </si>
  <si>
    <t>[effect:heal_fix, val:150, animation:heal01_unit01]</t>
    <phoneticPr fontId="22"/>
  </si>
  <si>
    <t>[effect:enhance_unit, target:unit_all, turn:3, status:attack, val:0.1, calc:mul, animation:enhance_unit_all_attack01_unit01]</t>
    <phoneticPr fontId="22"/>
  </si>
  <si>
    <t>ゴーストナイト</t>
  </si>
  <si>
    <t>トリートプラント</t>
  </si>
  <si>
    <t>リトルナイトモンスター</t>
  </si>
  <si>
    <t>リトルホラーライト</t>
  </si>
  <si>
    <t>ハッピー・ナイトメア</t>
  </si>
  <si>
    <t>はっぴーはろうぃん！</t>
    <phoneticPr fontId="22"/>
  </si>
  <si>
    <t>とりっくおあとりーと！</t>
    <phoneticPr fontId="22"/>
  </si>
  <si>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</si>
  <si>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</si>
  <si>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</si>
  <si>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</si>
  <si>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</si>
  <si>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</si>
  <si>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</si>
  <si>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</si>
  <si>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</si>
  <si>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</si>
  <si>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</si>
  <si>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</si>
  <si>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</si>
  <si>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</si>
  <si>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</si>
  <si>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</si>
  <si>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</si>
  <si>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</si>
  <si>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</si>
  <si>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</si>
  <si>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sell_ghosts</t>
    <phoneticPr fontId="10"/>
  </si>
  <si>
    <t>sell_ghosts</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</si>
</sst>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30"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
      <sz val="12"/>
      <color theme="1"/>
      <name val="MS PGothic"/>
      <family val="3"/>
      <charset val="128"/>
    </font>
  </fonts>
  <fills count="29">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94">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195">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1" xfId="0" applyFont="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0" borderId="4" xfId="0" applyFont="1" applyFill="1" applyBorder="1" applyAlignment="1">
      <alignment horizontal="right" vertical="center" wrapText="1"/>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0" borderId="4" xfId="0" applyFont="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4" fillId="0"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0" borderId="4" xfId="0" applyFont="1" applyFill="1" applyBorder="1"/>
    <xf numFmtId="0" fontId="16" fillId="7" borderId="18" xfId="0" applyFont="1" applyFill="1" applyBorder="1" applyAlignment="1">
      <alignment horizontal="left" vertical="center"/>
    </xf>
    <xf numFmtId="0" fontId="13" fillId="0" borderId="4" xfId="0" applyFont="1" applyBorder="1" applyAlignment="1">
      <alignment vertical="center"/>
    </xf>
    <xf numFmtId="0" fontId="29" fillId="0" borderId="0" xfId="0" applyFont="1"/>
    <xf numFmtId="0" fontId="14" fillId="0" borderId="4" xfId="0" applyFont="1" applyBorder="1" applyAlignment="1">
      <alignment horizontal="left" vertical="center" wrapText="1"/>
    </xf>
    <xf numFmtId="0" fontId="14" fillId="0" borderId="7" xfId="0" applyFont="1" applyBorder="1" applyAlignment="1">
      <alignment horizontal="left" vertical="center" wrapText="1"/>
    </xf>
  </cellXfs>
  <cellStyles count="4594">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ハイパーリンク" xfId="4584" builtinId="8" hidden="1"/>
    <cellStyle name="ハイパーリンク" xfId="4586" builtinId="8" hidden="1"/>
    <cellStyle name="ハイパーリンク" xfId="4588" builtinId="8" hidden="1"/>
    <cellStyle name="ハイパーリンク" xfId="4590" builtinId="8" hidden="1"/>
    <cellStyle name="ハイパーリンク" xfId="4592"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表示済みのハイパーリンク" xfId="4585" builtinId="9" hidden="1"/>
    <cellStyle name="表示済みのハイパーリンク" xfId="4587" builtinId="9" hidden="1"/>
    <cellStyle name="表示済みのハイパーリンク" xfId="4589" builtinId="9" hidden="1"/>
    <cellStyle name="表示済みのハイパーリンク" xfId="4591" builtinId="9" hidden="1"/>
    <cellStyle name="表示済みのハイパーリンク" xfId="4593" builtinId="9" hidden="1"/>
    <cellStyle name="赤字強調" xfId="4"/>
    <cellStyle name="青字強調" xfId="3"/>
  </cellStyles>
  <dxfs count="42">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openxmlformats.org/officeDocument/2006/relationships/calcChain" Target="calcChain.xml"/><Relationship Id="rId25"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対八神チーム ダメージUP</v>
          </cell>
          <cell r="D69" t="str">
            <v>庵襲来内のマチュア、バイス、庵に対してダメージUP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種族ヒューマン攻撃力UP</v>
          </cell>
          <cell r="D166" t="str">
            <v>自身が先頭の時、1ターンの間に合計30個以上パネルを破壊した場合に種族ヒューマンの攻撃力UP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900</v>
          </cell>
          <cell r="B171" t="str">
            <v>ja</v>
          </cell>
          <cell r="C171" t="str">
            <v>チェイン12 攻撃力UP</v>
          </cell>
          <cell r="D171" t="str">
            <v>自身が先頭の時、1タップで12個以上パネルを繋げた場合に攻撃力UP(1ターンに1度だけ発動)</v>
          </cell>
        </row>
        <row r="172">
          <cell r="A172">
            <v>901</v>
          </cell>
          <cell r="B172" t="str">
            <v>ja</v>
          </cell>
          <cell r="C172" t="str">
            <v>チェイン12 回復力UP</v>
          </cell>
          <cell r="D172" t="str">
            <v>自身が先頭の時、1タップで12個以上パネルを繋げた場合に回復力UP(1ターンに1度だけ発動)</v>
          </cell>
        </row>
        <row r="173">
          <cell r="A173">
            <v>902</v>
          </cell>
          <cell r="B173" t="str">
            <v>ja</v>
          </cell>
          <cell r="C173" t="str">
            <v>チェイン12 タップ回数UP</v>
          </cell>
          <cell r="D173" t="str">
            <v>自身が先頭の時、1タップで12個以上パネルを繋げた場合にタップ回数を1回増やす(1ターンに1度だけ発動)</v>
          </cell>
        </row>
        <row r="174">
          <cell r="A174">
            <v>903</v>
          </cell>
          <cell r="B174" t="str">
            <v>ja</v>
          </cell>
          <cell r="C174" t="str">
            <v>チェイン18 スキルターン短縮</v>
          </cell>
          <cell r="D174" t="str">
            <v>自身が先頭の時、1タップで18個以上パネルを繋げた場合に自身のスキルターンを1短縮(1ターンに1度だけ発動)</v>
          </cell>
        </row>
        <row r="175">
          <cell r="A175">
            <v>904</v>
          </cell>
          <cell r="B175" t="str">
            <v>ja</v>
          </cell>
          <cell r="C175" t="str">
            <v>チェイン17 回復力UP</v>
          </cell>
          <cell r="D175" t="str">
            <v>自身が先頭の時、1タップで17個以上パネルを繋げた場合に自身の回復力を2017UP(1ターンに1度だけ発動)</v>
          </cell>
        </row>
        <row r="176">
          <cell r="A176">
            <v>905</v>
          </cell>
          <cell r="B176" t="str">
            <v>ja</v>
          </cell>
          <cell r="C176" t="str">
            <v>チェイン12 攻撃力小UP</v>
          </cell>
          <cell r="D176" t="str">
            <v>自身が先頭の時、1タップで12個以上パネルを繋げた場合に攻撃力小UP(1ターンに1度だけ発動)</v>
          </cell>
        </row>
        <row r="177">
          <cell r="A177">
            <v>906</v>
          </cell>
          <cell r="B177" t="str">
            <v>ja</v>
          </cell>
          <cell r="C177" t="str">
            <v>チェイン14 回復力小UP</v>
          </cell>
          <cell r="D177" t="str">
            <v>自身が先頭の時、1タップで14個以上パネルを繋げた場合に回復力小UP(1ターンに1度だけ発動)</v>
          </cell>
        </row>
        <row r="178">
          <cell r="A178">
            <v>907</v>
          </cell>
          <cell r="B178" t="str">
            <v>ja</v>
          </cell>
          <cell r="C178" t="str">
            <v>チェイン14 攻撃力UP</v>
          </cell>
          <cell r="D178" t="str">
            <v>自身が先頭の時、1タップで14個以上パネルを繋げた場合に攻撃力UP(1ターンに1度だけ発動)</v>
          </cell>
        </row>
        <row r="179">
          <cell r="A179">
            <v>908</v>
          </cell>
          <cell r="B179" t="str">
            <v>ja</v>
          </cell>
          <cell r="C179" t="str">
            <v>チェイン16 黄属性防御力UP</v>
          </cell>
          <cell r="D179" t="str">
            <v>自身が先頭の時、1タップで16個以上パネルを繋げた場合に黄属性ユニットの防御力UP(1ターンに1度だけ発動)</v>
          </cell>
        </row>
        <row r="180">
          <cell r="A180">
            <v>909</v>
          </cell>
          <cell r="B180" t="str">
            <v>ja</v>
          </cell>
          <cell r="C180" t="str">
            <v>チェイン30 Cパネル生成短縮(激烈)</v>
          </cell>
          <cell r="D180" t="str">
            <v>自身が先頭の時、1タップで30個以上パネルを繋げた場合にCパネル生成短縮(効果激烈)(1ターンに1度だけ発動)</v>
          </cell>
        </row>
        <row r="181">
          <cell r="A181">
            <v>910</v>
          </cell>
          <cell r="B181" t="str">
            <v>ja</v>
          </cell>
          <cell r="C181" t="str">
            <v>チェイン18 HP回復</v>
          </cell>
          <cell r="D181" t="str">
            <v>自身が先頭の時、1タップで18個以上パネルを繋げた場合にHPを2500回復(1ターンに1度だけ発動)</v>
          </cell>
        </row>
        <row r="182">
          <cell r="A182">
            <v>911</v>
          </cell>
          <cell r="B182" t="str">
            <v>ja</v>
          </cell>
          <cell r="C182" t="str">
            <v>チェイン24 ダメージ軽減</v>
          </cell>
          <cell r="D182" t="str">
            <v>自身が先頭の時、1タップで24個以上パネルを繋げた場合に敵からのダメージを15％軽減(1ターンに1度だけ発動)</v>
          </cell>
        </row>
        <row r="183">
          <cell r="A183">
            <v>912</v>
          </cell>
          <cell r="B183" t="str">
            <v>ja</v>
          </cell>
          <cell r="C183" t="str">
            <v>チェイン22 スキルターン短縮</v>
          </cell>
          <cell r="D183" t="str">
            <v>自身が先頭の時、1タップで22個以上パネルを繋げた場合に自身のスキルターンを1短縮(1ターンに1度だけ発動)</v>
          </cell>
        </row>
        <row r="184">
          <cell r="A184">
            <v>913</v>
          </cell>
          <cell r="B184" t="str">
            <v>ja</v>
          </cell>
          <cell r="C184" t="str">
            <v>チェイン26 Cパネル生成短縮(特大)</v>
          </cell>
          <cell r="D184" t="str">
            <v>自身または、味方が1タップで26個以上パネルを繋げた場合に先頭ユニットのCパネル生成短縮(効果特大)(1ターンに1度だけ発動)</v>
          </cell>
        </row>
        <row r="185">
          <cell r="A185">
            <v>914</v>
          </cell>
          <cell r="B185" t="str">
            <v>ja</v>
          </cell>
          <cell r="C185" t="str">
            <v>チェイン14 スキルバインド解除</v>
          </cell>
          <cell r="D185" t="str">
            <v>自身が先頭の時、1タップで14個以上パネルを繋げた場合にスキルバインドを解除する</v>
          </cell>
        </row>
        <row r="186">
          <cell r="A186">
            <v>915</v>
          </cell>
          <cell r="B186" t="str">
            <v>ja</v>
          </cell>
          <cell r="C186" t="str">
            <v>チェイン16 スキルターン短縮</v>
          </cell>
          <cell r="D186" t="str">
            <v>自身が先頭の時、1タップで16個以上パネルを繋げた場合に自身のスキルターンを1短縮する(1ターンに1度だけ発動)</v>
          </cell>
        </row>
        <row r="187">
          <cell r="A187">
            <v>916</v>
          </cell>
          <cell r="B187" t="str">
            <v>ja</v>
          </cell>
          <cell r="C187" t="str">
            <v>チェイン14 黄属性防御力UP</v>
          </cell>
          <cell r="D187" t="str">
            <v>自身が先頭の時、1タップで14個以上パネルを繋げた場合に黄属性ユニットの防御力UP(1ターンに1度だけ発動)</v>
          </cell>
        </row>
        <row r="188">
          <cell r="A188">
            <v>917</v>
          </cell>
          <cell r="B188" t="str">
            <v>ja</v>
          </cell>
          <cell r="C188" t="str">
            <v>チェイン18 HP回復</v>
          </cell>
          <cell r="D188" t="str">
            <v>自身が先頭の時、1タップで18個以上パネルを繋げた場合にHPを1500回復(1ターンに1度だけ発動)</v>
          </cell>
        </row>
        <row r="189">
          <cell r="A189">
            <v>918</v>
          </cell>
          <cell r="B189" t="str">
            <v>ja</v>
          </cell>
          <cell r="C189" t="str">
            <v>チェイン18 HP回復</v>
          </cell>
          <cell r="D189" t="str">
            <v>自身が先頭の時、1タップで18個以上パネルを繋げた場合にHPを1500回復(1ターンに1度だけ発動)</v>
          </cell>
        </row>
        <row r="190">
          <cell r="A190">
            <v>919</v>
          </cell>
          <cell r="B190" t="str">
            <v>ja</v>
          </cell>
          <cell r="C190" t="str">
            <v>チェイン16 攻撃力特大UP</v>
          </cell>
          <cell r="D190" t="str">
            <v>自身が先頭の時、1タップで16個以上パネルを繋げた場合に攻撃力特大UP(1ターンに1度だけ発動)</v>
          </cell>
        </row>
        <row r="191">
          <cell r="A191">
            <v>1000</v>
          </cell>
          <cell r="B191" t="str">
            <v>ja</v>
          </cell>
          <cell r="C191" t="str">
            <v>対種族ヒューマン 超大カウンター</v>
          </cell>
          <cell r="D191" t="str">
            <v>敵に種族ヒューマンがいる場合、自身に超大カウンター</v>
          </cell>
        </row>
        <row r="192">
          <cell r="A192">
            <v>1100</v>
          </cell>
          <cell r="B192" t="str">
            <v>ja</v>
          </cell>
          <cell r="C192" t="str">
            <v>Cパネル生成短縮</v>
          </cell>
          <cell r="D192" t="str">
            <v>自身が先頭の時、Cパネル生成に必要なチェイン数を1短縮する</v>
          </cell>
        </row>
        <row r="193">
          <cell r="A193">
            <v>1101</v>
          </cell>
          <cell r="B193" t="str">
            <v>ja</v>
          </cell>
          <cell r="C193" t="str">
            <v>Cパネル生成短縮(大)</v>
          </cell>
          <cell r="D193" t="str">
            <v>自身が先頭の時、Cパネル生成に必要なチェイン数を2短縮する</v>
          </cell>
        </row>
        <row r="194">
          <cell r="A194">
            <v>1200</v>
          </cell>
          <cell r="B194" t="str">
            <v>ja</v>
          </cell>
          <cell r="C194" t="str">
            <v>フィーバー攻撃UP</v>
          </cell>
          <cell r="D194" t="str">
            <v>自身が先頭の時、フィーバー発動時に緑属性の攻撃力と回復力UP</v>
          </cell>
        </row>
        <row r="195">
          <cell r="A195">
            <v>1300</v>
          </cell>
          <cell r="B195" t="str">
            <v>ja</v>
          </cell>
          <cell r="C195" t="str">
            <v>チェイン12 HP回復</v>
          </cell>
          <cell r="D195" t="str">
            <v>自身が先頭の時、1タップで12個以上パネルを繋げた場合にHPを2000回復(1ターンに1度だけ発動)</v>
          </cell>
        </row>
        <row r="196">
          <cell r="A196">
            <v>1400</v>
          </cell>
          <cell r="B196" t="str">
            <v>ja</v>
          </cell>
          <cell r="C196" t="str">
            <v>カウンター威力UP</v>
          </cell>
          <cell r="D196" t="str">
            <v>4ターン毎に自身のカウンタースキルの威力が1ターンの間UP</v>
          </cell>
        </row>
        <row r="197">
          <cell r="A197">
            <v>1500</v>
          </cell>
          <cell r="B197" t="str">
            <v>ja</v>
          </cell>
          <cell r="C197" t="str">
            <v>バリア15000</v>
          </cell>
          <cell r="D197" t="str">
            <v>戦闘開始時に、自身への直接ダメージを15000まで防ぐバリアを一度だけ展開(バリアは破壊されると復活しない)</v>
          </cell>
        </row>
        <row r="198">
          <cell r="A198">
            <v>1501</v>
          </cell>
          <cell r="B198" t="str">
            <v>ja</v>
          </cell>
          <cell r="C198" t="str">
            <v>バリア</v>
          </cell>
          <cell r="D198" t="str">
            <v>戦闘開始時に、ダメージを25000まで防ぐバリアを一度だけ展開</v>
          </cell>
        </row>
        <row r="199">
          <cell r="A199">
            <v>1502</v>
          </cell>
          <cell r="B199" t="str">
            <v>ja</v>
          </cell>
          <cell r="C199" t="str">
            <v>バリア</v>
          </cell>
          <cell r="D199" t="str">
            <v>戦闘開始時に、ダメージを50000まで防ぐバリアを一度だけ展開</v>
          </cell>
        </row>
        <row r="200">
          <cell r="A200">
            <v>1503</v>
          </cell>
          <cell r="B200" t="str">
            <v>ja</v>
          </cell>
          <cell r="C200" t="str">
            <v>バリア8000</v>
          </cell>
          <cell r="D200" t="str">
            <v>戦闘開始時に、自身への直接ダメージを8000まで防ぐバリアを一度だけ展開(バリアは破壊されると復活しない)</v>
          </cell>
        </row>
        <row r="201">
          <cell r="A201">
            <v>1504</v>
          </cell>
          <cell r="B201" t="str">
            <v>ja</v>
          </cell>
          <cell r="C201" t="str">
            <v>バリア10000</v>
          </cell>
          <cell r="D201" t="str">
            <v>戦闘開始時に、自身への直接ダメージを10000まで防ぐバリアを一度だけ展開(バリアは破壊されると復活しない)</v>
          </cell>
        </row>
        <row r="202">
          <cell r="A202">
            <v>1505</v>
          </cell>
          <cell r="B202" t="str">
            <v>ja</v>
          </cell>
          <cell r="C202" t="str">
            <v>バリア3939</v>
          </cell>
          <cell r="D202" t="str">
            <v>戦闘開始時に、自身への直接ダメージを3939まで防ぐバリアを一度だけ展開(バリアは破壊されると復活しない)</v>
          </cell>
        </row>
        <row r="203">
          <cell r="A203">
            <v>1506</v>
          </cell>
          <cell r="B203" t="str">
            <v>ja</v>
          </cell>
          <cell r="C203" t="str">
            <v>バリア5000</v>
          </cell>
          <cell r="D203" t="str">
            <v>戦闘開始時に、自身への直接ダメージを5000まで防ぐバリアを一度だけ展開(バリアは破壊されると復活しない)</v>
          </cell>
        </row>
        <row r="204">
          <cell r="A204">
            <v>1507</v>
          </cell>
          <cell r="B204" t="str">
            <v>ja</v>
          </cell>
          <cell r="C204" t="str">
            <v>バリア3500</v>
          </cell>
          <cell r="D204" t="str">
            <v>戦闘開始時に、自身への直接ダメージを3500まで防ぐバリアを一度だけ展開(バリアは破壊されると復活しない)</v>
          </cell>
        </row>
        <row r="205">
          <cell r="A205">
            <v>1600</v>
          </cell>
          <cell r="B205" t="str">
            <v>ja</v>
          </cell>
          <cell r="C205" t="str">
            <v>攻撃力・回復力UP</v>
          </cell>
          <cell r="D205" t="str">
            <v>自身の攻撃力と回復力をUP</v>
          </cell>
        </row>
        <row r="206">
          <cell r="A206">
            <v>1601</v>
          </cell>
          <cell r="B206" t="str">
            <v>ja</v>
          </cell>
          <cell r="C206" t="str">
            <v>隣接ユニット 回復力UP</v>
          </cell>
          <cell r="D206" t="str">
            <v>右隣のユニットの回復力を1000UPする</v>
          </cell>
        </row>
        <row r="207">
          <cell r="A207">
            <v>1602</v>
          </cell>
          <cell r="B207" t="str">
            <v>ja</v>
          </cell>
          <cell r="C207" t="str">
            <v>テクニカルタイプ攻撃力UP</v>
          </cell>
          <cell r="D207" t="str">
            <v>テクニカルタイプの攻撃力を700UP</v>
          </cell>
        </row>
        <row r="208">
          <cell r="A208">
            <v>1603</v>
          </cell>
          <cell r="B208" t="str">
            <v>ja</v>
          </cell>
          <cell r="C208" t="str">
            <v>3種族 攻撃力UP</v>
          </cell>
          <cell r="D208" t="str">
            <v>種族アニマル・ファンタジー・ヒーローユニットの攻撃力を800UP</v>
          </cell>
        </row>
        <row r="209">
          <cell r="A209">
            <v>1604</v>
          </cell>
          <cell r="B209" t="str">
            <v>ja</v>
          </cell>
          <cell r="C209" t="str">
            <v>2種族 6ターン毎、タップ回数UP</v>
          </cell>
          <cell r="D209" t="str">
            <v>最初の1ターン目と、その後6ターン毎にヒューマン・ファンタジーユニットのタップ回数1増加</v>
          </cell>
        </row>
        <row r="210">
          <cell r="A210">
            <v>1605</v>
          </cell>
          <cell r="B210" t="str">
            <v>ja</v>
          </cell>
          <cell r="C210" t="str">
            <v>タイプ 攻撃力UP</v>
          </cell>
          <cell r="D210" t="str">
            <v>パーティーに体力かテクニカルタイプいる場合、全ユニット攻撃力500UP</v>
          </cell>
        </row>
        <row r="211">
          <cell r="A211">
            <v>1700</v>
          </cell>
          <cell r="B211" t="str">
            <v>ja</v>
          </cell>
          <cell r="C211" t="str">
            <v>パネルブレイク30 ターンHP小回復</v>
          </cell>
          <cell r="D211" t="str">
            <v>自身が先頭の時、1ターンの間に合計30個以上パネルを破壊した場合に1ターン HP小回復</v>
          </cell>
        </row>
        <row r="212">
          <cell r="A212">
            <v>1701</v>
          </cell>
          <cell r="B212" t="str">
            <v>ja</v>
          </cell>
          <cell r="C212" t="str">
            <v>5ターン毎、HP回復</v>
          </cell>
          <cell r="D212" t="str">
            <v>最初の1ターン目と、その後5ターン毎のターン終了時、HPを2500回復する</v>
          </cell>
        </row>
        <row r="213">
          <cell r="A213">
            <v>1702</v>
          </cell>
          <cell r="B213" t="str">
            <v>ja</v>
          </cell>
          <cell r="C213" t="str">
            <v>ターン経過攻撃力UP</v>
          </cell>
          <cell r="D213" t="str">
            <v>最初の1ターン目と、その後6ターン毎に1ターン種族ドラゴン・ファンタジー・アニマルの攻撃力を1000UP</v>
          </cell>
        </row>
        <row r="214">
          <cell r="A214">
            <v>1703</v>
          </cell>
          <cell r="B214" t="str">
            <v>ja</v>
          </cell>
          <cell r="C214" t="str">
            <v>8ターン毎、右隣スキルターン1短縮</v>
          </cell>
          <cell r="D214" t="str">
            <v>最初の1ターン目と、その後8ターン毎に右隣のユニットのスキルターンを1短縮</v>
          </cell>
        </row>
        <row r="215">
          <cell r="A215">
            <v>1704</v>
          </cell>
          <cell r="B215" t="str">
            <v>ja</v>
          </cell>
          <cell r="C215" t="str">
            <v>ターン経過回復力UP</v>
          </cell>
          <cell r="D215" t="str">
            <v>最初の1ターン目と、その後6ターン毎に1ターン自身と右隣のユニットの回復力を1500UP</v>
          </cell>
        </row>
        <row r="216">
          <cell r="A216">
            <v>1800</v>
          </cell>
          <cell r="B216" t="str">
            <v>ja</v>
          </cell>
          <cell r="C216" t="str">
            <v>フィーバー強化</v>
          </cell>
          <cell r="D216" t="str">
            <v>フィーバー時自身の攻撃力、回復力を特大UP</v>
          </cell>
        </row>
        <row r="217">
          <cell r="A217">
            <v>1900</v>
          </cell>
          <cell r="B217" t="str">
            <v>ja</v>
          </cell>
          <cell r="C217" t="str">
            <v>ハート出現率UP</v>
          </cell>
          <cell r="D217" t="str">
            <v>自身が先頭の時、ハートパネルの出現率UP</v>
          </cell>
        </row>
        <row r="218">
          <cell r="A218">
            <v>2000</v>
          </cell>
          <cell r="B218" t="str">
            <v>ja</v>
          </cell>
          <cell r="C218" t="str">
            <v>赤パネル出現率UP</v>
          </cell>
          <cell r="D218" t="str">
            <v>自身が先頭の時、赤パネルの出現率UP</v>
          </cell>
        </row>
        <row r="219">
          <cell r="A219">
            <v>2100</v>
          </cell>
          <cell r="B219" t="str">
            <v>ja</v>
          </cell>
          <cell r="C219" t="str">
            <v>緑パネル出現率UP</v>
          </cell>
          <cell r="D219" t="str">
            <v>自身が先頭の時、緑パネルの出現率UP</v>
          </cell>
        </row>
        <row r="220">
          <cell r="A220">
            <v>2101</v>
          </cell>
          <cell r="B220" t="str">
            <v>ja</v>
          </cell>
          <cell r="C220" t="str">
            <v>緑パネル出現率UP</v>
          </cell>
          <cell r="D220" t="str">
            <v>自身が先頭の時、緑パネルの出現率UP</v>
          </cell>
        </row>
        <row r="221">
          <cell r="A221">
            <v>2200</v>
          </cell>
          <cell r="B221" t="str">
            <v>ja</v>
          </cell>
          <cell r="C221" t="str">
            <v>青パネル出現率UP</v>
          </cell>
          <cell r="D221" t="str">
            <v>自身が先頭の時、青パネルの出現率UP</v>
          </cell>
        </row>
        <row r="222">
          <cell r="A222">
            <v>2201</v>
          </cell>
          <cell r="B222" t="str">
            <v>ja</v>
          </cell>
          <cell r="C222" t="str">
            <v>青パネル出現率UP</v>
          </cell>
          <cell r="D222" t="str">
            <v>自身が先頭の時、青パネルの出現率UP</v>
          </cell>
        </row>
        <row r="223">
          <cell r="A223">
            <v>2300</v>
          </cell>
          <cell r="B223" t="str">
            <v>ja</v>
          </cell>
          <cell r="C223" t="str">
            <v>黄パネル出現率UP</v>
          </cell>
          <cell r="D223" t="str">
            <v>自身が先頭の時、黄パネルの出現率UP</v>
          </cell>
        </row>
        <row r="224">
          <cell r="A224">
            <v>2400</v>
          </cell>
          <cell r="B224" t="str">
            <v>ja</v>
          </cell>
          <cell r="C224" t="str">
            <v>ハートボムパネルドロップ</v>
          </cell>
          <cell r="D224" t="str">
            <v>自身が先頭の時、ハートパネルを確率でハートボムパネルに変換しドロップ</v>
          </cell>
        </row>
        <row r="225">
          <cell r="A225">
            <v>2401</v>
          </cell>
          <cell r="B225" t="str">
            <v>ja</v>
          </cell>
          <cell r="C225" t="str">
            <v>赤ボムパネルドロップ</v>
          </cell>
          <cell r="D225" t="str">
            <v>自身が先頭の時、赤パネルを低確率で赤ボムパネルに変換しドロップ</v>
          </cell>
        </row>
        <row r="226">
          <cell r="A226">
            <v>2402</v>
          </cell>
          <cell r="B226" t="str">
            <v>ja</v>
          </cell>
          <cell r="C226" t="str">
            <v>緑ボムパネルドロップ</v>
          </cell>
          <cell r="D226" t="str">
            <v>自身が先頭の時、緑パネルを低確率で緑ボムパネルに変換しドロップ</v>
          </cell>
        </row>
        <row r="227">
          <cell r="A227">
            <v>2403</v>
          </cell>
          <cell r="B227" t="str">
            <v>ja</v>
          </cell>
          <cell r="C227" t="str">
            <v>青ボムパネルドロップ</v>
          </cell>
          <cell r="D227" t="str">
            <v>自身が先頭の時、青パネルを確率で青ボムパネルに変換しドロップ</v>
          </cell>
        </row>
        <row r="228">
          <cell r="A228">
            <v>2500</v>
          </cell>
          <cell r="B228" t="str">
            <v>ja</v>
          </cell>
          <cell r="C228" t="str">
            <v>青パネルドロップ</v>
          </cell>
          <cell r="D228" t="str">
            <v>自身が先頭の時、緑パネルを確率で青パネルに変換しドロップ</v>
          </cell>
        </row>
        <row r="229">
          <cell r="A229">
            <v>2501</v>
          </cell>
          <cell r="B229" t="str">
            <v>ja</v>
          </cell>
          <cell r="C229" t="str">
            <v>黄パネルドロップ</v>
          </cell>
          <cell r="D229" t="str">
            <v>自身が先頭の時、青パネルを確率で黄パネルに変換しドロップ</v>
          </cell>
        </row>
        <row r="230">
          <cell r="A230">
            <v>2502</v>
          </cell>
          <cell r="B230" t="str">
            <v>ja</v>
          </cell>
          <cell r="C230" t="str">
            <v>赤パネルドロップ</v>
          </cell>
          <cell r="D230" t="str">
            <v>自身が先頭の時、黄パネルを確率で赤パネルに変換しドロップ</v>
          </cell>
        </row>
        <row r="231">
          <cell r="A231">
            <v>2503</v>
          </cell>
          <cell r="B231" t="str">
            <v>ja</v>
          </cell>
          <cell r="C231" t="str">
            <v>黄パネルドロップ</v>
          </cell>
          <cell r="D231" t="str">
            <v>自身が先頭の時、赤パネルを確率で黄パネルに変換しドロップ</v>
          </cell>
        </row>
        <row r="232">
          <cell r="A232">
            <v>2504</v>
          </cell>
          <cell r="B232" t="str">
            <v>ja</v>
          </cell>
          <cell r="C232" t="str">
            <v>SCパネルドロップ</v>
          </cell>
          <cell r="D232" t="str">
            <v>自身が先頭の時、緑パネルを確率でSCパネルに変換しドロップ</v>
          </cell>
        </row>
        <row r="233">
          <cell r="A233">
            <v>2505</v>
          </cell>
          <cell r="B233" t="str">
            <v>ja</v>
          </cell>
          <cell r="C233" t="str">
            <v>緑ボムパネル(大)ドロップ</v>
          </cell>
          <cell r="D233" t="str">
            <v>自身が先頭の時、低確率で緑ボムパネル(大)をドロップ</v>
          </cell>
        </row>
        <row r="234">
          <cell r="A234">
            <v>2506</v>
          </cell>
          <cell r="B234" t="str">
            <v>ja</v>
          </cell>
          <cell r="C234" t="str">
            <v>ハートボムパネル(大)ドロップ</v>
          </cell>
          <cell r="D234" t="str">
            <v>自身が先頭の時、低確率でハートボムパネル(大)をドロップ</v>
          </cell>
        </row>
        <row r="235">
          <cell r="A235">
            <v>2507</v>
          </cell>
          <cell r="B235" t="str">
            <v>ja</v>
          </cell>
          <cell r="C235" t="str">
            <v>Cパネルドロップ</v>
          </cell>
          <cell r="D235" t="str">
            <v>自身が先頭の時、低確率でCパネルをドロップ</v>
          </cell>
        </row>
        <row r="236">
          <cell r="A236">
            <v>2508</v>
          </cell>
          <cell r="B236" t="str">
            <v>ja</v>
          </cell>
          <cell r="C236" t="str">
            <v>黄パネルドロップ</v>
          </cell>
          <cell r="D236" t="str">
            <v>自身が先頭の時、緑パネルを確率で黄パネルに変換しドロップ</v>
          </cell>
        </row>
        <row r="237">
          <cell r="A237">
            <v>2509</v>
          </cell>
          <cell r="B237" t="str">
            <v>ja</v>
          </cell>
          <cell r="C237" t="str">
            <v>赤ボムパネル(大)ドロップ</v>
          </cell>
          <cell r="D237" t="str">
            <v>自身が先頭の時、低確率で赤ボムパネル(大)をドロップ</v>
          </cell>
        </row>
        <row r="238">
          <cell r="A238">
            <v>2510</v>
          </cell>
          <cell r="B238" t="str">
            <v>ja</v>
          </cell>
          <cell r="C238" t="str">
            <v>青ボムパネル(大)ドロップ</v>
          </cell>
          <cell r="D238" t="str">
            <v>自身が先頭の時、低確率で青ボムパネル(大)をドロップ</v>
          </cell>
        </row>
        <row r="239">
          <cell r="A239">
            <v>2511</v>
          </cell>
          <cell r="B239" t="str">
            <v>ja</v>
          </cell>
          <cell r="C239" t="str">
            <v>緑ボムパネルドロップ</v>
          </cell>
          <cell r="D239" t="str">
            <v>自身が先頭の時、ハートパネルを確率で緑ボムパネルに変換しドロップ</v>
          </cell>
        </row>
        <row r="240">
          <cell r="A240">
            <v>2512</v>
          </cell>
          <cell r="B240" t="str">
            <v>ja</v>
          </cell>
          <cell r="C240" t="str">
            <v>ハートボムパネル(大)ドロップ</v>
          </cell>
          <cell r="D240" t="str">
            <v>自身が先頭の時、低確率でハートボムパネル(大)をドロップ</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 Cパネ降り（仮）</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T13" sqref="T13"/>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4" t="s">
        <v>125</v>
      </c>
      <c r="B1" s="104" t="s">
        <v>116</v>
      </c>
      <c r="C1" s="104" t="s">
        <v>117</v>
      </c>
      <c r="D1" s="104" t="s">
        <v>118</v>
      </c>
      <c r="E1" s="104" t="s">
        <v>119</v>
      </c>
      <c r="F1" s="104" t="s">
        <v>120</v>
      </c>
      <c r="G1" s="104" t="s">
        <v>121</v>
      </c>
      <c r="H1" s="104"/>
      <c r="I1" s="104"/>
      <c r="J1" s="104"/>
      <c r="K1" s="104"/>
      <c r="L1" s="105"/>
      <c r="M1" s="105"/>
      <c r="N1" s="105"/>
      <c r="O1" s="105"/>
      <c r="P1" s="105"/>
      <c r="Q1" s="105"/>
      <c r="R1" s="105"/>
      <c r="S1" s="105"/>
      <c r="T1" s="105"/>
      <c r="U1" s="105"/>
      <c r="V1" s="105"/>
      <c r="W1" s="105"/>
    </row>
    <row r="2" spans="1:29" x14ac:dyDescent="0.15">
      <c r="A2" s="106" t="s">
        <v>315</v>
      </c>
      <c r="B2" s="106" t="s">
        <v>129</v>
      </c>
      <c r="C2" s="164" t="s">
        <v>317</v>
      </c>
      <c r="D2" s="106" t="s">
        <v>128</v>
      </c>
      <c r="E2" s="105" t="str">
        <f>B2&amp;C2&amp;D2</f>
        <v>units_Halloween01.tmp</v>
      </c>
      <c r="F2" s="106" t="s">
        <v>124</v>
      </c>
      <c r="G2" s="60" t="s">
        <v>17</v>
      </c>
      <c r="H2" s="61" t="s">
        <v>96</v>
      </c>
      <c r="I2" s="61" t="s">
        <v>1</v>
      </c>
      <c r="J2" s="61" t="s">
        <v>3</v>
      </c>
      <c r="K2" s="61" t="s">
        <v>2</v>
      </c>
      <c r="L2" s="61" t="s">
        <v>98</v>
      </c>
      <c r="M2" s="61" t="s">
        <v>20</v>
      </c>
      <c r="N2" s="61" t="s">
        <v>103</v>
      </c>
      <c r="O2" s="61" t="s">
        <v>101</v>
      </c>
      <c r="P2" s="61" t="s">
        <v>39</v>
      </c>
      <c r="Q2" s="61" t="s">
        <v>57</v>
      </c>
      <c r="R2" s="106" t="s">
        <v>406</v>
      </c>
      <c r="S2" s="106"/>
      <c r="T2" s="106"/>
      <c r="U2" s="106"/>
      <c r="V2" s="106"/>
      <c r="W2" s="106"/>
    </row>
    <row r="3" spans="1:29" x14ac:dyDescent="0.15">
      <c r="A3" s="106" t="s">
        <v>315</v>
      </c>
      <c r="B3" s="106" t="s">
        <v>293</v>
      </c>
      <c r="C3" s="164" t="s">
        <v>317</v>
      </c>
      <c r="D3" s="106" t="s">
        <v>128</v>
      </c>
      <c r="E3" s="105" t="str">
        <f>B3&amp;C3&amp;D3</f>
        <v>fork_awake_units_Halloween01.tmp</v>
      </c>
      <c r="F3" s="106" t="s">
        <v>294</v>
      </c>
      <c r="G3" s="60" t="s">
        <v>17</v>
      </c>
      <c r="H3" s="61" t="s">
        <v>295</v>
      </c>
      <c r="I3" s="61" t="s">
        <v>296</v>
      </c>
      <c r="J3" s="61" t="s">
        <v>297</v>
      </c>
      <c r="K3" s="109"/>
      <c r="L3" s="109"/>
      <c r="M3" s="109"/>
      <c r="N3" s="109"/>
      <c r="O3" s="109"/>
      <c r="P3" s="109"/>
      <c r="Q3" s="109"/>
      <c r="R3" s="109"/>
      <c r="S3" s="109"/>
      <c r="T3" s="109"/>
      <c r="U3" s="109"/>
      <c r="V3" s="109"/>
      <c r="W3" s="109"/>
    </row>
    <row r="4" spans="1:29" x14ac:dyDescent="0.15">
      <c r="A4" s="106" t="s">
        <v>315</v>
      </c>
      <c r="B4" s="106" t="s">
        <v>130</v>
      </c>
      <c r="C4" s="164" t="s">
        <v>317</v>
      </c>
      <c r="D4" s="106" t="s">
        <v>128</v>
      </c>
      <c r="E4" s="105" t="str">
        <f>B4&amp;C4&amp;D4</f>
        <v>awake_materials_Halloween01.tmp</v>
      </c>
      <c r="F4" s="106" t="s">
        <v>123</v>
      </c>
      <c r="G4" s="107" t="s">
        <v>38</v>
      </c>
      <c r="H4" s="108" t="s">
        <v>36</v>
      </c>
      <c r="I4" s="108" t="s">
        <v>37</v>
      </c>
      <c r="J4" s="110" t="s">
        <v>126</v>
      </c>
      <c r="K4" s="109"/>
      <c r="L4" s="109"/>
      <c r="M4" s="109"/>
      <c r="N4" s="109"/>
      <c r="O4" s="109"/>
      <c r="P4" s="109"/>
      <c r="Q4" s="109"/>
      <c r="R4" s="109"/>
      <c r="S4" s="109"/>
      <c r="T4" s="109"/>
      <c r="U4" s="109"/>
      <c r="V4" s="109"/>
      <c r="W4" s="109"/>
    </row>
    <row r="5" spans="1:29" x14ac:dyDescent="0.15">
      <c r="A5" s="106" t="s">
        <v>315</v>
      </c>
      <c r="B5" s="106" t="s">
        <v>292</v>
      </c>
      <c r="C5" s="164" t="s">
        <v>317</v>
      </c>
      <c r="D5" s="106" t="s">
        <v>128</v>
      </c>
      <c r="E5" s="105" t="str">
        <f>B5&amp;C5&amp;D5</f>
        <v>fork_awake_materials_Halloween01.tmp</v>
      </c>
      <c r="F5" s="106" t="s">
        <v>123</v>
      </c>
      <c r="G5" s="184" t="s">
        <v>298</v>
      </c>
      <c r="H5" s="184" t="s">
        <v>299</v>
      </c>
      <c r="I5" s="184" t="s">
        <v>36</v>
      </c>
      <c r="J5" s="184" t="s">
        <v>37</v>
      </c>
      <c r="K5" s="184" t="s">
        <v>300</v>
      </c>
      <c r="L5" s="184" t="s">
        <v>301</v>
      </c>
      <c r="M5" s="109"/>
      <c r="N5" s="109"/>
      <c r="O5" s="109"/>
      <c r="P5" s="109"/>
      <c r="Q5" s="109"/>
      <c r="R5" s="109"/>
      <c r="S5" s="109"/>
      <c r="T5" s="109"/>
      <c r="U5" s="109"/>
      <c r="V5" s="109"/>
      <c r="W5" s="109"/>
    </row>
    <row r="6" spans="1:29" x14ac:dyDescent="0.15">
      <c r="A6" s="106" t="s">
        <v>315</v>
      </c>
      <c r="B6" s="106" t="s">
        <v>131</v>
      </c>
      <c r="C6" s="164" t="s">
        <v>317</v>
      </c>
      <c r="D6" s="106" t="s">
        <v>132</v>
      </c>
      <c r="E6" s="105" t="str">
        <f t="shared" ref="E6" si="0">B6&amp;C6&amp;D6</f>
        <v>unit_levels_calc_Halloween01.tmp</v>
      </c>
      <c r="F6" s="106" t="s">
        <v>122</v>
      </c>
      <c r="G6" s="56" t="s">
        <v>17</v>
      </c>
      <c r="H6" s="57" t="s">
        <v>2</v>
      </c>
      <c r="I6" s="58" t="s">
        <v>79</v>
      </c>
      <c r="J6" s="58" t="s">
        <v>80</v>
      </c>
      <c r="K6" s="58" t="s">
        <v>81</v>
      </c>
      <c r="L6" s="58" t="s">
        <v>82</v>
      </c>
      <c r="M6" s="58" t="s">
        <v>87</v>
      </c>
      <c r="N6" s="58" t="s">
        <v>88</v>
      </c>
      <c r="O6" s="58" t="s">
        <v>89</v>
      </c>
      <c r="P6" s="58" t="s">
        <v>90</v>
      </c>
      <c r="Q6" s="58" t="s">
        <v>91</v>
      </c>
      <c r="R6" s="58" t="s">
        <v>94</v>
      </c>
      <c r="S6" s="58" t="s">
        <v>92</v>
      </c>
      <c r="T6" s="58" t="s">
        <v>93</v>
      </c>
      <c r="U6" s="58" t="s">
        <v>83</v>
      </c>
      <c r="V6" s="58" t="s">
        <v>84</v>
      </c>
      <c r="W6" s="58" t="s">
        <v>85</v>
      </c>
    </row>
    <row r="7" spans="1:29" x14ac:dyDescent="0.15">
      <c r="A7" s="106" t="s">
        <v>315</v>
      </c>
      <c r="B7" s="106" t="s">
        <v>143</v>
      </c>
      <c r="C7" s="164" t="s">
        <v>317</v>
      </c>
      <c r="D7" s="106" t="s">
        <v>144</v>
      </c>
      <c r="E7" s="105" t="str">
        <f>B7&amp;C7&amp;D7</f>
        <v>unit_skills_data_Halloween01.tmp</v>
      </c>
      <c r="F7" s="106" t="s">
        <v>145</v>
      </c>
      <c r="G7" s="114" t="s">
        <v>20</v>
      </c>
      <c r="H7" s="114" t="s">
        <v>146</v>
      </c>
      <c r="I7" s="114" t="s">
        <v>2</v>
      </c>
      <c r="J7" s="114" t="s">
        <v>147</v>
      </c>
      <c r="K7" s="114" t="s">
        <v>148</v>
      </c>
      <c r="L7" s="114" t="s">
        <v>4</v>
      </c>
      <c r="M7" s="58"/>
      <c r="N7" s="58"/>
      <c r="O7" s="58"/>
      <c r="P7" s="58"/>
      <c r="Q7" s="58"/>
      <c r="R7" s="58"/>
      <c r="S7" s="58"/>
      <c r="T7" s="58"/>
      <c r="U7" s="58"/>
      <c r="V7" s="58"/>
      <c r="W7" s="58"/>
    </row>
    <row r="8" spans="1:29" x14ac:dyDescent="0.15">
      <c r="A8" s="106" t="s">
        <v>315</v>
      </c>
      <c r="B8" s="106" t="s">
        <v>149</v>
      </c>
      <c r="C8" s="164" t="s">
        <v>317</v>
      </c>
      <c r="D8" s="106" t="s">
        <v>128</v>
      </c>
      <c r="E8" s="105" t="str">
        <f>B8&amp;C8&amp;D8</f>
        <v>unit_skills_i18n_Halloween01.tmp</v>
      </c>
      <c r="F8" s="106" t="s">
        <v>145</v>
      </c>
      <c r="G8" s="114" t="s">
        <v>150</v>
      </c>
      <c r="H8" s="114" t="s">
        <v>134</v>
      </c>
      <c r="I8" s="114" t="s">
        <v>151</v>
      </c>
      <c r="J8" s="114" t="s">
        <v>152</v>
      </c>
      <c r="K8" s="109"/>
      <c r="L8" s="109"/>
      <c r="M8" s="58"/>
      <c r="N8" s="58"/>
      <c r="O8" s="58"/>
      <c r="P8" s="58"/>
      <c r="Q8" s="58"/>
      <c r="R8" s="58"/>
      <c r="S8" s="58"/>
      <c r="T8" s="58"/>
      <c r="U8" s="58"/>
      <c r="V8" s="58"/>
      <c r="W8" s="58"/>
    </row>
    <row r="9" spans="1:29" x14ac:dyDescent="0.15">
      <c r="A9" s="106" t="s">
        <v>315</v>
      </c>
      <c r="B9" s="106" t="s">
        <v>153</v>
      </c>
      <c r="C9" s="164" t="s">
        <v>317</v>
      </c>
      <c r="D9" s="106" t="s">
        <v>154</v>
      </c>
      <c r="E9" s="105" t="str">
        <f>B9&amp;C9&amp;D9</f>
        <v>crash_skills_data_Halloween01.tmp</v>
      </c>
      <c r="F9" s="106" t="s">
        <v>155</v>
      </c>
      <c r="G9" s="114" t="s">
        <v>156</v>
      </c>
      <c r="H9" s="114" t="s">
        <v>148</v>
      </c>
      <c r="I9" s="114" t="s">
        <v>4</v>
      </c>
      <c r="J9" s="109"/>
      <c r="K9" s="109"/>
      <c r="L9" s="109"/>
      <c r="M9" s="58"/>
      <c r="N9" s="58"/>
      <c r="O9" s="58"/>
      <c r="P9" s="58"/>
      <c r="Q9" s="58"/>
      <c r="R9" s="58"/>
      <c r="S9" s="58"/>
      <c r="T9" s="58"/>
      <c r="U9" s="58"/>
      <c r="V9" s="58"/>
      <c r="W9" s="58"/>
    </row>
    <row r="10" spans="1:29" x14ac:dyDescent="0.15">
      <c r="A10" s="106" t="s">
        <v>315</v>
      </c>
      <c r="B10" s="106" t="s">
        <v>157</v>
      </c>
      <c r="C10" s="164" t="s">
        <v>317</v>
      </c>
      <c r="D10" s="106" t="s">
        <v>158</v>
      </c>
      <c r="E10" s="105" t="str">
        <f t="shared" ref="E10" si="1">B10&amp;C10&amp;D10</f>
        <v>crash_skills_i18n_Halloween01.tmp</v>
      </c>
      <c r="F10" s="106" t="s">
        <v>155</v>
      </c>
      <c r="G10" s="114" t="s">
        <v>159</v>
      </c>
      <c r="H10" s="114" t="s">
        <v>160</v>
      </c>
      <c r="I10" s="114" t="s">
        <v>161</v>
      </c>
      <c r="J10" s="114" t="s">
        <v>162</v>
      </c>
      <c r="K10" s="115"/>
      <c r="L10" s="115"/>
      <c r="M10" s="58"/>
      <c r="N10" s="58"/>
      <c r="O10" s="58"/>
      <c r="P10" s="58"/>
      <c r="Q10" s="58"/>
      <c r="R10" s="58"/>
      <c r="S10" s="58"/>
      <c r="T10" s="58"/>
      <c r="U10" s="58"/>
      <c r="V10" s="58"/>
      <c r="W10" s="58"/>
    </row>
    <row r="11" spans="1:29" x14ac:dyDescent="0.15">
      <c r="A11" s="106" t="s">
        <v>315</v>
      </c>
      <c r="B11" s="109" t="s">
        <v>135</v>
      </c>
      <c r="C11" s="164" t="s">
        <v>317</v>
      </c>
      <c r="D11" s="106" t="s">
        <v>158</v>
      </c>
      <c r="E11" s="105" t="str">
        <f t="shared" ref="E11:E12" si="2">B11&amp;C11&amp;D11</f>
        <v>unit_serifs_data_Halloween01.tmp</v>
      </c>
      <c r="F11" s="109" t="s">
        <v>137</v>
      </c>
      <c r="G11" s="113" t="s">
        <v>138</v>
      </c>
      <c r="H11" s="114" t="s">
        <v>139</v>
      </c>
      <c r="I11" s="114" t="s">
        <v>133</v>
      </c>
      <c r="J11" s="112" t="s">
        <v>189</v>
      </c>
      <c r="K11" s="106"/>
      <c r="L11" s="106"/>
      <c r="M11" s="106"/>
      <c r="N11" s="106"/>
      <c r="O11" s="106"/>
      <c r="P11" s="106"/>
      <c r="Q11" s="106"/>
      <c r="R11" s="106"/>
      <c r="S11" s="106"/>
      <c r="T11" s="106"/>
      <c r="U11" s="106"/>
      <c r="V11" s="106"/>
      <c r="W11" s="106"/>
    </row>
    <row r="12" spans="1:29" x14ac:dyDescent="0.15">
      <c r="A12" s="106" t="s">
        <v>315</v>
      </c>
      <c r="B12" s="109" t="s">
        <v>136</v>
      </c>
      <c r="C12" s="164" t="s">
        <v>317</v>
      </c>
      <c r="D12" s="106" t="s">
        <v>158</v>
      </c>
      <c r="E12" s="105" t="str">
        <f t="shared" si="2"/>
        <v>unit_serifs_i18n_Halloween01.tmp</v>
      </c>
      <c r="F12" s="109" t="s">
        <v>137</v>
      </c>
      <c r="G12" s="113" t="s">
        <v>140</v>
      </c>
      <c r="H12" s="114" t="s">
        <v>141</v>
      </c>
      <c r="I12" s="114" t="s">
        <v>142</v>
      </c>
      <c r="J12" s="106"/>
      <c r="K12" s="106"/>
      <c r="L12" s="106"/>
      <c r="M12" s="106"/>
      <c r="N12" s="106"/>
      <c r="O12" s="106"/>
      <c r="P12" s="106"/>
      <c r="Q12" s="106"/>
      <c r="R12" s="106"/>
      <c r="S12" s="106"/>
      <c r="T12" s="106"/>
      <c r="U12" s="106"/>
      <c r="V12" s="106"/>
      <c r="W12" s="106"/>
    </row>
    <row r="13" spans="1:29" x14ac:dyDescent="0.15">
      <c r="A13" s="106" t="s">
        <v>315</v>
      </c>
      <c r="B13" s="106" t="s">
        <v>333</v>
      </c>
      <c r="C13" s="164" t="s">
        <v>317</v>
      </c>
      <c r="D13" s="106" t="s">
        <v>252</v>
      </c>
      <c r="E13" s="105" t="str">
        <f>B13&amp;C13&amp;D13</f>
        <v>abilities_tmp_Halloween01.tmp</v>
      </c>
      <c r="F13" s="106" t="s">
        <v>253</v>
      </c>
      <c r="G13" s="165" t="s">
        <v>254</v>
      </c>
      <c r="H13" s="165" t="s">
        <v>255</v>
      </c>
      <c r="I13" s="165" t="s">
        <v>256</v>
      </c>
      <c r="J13" s="165"/>
      <c r="K13" s="166"/>
      <c r="L13" s="106"/>
      <c r="M13" s="106"/>
      <c r="N13" s="106"/>
      <c r="O13" s="106"/>
      <c r="P13" s="106"/>
      <c r="Q13" s="106"/>
      <c r="R13" s="106"/>
      <c r="S13" s="106"/>
      <c r="T13" s="106"/>
      <c r="U13" s="106"/>
      <c r="V13" s="106"/>
      <c r="W13" s="106"/>
      <c r="X13" s="106"/>
      <c r="Y13" s="106"/>
      <c r="Z13" s="106"/>
      <c r="AA13" s="106"/>
      <c r="AB13" s="106"/>
      <c r="AC13" s="106"/>
    </row>
    <row r="14" spans="1:29" x14ac:dyDescent="0.15">
      <c r="A14" s="106" t="s">
        <v>315</v>
      </c>
      <c r="B14" s="106" t="s">
        <v>257</v>
      </c>
      <c r="C14" s="164" t="s">
        <v>317</v>
      </c>
      <c r="D14" s="106" t="s">
        <v>128</v>
      </c>
      <c r="E14" s="105" t="str">
        <f>B14&amp;C14&amp;D14</f>
        <v>abilities_i18n_Halloween01.tmp</v>
      </c>
      <c r="F14" s="106" t="s">
        <v>258</v>
      </c>
      <c r="G14" s="165" t="s">
        <v>254</v>
      </c>
      <c r="H14" s="165" t="s">
        <v>141</v>
      </c>
      <c r="I14" s="165" t="s">
        <v>259</v>
      </c>
      <c r="J14" s="165" t="s">
        <v>152</v>
      </c>
      <c r="K14" s="166"/>
      <c r="L14" s="106"/>
      <c r="M14" s="106"/>
      <c r="N14" s="106"/>
      <c r="O14" s="106"/>
      <c r="P14" s="106"/>
      <c r="Q14" s="106"/>
      <c r="R14" s="106"/>
      <c r="S14" s="106"/>
      <c r="T14" s="106"/>
      <c r="U14" s="106"/>
      <c r="V14" s="106"/>
      <c r="W14" s="106"/>
      <c r="X14" s="106"/>
      <c r="Y14" s="106"/>
      <c r="Z14" s="106"/>
      <c r="AA14" s="106"/>
      <c r="AB14" s="106"/>
      <c r="AC14" s="106"/>
    </row>
    <row r="15" spans="1:29" x14ac:dyDescent="0.15">
      <c r="A15" s="106" t="s">
        <v>315</v>
      </c>
      <c r="B15" s="106" t="s">
        <v>260</v>
      </c>
      <c r="C15" s="164" t="s">
        <v>317</v>
      </c>
      <c r="D15" s="106" t="s">
        <v>128</v>
      </c>
      <c r="E15" s="105" t="str">
        <f>B15&amp;C15&amp;D15</f>
        <v>unit_abilities_Halloween01.tmp</v>
      </c>
      <c r="F15" s="106" t="s">
        <v>261</v>
      </c>
      <c r="G15" s="165" t="s">
        <v>138</v>
      </c>
      <c r="H15" s="167" t="s">
        <v>262</v>
      </c>
      <c r="I15" s="167" t="s">
        <v>263</v>
      </c>
      <c r="J15" s="168" t="s">
        <v>264</v>
      </c>
      <c r="K15" s="165" t="s">
        <v>265</v>
      </c>
      <c r="L15" s="106"/>
      <c r="M15" s="106"/>
      <c r="N15" s="106"/>
      <c r="O15" s="106"/>
      <c r="P15" s="106"/>
      <c r="Q15" s="106"/>
      <c r="R15" s="106"/>
      <c r="S15" s="106"/>
      <c r="T15" s="106"/>
      <c r="U15" s="106"/>
      <c r="V15" s="106"/>
      <c r="W15" s="106"/>
      <c r="X15" s="106"/>
      <c r="Y15" s="106"/>
      <c r="Z15" s="106"/>
      <c r="AA15" s="106"/>
      <c r="AB15" s="106"/>
      <c r="AC15" s="106"/>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8"/>
  <sheetViews>
    <sheetView showGridLines="0" workbookViewId="0">
      <pane xSplit="9" ySplit="1" topLeftCell="BJ2" activePane="bottomRight" state="frozen"/>
      <selection pane="topRight" activeCell="J1" sqref="J1"/>
      <selection pane="bottomLeft" activeCell="A3" sqref="A3"/>
      <selection pane="bottomRight" activeCell="BT11" sqref="BT11"/>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59.5" style="13" hidden="1" customWidth="1" outlineLevel="1"/>
    <col min="11" max="13" width="13.6640625" style="13" hidden="1" customWidth="1" outlineLevel="1"/>
    <col min="14" max="14" width="10" style="13" bestFit="1" customWidth="1"/>
    <col min="15" max="15" width="13.5" style="13" bestFit="1" customWidth="1"/>
    <col min="16" max="16" width="13.5" style="13" customWidth="1"/>
    <col min="17" max="17" width="18.83203125" style="13" bestFit="1" customWidth="1"/>
    <col min="18" max="18" width="14.1640625" style="13" customWidth="1"/>
    <col min="19" max="19" width="12.33203125" style="13" customWidth="1" outlineLevel="1"/>
    <col min="20" max="22" width="13.6640625" style="13" customWidth="1" outlineLevel="1"/>
    <col min="23" max="23" width="22.83203125" style="12" bestFit="1" customWidth="1"/>
    <col min="24" max="24" width="14.1640625" style="13" customWidth="1"/>
    <col min="25" max="25" width="22" style="13" customWidth="1" outlineLevel="1"/>
    <col min="26" max="26" width="14.1640625" style="13" customWidth="1" outlineLevel="1"/>
    <col min="27" max="27" width="12.33203125" style="13" customWidth="1" outlineLevel="1"/>
    <col min="28" max="30" width="13.6640625" style="13" customWidth="1" outlineLevel="1"/>
    <col min="31" max="31" width="20.1640625" style="12" bestFit="1" customWidth="1"/>
    <col min="32" max="32" width="18.83203125" style="13" bestFit="1" customWidth="1"/>
    <col min="33" max="34" width="18.83203125" style="13" customWidth="1"/>
    <col min="35" max="35" width="15.1640625" style="13" customWidth="1"/>
    <col min="36" max="36" width="13.1640625" style="12" customWidth="1"/>
    <col min="37" max="37" width="15.33203125" style="13" bestFit="1" customWidth="1"/>
    <col min="38" max="38" width="13.33203125" style="13" bestFit="1" customWidth="1"/>
    <col min="39" max="39" width="15.33203125" style="14" bestFit="1" customWidth="1"/>
    <col min="40" max="40" width="14" style="14" bestFit="1" customWidth="1"/>
    <col min="41" max="41" width="16" style="43" bestFit="1" customWidth="1"/>
    <col min="42" max="42" width="14.33203125" style="15" bestFit="1" customWidth="1"/>
    <col min="43" max="43" width="20.83203125" style="13" customWidth="1"/>
    <col min="44" max="44" width="80.6640625" style="13" customWidth="1" outlineLevel="1"/>
    <col min="45" max="45" width="6.83203125" style="13" customWidth="1"/>
    <col min="46" max="46" width="15.6640625" style="12" bestFit="1" customWidth="1"/>
    <col min="47" max="47" width="43.6640625" style="13" customWidth="1"/>
    <col min="48" max="48" width="43.6640625" style="13" customWidth="1" outlineLevel="1"/>
    <col min="49" max="49" width="6.83203125" style="13" customWidth="1"/>
    <col min="50" max="50" width="11.33203125" style="13" bestFit="1" customWidth="1"/>
    <col min="51" max="54" width="8.33203125" style="12" customWidth="1"/>
    <col min="55" max="56" width="12" style="13" bestFit="1" customWidth="1"/>
    <col min="57" max="57" width="14.33203125" style="13" customWidth="1" outlineLevel="1"/>
    <col min="58" max="58" width="16.1640625" style="13" customWidth="1" outlineLevel="1"/>
    <col min="59" max="62" width="11.83203125" style="13" customWidth="1"/>
    <col min="63" max="66" width="11.83203125" style="12" customWidth="1"/>
    <col min="67" max="67" width="12.83203125" style="12" bestFit="1" customWidth="1"/>
    <col min="68" max="68" width="12.6640625" style="12" bestFit="1" customWidth="1"/>
    <col min="69" max="69" width="13.5" style="12" bestFit="1" customWidth="1"/>
    <col min="70" max="16384" width="8.83203125" style="12"/>
  </cols>
  <sheetData>
    <row r="1" spans="1:70" ht="21" customHeight="1" x14ac:dyDescent="0.15">
      <c r="A1" s="78" t="s">
        <v>108</v>
      </c>
      <c r="B1" s="80" t="s">
        <v>44</v>
      </c>
      <c r="C1" s="83" t="s">
        <v>27</v>
      </c>
      <c r="D1" s="83" t="s">
        <v>30</v>
      </c>
      <c r="E1" s="83" t="s">
        <v>28</v>
      </c>
      <c r="F1" s="83" t="s">
        <v>29</v>
      </c>
      <c r="G1" s="78" t="s">
        <v>1</v>
      </c>
      <c r="H1" s="81" t="s">
        <v>19</v>
      </c>
      <c r="I1" s="82" t="s">
        <v>0</v>
      </c>
      <c r="J1" s="84" t="s">
        <v>49</v>
      </c>
      <c r="K1" s="84" t="s">
        <v>48</v>
      </c>
      <c r="L1" s="84" t="s">
        <v>50</v>
      </c>
      <c r="M1" s="84" t="s">
        <v>51</v>
      </c>
      <c r="N1" s="78" t="s">
        <v>3</v>
      </c>
      <c r="O1" s="85" t="s">
        <v>2</v>
      </c>
      <c r="P1" s="78" t="s">
        <v>97</v>
      </c>
      <c r="Q1" s="86" t="s">
        <v>18</v>
      </c>
      <c r="R1" s="77" t="s">
        <v>52</v>
      </c>
      <c r="S1" s="87" t="s">
        <v>23</v>
      </c>
      <c r="T1" s="87" t="s">
        <v>24</v>
      </c>
      <c r="U1" s="87" t="s">
        <v>26</v>
      </c>
      <c r="V1" s="87" t="s">
        <v>25</v>
      </c>
      <c r="W1" s="82" t="s">
        <v>32</v>
      </c>
      <c r="X1" s="83" t="s">
        <v>53</v>
      </c>
      <c r="Y1" s="82" t="s">
        <v>33</v>
      </c>
      <c r="Z1" s="83" t="s">
        <v>53</v>
      </c>
      <c r="AA1" s="84" t="s">
        <v>23</v>
      </c>
      <c r="AB1" s="84" t="s">
        <v>24</v>
      </c>
      <c r="AC1" s="84" t="s">
        <v>26</v>
      </c>
      <c r="AD1" s="84" t="s">
        <v>25</v>
      </c>
      <c r="AE1" s="88" t="s">
        <v>100</v>
      </c>
      <c r="AF1" s="77" t="s">
        <v>45</v>
      </c>
      <c r="AG1" s="89" t="s">
        <v>58</v>
      </c>
      <c r="AH1" s="77" t="s">
        <v>45</v>
      </c>
      <c r="AI1" s="89" t="s">
        <v>46</v>
      </c>
      <c r="AJ1" s="79" t="s">
        <v>67</v>
      </c>
      <c r="AK1" s="77" t="s">
        <v>21</v>
      </c>
      <c r="AL1" s="90" t="s">
        <v>68</v>
      </c>
      <c r="AM1" s="91" t="s">
        <v>66</v>
      </c>
      <c r="AN1" s="91" t="s">
        <v>69</v>
      </c>
      <c r="AO1" s="92" t="s">
        <v>31</v>
      </c>
      <c r="AP1" s="88" t="s">
        <v>20</v>
      </c>
      <c r="AQ1" s="93" t="s">
        <v>113</v>
      </c>
      <c r="AR1" s="93" t="s">
        <v>107</v>
      </c>
      <c r="AS1" s="77" t="s">
        <v>104</v>
      </c>
      <c r="AT1" s="88" t="s">
        <v>102</v>
      </c>
      <c r="AU1" s="77" t="s">
        <v>110</v>
      </c>
      <c r="AV1" s="93" t="s">
        <v>107</v>
      </c>
      <c r="AW1" s="77" t="s">
        <v>104</v>
      </c>
      <c r="AX1" s="83" t="s">
        <v>4</v>
      </c>
      <c r="AY1" s="94" t="s">
        <v>54</v>
      </c>
      <c r="AZ1" s="94" t="s">
        <v>55</v>
      </c>
      <c r="BA1" s="94" t="s">
        <v>114</v>
      </c>
      <c r="BB1" s="94" t="s">
        <v>56</v>
      </c>
      <c r="BC1" s="5" t="s">
        <v>22</v>
      </c>
      <c r="BD1" s="97" t="s">
        <v>34</v>
      </c>
      <c r="BE1" s="95" t="s">
        <v>5</v>
      </c>
      <c r="BF1" s="96" t="s">
        <v>6</v>
      </c>
      <c r="BG1" s="98" t="s">
        <v>70</v>
      </c>
      <c r="BH1" s="98" t="s">
        <v>71</v>
      </c>
      <c r="BI1" s="98" t="s">
        <v>72</v>
      </c>
      <c r="BJ1" s="98" t="s">
        <v>73</v>
      </c>
      <c r="BK1" s="99" t="s">
        <v>74</v>
      </c>
      <c r="BL1" s="99" t="s">
        <v>95</v>
      </c>
      <c r="BM1" s="99" t="s">
        <v>75</v>
      </c>
      <c r="BN1" s="99" t="s">
        <v>76</v>
      </c>
      <c r="BO1" s="100" t="s">
        <v>77</v>
      </c>
      <c r="BP1" s="101" t="s">
        <v>78</v>
      </c>
      <c r="BQ1" s="79" t="s">
        <v>86</v>
      </c>
      <c r="BR1" s="10" t="s">
        <v>405</v>
      </c>
    </row>
    <row r="2" spans="1:70" ht="26" customHeight="1" x14ac:dyDescent="0.15">
      <c r="A2" s="12">
        <v>1187</v>
      </c>
      <c r="B2" s="54" t="str">
        <f ca="1">VLOOKUP($A2,OFFSET([1]characters!$A$1,0,0,COUNTA([1]characters!$A:$A),MATCH(B$1,[1]characters!$1:$1,0)-MATCH($A$1,[1]characters!$1:$1,0)+1),MATCH(B$1,[1]characters!$1:$1,0)-MATCH($A$1,[1]characters!$1:$1,0)+1,FALSE)</f>
        <v>ハッピーハロウィン ポチ</v>
      </c>
      <c r="C2" s="54">
        <f ca="1">VLOOKUP($A2,OFFSET([1]characters!$A$1,0,0,COUNTA([1]characters!$A:$A),MATCH(C$1,[1]characters!$1:$1,0)-MATCH($A$1,[1]characters!$1:$1,0)+1),MATCH(C$1,[1]characters!$1:$1,0)-MATCH($A$1,[1]characters!$1:$1,0)+1,FALSE)</f>
        <v>0</v>
      </c>
      <c r="D2" s="54">
        <f ca="1">VLOOKUP($A2,OFFSET([1]characters!$A$1,0,0,COUNTA([1]characters!$A:$A),MATCH(D$1,[1]characters!$1:$1,0)-MATCH($A$1,[1]characters!$1:$1,0)+1),MATCH(D$1,[1]characters!$1:$1,0)-MATCH($A$1,[1]characters!$1:$1,0)+1,FALSE)</f>
        <v>0</v>
      </c>
      <c r="E2" s="54">
        <f ca="1">VLOOKUP($A2,OFFSET([1]characters!$A$1,0,0,COUNTA([1]characters!$A:$A),MATCH(E$1,[1]characters!$1:$1,0)-MATCH($A$1,[1]characters!$1:$1,0)+1),MATCH(E$1,[1]characters!$1:$1,0)-MATCH($A$1,[1]characters!$1:$1,0)+1,FALSE)</f>
        <v>0</v>
      </c>
      <c r="F2" s="54">
        <f ca="1">VLOOKUP($A2,OFFSET([1]characters!$A$1,0,0,COUNTA([1]characters!$A:$A),MATCH(F$1,[1]characters!$1:$1,0)-MATCH($A$1,[1]characters!$1:$1,0)+1),MATCH(F$1,[1]characters!$1:$1,0)-MATCH($A$1,[1]characters!$1:$1,0)+1,FALSE)</f>
        <v>0</v>
      </c>
      <c r="G2" s="54">
        <f ca="1">VLOOKUP($A2,OFFSET([1]characters!$A$1,0,0,COUNTA([1]characters!$A:$A),MATCH(G$1,[1]characters!$1:$1,0)-MATCH($A$1,[1]characters!$1:$1,0)+1),MATCH(G$1,[1]characters!$1:$1,0)-MATCH($A$1,[1]characters!$1:$1,0)+1,FALSE)</f>
        <v>1</v>
      </c>
      <c r="H2" s="54" t="str">
        <f ca="1">VLOOKUP($A2,OFFSET([1]characters!$A$1,0,0,COUNTA([1]characters!$A:$A),MATCH(H$1,[1]characters!$1:$1,0)-MATCH($A$1,[1]characters!$1:$1,0)+1),MATCH(H$1,[1]characters!$1:$1,0)-MATCH($A$1,[1]characters!$1:$1,0)+1,FALSE)</f>
        <v>Drop1T</v>
      </c>
      <c r="I2" s="54" t="str">
        <f ca="1">VLOOKUP($A2,OFFSET([1]characters!$A$1,0,0,COUNTA([1]characters!$A:$A),MATCH(I$1,[1]characters!$1:$1,0)-MATCH($A$1,[1]characters!$1:$1,0)+1),MATCH(I$1,[1]characters!$1:$1,0)-MATCH($A$1,[1]characters!$1:$1,0)+1,FALSE)</f>
        <v>red</v>
      </c>
      <c r="J2" s="11">
        <f ca="1">VLOOKUP(I2,[1]属性!$A:$E,2,FALSE)</f>
        <v>1</v>
      </c>
      <c r="K2" s="11">
        <f ca="1">VLOOKUP(I2,[1]属性!$A:$E,3,FALSE)</f>
        <v>1.02</v>
      </c>
      <c r="L2" s="11">
        <f ca="1">VLOOKUP(I2,[1]属性!$A:$E,4,FALSE)</f>
        <v>1</v>
      </c>
      <c r="M2" s="11">
        <f ca="1">VLOOKUP(I2,[1]属性!$A:$E,5,FALSE)</f>
        <v>0.98</v>
      </c>
      <c r="N2" s="11">
        <f ca="1">INDEX(コスト!$A$1:$I$21,MATCH(H2,コスト!$A$1:$A$21,FALSE),MATCH(G2,コスト!$A$1:$I$1,FALSE))</f>
        <v>1</v>
      </c>
      <c r="O2" s="11">
        <f ca="1">INDEX(レベル!$A$1:$I$22,MATCH(H2,レベル!$A$1:$A$22,FALSE),MATCH(G2,レベル!$A$1:$I$1,FALSE))</f>
        <v>10</v>
      </c>
      <c r="P2" s="45">
        <f t="shared" ref="P2" ca="1" si="0">IF(G2 &gt;= 6, 99,G2*15)</f>
        <v>15</v>
      </c>
      <c r="Q2" s="54" t="str">
        <f ca="1">VLOOKUP($A2,OFFSET([1]characters!$A$1,0,0,COUNTA([1]characters!$A:$A),MATCH(Q$1,[1]characters!$1:$1,0)-MATCH($A$1,[1]characters!$1:$1,0)+1),MATCH(Q$1,[1]characters!$1:$1,0)-MATCH($A$1,[1]characters!$1:$1,0)+1,FALSE)</f>
        <v>heal</v>
      </c>
      <c r="R2" s="5" t="str">
        <f ca="1">VLOOKUP(Q2,[1]character_type_i18n!$A:$H,3,FALSE)</f>
        <v>回復タイプ</v>
      </c>
      <c r="S2" s="11">
        <f ca="1">VLOOKUP(Q2,[1]character_type_i18n!$A:$H,4,FALSE)</f>
        <v>0.8</v>
      </c>
      <c r="T2" s="11">
        <f ca="1">VLOOKUP(Q2,[1]character_type_i18n!$A:$H,5,FALSE)</f>
        <v>0.78</v>
      </c>
      <c r="U2" s="11">
        <f ca="1">VLOOKUP(Q2,[1]character_type_i18n!$A:$H,6,FALSE)</f>
        <v>1</v>
      </c>
      <c r="V2" s="11">
        <f ca="1">VLOOKUP(Q2,[1]character_type_i18n!$A:$H,7,FALSE)</f>
        <v>1.42</v>
      </c>
      <c r="W2" s="54" t="str">
        <f ca="1">VLOOKUP($A2,OFFSET([1]characters!$A$1,0,0,COUNTA([1]characters!$A:$A),MATCH(W$1,[1]characters!$1:$1,0)-MATCH($A$1,[1]characters!$1:$1,0)+1),MATCH(W$1,[1]characters!$1:$1,0)-MATCH($A$1,[1]characters!$1:$1,0)+1,FALSE)</f>
        <v>unknown</v>
      </c>
      <c r="X2" s="5" t="str">
        <f ca="1">VLOOKUP(W2,[1]character_tribe_i18n!$A:$H,3,FALSE)</f>
        <v>Unknown</v>
      </c>
      <c r="Y2" s="54" t="str">
        <f ca="1">VLOOKUP($A2,OFFSET([1]characters!$A$1,0,0,COUNTA([1]characters!$A:$A),MATCH(Y$1,[1]characters!$1:$1,0)-MATCH($A$1,[1]characters!$1:$1,0)+1),MATCH(Y$1,[1]characters!$1:$1,0)-MATCH($A$1,[1]characters!$1:$1,0)+1,FALSE)</f>
        <v>demon</v>
      </c>
      <c r="Z2" s="5" t="str">
        <f ca="1">VLOOKUP(Y2,[1]character_tribe_i18n!$A:$H,3,FALSE)</f>
        <v>デーモン</v>
      </c>
      <c r="AA2" s="11">
        <f ca="1">VLOOKUP(W2,[1]character_tribe_i18n!$A:$H,4,FALSE)</f>
        <v>1</v>
      </c>
      <c r="AB2" s="11">
        <f ca="1">VLOOKUP(W2,[1]character_tribe_i18n!$A:$H,5,FALSE)</f>
        <v>1</v>
      </c>
      <c r="AC2" s="11">
        <f ca="1">VLOOKUP(W2,[1]character_tribe_i18n!$A:$H,6,FALSE)</f>
        <v>1</v>
      </c>
      <c r="AD2" s="11">
        <f ca="1">VLOOKUP(W2,[1]character_tribe_i18n!$A:$H,7,FALSE)</f>
        <v>1</v>
      </c>
      <c r="AE2" s="9" t="s">
        <v>318</v>
      </c>
      <c r="AF2" s="59" t="str">
        <f ca="1">IF(AE2="NULL","",VLOOKUP($AE2,OFFSET([1]characters!$A$1,0,0,COUNTA([1]characters!$A:$A),MATCH(AF$1,[1]characters!$1:$1,0)-MATCH($A$1,[1]characters!$1:$1,0)+1),MATCH(AF$1,[1]characters!$1:$1,0)-MATCH($A$1,[1]characters!$1:$1,0)+1,FALSE))</f>
        <v/>
      </c>
      <c r="AG2" s="5">
        <v>1187</v>
      </c>
      <c r="AH2" s="59" t="str">
        <f ca="1">VLOOKUP($AG2,OFFSET([1]characters!$A$1,0,0,COUNTA([1]characters!$A:$A),MATCH(AH$1,[1]characters!$1:$1,0)-MATCH($A$1,[1]characters!$1:$1,0)+1),MATCH(AH$1,[1]characters!$1:$1,0)-MATCH($A$1,[1]characters!$1:$1,0)+1,FALSE)</f>
        <v>ハッピーハロウィン ポチ</v>
      </c>
      <c r="AI2" s="11" t="str">
        <f>IF(AE2="NULL","NULL",VLOOKUP(G2,ビット!$A$2:$B$7,2))</f>
        <v>NULL</v>
      </c>
      <c r="AJ2" s="6">
        <v>2</v>
      </c>
      <c r="AK2" s="7" t="str">
        <f t="shared" ref="AK2" si="1">IF(AJ2=1,"早熟",IF(AJ2=2,"普通",IF(AJ2=3,"晩成","")))</f>
        <v>普通</v>
      </c>
      <c r="AL2" s="11" t="str">
        <f ca="1">INDEX(経験値!$A$1:$I$21,MATCH(H2,経験値!$A$1:$A$21,FALSE),MATCH(G2,経験値!$A$1:$I$1,FALSE))</f>
        <v>required_exp_50</v>
      </c>
      <c r="AM2" s="8">
        <f ca="1">VLOOKUP(G2,経験値!$A$28:$B$32,2)</f>
        <v>200</v>
      </c>
      <c r="AN2" s="17">
        <f ca="1">VLOOKUP(G2,ビット!$G$2:$H$7,2)</f>
        <v>75</v>
      </c>
      <c r="AO2" s="42"/>
      <c r="AP2" s="64">
        <v>1187</v>
      </c>
      <c r="AQ2" s="54" t="str">
        <f ca="1">VLOOKUP($AP2,OFFSET(unit_skills!$A$1,0,0,COUNTA(unit_skills!$A:$A),MATCH(AQ$1,unit_skills!$1:$1,0)-MATCH($AP$1,unit_skills!$1:$1,0)+1),MATCH(AQ$1,unit_skills!$1:$1,0)-MATCH($AP$1,unit_skills!$1:$1,0)+1,FALSE)</f>
        <v>トリックヒール</v>
      </c>
      <c r="AR2" s="54" t="str">
        <f ca="1">VLOOKUP($AP2,OFFSET(unit_skills!$A$1,0,0,COUNTA(unit_skills!$A:$A),MATCH(AR$1,unit_skills!$1:$1,0)-MATCH($AP$1,unit_skills!$1:$1,0)+1),MATCH(AR$1,unit_skills!$1:$1,0)-MATCH($AP$1,unit_skills!$1:$1,0)+1,FALSE)</f>
        <v>HPを150回復する</v>
      </c>
      <c r="AS2" s="54">
        <f ca="1">VLOOKUP($AP2,OFFSET(unit_skills!$A$1,0,0,COUNTA(unit_skills!$A:$A),MATCH(AS$1,unit_skills!$1:$1,0)-MATCH($AP$1,unit_skills!$1:$1,0)+1),MATCH(AS$1,unit_skills!$1:$1,0)-MATCH($AP$1,unit_skills!$1:$1,0)+1,FALSE)</f>
        <v>0</v>
      </c>
      <c r="AT2" s="9">
        <v>1187</v>
      </c>
      <c r="AU2" s="54" t="str">
        <f ca="1">VLOOKUP($AT2,OFFSET(crash_skills!$A$1,0,0,COUNTA(crash_skills!$A:$A),MATCH(AU$1,crash_skills!$1:$1,0)-MATCH($AT$1,crash_skills!$1:$1,0)+1),MATCH(AU$1,crash_skills!$1:$1,0)-MATCH($AT$1,crash_skills!$1:$1,0)+1,FALSE)</f>
        <v>ゴーストナイト</v>
      </c>
      <c r="AV2" s="54" t="str">
        <f ca="1">VLOOKUP($AT2,OFFSET(crash_skills!$A$1,0,0,COUNTA(crash_skills!$A:$A),MATCH(AV$1,crash_skills!$1:$1,0)-MATCH($AT$1,crash_skills!$1:$1,0)+1),MATCH(AV$1,crash_skills!$1:$1,0)-MATCH($AT$1,crash_skills!$1:$1,0)+1,FALSE)</f>
        <v>1体に小ダメージ</v>
      </c>
      <c r="AW2" s="54">
        <f ca="1">VLOOKUP($AT2,OFFSET(crash_skills!$A$1,0,0,COUNTA(crash_skills!$A:$A),MATCH(AW$1,crash_skills!$1:$1,0)-MATCH($AT$1,crash_skills!$1:$1,0)+1),MATCH(AW$1,crash_skills!$1:$1,0)-MATCH($AT$1,crash_skills!$1:$1,0)+1,FALSE)</f>
        <v>0</v>
      </c>
      <c r="AX2" s="55">
        <f ca="1">VLOOKUP($A2,OFFSET([1]characters!$A$1,0,0,COUNTA([1]characters!$A:$A),MATCH(AX$1,[1]characters!$1:$1,0)-MATCH($A$1,[1]characters!$1:$1,0)+1),MATCH(AX$1,[1]characters!$1:$1,0)-MATCH($A$1,[1]characters!$1:$1,0)+1,FALSE)</f>
        <v>3</v>
      </c>
      <c r="AY2" s="65">
        <v>1</v>
      </c>
      <c r="AZ2" s="65">
        <v>1</v>
      </c>
      <c r="BA2" s="65">
        <v>0</v>
      </c>
      <c r="BB2" s="65">
        <v>1</v>
      </c>
      <c r="BC2" s="11">
        <f ca="1">INDEX('RC6SV'!$A$1:$G$21,MATCH(H2,'RC6SV'!$A$1:$A$21,FALSE),MATCH(G2,'RC6SV'!$A$1:$G$1,FALSE))</f>
        <v>1500</v>
      </c>
      <c r="BD2" s="45">
        <f t="shared" ref="BD2" ca="1" si="2">ROUND(BC2*IF(AJ2=1,0.95,IF(AJ2=2,1,IF(AJ2,1.05,0))),0)</f>
        <v>1500</v>
      </c>
      <c r="BE2" s="11">
        <f t="shared" ref="BE2:BE8" ca="1" si="3">ROUND(IFERROR(INDIRECT(ADDRESS(MATCH($A2,$AE:$AE,0),MATCH($BC$1,$1:$1,0))),0),0)</f>
        <v>0</v>
      </c>
      <c r="BF2" s="11">
        <f t="shared" ref="BF2:BF8" ca="1" si="4">ROUND(IFERROR(INDIRECT(ADDRESS(MATCH($A2,$AE:$AE,0),10)),INDIRECT(ADDRESS(MATCH($A2,$A:$A,0),10))),0)</f>
        <v>1</v>
      </c>
      <c r="BG2" s="16">
        <f ca="1">IF($BE2&lt;=0,ROUND(BK2*0.5,0), ROUND($BE2*S2*AA2*J2*AY2*0.8*[1]ステータス!$B$2,0))</f>
        <v>300</v>
      </c>
      <c r="BH2" s="16">
        <f ca="1">IF($BE2&lt;=0,ROUND(BL2*0.5,0), ROUND($BE2*T2*AB2*K2*AZ2*0.8*[1]ステータス!$C$2,0))</f>
        <v>179</v>
      </c>
      <c r="BI2" s="16">
        <f ca="1">IF($BE2&lt;=0,ROUND(BM2*0.5,0), ROUND($BE2*U2*AC2*L2*BA2*0.8*[1]ステータス!$D$2,0))</f>
        <v>0</v>
      </c>
      <c r="BJ2" s="16">
        <f ca="1">IF($BE2&lt;=0,ROUND(BN2*0.5,0), ROUND($BE2*V2*AD2*M2*BB2*0.8*[1]ステータス!$E$2,0))</f>
        <v>261</v>
      </c>
      <c r="BK2" s="11">
        <f ca="1">ROUND(BD2*S2*AA2*J2*AY2*[1]ステータス!$B$2,0)</f>
        <v>600</v>
      </c>
      <c r="BL2" s="11">
        <f ca="1">ROUND(BD2*T2*AB2*K2*AZ2*[1]ステータス!$C$2,0)</f>
        <v>358</v>
      </c>
      <c r="BM2" s="11">
        <f ca="1">ROUND(BD2*U2*AC2*L2*BA2*[1]ステータス!$D$2,0)</f>
        <v>0</v>
      </c>
      <c r="BN2" s="11">
        <f ca="1">ROUND(BD2*V2*AD2*M2*BB2*[1]ステータス!$E$2,0)</f>
        <v>522</v>
      </c>
      <c r="BO2" s="10">
        <v>0</v>
      </c>
      <c r="BP2" s="10">
        <v>1</v>
      </c>
      <c r="BQ2" s="10" t="s">
        <v>47</v>
      </c>
      <c r="BR2" s="10">
        <f ca="1">VLOOKUP(H2,ghosts_label!$A$2:$B$19,2,FALSE)</f>
        <v>1</v>
      </c>
    </row>
    <row r="3" spans="1:70" ht="26" customHeight="1" x14ac:dyDescent="0.15">
      <c r="A3" s="12">
        <v>1188</v>
      </c>
      <c r="B3" s="54" t="str">
        <f ca="1">VLOOKUP($A3,OFFSET([1]characters!$A$1,0,0,COUNTA([1]characters!$A:$A),MATCH(B$1,[1]characters!$1:$1,0)-MATCH($A$1,[1]characters!$1:$1,0)+1),MATCH(B$1,[1]characters!$1:$1,0)-MATCH($A$1,[1]characters!$1:$1,0)+1,FALSE)</f>
        <v>ハッピーハロウィン ジョー</v>
      </c>
      <c r="C3" s="54">
        <f ca="1">VLOOKUP($A3,OFFSET([1]characters!$A$1,0,0,COUNTA([1]characters!$A:$A),MATCH(C$1,[1]characters!$1:$1,0)-MATCH($A$1,[1]characters!$1:$1,0)+1),MATCH(C$1,[1]characters!$1:$1,0)-MATCH($A$1,[1]characters!$1:$1,0)+1,FALSE)</f>
        <v>0</v>
      </c>
      <c r="D3" s="54">
        <f ca="1">VLOOKUP($A3,OFFSET([1]characters!$A$1,0,0,COUNTA([1]characters!$A:$A),MATCH(D$1,[1]characters!$1:$1,0)-MATCH($A$1,[1]characters!$1:$1,0)+1),MATCH(D$1,[1]characters!$1:$1,0)-MATCH($A$1,[1]characters!$1:$1,0)+1,FALSE)</f>
        <v>0</v>
      </c>
      <c r="E3" s="54">
        <f ca="1">VLOOKUP($A3,OFFSET([1]characters!$A$1,0,0,COUNTA([1]characters!$A:$A),MATCH(E$1,[1]characters!$1:$1,0)-MATCH($A$1,[1]characters!$1:$1,0)+1),MATCH(E$1,[1]characters!$1:$1,0)-MATCH($A$1,[1]characters!$1:$1,0)+1,FALSE)</f>
        <v>0</v>
      </c>
      <c r="F3" s="54">
        <f ca="1">VLOOKUP($A3,OFFSET([1]characters!$A$1,0,0,COUNTA([1]characters!$A:$A),MATCH(F$1,[1]characters!$1:$1,0)-MATCH($A$1,[1]characters!$1:$1,0)+1),MATCH(F$1,[1]characters!$1:$1,0)-MATCH($A$1,[1]characters!$1:$1,0)+1,FALSE)</f>
        <v>0</v>
      </c>
      <c r="G3" s="54">
        <f ca="1">VLOOKUP($A3,OFFSET([1]characters!$A$1,0,0,COUNTA([1]characters!$A:$A),MATCH(G$1,[1]characters!$1:$1,0)-MATCH($A$1,[1]characters!$1:$1,0)+1),MATCH(G$1,[1]characters!$1:$1,0)-MATCH($A$1,[1]characters!$1:$1,0)+1,FALSE)</f>
        <v>1</v>
      </c>
      <c r="H3" s="54" t="str">
        <f ca="1">VLOOKUP($A3,OFFSET([1]characters!$A$1,0,0,COUNTA([1]characters!$A:$A),MATCH(H$1,[1]characters!$1:$1,0)-MATCH($A$1,[1]characters!$1:$1,0)+1),MATCH(H$1,[1]characters!$1:$1,0)-MATCH($A$1,[1]characters!$1:$1,0)+1,FALSE)</f>
        <v>Drop1T</v>
      </c>
      <c r="I3" s="54" t="str">
        <f ca="1">VLOOKUP($A3,OFFSET([1]characters!$A$1,0,0,COUNTA([1]characters!$A:$A),MATCH(I$1,[1]characters!$1:$1,0)-MATCH($A$1,[1]characters!$1:$1,0)+1),MATCH(I$1,[1]characters!$1:$1,0)-MATCH($A$1,[1]characters!$1:$1,0)+1,FALSE)</f>
        <v>green</v>
      </c>
      <c r="J3" s="11">
        <f ca="1">VLOOKUP(I3,[1]属性!$A:$E,2,FALSE)</f>
        <v>1.02</v>
      </c>
      <c r="K3" s="11">
        <f ca="1">VLOOKUP(I3,[1]属性!$A:$E,3,FALSE)</f>
        <v>0.98</v>
      </c>
      <c r="L3" s="11">
        <f ca="1">VLOOKUP(I3,[1]属性!$A:$E,4,FALSE)</f>
        <v>1</v>
      </c>
      <c r="M3" s="11">
        <f ca="1">VLOOKUP(I3,[1]属性!$A:$E,5,FALSE)</f>
        <v>1</v>
      </c>
      <c r="N3" s="11">
        <f ca="1">INDEX(コスト!$A$1:$I$21,MATCH(H3,コスト!$A$1:$A$21,FALSE),MATCH(G3,コスト!$A$1:$I$1,FALSE))</f>
        <v>1</v>
      </c>
      <c r="O3" s="11">
        <f ca="1">INDEX(レベル!$A$1:$I$22,MATCH(H3,レベル!$A$1:$A$22,FALSE),MATCH(G3,レベル!$A$1:$I$1,FALSE))</f>
        <v>10</v>
      </c>
      <c r="P3" s="45">
        <f t="shared" ref="P3:P4" ca="1" si="5">IF(G3 &gt;= 6, 99,G3*15)</f>
        <v>15</v>
      </c>
      <c r="Q3" s="54" t="str">
        <f ca="1">VLOOKUP($A3,OFFSET([1]characters!$A$1,0,0,COUNTA([1]characters!$A:$A),MATCH(Q$1,[1]characters!$1:$1,0)-MATCH($A$1,[1]characters!$1:$1,0)+1),MATCH(Q$1,[1]characters!$1:$1,0)-MATCH($A$1,[1]characters!$1:$1,0)+1,FALSE)</f>
        <v>balance</v>
      </c>
      <c r="R3" s="5" t="str">
        <f ca="1">VLOOKUP(Q3,[1]character_type_i18n!$A:$H,3,FALSE)</f>
        <v>バランスタイプ</v>
      </c>
      <c r="S3" s="11">
        <f ca="1">VLOOKUP(Q3,[1]character_type_i18n!$A:$H,4,FALSE)</f>
        <v>1</v>
      </c>
      <c r="T3" s="11">
        <f ca="1">VLOOKUP(Q3,[1]character_type_i18n!$A:$H,5,FALSE)</f>
        <v>1</v>
      </c>
      <c r="U3" s="11">
        <f ca="1">VLOOKUP(Q3,[1]character_type_i18n!$A:$H,6,FALSE)</f>
        <v>1</v>
      </c>
      <c r="V3" s="11">
        <f ca="1">VLOOKUP(Q3,[1]character_type_i18n!$A:$H,7,FALSE)</f>
        <v>1</v>
      </c>
      <c r="W3" s="54" t="str">
        <f ca="1">VLOOKUP($A3,OFFSET([1]characters!$A$1,0,0,COUNTA([1]characters!$A:$A),MATCH(W$1,[1]characters!$1:$1,0)-MATCH($A$1,[1]characters!$1:$1,0)+1),MATCH(W$1,[1]characters!$1:$1,0)-MATCH($A$1,[1]characters!$1:$1,0)+1,FALSE)</f>
        <v>unknown</v>
      </c>
      <c r="X3" s="5" t="str">
        <f ca="1">VLOOKUP(W3,[1]character_tribe_i18n!$A:$H,3,FALSE)</f>
        <v>Unknown</v>
      </c>
      <c r="Y3" s="54" t="str">
        <f ca="1">VLOOKUP($A3,OFFSET([1]characters!$A$1,0,0,COUNTA([1]characters!$A:$A),MATCH(Y$1,[1]characters!$1:$1,0)-MATCH($A$1,[1]characters!$1:$1,0)+1),MATCH(Y$1,[1]characters!$1:$1,0)-MATCH($A$1,[1]characters!$1:$1,0)+1,FALSE)</f>
        <v>demon</v>
      </c>
      <c r="Z3" s="5" t="str">
        <f ca="1">VLOOKUP(Y3,[1]character_tribe_i18n!$A:$H,3,FALSE)</f>
        <v>デーモン</v>
      </c>
      <c r="AA3" s="11">
        <f ca="1">VLOOKUP(W3,[1]character_tribe_i18n!$A:$H,4,FALSE)</f>
        <v>1</v>
      </c>
      <c r="AB3" s="11">
        <f ca="1">VLOOKUP(W3,[1]character_tribe_i18n!$A:$H,5,FALSE)</f>
        <v>1</v>
      </c>
      <c r="AC3" s="11">
        <f ca="1">VLOOKUP(W3,[1]character_tribe_i18n!$A:$H,6,FALSE)</f>
        <v>1</v>
      </c>
      <c r="AD3" s="11">
        <f ca="1">VLOOKUP(W3,[1]character_tribe_i18n!$A:$H,7,FALSE)</f>
        <v>1</v>
      </c>
      <c r="AE3" s="9" t="s">
        <v>318</v>
      </c>
      <c r="AF3" s="59" t="str">
        <f ca="1">IF(AE3="NULL","",VLOOKUP($AE3,OFFSET([1]characters!$A$1,0,0,COUNTA([1]characters!$A:$A),MATCH(AF$1,[1]characters!$1:$1,0)-MATCH($A$1,[1]characters!$1:$1,0)+1),MATCH(AF$1,[1]characters!$1:$1,0)-MATCH($A$1,[1]characters!$1:$1,0)+1,FALSE))</f>
        <v/>
      </c>
      <c r="AG3" s="5">
        <v>1188</v>
      </c>
      <c r="AH3" s="59" t="str">
        <f ca="1">VLOOKUP($AG3,OFFSET([1]characters!$A$1,0,0,COUNTA([1]characters!$A:$A),MATCH(AH$1,[1]characters!$1:$1,0)-MATCH($A$1,[1]characters!$1:$1,0)+1),MATCH(AH$1,[1]characters!$1:$1,0)-MATCH($A$1,[1]characters!$1:$1,0)+1,FALSE)</f>
        <v>ハッピーハロウィン ジョー</v>
      </c>
      <c r="AI3" s="11" t="str">
        <f>IF(AE3="NULL","NULL",VLOOKUP(G3,ビット!$A$2:$B$7,2))</f>
        <v>NULL</v>
      </c>
      <c r="AJ3" s="6">
        <v>2</v>
      </c>
      <c r="AK3" s="7" t="str">
        <f t="shared" ref="AK3:AK4" si="6">IF(AJ3=1,"早熟",IF(AJ3=2,"普通",IF(AJ3=3,"晩成","")))</f>
        <v>普通</v>
      </c>
      <c r="AL3" s="11" t="str">
        <f ca="1">INDEX(経験値!$A$1:$I$21,MATCH(H3,経験値!$A$1:$A$21,FALSE),MATCH(G3,経験値!$A$1:$I$1,FALSE))</f>
        <v>required_exp_50</v>
      </c>
      <c r="AM3" s="8">
        <f ca="1">VLOOKUP(G3,経験値!$A$28:$B$32,2)</f>
        <v>200</v>
      </c>
      <c r="AN3" s="17">
        <f ca="1">VLOOKUP(G3,ビット!$G$2:$H$7,2)</f>
        <v>75</v>
      </c>
      <c r="AO3" s="42"/>
      <c r="AP3" s="64">
        <v>1188</v>
      </c>
      <c r="AQ3" s="54" t="str">
        <f ca="1">VLOOKUP($AP3,OFFSET(unit_skills!$A$1,0,0,COUNTA(unit_skills!$A:$A),MATCH(AQ$1,unit_skills!$1:$1,0)-MATCH($AP$1,unit_skills!$1:$1,0)+1),MATCH(AQ$1,unit_skills!$1:$1,0)-MATCH($AP$1,unit_skills!$1:$1,0)+1,FALSE)</f>
        <v>インテリトリック</v>
      </c>
      <c r="AR3" s="54" t="str">
        <f ca="1">VLOOKUP($AP3,OFFSET(unit_skills!$A$1,0,0,COUNTA(unit_skills!$A:$A),MATCH(AR$1,unit_skills!$1:$1,0)-MATCH($AP$1,unit_skills!$1:$1,0)+1),MATCH(AR$1,unit_skills!$1:$1,0)-MATCH($AP$1,unit_skills!$1:$1,0)+1,FALSE)</f>
        <v>3ターンの間全ユニットの攻撃力を小UP</v>
      </c>
      <c r="AS3" s="54">
        <f ca="1">VLOOKUP($AP3,OFFSET(unit_skills!$A$1,0,0,COUNTA(unit_skills!$A:$A),MATCH(AS$1,unit_skills!$1:$1,0)-MATCH($AP$1,unit_skills!$1:$1,0)+1),MATCH(AS$1,unit_skills!$1:$1,0)-MATCH($AP$1,unit_skills!$1:$1,0)+1,FALSE)</f>
        <v>0</v>
      </c>
      <c r="AT3" s="9">
        <v>1188</v>
      </c>
      <c r="AU3" s="54" t="str">
        <f ca="1">VLOOKUP($AT3,OFFSET(crash_skills!$A$1,0,0,COUNTA(crash_skills!$A:$A),MATCH(AU$1,crash_skills!$1:$1,0)-MATCH($AT$1,crash_skills!$1:$1,0)+1),MATCH(AU$1,crash_skills!$1:$1,0)-MATCH($AT$1,crash_skills!$1:$1,0)+1,FALSE)</f>
        <v>トリートプラント</v>
      </c>
      <c r="AV3" s="54" t="str">
        <f ca="1">VLOOKUP($AT3,OFFSET(crash_skills!$A$1,0,0,COUNTA(crash_skills!$A:$A),MATCH(AV$1,crash_skills!$1:$1,0)-MATCH($AT$1,crash_skills!$1:$1,0)+1),MATCH(AV$1,crash_skills!$1:$1,0)-MATCH($AT$1,crash_skills!$1:$1,0)+1,FALSE)</f>
        <v>1体に小ダメージ</v>
      </c>
      <c r="AW3" s="54">
        <f ca="1">VLOOKUP($AT3,OFFSET(crash_skills!$A$1,0,0,COUNTA(crash_skills!$A:$A),MATCH(AW$1,crash_skills!$1:$1,0)-MATCH($AT$1,crash_skills!$1:$1,0)+1),MATCH(AW$1,crash_skills!$1:$1,0)-MATCH($AT$1,crash_skills!$1:$1,0)+1,FALSE)</f>
        <v>0</v>
      </c>
      <c r="AX3" s="55">
        <f ca="1">VLOOKUP($A3,OFFSET([1]characters!$A$1,0,0,COUNTA([1]characters!$A:$A),MATCH(AX$1,[1]characters!$1:$1,0)-MATCH($A$1,[1]characters!$1:$1,0)+1),MATCH(AX$1,[1]characters!$1:$1,0)-MATCH($A$1,[1]characters!$1:$1,0)+1,FALSE)</f>
        <v>3</v>
      </c>
      <c r="AY3" s="65">
        <v>1</v>
      </c>
      <c r="AZ3" s="65">
        <v>1</v>
      </c>
      <c r="BA3" s="65">
        <v>0</v>
      </c>
      <c r="BB3" s="65">
        <v>1</v>
      </c>
      <c r="BC3" s="11">
        <f ca="1">INDEX('RC6SV'!$A$1:$G$21,MATCH(H3,'RC6SV'!$A$1:$A$21,FALSE),MATCH(G3,'RC6SV'!$A$1:$G$1,FALSE))</f>
        <v>1500</v>
      </c>
      <c r="BD3" s="45">
        <f t="shared" ref="BD3:BD4" ca="1" si="7">ROUND(BC3*IF(AJ3=1,0.95,IF(AJ3=2,1,IF(AJ3,1.05,0))),0)</f>
        <v>1500</v>
      </c>
      <c r="BE3" s="11">
        <f t="shared" ca="1" si="3"/>
        <v>0</v>
      </c>
      <c r="BF3" s="11">
        <f t="shared" ca="1" si="4"/>
        <v>1</v>
      </c>
      <c r="BG3" s="16">
        <f ca="1">IF($BE3&lt;=0,ROUND(BK3*0.5,0), ROUND($BE3*S3*AA3*J3*AY3*0.8*[1]ステータス!$B$2,0))</f>
        <v>383</v>
      </c>
      <c r="BH3" s="16">
        <f ca="1">IF($BE3&lt;=0,ROUND(BL3*0.5,0), ROUND($BE3*T3*AB3*K3*AZ3*0.8*[1]ステータス!$C$2,0))</f>
        <v>221</v>
      </c>
      <c r="BI3" s="16">
        <f ca="1">IF($BE3&lt;=0,ROUND(BM3*0.5,0), ROUND($BE3*U3*AC3*L3*BA3*0.8*[1]ステータス!$D$2,0))</f>
        <v>0</v>
      </c>
      <c r="BJ3" s="16">
        <f ca="1">IF($BE3&lt;=0,ROUND(BN3*0.5,0), ROUND($BE3*V3*AD3*M3*BB3*0.8*[1]ステータス!$E$2,0))</f>
        <v>188</v>
      </c>
      <c r="BK3" s="11">
        <f ca="1">ROUND(BD3*S3*AA3*J3*AY3*[1]ステータス!$B$2,0)</f>
        <v>765</v>
      </c>
      <c r="BL3" s="11">
        <f ca="1">ROUND(BD3*T3*AB3*K3*AZ3*[1]ステータス!$C$2,0)</f>
        <v>441</v>
      </c>
      <c r="BM3" s="11">
        <f ca="1">ROUND(BD3*U3*AC3*L3*BA3*[1]ステータス!$D$2,0)</f>
        <v>0</v>
      </c>
      <c r="BN3" s="11">
        <f ca="1">ROUND(BD3*V3*AD3*M3*BB3*[1]ステータス!$E$2,0)</f>
        <v>375</v>
      </c>
      <c r="BO3" s="10">
        <v>0</v>
      </c>
      <c r="BP3" s="10">
        <v>1</v>
      </c>
      <c r="BQ3" s="10" t="s">
        <v>47</v>
      </c>
      <c r="BR3" s="10">
        <f ca="1">VLOOKUP(H3,ghosts_label!$A$2:$B$19,2,FALSE)</f>
        <v>1</v>
      </c>
    </row>
    <row r="4" spans="1:70" ht="26" customHeight="1" x14ac:dyDescent="0.15">
      <c r="A4" s="12">
        <v>1189</v>
      </c>
      <c r="B4" s="54" t="str">
        <f ca="1">VLOOKUP($A4,OFFSET([1]characters!$A$1,0,0,COUNTA([1]characters!$A:$A),MATCH(B$1,[1]characters!$1:$1,0)-MATCH($A$1,[1]characters!$1:$1,0)+1),MATCH(B$1,[1]characters!$1:$1,0)-MATCH($A$1,[1]characters!$1:$1,0)+1,FALSE)</f>
        <v>ハッピーハロウィン ジェリー</v>
      </c>
      <c r="C4" s="54">
        <f ca="1">VLOOKUP($A4,OFFSET([1]characters!$A$1,0,0,COUNTA([1]characters!$A:$A),MATCH(C$1,[1]characters!$1:$1,0)-MATCH($A$1,[1]characters!$1:$1,0)+1),MATCH(C$1,[1]characters!$1:$1,0)-MATCH($A$1,[1]characters!$1:$1,0)+1,FALSE)</f>
        <v>0</v>
      </c>
      <c r="D4" s="54">
        <f ca="1">VLOOKUP($A4,OFFSET([1]characters!$A$1,0,0,COUNTA([1]characters!$A:$A),MATCH(D$1,[1]characters!$1:$1,0)-MATCH($A$1,[1]characters!$1:$1,0)+1),MATCH(D$1,[1]characters!$1:$1,0)-MATCH($A$1,[1]characters!$1:$1,0)+1,FALSE)</f>
        <v>0</v>
      </c>
      <c r="E4" s="54">
        <f ca="1">VLOOKUP($A4,OFFSET([1]characters!$A$1,0,0,COUNTA([1]characters!$A:$A),MATCH(E$1,[1]characters!$1:$1,0)-MATCH($A$1,[1]characters!$1:$1,0)+1),MATCH(E$1,[1]characters!$1:$1,0)-MATCH($A$1,[1]characters!$1:$1,0)+1,FALSE)</f>
        <v>0</v>
      </c>
      <c r="F4" s="54">
        <f ca="1">VLOOKUP($A4,OFFSET([1]characters!$A$1,0,0,COUNTA([1]characters!$A:$A),MATCH(F$1,[1]characters!$1:$1,0)-MATCH($A$1,[1]characters!$1:$1,0)+1),MATCH(F$1,[1]characters!$1:$1,0)-MATCH($A$1,[1]characters!$1:$1,0)+1,FALSE)</f>
        <v>0</v>
      </c>
      <c r="G4" s="54">
        <f ca="1">VLOOKUP($A4,OFFSET([1]characters!$A$1,0,0,COUNTA([1]characters!$A:$A),MATCH(G$1,[1]characters!$1:$1,0)-MATCH($A$1,[1]characters!$1:$1,0)+1),MATCH(G$1,[1]characters!$1:$1,0)-MATCH($A$1,[1]characters!$1:$1,0)+1,FALSE)</f>
        <v>1</v>
      </c>
      <c r="H4" s="54" t="str">
        <f ca="1">VLOOKUP($A4,OFFSET([1]characters!$A$1,0,0,COUNTA([1]characters!$A:$A),MATCH(H$1,[1]characters!$1:$1,0)-MATCH($A$1,[1]characters!$1:$1,0)+1),MATCH(H$1,[1]characters!$1:$1,0)-MATCH($A$1,[1]characters!$1:$1,0)+1,FALSE)</f>
        <v>Drop1T</v>
      </c>
      <c r="I4" s="54" t="str">
        <f ca="1">VLOOKUP($A4,OFFSET([1]characters!$A$1,0,0,COUNTA([1]characters!$A:$A),MATCH(I$1,[1]characters!$1:$1,0)-MATCH($A$1,[1]characters!$1:$1,0)+1),MATCH(I$1,[1]characters!$1:$1,0)-MATCH($A$1,[1]characters!$1:$1,0)+1,FALSE)</f>
        <v>blue</v>
      </c>
      <c r="J4" s="11">
        <f ca="1">VLOOKUP(I4,[1]属性!$A:$E,2,FALSE)</f>
        <v>1</v>
      </c>
      <c r="K4" s="11">
        <f ca="1">VLOOKUP(I4,[1]属性!$A:$E,3,FALSE)</f>
        <v>0.98</v>
      </c>
      <c r="L4" s="11">
        <f ca="1">VLOOKUP(I4,[1]属性!$A:$E,4,FALSE)</f>
        <v>1</v>
      </c>
      <c r="M4" s="11">
        <f ca="1">VLOOKUP(I4,[1]属性!$A:$E,5,FALSE)</f>
        <v>1.02</v>
      </c>
      <c r="N4" s="11">
        <f ca="1">INDEX(コスト!$A$1:$I$21,MATCH(H4,コスト!$A$1:$A$21,FALSE),MATCH(G4,コスト!$A$1:$I$1,FALSE))</f>
        <v>1</v>
      </c>
      <c r="O4" s="11">
        <f ca="1">INDEX(レベル!$A$1:$I$22,MATCH(H4,レベル!$A$1:$A$22,FALSE),MATCH(G4,レベル!$A$1:$I$1,FALSE))</f>
        <v>10</v>
      </c>
      <c r="P4" s="45">
        <f t="shared" ca="1" si="5"/>
        <v>15</v>
      </c>
      <c r="Q4" s="54" t="str">
        <f ca="1">VLOOKUP($A4,OFFSET([1]characters!$A$1,0,0,COUNTA([1]characters!$A:$A),MATCH(Q$1,[1]characters!$1:$1,0)-MATCH($A$1,[1]characters!$1:$1,0)+1),MATCH(Q$1,[1]characters!$1:$1,0)-MATCH($A$1,[1]characters!$1:$1,0)+1,FALSE)</f>
        <v>attack</v>
      </c>
      <c r="R4" s="5" t="str">
        <f ca="1">VLOOKUP(Q4,[1]character_type_i18n!$A:$H,3,FALSE)</f>
        <v>攻撃タイプ</v>
      </c>
      <c r="S4" s="11">
        <f ca="1">VLOOKUP(Q4,[1]character_type_i18n!$A:$H,4,FALSE)</f>
        <v>1</v>
      </c>
      <c r="T4" s="11">
        <f ca="1">VLOOKUP(Q4,[1]character_type_i18n!$A:$H,5,FALSE)</f>
        <v>1.33</v>
      </c>
      <c r="U4" s="11">
        <f ca="1">VLOOKUP(Q4,[1]character_type_i18n!$A:$H,6,FALSE)</f>
        <v>1</v>
      </c>
      <c r="V4" s="11">
        <f ca="1">VLOOKUP(Q4,[1]character_type_i18n!$A:$H,7,FALSE)</f>
        <v>0.67</v>
      </c>
      <c r="W4" s="54" t="str">
        <f ca="1">VLOOKUP($A4,OFFSET([1]characters!$A$1,0,0,COUNTA([1]characters!$A:$A),MATCH(W$1,[1]characters!$1:$1,0)-MATCH($A$1,[1]characters!$1:$1,0)+1),MATCH(W$1,[1]characters!$1:$1,0)-MATCH($A$1,[1]characters!$1:$1,0)+1,FALSE)</f>
        <v>unknown</v>
      </c>
      <c r="X4" s="5" t="str">
        <f ca="1">VLOOKUP(W4,[1]character_tribe_i18n!$A:$H,3,FALSE)</f>
        <v>Unknown</v>
      </c>
      <c r="Y4" s="54" t="str">
        <f ca="1">VLOOKUP($A4,OFFSET([1]characters!$A$1,0,0,COUNTA([1]characters!$A:$A),MATCH(Y$1,[1]characters!$1:$1,0)-MATCH($A$1,[1]characters!$1:$1,0)+1),MATCH(Y$1,[1]characters!$1:$1,0)-MATCH($A$1,[1]characters!$1:$1,0)+1,FALSE)</f>
        <v>demon</v>
      </c>
      <c r="Z4" s="5" t="str">
        <f ca="1">VLOOKUP(Y4,[1]character_tribe_i18n!$A:$H,3,FALSE)</f>
        <v>デーモン</v>
      </c>
      <c r="AA4" s="11">
        <f ca="1">VLOOKUP(W4,[1]character_tribe_i18n!$A:$H,4,FALSE)</f>
        <v>1</v>
      </c>
      <c r="AB4" s="11">
        <f ca="1">VLOOKUP(W4,[1]character_tribe_i18n!$A:$H,5,FALSE)</f>
        <v>1</v>
      </c>
      <c r="AC4" s="11">
        <f ca="1">VLOOKUP(W4,[1]character_tribe_i18n!$A:$H,6,FALSE)</f>
        <v>1</v>
      </c>
      <c r="AD4" s="11">
        <f ca="1">VLOOKUP(W4,[1]character_tribe_i18n!$A:$H,7,FALSE)</f>
        <v>1</v>
      </c>
      <c r="AE4" s="9" t="s">
        <v>318</v>
      </c>
      <c r="AF4" s="59" t="str">
        <f ca="1">IF(AE4="NULL","",VLOOKUP($AE4,OFFSET([1]characters!$A$1,0,0,COUNTA([1]characters!$A:$A),MATCH(AF$1,[1]characters!$1:$1,0)-MATCH($A$1,[1]characters!$1:$1,0)+1),MATCH(AF$1,[1]characters!$1:$1,0)-MATCH($A$1,[1]characters!$1:$1,0)+1,FALSE))</f>
        <v/>
      </c>
      <c r="AG4" s="5">
        <v>1189</v>
      </c>
      <c r="AH4" s="59" t="str">
        <f ca="1">VLOOKUP($AG4,OFFSET([1]characters!$A$1,0,0,COUNTA([1]characters!$A:$A),MATCH(AH$1,[1]characters!$1:$1,0)-MATCH($A$1,[1]characters!$1:$1,0)+1),MATCH(AH$1,[1]characters!$1:$1,0)-MATCH($A$1,[1]characters!$1:$1,0)+1,FALSE)</f>
        <v>ハッピーハロウィン ジェリー</v>
      </c>
      <c r="AI4" s="11" t="str">
        <f>IF(AE4="NULL","NULL",VLOOKUP(G4,ビット!$A$2:$B$7,2))</f>
        <v>NULL</v>
      </c>
      <c r="AJ4" s="6">
        <v>2</v>
      </c>
      <c r="AK4" s="7" t="str">
        <f t="shared" si="6"/>
        <v>普通</v>
      </c>
      <c r="AL4" s="11" t="str">
        <f ca="1">INDEX(経験値!$A$1:$I$21,MATCH(H4,経験値!$A$1:$A$21,FALSE),MATCH(G4,経験値!$A$1:$I$1,FALSE))</f>
        <v>required_exp_50</v>
      </c>
      <c r="AM4" s="8">
        <f ca="1">VLOOKUP(G4,経験値!$A$28:$B$32,2)</f>
        <v>200</v>
      </c>
      <c r="AN4" s="17">
        <f ca="1">VLOOKUP(G4,ビット!$G$2:$H$7,2)</f>
        <v>75</v>
      </c>
      <c r="AO4" s="42"/>
      <c r="AP4" s="64">
        <v>1189</v>
      </c>
      <c r="AQ4" s="54" t="str">
        <f ca="1">VLOOKUP($AP4,OFFSET(unit_skills!$A$1,0,0,COUNTA(unit_skills!$A:$A),MATCH(AQ$1,unit_skills!$1:$1,0)-MATCH($AP$1,unit_skills!$1:$1,0)+1),MATCH(AQ$1,unit_skills!$1:$1,0)-MATCH($AP$1,unit_skills!$1:$1,0)+1,FALSE)</f>
        <v>ホラーマイン</v>
      </c>
      <c r="AR4" s="54" t="str">
        <f ca="1">VLOOKUP($AP4,OFFSET(unit_skills!$A$1,0,0,COUNTA(unit_skills!$A:$A),MATCH(AR$1,unit_skills!$1:$1,0)-MATCH($AP$1,unit_skills!$1:$1,0)+1),MATCH(AR$1,unit_skills!$1:$1,0)-MATCH($AP$1,unit_skills!$1:$1,0)+1,FALSE)</f>
        <v>全体に青属性の小ダメージ</v>
      </c>
      <c r="AS4" s="54">
        <f ca="1">VLOOKUP($AP4,OFFSET(unit_skills!$A$1,0,0,COUNTA(unit_skills!$A:$A),MATCH(AS$1,unit_skills!$1:$1,0)-MATCH($AP$1,unit_skills!$1:$1,0)+1),MATCH(AS$1,unit_skills!$1:$1,0)-MATCH($AP$1,unit_skills!$1:$1,0)+1,FALSE)</f>
        <v>0</v>
      </c>
      <c r="AT4" s="9">
        <v>1189</v>
      </c>
      <c r="AU4" s="54" t="str">
        <f ca="1">VLOOKUP($AT4,OFFSET(crash_skills!$A$1,0,0,COUNTA(crash_skills!$A:$A),MATCH(AU$1,crash_skills!$1:$1,0)-MATCH($AT$1,crash_skills!$1:$1,0)+1),MATCH(AU$1,crash_skills!$1:$1,0)-MATCH($AT$1,crash_skills!$1:$1,0)+1,FALSE)</f>
        <v>リトルナイトモンスター</v>
      </c>
      <c r="AV4" s="54" t="str">
        <f ca="1">VLOOKUP($AT4,OFFSET(crash_skills!$A$1,0,0,COUNTA(crash_skills!$A:$A),MATCH(AV$1,crash_skills!$1:$1,0)-MATCH($AT$1,crash_skills!$1:$1,0)+1),MATCH(AV$1,crash_skills!$1:$1,0)-MATCH($AT$1,crash_skills!$1:$1,0)+1,FALSE)</f>
        <v>1体に小ダメージ</v>
      </c>
      <c r="AW4" s="54">
        <f ca="1">VLOOKUP($AT4,OFFSET(crash_skills!$A$1,0,0,COUNTA(crash_skills!$A:$A),MATCH(AW$1,crash_skills!$1:$1,0)-MATCH($AT$1,crash_skills!$1:$1,0)+1),MATCH(AW$1,crash_skills!$1:$1,0)-MATCH($AT$1,crash_skills!$1:$1,0)+1,FALSE)</f>
        <v>0</v>
      </c>
      <c r="AX4" s="55">
        <f ca="1">VLOOKUP($A4,OFFSET([1]characters!$A$1,0,0,COUNTA([1]characters!$A:$A),MATCH(AX$1,[1]characters!$1:$1,0)-MATCH($A$1,[1]characters!$1:$1,0)+1),MATCH(AX$1,[1]characters!$1:$1,0)-MATCH($A$1,[1]characters!$1:$1,0)+1,FALSE)</f>
        <v>3</v>
      </c>
      <c r="AY4" s="65">
        <v>1</v>
      </c>
      <c r="AZ4" s="65">
        <v>1</v>
      </c>
      <c r="BA4" s="65">
        <v>0</v>
      </c>
      <c r="BB4" s="65">
        <v>1</v>
      </c>
      <c r="BC4" s="11">
        <f ca="1">INDEX('RC6SV'!$A$1:$G$21,MATCH(H4,'RC6SV'!$A$1:$A$21,FALSE),MATCH(G4,'RC6SV'!$A$1:$G$1,FALSE))</f>
        <v>1500</v>
      </c>
      <c r="BD4" s="45">
        <f t="shared" ca="1" si="7"/>
        <v>1500</v>
      </c>
      <c r="BE4" s="11">
        <f t="shared" ca="1" si="3"/>
        <v>0</v>
      </c>
      <c r="BF4" s="11">
        <f t="shared" ca="1" si="4"/>
        <v>1</v>
      </c>
      <c r="BG4" s="16">
        <f ca="1">IF($BE4&lt;=0,ROUND(BK4*0.5,0), ROUND($BE4*S4*AA4*J4*AY4*0.8*[1]ステータス!$B$2,0))</f>
        <v>375</v>
      </c>
      <c r="BH4" s="16">
        <f ca="1">IF($BE4&lt;=0,ROUND(BL4*0.5,0), ROUND($BE4*T4*AB4*K4*AZ4*0.8*[1]ステータス!$C$2,0))</f>
        <v>294</v>
      </c>
      <c r="BI4" s="16">
        <f ca="1">IF($BE4&lt;=0,ROUND(BM4*0.5,0), ROUND($BE4*U4*AC4*L4*BA4*0.8*[1]ステータス!$D$2,0))</f>
        <v>0</v>
      </c>
      <c r="BJ4" s="16">
        <f ca="1">IF($BE4&lt;=0,ROUND(BN4*0.5,0), ROUND($BE4*V4*AD4*M4*BB4*0.8*[1]ステータス!$E$2,0))</f>
        <v>128</v>
      </c>
      <c r="BK4" s="11">
        <f ca="1">ROUND(BD4*S4*AA4*J4*AY4*[1]ステータス!$B$2,0)</f>
        <v>750</v>
      </c>
      <c r="BL4" s="11">
        <f ca="1">ROUND(BD4*T4*AB4*K4*AZ4*[1]ステータス!$C$2,0)</f>
        <v>587</v>
      </c>
      <c r="BM4" s="11">
        <f ca="1">ROUND(BD4*U4*AC4*L4*BA4*[1]ステータス!$D$2,0)</f>
        <v>0</v>
      </c>
      <c r="BN4" s="11">
        <f ca="1">ROUND(BD4*V4*AD4*M4*BB4*[1]ステータス!$E$2,0)</f>
        <v>256</v>
      </c>
      <c r="BO4" s="10">
        <v>0</v>
      </c>
      <c r="BP4" s="10">
        <v>1</v>
      </c>
      <c r="BQ4" s="10" t="s">
        <v>47</v>
      </c>
      <c r="BR4" s="10">
        <f ca="1">VLOOKUP(H4,ghosts_label!$A$2:$B$19,2,FALSE)</f>
        <v>1</v>
      </c>
    </row>
    <row r="5" spans="1:70" ht="26" customHeight="1" x14ac:dyDescent="0.15">
      <c r="A5" s="12">
        <v>1190</v>
      </c>
      <c r="B5" s="54" t="str">
        <f ca="1">VLOOKUP($A5,OFFSET([1]characters!$A$1,0,0,COUNTA([1]characters!$A:$A),MATCH(B$1,[1]characters!$1:$1,0)-MATCH($A$1,[1]characters!$1:$1,0)+1),MATCH(B$1,[1]characters!$1:$1,0)-MATCH($A$1,[1]characters!$1:$1,0)+1,FALSE)</f>
        <v>ハッピーハロウィン エレキポット</v>
      </c>
      <c r="C5" s="54">
        <f ca="1">VLOOKUP($A5,OFFSET([1]characters!$A$1,0,0,COUNTA([1]characters!$A:$A),MATCH(C$1,[1]characters!$1:$1,0)-MATCH($A$1,[1]characters!$1:$1,0)+1),MATCH(C$1,[1]characters!$1:$1,0)-MATCH($A$1,[1]characters!$1:$1,0)+1,FALSE)</f>
        <v>0</v>
      </c>
      <c r="D5" s="54">
        <f ca="1">VLOOKUP($A5,OFFSET([1]characters!$A$1,0,0,COUNTA([1]characters!$A:$A),MATCH(D$1,[1]characters!$1:$1,0)-MATCH($A$1,[1]characters!$1:$1,0)+1),MATCH(D$1,[1]characters!$1:$1,0)-MATCH($A$1,[1]characters!$1:$1,0)+1,FALSE)</f>
        <v>0</v>
      </c>
      <c r="E5" s="54">
        <f ca="1">VLOOKUP($A5,OFFSET([1]characters!$A$1,0,0,COUNTA([1]characters!$A:$A),MATCH(E$1,[1]characters!$1:$1,0)-MATCH($A$1,[1]characters!$1:$1,0)+1),MATCH(E$1,[1]characters!$1:$1,0)-MATCH($A$1,[1]characters!$1:$1,0)+1,FALSE)</f>
        <v>0</v>
      </c>
      <c r="F5" s="54">
        <f ca="1">VLOOKUP($A5,OFFSET([1]characters!$A$1,0,0,COUNTA([1]characters!$A:$A),MATCH(F$1,[1]characters!$1:$1,0)-MATCH($A$1,[1]characters!$1:$1,0)+1),MATCH(F$1,[1]characters!$1:$1,0)-MATCH($A$1,[1]characters!$1:$1,0)+1,FALSE)</f>
        <v>0</v>
      </c>
      <c r="G5" s="54">
        <f ca="1">VLOOKUP($A5,OFFSET([1]characters!$A$1,0,0,COUNTA([1]characters!$A:$A),MATCH(G$1,[1]characters!$1:$1,0)-MATCH($A$1,[1]characters!$1:$1,0)+1),MATCH(G$1,[1]characters!$1:$1,0)-MATCH($A$1,[1]characters!$1:$1,0)+1,FALSE)</f>
        <v>1</v>
      </c>
      <c r="H5" s="54" t="str">
        <f ca="1">VLOOKUP($A5,OFFSET([1]characters!$A$1,0,0,COUNTA([1]characters!$A:$A),MATCH(H$1,[1]characters!$1:$1,0)-MATCH($A$1,[1]characters!$1:$1,0)+1),MATCH(H$1,[1]characters!$1:$1,0)-MATCH($A$1,[1]characters!$1:$1,0)+1,FALSE)</f>
        <v>Drop1T</v>
      </c>
      <c r="I5" s="54" t="str">
        <f ca="1">VLOOKUP($A5,OFFSET([1]characters!$A$1,0,0,COUNTA([1]characters!$A:$A),MATCH(I$1,[1]characters!$1:$1,0)-MATCH($A$1,[1]characters!$1:$1,0)+1),MATCH(I$1,[1]characters!$1:$1,0)-MATCH($A$1,[1]characters!$1:$1,0)+1,FALSE)</f>
        <v>yellow</v>
      </c>
      <c r="J5" s="11">
        <f ca="1">VLOOKUP(I5,[1]属性!$A:$E,2,FALSE)</f>
        <v>0.98</v>
      </c>
      <c r="K5" s="11">
        <f ca="1">VLOOKUP(I5,[1]属性!$A:$E,3,FALSE)</f>
        <v>1.01</v>
      </c>
      <c r="L5" s="11">
        <f ca="1">VLOOKUP(I5,[1]属性!$A:$E,4,FALSE)</f>
        <v>1</v>
      </c>
      <c r="M5" s="11">
        <f ca="1">VLOOKUP(I5,[1]属性!$A:$E,5,FALSE)</f>
        <v>1.01</v>
      </c>
      <c r="N5" s="11">
        <f ca="1">INDEX(コスト!$A$1:$I$21,MATCH(H5,コスト!$A$1:$A$21,FALSE),MATCH(G5,コスト!$A$1:$I$1,FALSE))</f>
        <v>1</v>
      </c>
      <c r="O5" s="11">
        <f ca="1">INDEX(レベル!$A$1:$I$22,MATCH(H5,レベル!$A$1:$A$22,FALSE),MATCH(G5,レベル!$A$1:$I$1,FALSE))</f>
        <v>10</v>
      </c>
      <c r="P5" s="45">
        <f t="shared" ref="P5" ca="1" si="8">IF(G5 &gt;= 6, 99,G5*15)</f>
        <v>15</v>
      </c>
      <c r="Q5" s="54" t="str">
        <f ca="1">VLOOKUP($A5,OFFSET([1]characters!$A$1,0,0,COUNTA([1]characters!$A:$A),MATCH(Q$1,[1]characters!$1:$1,0)-MATCH($A$1,[1]characters!$1:$1,0)+1),MATCH(Q$1,[1]characters!$1:$1,0)-MATCH($A$1,[1]characters!$1:$1,0)+1,FALSE)</f>
        <v>attack</v>
      </c>
      <c r="R5" s="5" t="str">
        <f ca="1">VLOOKUP(Q5,[1]character_type_i18n!$A:$H,3,FALSE)</f>
        <v>攻撃タイプ</v>
      </c>
      <c r="S5" s="11">
        <f ca="1">VLOOKUP(Q5,[1]character_type_i18n!$A:$H,4,FALSE)</f>
        <v>1</v>
      </c>
      <c r="T5" s="11">
        <f ca="1">VLOOKUP(Q5,[1]character_type_i18n!$A:$H,5,FALSE)</f>
        <v>1.33</v>
      </c>
      <c r="U5" s="11">
        <f ca="1">VLOOKUP(Q5,[1]character_type_i18n!$A:$H,6,FALSE)</f>
        <v>1</v>
      </c>
      <c r="V5" s="11">
        <f ca="1">VLOOKUP(Q5,[1]character_type_i18n!$A:$H,7,FALSE)</f>
        <v>0.67</v>
      </c>
      <c r="W5" s="54" t="str">
        <f ca="1">VLOOKUP($A5,OFFSET([1]characters!$A$1,0,0,COUNTA([1]characters!$A:$A),MATCH(W$1,[1]characters!$1:$1,0)-MATCH($A$1,[1]characters!$1:$1,0)+1),MATCH(W$1,[1]characters!$1:$1,0)-MATCH($A$1,[1]characters!$1:$1,0)+1,FALSE)</f>
        <v>unknown</v>
      </c>
      <c r="X5" s="5" t="str">
        <f ca="1">VLOOKUP(W5,[1]character_tribe_i18n!$A:$H,3,FALSE)</f>
        <v>Unknown</v>
      </c>
      <c r="Y5" s="54" t="str">
        <f ca="1">VLOOKUP($A5,OFFSET([1]characters!$A$1,0,0,COUNTA([1]characters!$A:$A),MATCH(Y$1,[1]characters!$1:$1,0)-MATCH($A$1,[1]characters!$1:$1,0)+1),MATCH(Y$1,[1]characters!$1:$1,0)-MATCH($A$1,[1]characters!$1:$1,0)+1,FALSE)</f>
        <v>demon</v>
      </c>
      <c r="Z5" s="5" t="str">
        <f ca="1">VLOOKUP(Y5,[1]character_tribe_i18n!$A:$H,3,FALSE)</f>
        <v>デーモン</v>
      </c>
      <c r="AA5" s="11">
        <f ca="1">VLOOKUP(W5,[1]character_tribe_i18n!$A:$H,4,FALSE)</f>
        <v>1</v>
      </c>
      <c r="AB5" s="11">
        <f ca="1">VLOOKUP(W5,[1]character_tribe_i18n!$A:$H,5,FALSE)</f>
        <v>1</v>
      </c>
      <c r="AC5" s="11">
        <f ca="1">VLOOKUP(W5,[1]character_tribe_i18n!$A:$H,6,FALSE)</f>
        <v>1</v>
      </c>
      <c r="AD5" s="11">
        <f ca="1">VLOOKUP(W5,[1]character_tribe_i18n!$A:$H,7,FALSE)</f>
        <v>1</v>
      </c>
      <c r="AE5" s="9" t="s">
        <v>318</v>
      </c>
      <c r="AF5" s="59" t="str">
        <f ca="1">IF(AE5="NULL","",VLOOKUP($AE5,OFFSET([1]characters!$A$1,0,0,COUNTA([1]characters!$A:$A),MATCH(AF$1,[1]characters!$1:$1,0)-MATCH($A$1,[1]characters!$1:$1,0)+1),MATCH(AF$1,[1]characters!$1:$1,0)-MATCH($A$1,[1]characters!$1:$1,0)+1,FALSE))</f>
        <v/>
      </c>
      <c r="AG5" s="5">
        <v>1190</v>
      </c>
      <c r="AH5" s="59" t="str">
        <f ca="1">VLOOKUP($AG5,OFFSET([1]characters!$A$1,0,0,COUNTA([1]characters!$A:$A),MATCH(AH$1,[1]characters!$1:$1,0)-MATCH($A$1,[1]characters!$1:$1,0)+1),MATCH(AH$1,[1]characters!$1:$1,0)-MATCH($A$1,[1]characters!$1:$1,0)+1,FALSE)</f>
        <v>ハッピーハロウィン エレキポット</v>
      </c>
      <c r="AI5" s="11" t="str">
        <f>IF(AE5="NULL","NULL",VLOOKUP(G5,ビット!$A$2:$B$7,2))</f>
        <v>NULL</v>
      </c>
      <c r="AJ5" s="6">
        <v>2</v>
      </c>
      <c r="AK5" s="7" t="str">
        <f t="shared" ref="AK5" si="9">IF(AJ5=1,"早熟",IF(AJ5=2,"普通",IF(AJ5=3,"晩成","")))</f>
        <v>普通</v>
      </c>
      <c r="AL5" s="11" t="str">
        <f ca="1">INDEX(経験値!$A$1:$I$21,MATCH(H5,経験値!$A$1:$A$21,FALSE),MATCH(G5,経験値!$A$1:$I$1,FALSE))</f>
        <v>required_exp_50</v>
      </c>
      <c r="AM5" s="8">
        <f ca="1">VLOOKUP(G5,経験値!$A$28:$B$32,2)</f>
        <v>200</v>
      </c>
      <c r="AN5" s="17">
        <f ca="1">VLOOKUP(G5,ビット!$G$2:$H$7,2)</f>
        <v>75</v>
      </c>
      <c r="AO5" s="42"/>
      <c r="AP5" s="64">
        <v>1190</v>
      </c>
      <c r="AQ5" s="54" t="str">
        <f ca="1">VLOOKUP($AP5,OFFSET(unit_skills!$A$1,0,0,COUNTA(unit_skills!$A:$A),MATCH(AQ$1,unit_skills!$1:$1,0)-MATCH($AP$1,unit_skills!$1:$1,0)+1),MATCH(AQ$1,unit_skills!$1:$1,0)-MATCH($AP$1,unit_skills!$1:$1,0)+1,FALSE)</f>
        <v>悪戯放電</v>
      </c>
      <c r="AR5" s="54" t="str">
        <f ca="1">VLOOKUP($AP5,OFFSET(unit_skills!$A$1,0,0,COUNTA(unit_skills!$A:$A),MATCH(AR$1,unit_skills!$1:$1,0)-MATCH($AP$1,unit_skills!$1:$1,0)+1),MATCH(AR$1,unit_skills!$1:$1,0)-MATCH($AP$1,unit_skills!$1:$1,0)+1,FALSE)</f>
        <v>1体に黄属性の小ダメージ</v>
      </c>
      <c r="AS5" s="54">
        <f ca="1">VLOOKUP($AP5,OFFSET(unit_skills!$A$1,0,0,COUNTA(unit_skills!$A:$A),MATCH(AS$1,unit_skills!$1:$1,0)-MATCH($AP$1,unit_skills!$1:$1,0)+1),MATCH(AS$1,unit_skills!$1:$1,0)-MATCH($AP$1,unit_skills!$1:$1,0)+1,FALSE)</f>
        <v>0</v>
      </c>
      <c r="AT5" s="9">
        <v>1190</v>
      </c>
      <c r="AU5" s="54" t="str">
        <f ca="1">VLOOKUP($AT5,OFFSET(crash_skills!$A$1,0,0,COUNTA(crash_skills!$A:$A),MATCH(AU$1,crash_skills!$1:$1,0)-MATCH($AT$1,crash_skills!$1:$1,0)+1),MATCH(AU$1,crash_skills!$1:$1,0)-MATCH($AT$1,crash_skills!$1:$1,0)+1,FALSE)</f>
        <v>リトルホラーライト</v>
      </c>
      <c r="AV5" s="54" t="str">
        <f ca="1">VLOOKUP($AT5,OFFSET(crash_skills!$A$1,0,0,COUNTA(crash_skills!$A:$A),MATCH(AV$1,crash_skills!$1:$1,0)-MATCH($AT$1,crash_skills!$1:$1,0)+1),MATCH(AV$1,crash_skills!$1:$1,0)-MATCH($AT$1,crash_skills!$1:$1,0)+1,FALSE)</f>
        <v>1体に小ダメージ</v>
      </c>
      <c r="AW5" s="54">
        <f ca="1">VLOOKUP($AT5,OFFSET(crash_skills!$A$1,0,0,COUNTA(crash_skills!$A:$A),MATCH(AW$1,crash_skills!$1:$1,0)-MATCH($AT$1,crash_skills!$1:$1,0)+1),MATCH(AW$1,crash_skills!$1:$1,0)-MATCH($AT$1,crash_skills!$1:$1,0)+1,FALSE)</f>
        <v>0</v>
      </c>
      <c r="AX5" s="55">
        <f ca="1">VLOOKUP($A5,OFFSET([1]characters!$A$1,0,0,COUNTA([1]characters!$A:$A),MATCH(AX$1,[1]characters!$1:$1,0)-MATCH($A$1,[1]characters!$1:$1,0)+1),MATCH(AX$1,[1]characters!$1:$1,0)-MATCH($A$1,[1]characters!$1:$1,0)+1,FALSE)</f>
        <v>3</v>
      </c>
      <c r="AY5" s="65">
        <v>1</v>
      </c>
      <c r="AZ5" s="65">
        <v>1</v>
      </c>
      <c r="BA5" s="65">
        <v>0</v>
      </c>
      <c r="BB5" s="65">
        <v>1</v>
      </c>
      <c r="BC5" s="11">
        <f ca="1">INDEX('RC6SV'!$A$1:$G$21,MATCH(H5,'RC6SV'!$A$1:$A$21,FALSE),MATCH(G5,'RC6SV'!$A$1:$G$1,FALSE))</f>
        <v>1500</v>
      </c>
      <c r="BD5" s="45">
        <f t="shared" ref="BD5" ca="1" si="10">ROUND(BC5*IF(AJ5=1,0.95,IF(AJ5=2,1,IF(AJ5,1.05,0))),0)</f>
        <v>1500</v>
      </c>
      <c r="BE5" s="11">
        <f t="shared" ca="1" si="3"/>
        <v>0</v>
      </c>
      <c r="BF5" s="11">
        <f t="shared" ca="1" si="4"/>
        <v>1</v>
      </c>
      <c r="BG5" s="16">
        <f ca="1">IF($BE5&lt;=0,ROUND(BK5*0.5,0), ROUND($BE5*S5*AA5*J5*AY5*0.8*[1]ステータス!$B$2,0))</f>
        <v>368</v>
      </c>
      <c r="BH5" s="16">
        <f ca="1">IF($BE5&lt;=0,ROUND(BL5*0.5,0), ROUND($BE5*T5*AB5*K5*AZ5*0.8*[1]ステータス!$C$2,0))</f>
        <v>302</v>
      </c>
      <c r="BI5" s="16">
        <f ca="1">IF($BE5&lt;=0,ROUND(BM5*0.5,0), ROUND($BE5*U5*AC5*L5*BA5*0.8*[1]ステータス!$D$2,0))</f>
        <v>0</v>
      </c>
      <c r="BJ5" s="16">
        <f ca="1">IF($BE5&lt;=0,ROUND(BN5*0.5,0), ROUND($BE5*V5*AD5*M5*BB5*0.8*[1]ステータス!$E$2,0))</f>
        <v>127</v>
      </c>
      <c r="BK5" s="11">
        <f ca="1">ROUND(BD5*S5*AA5*J5*AY5*[1]ステータス!$B$2,0)</f>
        <v>735</v>
      </c>
      <c r="BL5" s="11">
        <f ca="1">ROUND(BD5*T5*AB5*K5*AZ5*[1]ステータス!$C$2,0)</f>
        <v>604</v>
      </c>
      <c r="BM5" s="11">
        <f ca="1">ROUND(BD5*U5*AC5*L5*BA5*[1]ステータス!$D$2,0)</f>
        <v>0</v>
      </c>
      <c r="BN5" s="11">
        <f ca="1">ROUND(BD5*V5*AD5*M5*BB5*[1]ステータス!$E$2,0)</f>
        <v>254</v>
      </c>
      <c r="BO5" s="10">
        <v>0</v>
      </c>
      <c r="BP5" s="10">
        <v>1</v>
      </c>
      <c r="BQ5" s="10" t="s">
        <v>47</v>
      </c>
      <c r="BR5" s="10">
        <f ca="1">VLOOKUP(H5,ghosts_label!$A$2:$B$19,2,FALSE)</f>
        <v>1</v>
      </c>
    </row>
    <row r="6" spans="1:70" ht="26" customHeight="1" x14ac:dyDescent="0.15">
      <c r="A6" s="12">
        <v>1194</v>
      </c>
      <c r="B6" s="54" t="str">
        <f ca="1">VLOOKUP($A6,OFFSET([1]characters!$A$1,0,0,COUNTA([1]characters!$A:$A),MATCH(B$1,[1]characters!$1:$1,0)-MATCH($A$1,[1]characters!$1:$1,0)+1),MATCH(B$1,[1]characters!$1:$1,0)-MATCH($A$1,[1]characters!$1:$1,0)+1,FALSE)</f>
        <v>ハーヴェスト</v>
      </c>
      <c r="C6" s="54" t="str">
        <f ca="1">VLOOKUP($A6,OFFSET([1]characters!$A$1,0,0,COUNTA([1]characters!$A:$A),MATCH(C$1,[1]characters!$1:$1,0)-MATCH($A$1,[1]characters!$1:$1,0)+1),MATCH(C$1,[1]characters!$1:$1,0)-MATCH($A$1,[1]characters!$1:$1,0)+1,FALSE)</f>
        <v>未定</v>
      </c>
      <c r="D6" s="54" t="str">
        <f ca="1">VLOOKUP($A6,OFFSET([1]characters!$A$1,0,0,COUNTA([1]characters!$A:$A),MATCH(D$1,[1]characters!$1:$1,0)-MATCH($A$1,[1]characters!$1:$1,0)+1),MATCH(D$1,[1]characters!$1:$1,0)-MATCH($A$1,[1]characters!$1:$1,0)+1,FALSE)</f>
        <v>アリス</v>
      </c>
      <c r="E6" s="54" t="str">
        <f ca="1">VLOOKUP($A6,OFFSET([1]characters!$A$1,0,0,COUNTA([1]characters!$A:$A),MATCH(E$1,[1]characters!$1:$1,0)-MATCH($A$1,[1]characters!$1:$1,0)+1),MATCH(E$1,[1]characters!$1:$1,0)-MATCH($A$1,[1]characters!$1:$1,0)+1,FALSE)</f>
        <v>世界観</v>
      </c>
      <c r="F6" s="54" t="str">
        <f ca="1">VLOOKUP($A6,OFFSET([1]characters!$A$1,0,0,COUNTA([1]characters!$A:$A),MATCH(F$1,[1]characters!$1:$1,0)-MATCH($A$1,[1]characters!$1:$1,0)+1),MATCH(F$1,[1]characters!$1:$1,0)-MATCH($A$1,[1]characters!$1:$1,0)+1,FALSE)</f>
        <v>不明</v>
      </c>
      <c r="G6" s="54">
        <f ca="1">VLOOKUP($A6,OFFSET([1]characters!$A$1,0,0,COUNTA([1]characters!$A:$A),MATCH(G$1,[1]characters!$1:$1,0)-MATCH($A$1,[1]characters!$1:$1,0)+1),MATCH(G$1,[1]characters!$1:$1,0)-MATCH($A$1,[1]characters!$1:$1,0)+1,FALSE)</f>
        <v>5</v>
      </c>
      <c r="H6" s="54" t="str">
        <f ca="1">VLOOKUP($A6,OFFSET([1]characters!$A$1,0,0,COUNTA([1]characters!$A:$A),MATCH(H$1,[1]characters!$1:$1,0)-MATCH($A$1,[1]characters!$1:$1,0)+1),MATCH(H$1,[1]characters!$1:$1,0)-MATCH($A$1,[1]characters!$1:$1,0)+1,FALSE)</f>
        <v>PremiumSS</v>
      </c>
      <c r="I6" s="54" t="str">
        <f ca="1">VLOOKUP($A6,OFFSET([1]characters!$A$1,0,0,COUNTA([1]characters!$A:$A),MATCH(I$1,[1]characters!$1:$1,0)-MATCH($A$1,[1]characters!$1:$1,0)+1),MATCH(I$1,[1]characters!$1:$1,0)-MATCH($A$1,[1]characters!$1:$1,0)+1,FALSE)</f>
        <v>green</v>
      </c>
      <c r="J6" s="11">
        <f ca="1">VLOOKUP(I6,[1]属性!$A:$E,2,FALSE)</f>
        <v>1.02</v>
      </c>
      <c r="K6" s="11">
        <f ca="1">VLOOKUP(I6,[1]属性!$A:$E,3,FALSE)</f>
        <v>0.98</v>
      </c>
      <c r="L6" s="11">
        <f ca="1">VLOOKUP(I6,[1]属性!$A:$E,4,FALSE)</f>
        <v>1</v>
      </c>
      <c r="M6" s="11">
        <f ca="1">VLOOKUP(I6,[1]属性!$A:$E,5,FALSE)</f>
        <v>1</v>
      </c>
      <c r="N6" s="11">
        <f ca="1">INDEX(コスト!$A$1:$I$21,MATCH(H6,コスト!$A$1:$A$21,FALSE),MATCH(G6,コスト!$A$1:$I$1,FALSE))</f>
        <v>35</v>
      </c>
      <c r="O6" s="11">
        <f ca="1">INDEX(レベル!$A$1:$I$22,MATCH(H6,レベル!$A$1:$A$22,FALSE),MATCH(G6,レベル!$A$1:$I$1,FALSE))</f>
        <v>80</v>
      </c>
      <c r="P6" s="45">
        <f t="shared" ref="P6:P8" ca="1" si="11">IF(G6 &gt;= 6, 99,G6*15)</f>
        <v>75</v>
      </c>
      <c r="Q6" s="54" t="str">
        <f ca="1">VLOOKUP($A6,OFFSET([1]characters!$A$1,0,0,COUNTA([1]characters!$A:$A),MATCH(Q$1,[1]characters!$1:$1,0)-MATCH($A$1,[1]characters!$1:$1,0)+1),MATCH(Q$1,[1]characters!$1:$1,0)-MATCH($A$1,[1]characters!$1:$1,0)+1,FALSE)</f>
        <v>balance</v>
      </c>
      <c r="R6" s="5" t="str">
        <f ca="1">VLOOKUP(Q6,[1]character_type_i18n!$A:$H,3,FALSE)</f>
        <v>バランスタイプ</v>
      </c>
      <c r="S6" s="11">
        <f ca="1">VLOOKUP(Q6,[1]character_type_i18n!$A:$H,4,FALSE)</f>
        <v>1</v>
      </c>
      <c r="T6" s="11">
        <f ca="1">VLOOKUP(Q6,[1]character_type_i18n!$A:$H,5,FALSE)</f>
        <v>1</v>
      </c>
      <c r="U6" s="11">
        <f ca="1">VLOOKUP(Q6,[1]character_type_i18n!$A:$H,6,FALSE)</f>
        <v>1</v>
      </c>
      <c r="V6" s="11">
        <f ca="1">VLOOKUP(Q6,[1]character_type_i18n!$A:$H,7,FALSE)</f>
        <v>1</v>
      </c>
      <c r="W6" s="54" t="str">
        <f ca="1">VLOOKUP($A6,OFFSET([1]characters!$A$1,0,0,COUNTA([1]characters!$A:$A),MATCH(W$1,[1]characters!$1:$1,0)-MATCH($A$1,[1]characters!$1:$1,0)+1),MATCH(W$1,[1]characters!$1:$1,0)-MATCH($A$1,[1]characters!$1:$1,0)+1,FALSE)</f>
        <v>unknown</v>
      </c>
      <c r="X6" s="5" t="str">
        <f ca="1">VLOOKUP(W6,[1]character_tribe_i18n!$A:$H,3,FALSE)</f>
        <v>Unknown</v>
      </c>
      <c r="Y6" s="54" t="str">
        <f ca="1">VLOOKUP($A6,OFFSET([1]characters!$A$1,0,0,COUNTA([1]characters!$A:$A),MATCH(Y$1,[1]characters!$1:$1,0)-MATCH($A$1,[1]characters!$1:$1,0)+1),MATCH(Y$1,[1]characters!$1:$1,0)-MATCH($A$1,[1]characters!$1:$1,0)+1,FALSE)</f>
        <v>demon</v>
      </c>
      <c r="Z6" s="5" t="str">
        <f ca="1">VLOOKUP(Y6,[1]character_tribe_i18n!$A:$H,3,FALSE)</f>
        <v>デーモン</v>
      </c>
      <c r="AA6" s="11">
        <f ca="1">VLOOKUP(W6,[1]character_tribe_i18n!$A:$H,4,FALSE)</f>
        <v>1</v>
      </c>
      <c r="AB6" s="11">
        <f ca="1">VLOOKUP(W6,[1]character_tribe_i18n!$A:$H,5,FALSE)</f>
        <v>1</v>
      </c>
      <c r="AC6" s="11">
        <f ca="1">VLOOKUP(W6,[1]character_tribe_i18n!$A:$H,6,FALSE)</f>
        <v>1</v>
      </c>
      <c r="AD6" s="11">
        <f ca="1">VLOOKUP(W6,[1]character_tribe_i18n!$A:$H,7,FALSE)</f>
        <v>1</v>
      </c>
      <c r="AE6" s="9">
        <v>1195</v>
      </c>
      <c r="AF6" s="59" t="str">
        <f ca="1">IF(AE6="NULL","",VLOOKUP($AE6,OFFSET([1]characters!$A$1,0,0,COUNTA([1]characters!$A:$A),MATCH(AF$1,[1]characters!$1:$1,0)-MATCH($A$1,[1]characters!$1:$1,0)+1),MATCH(AF$1,[1]characters!$1:$1,0)-MATCH($A$1,[1]characters!$1:$1,0)+1,FALSE))</f>
        <v>賑夜の幼魔 ハーヴェスト</v>
      </c>
      <c r="AG6" s="5">
        <v>1194</v>
      </c>
      <c r="AH6" s="59" t="str">
        <f ca="1">VLOOKUP($AG6,OFFSET([1]characters!$A$1,0,0,COUNTA([1]characters!$A:$A),MATCH(AH$1,[1]characters!$1:$1,0)-MATCH($A$1,[1]characters!$1:$1,0)+1),MATCH(AH$1,[1]characters!$1:$1,0)-MATCH($A$1,[1]characters!$1:$1,0)+1,FALSE)</f>
        <v>ハーヴェスト</v>
      </c>
      <c r="AI6" s="11">
        <f ca="1">IF(AE6="NULL","NULL",VLOOKUP(G6,ビット!$A$2:$B$7,2))</f>
        <v>200000</v>
      </c>
      <c r="AJ6" s="6">
        <v>2</v>
      </c>
      <c r="AK6" s="7" t="str">
        <f t="shared" ref="AK6:AK8" si="12">IF(AJ6=1,"早熟",IF(AJ6=2,"普通",IF(AJ6=3,"晩成","")))</f>
        <v>普通</v>
      </c>
      <c r="AL6" s="11" t="str">
        <f ca="1">INDEX(経験値!$A$1:$I$21,MATCH(H6,経験値!$A$1:$A$21,FALSE),MATCH(G6,経験値!$A$1:$I$1,FALSE))</f>
        <v>required_exp_200</v>
      </c>
      <c r="AM6" s="8">
        <f ca="1">VLOOKUP(G6,経験値!$A$28:$B$32,2)</f>
        <v>6400</v>
      </c>
      <c r="AN6" s="17">
        <f ca="1">VLOOKUP(G6,ビット!$G$2:$H$7,2)</f>
        <v>900</v>
      </c>
      <c r="AO6" s="42"/>
      <c r="AP6" s="64">
        <v>1194</v>
      </c>
      <c r="AQ6" s="54" t="str">
        <f ca="1">VLOOKUP($AP6,OFFSET(unit_skills!$A$1,0,0,COUNTA(unit_skills!$A:$A),MATCH(AQ$1,unit_skills!$1:$1,0)-MATCH($AP$1,unit_skills!$1:$1,0)+1),MATCH(AQ$1,unit_skills!$1:$1,0)-MATCH($AP$1,unit_skills!$1:$1,0)+1,FALSE)</f>
        <v>クリーム・アクス</v>
      </c>
      <c r="AR6" s="54" t="str">
        <f ca="1">VLOOKUP($AP6,OFFSET(unit_skills!$A$1,0,0,COUNTA(unit_skills!$A:$A),MATCH(AR$1,unit_skills!$1:$1,0)-MATCH($AP$1,unit_skills!$1:$1,0)+1),MATCH(AR$1,unit_skills!$1:$1,0)-MATCH($AP$1,unit_skills!$1:$1,0)+1,FALSE)</f>
        <v>ダメージパネルを緑パネルに、赤パネルを最大4個Cパネルに変換し、2ターン緑属性とデーモンの攻撃力を特大UP</v>
      </c>
      <c r="AS6" s="54">
        <f ca="1">VLOOKUP($AP6,OFFSET(unit_skills!$A$1,0,0,COUNTA(unit_skills!$A:$A),MATCH(AS$1,unit_skills!$1:$1,0)-MATCH($AP$1,unit_skills!$1:$1,0)+1),MATCH(AS$1,unit_skills!$1:$1,0)-MATCH($AP$1,unit_skills!$1:$1,0)+1,FALSE)</f>
        <v>0</v>
      </c>
      <c r="AT6" s="9">
        <v>1194</v>
      </c>
      <c r="AU6" s="54" t="str">
        <f ca="1">VLOOKUP($AT6,OFFSET(crash_skills!$A$1,0,0,COUNTA(crash_skills!$A:$A),MATCH(AU$1,crash_skills!$1:$1,0)-MATCH($AT$1,crash_skills!$1:$1,0)+1),MATCH(AU$1,crash_skills!$1:$1,0)-MATCH($AT$1,crash_skills!$1:$1,0)+1,FALSE)</f>
        <v>ハッピー・ナイトメア</v>
      </c>
      <c r="AV6" s="54" t="str">
        <f ca="1">VLOOKUP($AT6,OFFSET(crash_skills!$A$1,0,0,COUNTA(crash_skills!$A:$A),MATCH(AV$1,crash_skills!$1:$1,0)-MATCH($AT$1,crash_skills!$1:$1,0)+1),MATCH(AV$1,crash_skills!$1:$1,0)-MATCH($AT$1,crash_skills!$1:$1,0)+1,FALSE)</f>
        <v>1体に特大ダメージ</v>
      </c>
      <c r="AW6" s="54">
        <f ca="1">VLOOKUP($AT6,OFFSET(crash_skills!$A$1,0,0,COUNTA(crash_skills!$A:$A),MATCH(AW$1,crash_skills!$1:$1,0)-MATCH($AT$1,crash_skills!$1:$1,0)+1),MATCH(AW$1,crash_skills!$1:$1,0)-MATCH($AT$1,crash_skills!$1:$1,0)+1,FALSE)</f>
        <v>0</v>
      </c>
      <c r="AX6" s="55">
        <f ca="1">VLOOKUP($A6,OFFSET([1]characters!$A$1,0,0,COUNTA([1]characters!$A:$A),MATCH(AX$1,[1]characters!$1:$1,0)-MATCH($A$1,[1]characters!$1:$1,0)+1),MATCH(AX$1,[1]characters!$1:$1,0)-MATCH($A$1,[1]characters!$1:$1,0)+1,FALSE)</f>
        <v>3</v>
      </c>
      <c r="AY6" s="65">
        <v>1</v>
      </c>
      <c r="AZ6" s="65">
        <v>1.1399999999999999</v>
      </c>
      <c r="BA6" s="65">
        <v>0</v>
      </c>
      <c r="BB6" s="65">
        <v>1.04</v>
      </c>
      <c r="BC6" s="11">
        <f ca="1">INDEX('RC6SV'!$A$1:$G$21,MATCH(H6,'RC6SV'!$A$1:$A$21,FALSE),MATCH(G6,'RC6SV'!$A$1:$G$1,FALSE))</f>
        <v>9500</v>
      </c>
      <c r="BD6" s="45">
        <f t="shared" ref="BD6:BD8" ca="1" si="13">ROUND(BC6*IF(AJ6=1,0.95,IF(AJ6=2,1,IF(AJ6,1.05,0))),0)</f>
        <v>9500</v>
      </c>
      <c r="BE6" s="11">
        <f t="shared" ca="1" si="3"/>
        <v>0</v>
      </c>
      <c r="BF6" s="11">
        <f t="shared" ca="1" si="4"/>
        <v>1</v>
      </c>
      <c r="BG6" s="16">
        <f ca="1">IF($BE6&lt;=0,ROUND(BK6*0.5,0), ROUND($BE6*S6*AA6*J6*AY6*0.8*[1]ステータス!$B$2,0))</f>
        <v>2423</v>
      </c>
      <c r="BH6" s="16">
        <f ca="1">IF($BE6&lt;=0,ROUND(BL6*0.5,0), ROUND($BE6*T6*AB6*K6*AZ6*0.8*[1]ステータス!$C$2,0))</f>
        <v>1592</v>
      </c>
      <c r="BI6" s="16">
        <f ca="1">IF($BE6&lt;=0,ROUND(BM6*0.5,0), ROUND($BE6*U6*AC6*L6*BA6*0.8*[1]ステータス!$D$2,0))</f>
        <v>0</v>
      </c>
      <c r="BJ6" s="16">
        <f ca="1">IF($BE6&lt;=0,ROUND(BN6*0.5,0), ROUND($BE6*V6*AD6*M6*BB6*0.8*[1]ステータス!$E$2,0))</f>
        <v>1235</v>
      </c>
      <c r="BK6" s="11">
        <f ca="1">ROUND(BD6*S6*AA6*J6*AY6*[1]ステータス!$B$2,0)</f>
        <v>4845</v>
      </c>
      <c r="BL6" s="11">
        <f ca="1">ROUND(BD6*T6*AB6*K6*AZ6*[1]ステータス!$C$2,0)</f>
        <v>3184</v>
      </c>
      <c r="BM6" s="11">
        <f ca="1">ROUND(BD6*U6*AC6*L6*BA6*[1]ステータス!$D$2,0)</f>
        <v>0</v>
      </c>
      <c r="BN6" s="11">
        <f ca="1">ROUND(BD6*V6*AD6*M6*BB6*[1]ステータス!$E$2,0)</f>
        <v>2470</v>
      </c>
      <c r="BO6" s="10">
        <v>0</v>
      </c>
      <c r="BP6" s="10">
        <v>1</v>
      </c>
      <c r="BQ6" s="10" t="s">
        <v>47</v>
      </c>
      <c r="BR6" s="10">
        <f ca="1">VLOOKUP(H6,ghosts_label!$A$2:$B$19,2,FALSE)</f>
        <v>5500</v>
      </c>
    </row>
    <row r="7" spans="1:70" ht="26" customHeight="1" x14ac:dyDescent="0.15">
      <c r="A7" s="12">
        <v>1195</v>
      </c>
      <c r="B7" s="54" t="str">
        <f ca="1">VLOOKUP($A7,OFFSET([1]characters!$A$1,0,0,COUNTA([1]characters!$A:$A),MATCH(B$1,[1]characters!$1:$1,0)-MATCH($A$1,[1]characters!$1:$1,0)+1),MATCH(B$1,[1]characters!$1:$1,0)-MATCH($A$1,[1]characters!$1:$1,0)+1,FALSE)</f>
        <v>賑夜の幼魔 ハーヴェスト</v>
      </c>
      <c r="C7" s="54" t="str">
        <f ca="1">VLOOKUP($A7,OFFSET([1]characters!$A$1,0,0,COUNTA([1]characters!$A:$A),MATCH(C$1,[1]characters!$1:$1,0)-MATCH($A$1,[1]characters!$1:$1,0)+1),MATCH(C$1,[1]characters!$1:$1,0)-MATCH($A$1,[1]characters!$1:$1,0)+1,FALSE)</f>
        <v>未定</v>
      </c>
      <c r="D7" s="54" t="str">
        <f ca="1">VLOOKUP($A7,OFFSET([1]characters!$A$1,0,0,COUNTA([1]characters!$A:$A),MATCH(D$1,[1]characters!$1:$1,0)-MATCH($A$1,[1]characters!$1:$1,0)+1),MATCH(D$1,[1]characters!$1:$1,0)-MATCH($A$1,[1]characters!$1:$1,0)+1,FALSE)</f>
        <v>アリス</v>
      </c>
      <c r="E7" s="54" t="str">
        <f ca="1">VLOOKUP($A7,OFFSET([1]characters!$A$1,0,0,COUNTA([1]characters!$A:$A),MATCH(E$1,[1]characters!$1:$1,0)-MATCH($A$1,[1]characters!$1:$1,0)+1),MATCH(E$1,[1]characters!$1:$1,0)-MATCH($A$1,[1]characters!$1:$1,0)+1,FALSE)</f>
        <v>世界観</v>
      </c>
      <c r="F7" s="54" t="str">
        <f ca="1">VLOOKUP($A7,OFFSET([1]characters!$A$1,0,0,COUNTA([1]characters!$A:$A),MATCH(F$1,[1]characters!$1:$1,0)-MATCH($A$1,[1]characters!$1:$1,0)+1),MATCH(F$1,[1]characters!$1:$1,0)-MATCH($A$1,[1]characters!$1:$1,0)+1,FALSE)</f>
        <v>不明</v>
      </c>
      <c r="G7" s="54">
        <f ca="1">VLOOKUP($A7,OFFSET([1]characters!$A$1,0,0,COUNTA([1]characters!$A:$A),MATCH(G$1,[1]characters!$1:$1,0)-MATCH($A$1,[1]characters!$1:$1,0)+1),MATCH(G$1,[1]characters!$1:$1,0)-MATCH($A$1,[1]characters!$1:$1,0)+1,FALSE)</f>
        <v>6</v>
      </c>
      <c r="H7" s="54" t="str">
        <f ca="1">VLOOKUP($A7,OFFSET([1]characters!$A$1,0,0,COUNTA([1]characters!$A:$A),MATCH(H$1,[1]characters!$1:$1,0)-MATCH($A$1,[1]characters!$1:$1,0)+1),MATCH(H$1,[1]characters!$1:$1,0)-MATCH($A$1,[1]characters!$1:$1,0)+1,FALSE)</f>
        <v>PremiumSS</v>
      </c>
      <c r="I7" s="54" t="str">
        <f ca="1">VLOOKUP($A7,OFFSET([1]characters!$A$1,0,0,COUNTA([1]characters!$A:$A),MATCH(I$1,[1]characters!$1:$1,0)-MATCH($A$1,[1]characters!$1:$1,0)+1),MATCH(I$1,[1]characters!$1:$1,0)-MATCH($A$1,[1]characters!$1:$1,0)+1,FALSE)</f>
        <v>green</v>
      </c>
      <c r="J7" s="11">
        <f ca="1">VLOOKUP(I7,[1]属性!$A:$E,2,FALSE)</f>
        <v>1.02</v>
      </c>
      <c r="K7" s="11">
        <f ca="1">VLOOKUP(I7,[1]属性!$A:$E,3,FALSE)</f>
        <v>0.98</v>
      </c>
      <c r="L7" s="11">
        <f ca="1">VLOOKUP(I7,[1]属性!$A:$E,4,FALSE)</f>
        <v>1</v>
      </c>
      <c r="M7" s="11">
        <f ca="1">VLOOKUP(I7,[1]属性!$A:$E,5,FALSE)</f>
        <v>1</v>
      </c>
      <c r="N7" s="11">
        <f ca="1">INDEX(コスト!$A$1:$I$21,MATCH(H7,コスト!$A$1:$A$21,FALSE),MATCH(G7,コスト!$A$1:$I$1,FALSE))</f>
        <v>50</v>
      </c>
      <c r="O7" s="11">
        <f ca="1">INDEX(レベル!$A$1:$I$22,MATCH(H7,レベル!$A$1:$A$22,FALSE),MATCH(G7,レベル!$A$1:$I$1,FALSE))</f>
        <v>99</v>
      </c>
      <c r="P7" s="45">
        <f t="shared" ca="1" si="11"/>
        <v>99</v>
      </c>
      <c r="Q7" s="54" t="str">
        <f ca="1">VLOOKUP($A7,OFFSET([1]characters!$A$1,0,0,COUNTA([1]characters!$A:$A),MATCH(Q$1,[1]characters!$1:$1,0)-MATCH($A$1,[1]characters!$1:$1,0)+1),MATCH(Q$1,[1]characters!$1:$1,0)-MATCH($A$1,[1]characters!$1:$1,0)+1,FALSE)</f>
        <v>balance</v>
      </c>
      <c r="R7" s="5" t="str">
        <f ca="1">VLOOKUP(Q7,[1]character_type_i18n!$A:$H,3,FALSE)</f>
        <v>バランスタイプ</v>
      </c>
      <c r="S7" s="11">
        <f ca="1">VLOOKUP(Q7,[1]character_type_i18n!$A:$H,4,FALSE)</f>
        <v>1</v>
      </c>
      <c r="T7" s="11">
        <f ca="1">VLOOKUP(Q7,[1]character_type_i18n!$A:$H,5,FALSE)</f>
        <v>1</v>
      </c>
      <c r="U7" s="11">
        <f ca="1">VLOOKUP(Q7,[1]character_type_i18n!$A:$H,6,FALSE)</f>
        <v>1</v>
      </c>
      <c r="V7" s="11">
        <f ca="1">VLOOKUP(Q7,[1]character_type_i18n!$A:$H,7,FALSE)</f>
        <v>1</v>
      </c>
      <c r="W7" s="54" t="str">
        <f ca="1">VLOOKUP($A7,OFFSET([1]characters!$A$1,0,0,COUNTA([1]characters!$A:$A),MATCH(W$1,[1]characters!$1:$1,0)-MATCH($A$1,[1]characters!$1:$1,0)+1),MATCH(W$1,[1]characters!$1:$1,0)-MATCH($A$1,[1]characters!$1:$1,0)+1,FALSE)</f>
        <v>unknown</v>
      </c>
      <c r="X7" s="5" t="str">
        <f ca="1">VLOOKUP(W7,[1]character_tribe_i18n!$A:$H,3,FALSE)</f>
        <v>Unknown</v>
      </c>
      <c r="Y7" s="54" t="str">
        <f ca="1">VLOOKUP($A7,OFFSET([1]characters!$A$1,0,0,COUNTA([1]characters!$A:$A),MATCH(Y$1,[1]characters!$1:$1,0)-MATCH($A$1,[1]characters!$1:$1,0)+1),MATCH(Y$1,[1]characters!$1:$1,0)-MATCH($A$1,[1]characters!$1:$1,0)+1,FALSE)</f>
        <v>demon</v>
      </c>
      <c r="Z7" s="5" t="str">
        <f ca="1">VLOOKUP(Y7,[1]character_tribe_i18n!$A:$H,3,FALSE)</f>
        <v>デーモン</v>
      </c>
      <c r="AA7" s="11">
        <f ca="1">VLOOKUP(W7,[1]character_tribe_i18n!$A:$H,4,FALSE)</f>
        <v>1</v>
      </c>
      <c r="AB7" s="11">
        <f ca="1">VLOOKUP(W7,[1]character_tribe_i18n!$A:$H,5,FALSE)</f>
        <v>1</v>
      </c>
      <c r="AC7" s="11">
        <f ca="1">VLOOKUP(W7,[1]character_tribe_i18n!$A:$H,6,FALSE)</f>
        <v>1</v>
      </c>
      <c r="AD7" s="11">
        <f ca="1">VLOOKUP(W7,[1]character_tribe_i18n!$A:$H,7,FALSE)</f>
        <v>1</v>
      </c>
      <c r="AE7" s="9" t="s">
        <v>318</v>
      </c>
      <c r="AF7" s="59" t="str">
        <f ca="1">IF(AE7="NULL","",VLOOKUP($AE7,OFFSET([1]characters!$A$1,0,0,COUNTA([1]characters!$A:$A),MATCH(AF$1,[1]characters!$1:$1,0)-MATCH($A$1,[1]characters!$1:$1,0)+1),MATCH(AF$1,[1]characters!$1:$1,0)-MATCH($A$1,[1]characters!$1:$1,0)+1,FALSE))</f>
        <v/>
      </c>
      <c r="AG7" s="5">
        <v>1194</v>
      </c>
      <c r="AH7" s="59" t="str">
        <f ca="1">VLOOKUP($AG7,OFFSET([1]characters!$A$1,0,0,COUNTA([1]characters!$A:$A),MATCH(AH$1,[1]characters!$1:$1,0)-MATCH($A$1,[1]characters!$1:$1,0)+1),MATCH(AH$1,[1]characters!$1:$1,0)-MATCH($A$1,[1]characters!$1:$1,0)+1,FALSE)</f>
        <v>ハーヴェスト</v>
      </c>
      <c r="AI7" s="11" t="str">
        <f>IF(AE7="NULL","NULL",VLOOKUP(G7,ビット!$A$2:$B$7,2))</f>
        <v>NULL</v>
      </c>
      <c r="AJ7" s="6">
        <v>2</v>
      </c>
      <c r="AK7" s="7" t="str">
        <f t="shared" si="12"/>
        <v>普通</v>
      </c>
      <c r="AL7" s="11" t="str">
        <f ca="1">INDEX(経験値!$A$1:$I$21,MATCH(H7,経験値!$A$1:$A$21,FALSE),MATCH(G7,経験値!$A$1:$I$1,FALSE))</f>
        <v>required_exp_250</v>
      </c>
      <c r="AM7" s="8">
        <f ca="1">VLOOKUP(G7,経験値!$A$28:$B$32,2)</f>
        <v>6400</v>
      </c>
      <c r="AN7" s="17">
        <f ca="1">VLOOKUP(G7,ビット!$G$2:$H$7,2)</f>
        <v>900</v>
      </c>
      <c r="AO7" s="42"/>
      <c r="AP7" s="64">
        <v>1195</v>
      </c>
      <c r="AQ7" s="54" t="str">
        <f ca="1">VLOOKUP($AP7,OFFSET(unit_skills!$A$1,0,0,COUNTA(unit_skills!$A:$A),MATCH(AQ$1,unit_skills!$1:$1,0)-MATCH($AP$1,unit_skills!$1:$1,0)+1),MATCH(AQ$1,unit_skills!$1:$1,0)-MATCH($AP$1,unit_skills!$1:$1,0)+1,FALSE)</f>
        <v>ドリーム・アクス・ポタージュ</v>
      </c>
      <c r="AR7" s="54" t="str">
        <f ca="1">VLOOKUP($AP7,OFFSET(unit_skills!$A$1,0,0,COUNTA(unit_skills!$A:$A),MATCH(AR$1,unit_skills!$1:$1,0)-MATCH($AP$1,unit_skills!$1:$1,0)+1),MATCH(AR$1,unit_skills!$1:$1,0)-MATCH($AP$1,unit_skills!$1:$1,0)+1,FALSE)</f>
        <v>ダメージパネルを緑パネルに、赤パネルを最大8個Cパネルに変換し、2ターン緑属性とデーモンの攻撃力を超大UP</v>
      </c>
      <c r="AS7" s="54">
        <f ca="1">VLOOKUP($AP7,OFFSET(unit_skills!$A$1,0,0,COUNTA(unit_skills!$A:$A),MATCH(AS$1,unit_skills!$1:$1,0)-MATCH($AP$1,unit_skills!$1:$1,0)+1),MATCH(AS$1,unit_skills!$1:$1,0)-MATCH($AP$1,unit_skills!$1:$1,0)+1,FALSE)</f>
        <v>0</v>
      </c>
      <c r="AT7" s="9">
        <v>1195</v>
      </c>
      <c r="AU7" s="54" t="str">
        <f ca="1">VLOOKUP($AT7,OFFSET(crash_skills!$A$1,0,0,COUNTA(crash_skills!$A:$A),MATCH(AU$1,crash_skills!$1:$1,0)-MATCH($AT$1,crash_skills!$1:$1,0)+1),MATCH(AU$1,crash_skills!$1:$1,0)-MATCH($AT$1,crash_skills!$1:$1,0)+1,FALSE)</f>
        <v>ウルトラハッピー・ナイトメア</v>
      </c>
      <c r="AV7" s="54" t="str">
        <f ca="1">VLOOKUP($AT7,OFFSET(crash_skills!$A$1,0,0,COUNTA(crash_skills!$A:$A),MATCH(AV$1,crash_skills!$1:$1,0)-MATCH($AT$1,crash_skills!$1:$1,0)+1),MATCH(AV$1,crash_skills!$1:$1,0)-MATCH($AT$1,crash_skills!$1:$1,0)+1,FALSE)</f>
        <v>1体に超大ダメージ</v>
      </c>
      <c r="AW7" s="54">
        <f ca="1">VLOOKUP($AT7,OFFSET(crash_skills!$A$1,0,0,COUNTA(crash_skills!$A:$A),MATCH(AW$1,crash_skills!$1:$1,0)-MATCH($AT$1,crash_skills!$1:$1,0)+1),MATCH(AW$1,crash_skills!$1:$1,0)-MATCH($AT$1,crash_skills!$1:$1,0)+1,FALSE)</f>
        <v>0</v>
      </c>
      <c r="AX7" s="55">
        <f ca="1">VLOOKUP($A7,OFFSET([1]characters!$A$1,0,0,COUNTA([1]characters!$A:$A),MATCH(AX$1,[1]characters!$1:$1,0)-MATCH($A$1,[1]characters!$1:$1,0)+1),MATCH(AX$1,[1]characters!$1:$1,0)-MATCH($A$1,[1]characters!$1:$1,0)+1,FALSE)</f>
        <v>3</v>
      </c>
      <c r="AY7" s="65">
        <v>1.02</v>
      </c>
      <c r="AZ7" s="65">
        <v>1.27</v>
      </c>
      <c r="BA7" s="65">
        <v>0</v>
      </c>
      <c r="BB7" s="65">
        <v>1.1000000000000001</v>
      </c>
      <c r="BC7" s="11">
        <f ca="1">INDEX('RC6SV'!$A$1:$G$21,MATCH(H7,'RC6SV'!$A$1:$A$21,FALSE),MATCH(G7,'RC6SV'!$A$1:$G$1,FALSE))</f>
        <v>13000</v>
      </c>
      <c r="BD7" s="45">
        <f t="shared" ca="1" si="13"/>
        <v>13000</v>
      </c>
      <c r="BE7" s="11">
        <f t="shared" ca="1" si="3"/>
        <v>9500</v>
      </c>
      <c r="BF7" s="11">
        <f t="shared" ca="1" si="4"/>
        <v>1</v>
      </c>
      <c r="BG7" s="16">
        <f ca="1">IF($BE7&lt;=0,ROUND(BK7*0.5,0), ROUND($BE7*S7*AA7*J7*AY7*0.8*[1]ステータス!$B$2,0))</f>
        <v>3954</v>
      </c>
      <c r="BH7" s="16">
        <f ca="1">IF($BE7&lt;=0,ROUND(BL7*0.5,0), ROUND($BE7*T7*AB7*K7*AZ7*0.8*[1]ステータス!$C$2,0))</f>
        <v>2838</v>
      </c>
      <c r="BI7" s="16">
        <f ca="1">IF($BE7&lt;=0,ROUND(BM7*0.5,0), ROUND($BE7*U7*AC7*L7*BA7*0.8*[1]ステータス!$D$2,0))</f>
        <v>0</v>
      </c>
      <c r="BJ7" s="16">
        <f ca="1">IF($BE7&lt;=0,ROUND(BN7*0.5,0), ROUND($BE7*V7*AD7*M7*BB7*0.8*[1]ステータス!$E$2,0))</f>
        <v>2090</v>
      </c>
      <c r="BK7" s="11">
        <f ca="1">ROUND(BD7*S7*AA7*J7*AY7*[1]ステータス!$B$2,0)</f>
        <v>6763</v>
      </c>
      <c r="BL7" s="11">
        <f ca="1">ROUND(BD7*T7*AB7*K7*AZ7*[1]ステータス!$C$2,0)</f>
        <v>4854</v>
      </c>
      <c r="BM7" s="11">
        <f ca="1">ROUND(BD7*U7*AC7*L7*BA7*[1]ステータス!$D$2,0)</f>
        <v>0</v>
      </c>
      <c r="BN7" s="11">
        <f ca="1">ROUND(BD7*V7*AD7*M7*BB7*[1]ステータス!$E$2,0)</f>
        <v>3575</v>
      </c>
      <c r="BO7" s="10">
        <v>0</v>
      </c>
      <c r="BP7" s="10">
        <v>1</v>
      </c>
      <c r="BQ7" s="10" t="s">
        <v>47</v>
      </c>
      <c r="BR7" s="10">
        <f ca="1">VLOOKUP(H7,ghosts_label!$A$2:$B$19,2,FALSE)</f>
        <v>5500</v>
      </c>
    </row>
    <row r="8" spans="1:70" ht="26" customHeight="1" x14ac:dyDescent="0.15">
      <c r="A8" s="12">
        <v>1196</v>
      </c>
      <c r="B8" s="54" t="str">
        <f ca="1">VLOOKUP($A8,OFFSET([1]characters!$A$1,0,0,COUNTA([1]characters!$A:$A),MATCH(B$1,[1]characters!$1:$1,0)-MATCH($A$1,[1]characters!$1:$1,0)+1),MATCH(B$1,[1]characters!$1:$1,0)-MATCH($A$1,[1]characters!$1:$1,0)+1,FALSE)</f>
        <v>華装の闇鋏 ラプンツェル</v>
      </c>
      <c r="C8" s="54" t="str">
        <f ca="1">VLOOKUP($A8,OFFSET([1]characters!$A$1,0,0,COUNTA([1]characters!$A:$A),MATCH(C$1,[1]characters!$1:$1,0)-MATCH($A$1,[1]characters!$1:$1,0)+1),MATCH(C$1,[1]characters!$1:$1,0)-MATCH($A$1,[1]characters!$1:$1,0)+1,FALSE)</f>
        <v>各属性相性良3・黄・R558</v>
      </c>
      <c r="D8" s="54" t="str">
        <f ca="1">VLOOKUP($A8,OFFSET([1]characters!$A$1,0,0,COUNTA([1]characters!$A:$A),MATCH(D$1,[1]characters!$1:$1,0)-MATCH($A$1,[1]characters!$1:$1,0)+1),MATCH(D$1,[1]characters!$1:$1,0)-MATCH($A$1,[1]characters!$1:$1,0)+1,FALSE)</f>
        <v>執行者</v>
      </c>
      <c r="E8" s="54" t="str">
        <f ca="1">VLOOKUP($A8,OFFSET([1]characters!$A$1,0,0,COUNTA([1]characters!$A:$A),MATCH(E$1,[1]characters!$1:$1,0)-MATCH($A$1,[1]characters!$1:$1,0)+1),MATCH(E$1,[1]characters!$1:$1,0)-MATCH($A$1,[1]characters!$1:$1,0)+1,FALSE)</f>
        <v>格好いい</v>
      </c>
      <c r="F8" s="54" t="str">
        <f ca="1">VLOOKUP($A8,OFFSET([1]characters!$A$1,0,0,COUNTA([1]characters!$A:$A),MATCH(F$1,[1]characters!$1:$1,0)-MATCH($A$1,[1]characters!$1:$1,0)+1),MATCH(F$1,[1]characters!$1:$1,0)-MATCH($A$1,[1]characters!$1:$1,0)+1,FALSE)</f>
        <v>男性</v>
      </c>
      <c r="G8" s="54">
        <f ca="1">VLOOKUP($A8,OFFSET([1]characters!$A$1,0,0,COUNTA([1]characters!$A:$A),MATCH(G$1,[1]characters!$1:$1,0)-MATCH($A$1,[1]characters!$1:$1,0)+1),MATCH(G$1,[1]characters!$1:$1,0)-MATCH($A$1,[1]characters!$1:$1,0)+1,FALSE)</f>
        <v>6</v>
      </c>
      <c r="H8" s="54" t="str">
        <f ca="1">VLOOKUP($A8,OFFSET([1]characters!$A$1,0,0,COUNTA([1]characters!$A:$A),MATCH(H$1,[1]characters!$1:$1,0)-MATCH($A$1,[1]characters!$1:$1,0)+1),MATCH(H$1,[1]characters!$1:$1,0)-MATCH($A$1,[1]characters!$1:$1,0)+1,FALSE)</f>
        <v>PremiumSS</v>
      </c>
      <c r="I8" s="54" t="str">
        <f ca="1">VLOOKUP($A8,OFFSET([1]characters!$A$1,0,0,COUNTA([1]characters!$A:$A),MATCH(I$1,[1]characters!$1:$1,0)-MATCH($A$1,[1]characters!$1:$1,0)+1),MATCH(I$1,[1]characters!$1:$1,0)-MATCH($A$1,[1]characters!$1:$1,0)+1,FALSE)</f>
        <v>green</v>
      </c>
      <c r="J8" s="11">
        <f ca="1">VLOOKUP(I8,[1]属性!$A:$E,2,FALSE)</f>
        <v>1.02</v>
      </c>
      <c r="K8" s="11">
        <f ca="1">VLOOKUP(I8,[1]属性!$A:$E,3,FALSE)</f>
        <v>0.98</v>
      </c>
      <c r="L8" s="11">
        <f ca="1">VLOOKUP(I8,[1]属性!$A:$E,4,FALSE)</f>
        <v>1</v>
      </c>
      <c r="M8" s="11">
        <f ca="1">VLOOKUP(I8,[1]属性!$A:$E,5,FALSE)</f>
        <v>1</v>
      </c>
      <c r="N8" s="11">
        <f ca="1">INDEX(コスト!$A$1:$I$21,MATCH(H8,コスト!$A$1:$A$21,FALSE),MATCH(G8,コスト!$A$1:$I$1,FALSE))</f>
        <v>50</v>
      </c>
      <c r="O8" s="11">
        <f ca="1">INDEX(レベル!$A$1:$I$22,MATCH(H8,レベル!$A$1:$A$22,FALSE),MATCH(G8,レベル!$A$1:$I$1,FALSE))</f>
        <v>99</v>
      </c>
      <c r="P8" s="45">
        <f t="shared" ca="1" si="11"/>
        <v>99</v>
      </c>
      <c r="Q8" s="54" t="str">
        <f ca="1">VLOOKUP($A8,OFFSET([1]characters!$A$1,0,0,COUNTA([1]characters!$A:$A),MATCH(Q$1,[1]characters!$1:$1,0)-MATCH($A$1,[1]characters!$1:$1,0)+1),MATCH(Q$1,[1]characters!$1:$1,0)-MATCH($A$1,[1]characters!$1:$1,0)+1,FALSE)</f>
        <v>balance</v>
      </c>
      <c r="R8" s="5" t="str">
        <f ca="1">VLOOKUP(Q8,[1]character_type_i18n!$A:$H,3,FALSE)</f>
        <v>バランスタイプ</v>
      </c>
      <c r="S8" s="11">
        <f ca="1">VLOOKUP(Q8,[1]character_type_i18n!$A:$H,4,FALSE)</f>
        <v>1</v>
      </c>
      <c r="T8" s="11">
        <f ca="1">VLOOKUP(Q8,[1]character_type_i18n!$A:$H,5,FALSE)</f>
        <v>1</v>
      </c>
      <c r="U8" s="11">
        <f ca="1">VLOOKUP(Q8,[1]character_type_i18n!$A:$H,6,FALSE)</f>
        <v>1</v>
      </c>
      <c r="V8" s="11">
        <f ca="1">VLOOKUP(Q8,[1]character_type_i18n!$A:$H,7,FALSE)</f>
        <v>1</v>
      </c>
      <c r="W8" s="54" t="str">
        <f ca="1">VLOOKUP($A8,OFFSET([1]characters!$A$1,0,0,COUNTA([1]characters!$A:$A),MATCH(W$1,[1]characters!$1:$1,0)-MATCH($A$1,[1]characters!$1:$1,0)+1),MATCH(W$1,[1]characters!$1:$1,0)-MATCH($A$1,[1]characters!$1:$1,0)+1,FALSE)</f>
        <v>human</v>
      </c>
      <c r="X8" s="5" t="str">
        <f ca="1">VLOOKUP(W8,[1]character_tribe_i18n!$A:$H,3,FALSE)</f>
        <v>ヒューマン</v>
      </c>
      <c r="Y8" s="54" t="str">
        <f ca="1">VLOOKUP($A8,OFFSET([1]characters!$A$1,0,0,COUNTA([1]characters!$A:$A),MATCH(Y$1,[1]characters!$1:$1,0)-MATCH($A$1,[1]characters!$1:$1,0)+1),MATCH(Y$1,[1]characters!$1:$1,0)-MATCH($A$1,[1]characters!$1:$1,0)+1,FALSE)</f>
        <v>demon</v>
      </c>
      <c r="Z8" s="5" t="str">
        <f ca="1">VLOOKUP(Y8,[1]character_tribe_i18n!$A:$H,3,FALSE)</f>
        <v>デーモン</v>
      </c>
      <c r="AA8" s="11">
        <f ca="1">VLOOKUP(W8,[1]character_tribe_i18n!$A:$H,4,FALSE)</f>
        <v>0.94</v>
      </c>
      <c r="AB8" s="11">
        <f ca="1">VLOOKUP(W8,[1]character_tribe_i18n!$A:$H,5,FALSE)</f>
        <v>0.99</v>
      </c>
      <c r="AC8" s="11">
        <f ca="1">VLOOKUP(W8,[1]character_tribe_i18n!$A:$H,6,FALSE)</f>
        <v>1</v>
      </c>
      <c r="AD8" s="11">
        <f ca="1">VLOOKUP(W8,[1]character_tribe_i18n!$A:$H,7,FALSE)</f>
        <v>1.07</v>
      </c>
      <c r="AE8" s="9" t="s">
        <v>318</v>
      </c>
      <c r="AF8" s="59" t="str">
        <f ca="1">IF(AE8="NULL","",VLOOKUP($AE8,OFFSET([1]characters!$A$1,0,0,COUNTA([1]characters!$A:$A),MATCH(AF$1,[1]characters!$1:$1,0)-MATCH($A$1,[1]characters!$1:$1,0)+1),MATCH(AF$1,[1]characters!$1:$1,0)-MATCH($A$1,[1]characters!$1:$1,0)+1,FALSE))</f>
        <v/>
      </c>
      <c r="AG8" s="5">
        <v>1196</v>
      </c>
      <c r="AH8" s="59" t="str">
        <f ca="1">VLOOKUP($AG8,OFFSET([1]characters!$A$1,0,0,COUNTA([1]characters!$A:$A),MATCH(AH$1,[1]characters!$1:$1,0)-MATCH($A$1,[1]characters!$1:$1,0)+1),MATCH(AH$1,[1]characters!$1:$1,0)-MATCH($A$1,[1]characters!$1:$1,0)+1,FALSE)</f>
        <v>華装の闇鋏 ラプンツェル</v>
      </c>
      <c r="AI8" s="11" t="str">
        <f>IF(AE8="NULL","NULL",VLOOKUP(G8,ビット!$A$2:$B$7,2))</f>
        <v>NULL</v>
      </c>
      <c r="AJ8" s="6">
        <v>2</v>
      </c>
      <c r="AK8" s="7" t="str">
        <f t="shared" si="12"/>
        <v>普通</v>
      </c>
      <c r="AL8" s="11" t="str">
        <f ca="1">INDEX(経験値!$A$1:$I$21,MATCH(H8,経験値!$A$1:$A$21,FALSE),MATCH(G8,経験値!$A$1:$I$1,FALSE))</f>
        <v>required_exp_250</v>
      </c>
      <c r="AM8" s="8">
        <f ca="1">VLOOKUP(G8,経験値!$A$28:$B$32,2)</f>
        <v>6400</v>
      </c>
      <c r="AN8" s="17">
        <f ca="1">VLOOKUP(G8,ビット!$G$2:$H$7,2)</f>
        <v>900</v>
      </c>
      <c r="AO8" s="42"/>
      <c r="AP8" s="64">
        <v>1196</v>
      </c>
      <c r="AQ8" s="54" t="str">
        <f ca="1">VLOOKUP($AP8,OFFSET(unit_skills!$A$1,0,0,COUNTA(unit_skills!$A:$A),MATCH(AQ$1,unit_skills!$1:$1,0)-MATCH($AP$1,unit_skills!$1:$1,0)+1),MATCH(AQ$1,unit_skills!$1:$1,0)-MATCH($AP$1,unit_skills!$1:$1,0)+1,FALSE)</f>
        <v>ホーンテッド★シザーズ</v>
      </c>
      <c r="AR8" s="54" t="str">
        <f ca="1">VLOOKUP($AP8,OFFSET(unit_skills!$A$1,0,0,COUNTA(unit_skills!$A:$A),MATCH(AR$1,unit_skills!$1:$1,0)-MATCH($AP$1,unit_skills!$1:$1,0)+1),MATCH(AR$1,unit_skills!$1:$1,0)-MATCH($AP$1,unit_skills!$1:$1,0)+1,FALSE)</f>
        <v>ダメージパネルと青パネルを緑パネルに変換+3ターン緑パネル出現率大UPし、緑属性とデーモンの防御力特大UP</v>
      </c>
      <c r="AS8" s="54">
        <f ca="1">VLOOKUP($AP8,OFFSET(unit_skills!$A$1,0,0,COUNTA(unit_skills!$A:$A),MATCH(AS$1,unit_skills!$1:$1,0)-MATCH($AP$1,unit_skills!$1:$1,0)+1),MATCH(AS$1,unit_skills!$1:$1,0)-MATCH($AP$1,unit_skills!$1:$1,0)+1,FALSE)</f>
        <v>0</v>
      </c>
      <c r="AT8" s="9">
        <v>1196</v>
      </c>
      <c r="AU8" s="54" t="str">
        <f ca="1">VLOOKUP($AT8,OFFSET(crash_skills!$A$1,0,0,COUNTA(crash_skills!$A:$A),MATCH(AU$1,crash_skills!$1:$1,0)-MATCH($AT$1,crash_skills!$1:$1,0)+1),MATCH(AU$1,crash_skills!$1:$1,0)-MATCH($AT$1,crash_skills!$1:$1,0)+1,FALSE)</f>
        <v>一夜の影断</v>
      </c>
      <c r="AV8" s="54" t="str">
        <f ca="1">VLOOKUP($AT8,OFFSET(crash_skills!$A$1,0,0,COUNTA(crash_skills!$A:$A),MATCH(AV$1,crash_skills!$1:$1,0)-MATCH($AT$1,crash_skills!$1:$1,0)+1),MATCH(AV$1,crash_skills!$1:$1,0)-MATCH($AT$1,crash_skills!$1:$1,0)+1,FALSE)</f>
        <v>1体に超大ダメージ_x000D_+HP回復</v>
      </c>
      <c r="AW8" s="54">
        <f ca="1">VLOOKUP($AT8,OFFSET(crash_skills!$A$1,0,0,COUNTA(crash_skills!$A:$A),MATCH(AW$1,crash_skills!$1:$1,0)-MATCH($AT$1,crash_skills!$1:$1,0)+1),MATCH(AW$1,crash_skills!$1:$1,0)-MATCH($AT$1,crash_skills!$1:$1,0)+1,FALSE)</f>
        <v>0</v>
      </c>
      <c r="AX8" s="55">
        <f ca="1">VLOOKUP($A8,OFFSET([1]characters!$A$1,0,0,COUNTA([1]characters!$A:$A),MATCH(AX$1,[1]characters!$1:$1,0)-MATCH($A$1,[1]characters!$1:$1,0)+1),MATCH(AX$1,[1]characters!$1:$1,0)-MATCH($A$1,[1]characters!$1:$1,0)+1,FALSE)</f>
        <v>3</v>
      </c>
      <c r="AY8" s="65">
        <v>1</v>
      </c>
      <c r="AZ8" s="65">
        <v>1.2</v>
      </c>
      <c r="BA8" s="65">
        <v>0</v>
      </c>
      <c r="BB8" s="65">
        <v>1</v>
      </c>
      <c r="BC8" s="11">
        <f ca="1">INDEX('RC6SV'!$A$1:$G$21,MATCH(H8,'RC6SV'!$A$1:$A$21,FALSE),MATCH(G8,'RC6SV'!$A$1:$G$1,FALSE))</f>
        <v>13000</v>
      </c>
      <c r="BD8" s="45">
        <f t="shared" ca="1" si="13"/>
        <v>13000</v>
      </c>
      <c r="BE8" s="11">
        <f t="shared" ca="1" si="3"/>
        <v>0</v>
      </c>
      <c r="BF8" s="11">
        <f t="shared" ca="1" si="4"/>
        <v>1</v>
      </c>
      <c r="BG8" s="16">
        <f ca="1">IF($BE8&lt;=0,ROUND(BK8*0.5,0), ROUND($BE8*S8*AA8*J8*AY8*0.8*[1]ステータス!$B$2,0))</f>
        <v>3116</v>
      </c>
      <c r="BH8" s="16">
        <f ca="1">IF($BE8&lt;=0,ROUND(BL8*0.5,0), ROUND($BE8*T8*AB8*K8*AZ8*0.8*[1]ステータス!$C$2,0))</f>
        <v>2271</v>
      </c>
      <c r="BI8" s="16">
        <f ca="1">IF($BE8&lt;=0,ROUND(BM8*0.5,0), ROUND($BE8*U8*AC8*L8*BA8*0.8*[1]ステータス!$D$2,0))</f>
        <v>0</v>
      </c>
      <c r="BJ8" s="16">
        <f ca="1">IF($BE8&lt;=0,ROUND(BN8*0.5,0), ROUND($BE8*V8*AD8*M8*BB8*0.8*[1]ステータス!$E$2,0))</f>
        <v>1739</v>
      </c>
      <c r="BK8" s="11">
        <f ca="1">ROUND(BD8*S8*AA8*J8*AY8*[1]ステータス!$B$2,0)</f>
        <v>6232</v>
      </c>
      <c r="BL8" s="11">
        <f ca="1">ROUND(BD8*T8*AB8*K8*AZ8*[1]ステータス!$C$2,0)</f>
        <v>4541</v>
      </c>
      <c r="BM8" s="11">
        <f ca="1">ROUND(BD8*U8*AC8*L8*BA8*[1]ステータス!$D$2,0)</f>
        <v>0</v>
      </c>
      <c r="BN8" s="11">
        <f ca="1">ROUND(BD8*V8*AD8*M8*BB8*[1]ステータス!$E$2,0)</f>
        <v>3478</v>
      </c>
      <c r="BO8" s="10">
        <v>0</v>
      </c>
      <c r="BP8" s="10">
        <v>1</v>
      </c>
      <c r="BQ8" s="10" t="s">
        <v>47</v>
      </c>
      <c r="BR8" s="10">
        <f ca="1">VLOOKUP(H8,ghosts_label!$A$2:$B$19,2,FALSE)</f>
        <v>5500</v>
      </c>
    </row>
  </sheetData>
  <autoFilter ref="A1:BQ1"/>
  <phoneticPr fontId="10"/>
  <conditionalFormatting sqref="BO1">
    <cfRule type="cellIs" dxfId="41" priority="120" stopIfTrue="1" operator="equal">
      <formula>1</formula>
    </cfRule>
  </conditionalFormatting>
  <conditionalFormatting sqref="BQ1">
    <cfRule type="cellIs" dxfId="40"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8"/>
  <sheetViews>
    <sheetView showGridLines="0" workbookViewId="0">
      <pane xSplit="4" ySplit="1" topLeftCell="G2" activePane="bottomRight" state="frozen"/>
      <selection pane="topRight" activeCell="D1" sqref="D1"/>
      <selection pane="bottomLeft" activeCell="A2" sqref="A2"/>
      <selection pane="bottomRight" activeCell="I3" sqref="I3"/>
    </sheetView>
  </sheetViews>
  <sheetFormatPr baseColWidth="12" defaultColWidth="13" defaultRowHeight="21" customHeight="1" outlineLevelCol="1" x14ac:dyDescent="0.15"/>
  <cols>
    <col min="1" max="1" width="16.1640625" style="128" bestFit="1" customWidth="1"/>
    <col min="2" max="2" width="13" style="128" bestFit="1" customWidth="1"/>
    <col min="3" max="3" width="21.83203125" style="128" customWidth="1"/>
    <col min="4" max="4" width="41.83203125" style="128" customWidth="1"/>
    <col min="5" max="5" width="9" style="128" customWidth="1"/>
    <col min="6" max="6" width="7.83203125" style="128" bestFit="1" customWidth="1"/>
    <col min="7" max="7" width="8.1640625" style="128" bestFit="1" customWidth="1"/>
    <col min="8" max="8" width="13.6640625" style="128" bestFit="1" customWidth="1"/>
    <col min="9" max="10" width="51.6640625" style="128" customWidth="1"/>
    <col min="11" max="11" width="10.83203125" style="128" customWidth="1" outlineLevel="1"/>
    <col min="12" max="17" width="9.5" style="127" customWidth="1" outlineLevel="1"/>
    <col min="18" max="18" width="20.33203125" style="128" customWidth="1" outlineLevel="1"/>
    <col min="19" max="19" width="10.33203125" style="128" bestFit="1" customWidth="1"/>
    <col min="20" max="16384" width="13" style="128"/>
  </cols>
  <sheetData>
    <row r="1" spans="1:19" s="127" customFormat="1" ht="21" customHeight="1" x14ac:dyDescent="0.15">
      <c r="A1" s="116" t="s">
        <v>20</v>
      </c>
      <c r="B1" s="117" t="s">
        <v>134</v>
      </c>
      <c r="C1" s="118" t="s">
        <v>40</v>
      </c>
      <c r="D1" s="119" t="s">
        <v>163</v>
      </c>
      <c r="E1" s="119" t="s">
        <v>164</v>
      </c>
      <c r="F1" s="116" t="s">
        <v>146</v>
      </c>
      <c r="G1" s="120" t="s">
        <v>2</v>
      </c>
      <c r="H1" s="120" t="s">
        <v>165</v>
      </c>
      <c r="I1" s="120" t="s">
        <v>166</v>
      </c>
      <c r="J1" s="121" t="s">
        <v>183</v>
      </c>
      <c r="K1" s="120" t="s">
        <v>4</v>
      </c>
      <c r="L1" s="122" t="s">
        <v>167</v>
      </c>
      <c r="M1" s="123" t="s">
        <v>168</v>
      </c>
      <c r="N1" s="123" t="s">
        <v>169</v>
      </c>
      <c r="O1" s="123" t="s">
        <v>170</v>
      </c>
      <c r="P1" s="123" t="s">
        <v>171</v>
      </c>
      <c r="Q1" s="124" t="s">
        <v>172</v>
      </c>
      <c r="R1" s="125" t="s">
        <v>173</v>
      </c>
      <c r="S1" s="126" t="s">
        <v>174</v>
      </c>
    </row>
    <row r="2" spans="1:19" ht="21" customHeight="1" x14ac:dyDescent="0.15">
      <c r="A2" s="12">
        <v>1187</v>
      </c>
      <c r="B2" s="131" t="s">
        <v>184</v>
      </c>
      <c r="C2" s="132" t="s">
        <v>353</v>
      </c>
      <c r="D2" s="132" t="s">
        <v>321</v>
      </c>
      <c r="E2" s="133">
        <f t="shared" ref="E2" si="0">LEN(D2)</f>
        <v>10</v>
      </c>
      <c r="F2" s="115">
        <v>10</v>
      </c>
      <c r="G2" s="115">
        <v>5</v>
      </c>
      <c r="H2" s="134">
        <f>2001</f>
        <v>2001</v>
      </c>
      <c r="I2" s="134" t="s">
        <v>376</v>
      </c>
      <c r="J2" s="54" t="str">
        <f ca="1">VLOOKUP($A2,OFFSET([1]characters!$A$1,0,0,COUNTA([1]characters!$A:$A),MATCH("name",[1]characters!$1:$1,0)-MATCH("character_id",[1]characters!$1:$1,0)+1),MATCH("name",[1]characters!$1:$1,0)-MATCH("character_id",[1]characters!$1:$1,0)+1,FALSE)</f>
        <v>ハッピーハロウィン ポチ</v>
      </c>
      <c r="K2" s="135">
        <f>IFERROR(VLOOKUP(A2,[1]characters!$A:$R,18),0)</f>
        <v>3</v>
      </c>
      <c r="L2" s="136"/>
      <c r="M2" s="137"/>
      <c r="N2" s="137"/>
      <c r="O2" s="137"/>
      <c r="P2" s="137"/>
      <c r="Q2" s="137"/>
      <c r="R2" s="132"/>
      <c r="S2" s="138"/>
    </row>
    <row r="3" spans="1:19" ht="21" customHeight="1" x14ac:dyDescent="0.15">
      <c r="A3" s="12">
        <v>1188</v>
      </c>
      <c r="B3" s="131" t="s">
        <v>184</v>
      </c>
      <c r="C3" s="132" t="s">
        <v>354</v>
      </c>
      <c r="D3" s="132" t="s">
        <v>319</v>
      </c>
      <c r="E3" s="133">
        <f t="shared" ref="E3" si="1">LEN(D3)</f>
        <v>19</v>
      </c>
      <c r="F3" s="115">
        <v>8</v>
      </c>
      <c r="G3" s="115">
        <v>5</v>
      </c>
      <c r="H3" s="134">
        <f>2001</f>
        <v>2001</v>
      </c>
      <c r="I3" s="134" t="s">
        <v>377</v>
      </c>
      <c r="J3" s="54" t="str">
        <f ca="1">VLOOKUP($A3,OFFSET([1]characters!$A$1,0,0,COUNTA([1]characters!$A:$A),MATCH("name",[1]characters!$1:$1,0)-MATCH("character_id",[1]characters!$1:$1,0)+1),MATCH("name",[1]characters!$1:$1,0)-MATCH("character_id",[1]characters!$1:$1,0)+1,FALSE)</f>
        <v>ハッピーハロウィン ジョー</v>
      </c>
      <c r="K3" s="135">
        <f>IFERROR(VLOOKUP(A3,[1]characters!$A:$R,18),0)</f>
        <v>3</v>
      </c>
      <c r="L3" s="136"/>
      <c r="M3" s="137"/>
      <c r="N3" s="137"/>
      <c r="O3" s="137"/>
      <c r="P3" s="137"/>
      <c r="Q3" s="137"/>
      <c r="R3" s="132"/>
      <c r="S3" s="138"/>
    </row>
    <row r="4" spans="1:19" ht="21" customHeight="1" x14ac:dyDescent="0.15">
      <c r="A4" s="12">
        <v>1189</v>
      </c>
      <c r="B4" s="131" t="s">
        <v>184</v>
      </c>
      <c r="C4" s="132" t="s">
        <v>355</v>
      </c>
      <c r="D4" s="132" t="s">
        <v>368</v>
      </c>
      <c r="E4" s="133">
        <f t="shared" ref="E4" si="2">LEN(D4)</f>
        <v>12</v>
      </c>
      <c r="F4" s="115">
        <v>8</v>
      </c>
      <c r="G4" s="115">
        <v>5</v>
      </c>
      <c r="H4" s="134">
        <f>2001</f>
        <v>2001</v>
      </c>
      <c r="I4" s="134" t="s">
        <v>374</v>
      </c>
      <c r="J4" s="54" t="str">
        <f ca="1">VLOOKUP($A4,OFFSET([1]characters!$A$1,0,0,COUNTA([1]characters!$A:$A),MATCH("name",[1]characters!$1:$1,0)-MATCH("character_id",[1]characters!$1:$1,0)+1),MATCH("name",[1]characters!$1:$1,0)-MATCH("character_id",[1]characters!$1:$1,0)+1,FALSE)</f>
        <v>ハッピーハロウィン ジェリー</v>
      </c>
      <c r="K4" s="135">
        <f>IFERROR(VLOOKUP(A4,[1]characters!$A:$R,18),0)</f>
        <v>3</v>
      </c>
      <c r="L4" s="136"/>
      <c r="M4" s="137"/>
      <c r="N4" s="137"/>
      <c r="O4" s="137"/>
      <c r="P4" s="137"/>
      <c r="Q4" s="137"/>
      <c r="R4" s="132"/>
      <c r="S4" s="138"/>
    </row>
    <row r="5" spans="1:19" ht="21" customHeight="1" x14ac:dyDescent="0.15">
      <c r="A5" s="12">
        <v>1190</v>
      </c>
      <c r="B5" s="131" t="s">
        <v>184</v>
      </c>
      <c r="C5" s="132" t="s">
        <v>356</v>
      </c>
      <c r="D5" s="132" t="s">
        <v>375</v>
      </c>
      <c r="E5" s="133">
        <f t="shared" ref="E5" si="3">LEN(D5)</f>
        <v>12</v>
      </c>
      <c r="F5" s="115">
        <v>7</v>
      </c>
      <c r="G5" s="115">
        <v>5</v>
      </c>
      <c r="H5" s="134">
        <f>2001</f>
        <v>2001</v>
      </c>
      <c r="I5" s="134" t="s">
        <v>373</v>
      </c>
      <c r="J5" s="54" t="str">
        <f ca="1">VLOOKUP($A5,OFFSET([1]characters!$A$1,0,0,COUNTA([1]characters!$A:$A),MATCH("name",[1]characters!$1:$1,0)-MATCH("character_id",[1]characters!$1:$1,0)+1),MATCH("name",[1]characters!$1:$1,0)-MATCH("character_id",[1]characters!$1:$1,0)+1,FALSE)</f>
        <v>ハッピーハロウィン エレキポット</v>
      </c>
      <c r="K5" s="135">
        <f>IFERROR(VLOOKUP(A5,[1]characters!$A:$R,18),0)</f>
        <v>3</v>
      </c>
      <c r="L5" s="136"/>
      <c r="M5" s="137"/>
      <c r="N5" s="137"/>
      <c r="O5" s="137"/>
      <c r="P5" s="137"/>
      <c r="Q5" s="137"/>
      <c r="R5" s="132"/>
      <c r="S5" s="138"/>
    </row>
    <row r="6" spans="1:19" ht="21" customHeight="1" x14ac:dyDescent="0.15">
      <c r="A6" s="12">
        <v>1194</v>
      </c>
      <c r="B6" s="131" t="s">
        <v>184</v>
      </c>
      <c r="C6" s="132" t="s">
        <v>347</v>
      </c>
      <c r="D6" s="132" t="s">
        <v>323</v>
      </c>
      <c r="E6" s="133">
        <f>LEN(D6)</f>
        <v>53</v>
      </c>
      <c r="F6" s="115">
        <v>13</v>
      </c>
      <c r="G6" s="115">
        <v>7</v>
      </c>
      <c r="H6" s="134">
        <f>2001</f>
        <v>2001</v>
      </c>
      <c r="I6" s="134" t="s">
        <v>326</v>
      </c>
      <c r="J6" s="54" t="str">
        <f ca="1">VLOOKUP($A6,OFFSET([1]characters!$A$1,0,0,COUNTA([1]characters!$A:$A),MATCH("name",[1]characters!$1:$1,0)-MATCH("character_id",[1]characters!$1:$1,0)+1),MATCH("name",[1]characters!$1:$1,0)-MATCH("character_id",[1]characters!$1:$1,0)+1,FALSE)</f>
        <v>ハーヴェスト</v>
      </c>
      <c r="K6" s="135">
        <f>IFERROR(VLOOKUP(A6,[1]characters!$A:$R,18),0)</f>
        <v>3</v>
      </c>
      <c r="L6" s="136"/>
      <c r="M6" s="137"/>
      <c r="N6" s="137"/>
      <c r="O6" s="137"/>
      <c r="P6" s="137"/>
      <c r="Q6" s="137"/>
      <c r="R6" s="132"/>
      <c r="S6" s="138"/>
    </row>
    <row r="7" spans="1:19" ht="21" customHeight="1" x14ac:dyDescent="0.15">
      <c r="A7" s="12">
        <v>1195</v>
      </c>
      <c r="B7" s="131" t="s">
        <v>184</v>
      </c>
      <c r="C7" s="132" t="s">
        <v>346</v>
      </c>
      <c r="D7" s="132" t="s">
        <v>322</v>
      </c>
      <c r="E7" s="133">
        <f t="shared" ref="E7:E8" si="4">LEN(D7)</f>
        <v>53</v>
      </c>
      <c r="F7" s="115">
        <v>13</v>
      </c>
      <c r="G7" s="115">
        <v>7</v>
      </c>
      <c r="H7" s="134">
        <f>2001</f>
        <v>2001</v>
      </c>
      <c r="I7" s="134" t="s">
        <v>325</v>
      </c>
      <c r="J7" s="54" t="str">
        <f ca="1">VLOOKUP($A7,OFFSET([1]characters!$A$1,0,0,COUNTA([1]characters!$A:$A),MATCH("name",[1]characters!$1:$1,0)-MATCH("character_id",[1]characters!$1:$1,0)+1),MATCH("name",[1]characters!$1:$1,0)-MATCH("character_id",[1]characters!$1:$1,0)+1,FALSE)</f>
        <v>賑夜の幼魔 ハーヴェスト</v>
      </c>
      <c r="K7" s="135">
        <f>IFERROR(VLOOKUP(A7,[1]characters!$A:$R,18),0)</f>
        <v>3</v>
      </c>
      <c r="L7" s="136"/>
      <c r="M7" s="137"/>
      <c r="N7" s="137"/>
      <c r="O7" s="137"/>
      <c r="P7" s="137"/>
      <c r="Q7" s="137"/>
      <c r="R7" s="132"/>
      <c r="S7" s="138"/>
    </row>
    <row r="8" spans="1:19" ht="21" customHeight="1" x14ac:dyDescent="0.15">
      <c r="A8" s="12">
        <v>1196</v>
      </c>
      <c r="B8" s="131" t="s">
        <v>184</v>
      </c>
      <c r="C8" s="132" t="s">
        <v>349</v>
      </c>
      <c r="D8" s="132" t="s">
        <v>324</v>
      </c>
      <c r="E8" s="133">
        <f t="shared" si="4"/>
        <v>53</v>
      </c>
      <c r="F8" s="115">
        <v>12</v>
      </c>
      <c r="G8" s="115">
        <v>5</v>
      </c>
      <c r="H8" s="134">
        <f>2001</f>
        <v>2001</v>
      </c>
      <c r="I8" s="134" t="s">
        <v>352</v>
      </c>
      <c r="J8" s="54" t="str">
        <f ca="1">VLOOKUP($A8,OFFSET([1]characters!$A$1,0,0,COUNTA([1]characters!$A:$A),MATCH("name",[1]characters!$1:$1,0)-MATCH("character_id",[1]characters!$1:$1,0)+1),MATCH("name",[1]characters!$1:$1,0)-MATCH("character_id",[1]characters!$1:$1,0)+1,FALSE)</f>
        <v>華装の闇鋏 ラプンツェル</v>
      </c>
      <c r="K8" s="135">
        <v>3</v>
      </c>
      <c r="L8" s="136"/>
      <c r="M8" s="137"/>
      <c r="N8" s="137"/>
      <c r="O8" s="137"/>
      <c r="P8" s="137"/>
      <c r="Q8" s="137"/>
      <c r="R8" s="132"/>
      <c r="S8" s="138"/>
    </row>
  </sheetData>
  <sheetProtection selectLockedCells="1" selectUnlockedCells="1"/>
  <autoFilter ref="A1:S1">
    <sortState ref="A2:T432">
      <sortCondition ref="A1:A432"/>
    </sortState>
  </autoFilter>
  <phoneticPr fontId="22"/>
  <conditionalFormatting sqref="E1 E9:E1048576">
    <cfRule type="cellIs" dxfId="39" priority="26" operator="greaterThan">
      <formula>41</formula>
    </cfRule>
  </conditionalFormatting>
  <conditionalFormatting sqref="E6">
    <cfRule type="cellIs" dxfId="38" priority="17" operator="greaterThan">
      <formula>41</formula>
    </cfRule>
  </conditionalFormatting>
  <conditionalFormatting sqref="E7">
    <cfRule type="cellIs" dxfId="37" priority="16" operator="greaterThan">
      <formula>41</formula>
    </cfRule>
  </conditionalFormatting>
  <conditionalFormatting sqref="E8">
    <cfRule type="cellIs" dxfId="36" priority="15" operator="greaterThan">
      <formula>41</formula>
    </cfRule>
  </conditionalFormatting>
  <conditionalFormatting sqref="E5">
    <cfRule type="cellIs" dxfId="35" priority="4" operator="greaterThan">
      <formula>41</formula>
    </cfRule>
  </conditionalFormatting>
  <conditionalFormatting sqref="E4">
    <cfRule type="cellIs" dxfId="34" priority="3" operator="greaterThan">
      <formula>41</formula>
    </cfRule>
  </conditionalFormatting>
  <conditionalFormatting sqref="E3">
    <cfRule type="cellIs" dxfId="33" priority="2" operator="greaterThan">
      <formula>41</formula>
    </cfRule>
  </conditionalFormatting>
  <conditionalFormatting sqref="E2">
    <cfRule type="cellIs" dxfId="32" priority="1"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8"/>
  <sheetViews>
    <sheetView showGridLines="0" workbookViewId="0">
      <pane xSplit="4" ySplit="1" topLeftCell="I2" activePane="bottomRight" state="frozen"/>
      <selection pane="topRight" activeCell="D1" sqref="D1"/>
      <selection pane="bottomLeft" activeCell="A3" sqref="A3"/>
      <selection pane="bottomRight" activeCell="C2" sqref="C2:C6"/>
    </sheetView>
  </sheetViews>
  <sheetFormatPr baseColWidth="12" defaultColWidth="13" defaultRowHeight="21" customHeight="1" x14ac:dyDescent="0.15"/>
  <cols>
    <col min="1" max="2" width="12.1640625" style="128" customWidth="1"/>
    <col min="3" max="3" width="48.83203125" style="129" customWidth="1"/>
    <col min="4" max="4" width="23.83203125" style="129" customWidth="1"/>
    <col min="5" max="5" width="10.5" style="129" customWidth="1"/>
    <col min="6" max="7" width="59.1640625" style="129" customWidth="1"/>
    <col min="8" max="8" width="6.83203125" style="128" bestFit="1" customWidth="1"/>
    <col min="9" max="9" width="20.33203125" style="128" customWidth="1"/>
    <col min="10" max="10" width="5" style="128" bestFit="1" customWidth="1"/>
    <col min="11" max="16384" width="13" style="128"/>
  </cols>
  <sheetData>
    <row r="1" spans="1:19" ht="21" customHeight="1" x14ac:dyDescent="0.15">
      <c r="A1" s="116" t="s">
        <v>182</v>
      </c>
      <c r="B1" s="117" t="s">
        <v>181</v>
      </c>
      <c r="C1" s="118" t="s">
        <v>180</v>
      </c>
      <c r="D1" s="119" t="s">
        <v>179</v>
      </c>
      <c r="E1" s="119" t="s">
        <v>178</v>
      </c>
      <c r="F1" s="120" t="s">
        <v>177</v>
      </c>
      <c r="G1" s="121" t="s">
        <v>183</v>
      </c>
      <c r="H1" s="120" t="s">
        <v>176</v>
      </c>
      <c r="I1" s="121" t="s">
        <v>175</v>
      </c>
      <c r="J1" s="125" t="s">
        <v>174</v>
      </c>
    </row>
    <row r="2" spans="1:19" ht="21" customHeight="1" x14ac:dyDescent="0.15">
      <c r="A2" s="12">
        <v>1187</v>
      </c>
      <c r="B2" s="131" t="s">
        <v>185</v>
      </c>
      <c r="C2" s="193" t="s">
        <v>378</v>
      </c>
      <c r="D2" s="132" t="s">
        <v>320</v>
      </c>
      <c r="E2" s="133">
        <f t="shared" ref="E2" si="0">LEN(D2)</f>
        <v>8</v>
      </c>
      <c r="F2" s="191" t="s">
        <v>369</v>
      </c>
      <c r="G2" s="190" t="str">
        <f ca="1">VLOOKUP($A2,OFFSET([1]characters!$A$1,0,0,COUNTA([1]characters!$A:$A),MATCH("name",[1]characters!$1:$1,0)-MATCH("character_id",[1]characters!$1:$1,0)+1),MATCH("name",[1]characters!$1:$1,0)-MATCH("character_id",[1]characters!$1:$1,0)+1,FALSE)</f>
        <v>ハッピーハロウィン ポチ</v>
      </c>
      <c r="H2" s="134">
        <f>IFERROR(VLOOKUP(A2,[1]characters!$A:$R,18),0)</f>
        <v>3</v>
      </c>
      <c r="I2" s="134"/>
      <c r="J2" s="139"/>
      <c r="K2" s="135">
        <v>1</v>
      </c>
      <c r="L2" s="136"/>
      <c r="M2" s="137"/>
      <c r="N2" s="137"/>
      <c r="O2" s="137"/>
      <c r="P2" s="137"/>
      <c r="Q2" s="137"/>
      <c r="R2" s="132"/>
      <c r="S2" s="138"/>
    </row>
    <row r="3" spans="1:19" ht="21" customHeight="1" x14ac:dyDescent="0.15">
      <c r="A3" s="12">
        <v>1188</v>
      </c>
      <c r="B3" s="131" t="s">
        <v>185</v>
      </c>
      <c r="C3" s="194" t="s">
        <v>379</v>
      </c>
      <c r="D3" s="132" t="s">
        <v>320</v>
      </c>
      <c r="E3" s="133">
        <f t="shared" ref="E3" si="1">LEN(D3)</f>
        <v>8</v>
      </c>
      <c r="F3" s="191" t="s">
        <v>370</v>
      </c>
      <c r="G3" s="190" t="str">
        <f ca="1">VLOOKUP($A3,OFFSET([1]characters!$A$1,0,0,COUNTA([1]characters!$A:$A),MATCH("name",[1]characters!$1:$1,0)-MATCH("character_id",[1]characters!$1:$1,0)+1),MATCH("name",[1]characters!$1:$1,0)-MATCH("character_id",[1]characters!$1:$1,0)+1,FALSE)</f>
        <v>ハッピーハロウィン ジョー</v>
      </c>
      <c r="H3" s="134">
        <f>IFERROR(VLOOKUP(A3,[1]characters!$A:$R,18),0)</f>
        <v>3</v>
      </c>
      <c r="I3" s="134"/>
      <c r="J3" s="139"/>
      <c r="K3" s="135">
        <v>1</v>
      </c>
      <c r="L3" s="136"/>
      <c r="M3" s="137"/>
      <c r="N3" s="137"/>
      <c r="O3" s="137"/>
      <c r="P3" s="137"/>
      <c r="Q3" s="137"/>
      <c r="R3" s="132"/>
      <c r="S3" s="138"/>
    </row>
    <row r="4" spans="1:19" ht="21" customHeight="1" x14ac:dyDescent="0.15">
      <c r="A4" s="12">
        <v>1189</v>
      </c>
      <c r="B4" s="131" t="s">
        <v>185</v>
      </c>
      <c r="C4" s="194" t="s">
        <v>380</v>
      </c>
      <c r="D4" s="132" t="s">
        <v>320</v>
      </c>
      <c r="E4" s="133">
        <f t="shared" ref="E4:E5" si="2">LEN(D4)</f>
        <v>8</v>
      </c>
      <c r="F4" s="191" t="s">
        <v>371</v>
      </c>
      <c r="G4" s="190" t="str">
        <f ca="1">VLOOKUP($A4,OFFSET([1]characters!$A$1,0,0,COUNTA([1]characters!$A:$A),MATCH("name",[1]characters!$1:$1,0)-MATCH("character_id",[1]characters!$1:$1,0)+1),MATCH("name",[1]characters!$1:$1,0)-MATCH("character_id",[1]characters!$1:$1,0)+1,FALSE)</f>
        <v>ハッピーハロウィン ジェリー</v>
      </c>
      <c r="H4" s="134">
        <f>IFERROR(VLOOKUP(A4,[1]characters!$A:$R,18),0)</f>
        <v>3</v>
      </c>
      <c r="I4" s="134"/>
      <c r="J4" s="139"/>
      <c r="K4" s="135">
        <v>1</v>
      </c>
      <c r="L4" s="136"/>
      <c r="M4" s="137"/>
      <c r="N4" s="137"/>
      <c r="O4" s="137"/>
      <c r="P4" s="137"/>
      <c r="Q4" s="137"/>
      <c r="R4" s="132"/>
      <c r="S4" s="138"/>
    </row>
    <row r="5" spans="1:19" ht="21" customHeight="1" x14ac:dyDescent="0.15">
      <c r="A5" s="12">
        <v>1190</v>
      </c>
      <c r="B5" s="131" t="s">
        <v>185</v>
      </c>
      <c r="C5" s="194" t="s">
        <v>381</v>
      </c>
      <c r="D5" s="132" t="s">
        <v>320</v>
      </c>
      <c r="E5" s="133">
        <f t="shared" si="2"/>
        <v>8</v>
      </c>
      <c r="F5" s="191" t="s">
        <v>372</v>
      </c>
      <c r="G5" s="190" t="str">
        <f ca="1">VLOOKUP($A5,OFFSET([1]characters!$A$1,0,0,COUNTA([1]characters!$A:$A),MATCH("name",[1]characters!$1:$1,0)-MATCH("character_id",[1]characters!$1:$1,0)+1),MATCH("name",[1]characters!$1:$1,0)-MATCH("character_id",[1]characters!$1:$1,0)+1,FALSE)</f>
        <v>ハッピーハロウィン エレキポット</v>
      </c>
      <c r="H5" s="134">
        <f>IFERROR(VLOOKUP(A5,[1]characters!$A:$R,18),0)</f>
        <v>3</v>
      </c>
      <c r="I5" s="134"/>
      <c r="J5" s="139"/>
      <c r="K5" s="135">
        <v>1</v>
      </c>
      <c r="L5" s="136"/>
      <c r="M5" s="137"/>
      <c r="N5" s="137"/>
      <c r="O5" s="137"/>
      <c r="P5" s="137"/>
      <c r="Q5" s="137"/>
      <c r="R5" s="132"/>
      <c r="S5" s="138"/>
    </row>
    <row r="6" spans="1:19" ht="21" customHeight="1" x14ac:dyDescent="0.15">
      <c r="A6" s="12">
        <v>1194</v>
      </c>
      <c r="B6" s="131" t="s">
        <v>184</v>
      </c>
      <c r="C6" s="194" t="s">
        <v>382</v>
      </c>
      <c r="D6" s="132" t="s">
        <v>328</v>
      </c>
      <c r="E6" s="133">
        <f t="shared" ref="E6:E8" si="3">LEN(D6)</f>
        <v>9</v>
      </c>
      <c r="F6" s="115" t="s">
        <v>329</v>
      </c>
      <c r="G6" s="190" t="str">
        <f ca="1">VLOOKUP($A6,OFFSET([1]characters!$A$1,0,0,COUNTA([1]characters!$A:$A),MATCH("name",[1]characters!$1:$1,0)-MATCH("character_id",[1]characters!$1:$1,0)+1),MATCH("name",[1]characters!$1:$1,0)-MATCH("character_id",[1]characters!$1:$1,0)+1,FALSE)</f>
        <v>ハーヴェスト</v>
      </c>
      <c r="H6" s="134">
        <f>IFERROR(VLOOKUP(A6,[1]characters!$A:$R,18),0)</f>
        <v>3</v>
      </c>
      <c r="I6" s="134"/>
      <c r="J6" s="139"/>
      <c r="K6" s="135">
        <v>1</v>
      </c>
      <c r="L6" s="136"/>
      <c r="M6" s="137"/>
      <c r="N6" s="137"/>
      <c r="O6" s="137"/>
      <c r="P6" s="137"/>
      <c r="Q6" s="137"/>
      <c r="R6" s="132"/>
      <c r="S6" s="138"/>
    </row>
    <row r="7" spans="1:19" ht="21" customHeight="1" x14ac:dyDescent="0.15">
      <c r="A7" s="12">
        <v>1195</v>
      </c>
      <c r="B7" s="131" t="s">
        <v>184</v>
      </c>
      <c r="C7" s="132" t="s">
        <v>348</v>
      </c>
      <c r="D7" s="132" t="s">
        <v>327</v>
      </c>
      <c r="E7" s="133">
        <f t="shared" si="3"/>
        <v>9</v>
      </c>
      <c r="F7" s="115" t="s">
        <v>330</v>
      </c>
      <c r="G7" s="190" t="str">
        <f ca="1">VLOOKUP($A7,OFFSET([1]characters!$A$1,0,0,COUNTA([1]characters!$A:$A),MATCH("name",[1]characters!$1:$1,0)-MATCH("character_id",[1]characters!$1:$1,0)+1),MATCH("name",[1]characters!$1:$1,0)-MATCH("character_id",[1]characters!$1:$1,0)+1,FALSE)</f>
        <v>賑夜の幼魔 ハーヴェスト</v>
      </c>
      <c r="H7" s="134">
        <f>IFERROR(VLOOKUP(A7,[1]characters!$A:$R,18),0)</f>
        <v>3</v>
      </c>
      <c r="I7" s="134"/>
      <c r="J7" s="139"/>
      <c r="K7" s="135">
        <v>1</v>
      </c>
      <c r="L7" s="136"/>
      <c r="M7" s="137"/>
      <c r="N7" s="137"/>
      <c r="O7" s="137"/>
      <c r="P7" s="137"/>
      <c r="Q7" s="137"/>
      <c r="R7" s="132"/>
      <c r="S7" s="138"/>
    </row>
    <row r="8" spans="1:19" ht="21" customHeight="1" x14ac:dyDescent="0.15">
      <c r="A8" s="12">
        <v>1196</v>
      </c>
      <c r="B8" s="131" t="s">
        <v>184</v>
      </c>
      <c r="C8" s="192" t="s">
        <v>350</v>
      </c>
      <c r="D8" s="132" t="s">
        <v>332</v>
      </c>
      <c r="E8" s="133">
        <f t="shared" si="3"/>
        <v>15</v>
      </c>
      <c r="F8" s="115" t="s">
        <v>351</v>
      </c>
      <c r="G8" s="190" t="str">
        <f ca="1">VLOOKUP($A8,OFFSET([1]characters!$A$1,0,0,COUNTA([1]characters!$A:$A),MATCH("name",[1]characters!$1:$1,0)-MATCH("character_id",[1]characters!$1:$1,0)+1),MATCH("name",[1]characters!$1:$1,0)-MATCH("character_id",[1]characters!$1:$1,0)+1,FALSE)</f>
        <v>華装の闇鋏 ラプンツェル</v>
      </c>
      <c r="H8" s="134">
        <f>IFERROR(VLOOKUP(A8,[1]characters!$A:$R,18),0)</f>
        <v>3</v>
      </c>
      <c r="I8" s="134"/>
      <c r="J8" s="139"/>
      <c r="K8" s="135">
        <v>1</v>
      </c>
      <c r="L8" s="136"/>
      <c r="M8" s="137"/>
      <c r="N8" s="137"/>
      <c r="O8" s="137"/>
      <c r="P8" s="137"/>
      <c r="Q8" s="137"/>
      <c r="R8" s="132"/>
      <c r="S8" s="138"/>
    </row>
  </sheetData>
  <sheetProtection selectLockedCells="1" selectUnlockedCells="1"/>
  <autoFilter ref="A1:J1"/>
  <phoneticPr fontId="22"/>
  <conditionalFormatting sqref="E6">
    <cfRule type="cellIs" dxfId="31" priority="17" operator="greaterThan">
      <formula>41</formula>
    </cfRule>
  </conditionalFormatting>
  <conditionalFormatting sqref="E7">
    <cfRule type="cellIs" dxfId="30" priority="16" operator="greaterThan">
      <formula>41</formula>
    </cfRule>
  </conditionalFormatting>
  <conditionalFormatting sqref="E8">
    <cfRule type="cellIs" dxfId="29" priority="15" operator="greaterThan">
      <formula>41</formula>
    </cfRule>
  </conditionalFormatting>
  <conditionalFormatting sqref="E4">
    <cfRule type="cellIs" dxfId="28" priority="4" operator="greaterThan">
      <formula>41</formula>
    </cfRule>
  </conditionalFormatting>
  <conditionalFormatting sqref="E3">
    <cfRule type="cellIs" dxfId="27" priority="3" operator="greaterThan">
      <formula>41</formula>
    </cfRule>
  </conditionalFormatting>
  <conditionalFormatting sqref="E2">
    <cfRule type="cellIs" dxfId="26" priority="2" operator="greaterThan">
      <formula>41</formula>
    </cfRule>
  </conditionalFormatting>
  <conditionalFormatting sqref="E5">
    <cfRule type="cellIs" dxfId="25" priority="1"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29"/>
  <sheetViews>
    <sheetView workbookViewId="0">
      <selection activeCell="H6" sqref="H6"/>
    </sheetView>
  </sheetViews>
  <sheetFormatPr baseColWidth="12" defaultRowHeight="15" outlineLevelCol="1" x14ac:dyDescent="0.15"/>
  <cols>
    <col min="2" max="2" width="27.83203125" style="141" bestFit="1" customWidth="1"/>
    <col min="4" max="4" width="12.83203125" style="141" customWidth="1" outlineLevel="1"/>
    <col min="5" max="5" width="12.83203125" style="141"/>
    <col min="8" max="8" width="22.5" bestFit="1" customWidth="1"/>
  </cols>
  <sheetData>
    <row r="1" spans="1:8" x14ac:dyDescent="0.15">
      <c r="A1" s="112" t="s">
        <v>186</v>
      </c>
      <c r="B1" s="140" t="s">
        <v>187</v>
      </c>
      <c r="C1" s="112" t="s">
        <v>188</v>
      </c>
      <c r="D1" s="140" t="s">
        <v>190</v>
      </c>
      <c r="E1" s="140" t="s">
        <v>191</v>
      </c>
      <c r="F1" s="110" t="s">
        <v>192</v>
      </c>
      <c r="G1" s="112" t="s">
        <v>189</v>
      </c>
      <c r="H1" s="110" t="s">
        <v>193</v>
      </c>
    </row>
    <row r="2" spans="1:8" x14ac:dyDescent="0.15">
      <c r="A2" s="106">
        <v>1187</v>
      </c>
      <c r="B2" s="140" t="str">
        <f>VLOOKUP(A2,[1]characters!$A:$C,3,FALSE)</f>
        <v>ハッピーハロウィン ポチ</v>
      </c>
      <c r="C2" s="106" t="s">
        <v>194</v>
      </c>
      <c r="D2" s="140" t="str">
        <f t="shared" ref="D2:D4" si="0">A2&amp;C2</f>
        <v>1187skill</v>
      </c>
      <c r="E2" s="140" t="str">
        <f>A2&amp;+(COUNTIF(A2:A$38,A2)-1)</f>
        <v>11872</v>
      </c>
      <c r="F2" s="106" t="s">
        <v>196</v>
      </c>
      <c r="G2" s="106" t="s">
        <v>334</v>
      </c>
      <c r="H2" s="106" t="s">
        <v>357</v>
      </c>
    </row>
    <row r="3" spans="1:8" x14ac:dyDescent="0.15">
      <c r="A3" s="106">
        <v>1187</v>
      </c>
      <c r="B3" s="140" t="str">
        <f>VLOOKUP(A3,[1]characters!$A:$C,3,FALSE)</f>
        <v>ハッピーハロウィン ポチ</v>
      </c>
      <c r="C3" s="106" t="s">
        <v>197</v>
      </c>
      <c r="D3" s="140" t="str">
        <f t="shared" ref="D3" si="1">A3&amp;C3</f>
        <v>1187cskill</v>
      </c>
      <c r="E3" s="140" t="str">
        <f>A3&amp;+(COUNTIF(A3:A$38,A3)-1)</f>
        <v>11871</v>
      </c>
      <c r="F3" s="106" t="s">
        <v>196</v>
      </c>
      <c r="G3" s="106" t="s">
        <v>334</v>
      </c>
      <c r="H3" s="106" t="s">
        <v>358</v>
      </c>
    </row>
    <row r="4" spans="1:8" x14ac:dyDescent="0.15">
      <c r="A4" s="106">
        <v>1187</v>
      </c>
      <c r="B4" s="140" t="str">
        <f>VLOOKUP(A4,[1]characters!$A:$C,3,FALSE)</f>
        <v>ハッピーハロウィン ポチ</v>
      </c>
      <c r="C4" s="106" t="s">
        <v>197</v>
      </c>
      <c r="D4" s="140" t="str">
        <f t="shared" si="0"/>
        <v>1187cskill</v>
      </c>
      <c r="E4" s="140" t="str">
        <f>A4&amp;+(COUNTIF(A4:A$38,A4)-1)</f>
        <v>11870</v>
      </c>
      <c r="F4" s="106" t="s">
        <v>196</v>
      </c>
      <c r="G4" s="106" t="s">
        <v>334</v>
      </c>
      <c r="H4" s="106" t="s">
        <v>359</v>
      </c>
    </row>
    <row r="5" spans="1:8" x14ac:dyDescent="0.15">
      <c r="A5" s="106">
        <v>1188</v>
      </c>
      <c r="B5" s="140" t="str">
        <f>VLOOKUP(A5,[1]characters!$A:$C,3,FALSE)</f>
        <v>ハッピーハロウィン ジョー</v>
      </c>
      <c r="C5" s="106" t="s">
        <v>194</v>
      </c>
      <c r="D5" s="140" t="str">
        <f t="shared" ref="D5:D13" si="2">A5&amp;C5</f>
        <v>1188skill</v>
      </c>
      <c r="E5" s="140" t="str">
        <f>A5&amp;+(COUNTIF(A5:A$38,A5)-1)</f>
        <v>11882</v>
      </c>
      <c r="F5" s="106" t="s">
        <v>196</v>
      </c>
      <c r="G5" s="106" t="s">
        <v>334</v>
      </c>
      <c r="H5" s="106" t="s">
        <v>383</v>
      </c>
    </row>
    <row r="6" spans="1:8" x14ac:dyDescent="0.15">
      <c r="A6" s="106">
        <v>1188</v>
      </c>
      <c r="B6" s="140" t="str">
        <f>VLOOKUP(A6,[1]characters!$A:$C,3,FALSE)</f>
        <v>ハッピーハロウィン ジョー</v>
      </c>
      <c r="C6" s="106" t="s">
        <v>197</v>
      </c>
      <c r="D6" s="140" t="str">
        <f t="shared" ref="D6" si="3">A6&amp;C6</f>
        <v>1188cskill</v>
      </c>
      <c r="E6" s="140" t="str">
        <f>A6&amp;+(COUNTIF(A6:A$38,A6)-1)</f>
        <v>11881</v>
      </c>
      <c r="F6" s="106" t="s">
        <v>196</v>
      </c>
      <c r="G6" s="106" t="s">
        <v>367</v>
      </c>
      <c r="H6" s="106" t="s">
        <v>384</v>
      </c>
    </row>
    <row r="7" spans="1:8" x14ac:dyDescent="0.15">
      <c r="A7" s="106">
        <v>1188</v>
      </c>
      <c r="B7" s="140" t="str">
        <f>VLOOKUP(A7,[1]characters!$A:$C,3,FALSE)</f>
        <v>ハッピーハロウィン ジョー</v>
      </c>
      <c r="C7" s="106" t="s">
        <v>197</v>
      </c>
      <c r="D7" s="140" t="str">
        <f t="shared" si="2"/>
        <v>1188cskill</v>
      </c>
      <c r="E7" s="140" t="str">
        <f>A7&amp;+(COUNTIF(A7:A$38,A7)-1)</f>
        <v>11880</v>
      </c>
      <c r="F7" s="106" t="s">
        <v>196</v>
      </c>
      <c r="G7" s="106" t="s">
        <v>367</v>
      </c>
      <c r="H7" s="106" t="s">
        <v>360</v>
      </c>
    </row>
    <row r="8" spans="1:8" x14ac:dyDescent="0.15">
      <c r="A8" s="106">
        <v>1189</v>
      </c>
      <c r="B8" s="140" t="str">
        <f>VLOOKUP(A8,[1]characters!$A:$C,3,FALSE)</f>
        <v>ハッピーハロウィン ジェリー</v>
      </c>
      <c r="C8" s="106" t="s">
        <v>194</v>
      </c>
      <c r="D8" s="140" t="str">
        <f t="shared" ref="D8:D10" si="4">A8&amp;C8</f>
        <v>1189skill</v>
      </c>
      <c r="E8" s="140" t="str">
        <f>A8&amp;+(COUNTIF(A8:A$38,A8)-1)</f>
        <v>11892</v>
      </c>
      <c r="F8" s="106" t="s">
        <v>196</v>
      </c>
      <c r="G8" s="106" t="s">
        <v>367</v>
      </c>
      <c r="H8" s="106" t="s">
        <v>361</v>
      </c>
    </row>
    <row r="9" spans="1:8" x14ac:dyDescent="0.15">
      <c r="A9" s="106">
        <v>1189</v>
      </c>
      <c r="B9" s="140" t="str">
        <f>VLOOKUP(A9,[1]characters!$A:$C,3,FALSE)</f>
        <v>ハッピーハロウィン ジェリー</v>
      </c>
      <c r="C9" s="106" t="s">
        <v>197</v>
      </c>
      <c r="D9" s="140" t="str">
        <f t="shared" ref="D9" si="5">A9&amp;C9</f>
        <v>1189cskill</v>
      </c>
      <c r="E9" s="140" t="str">
        <f>A9&amp;+(COUNTIF(A9:A$38,A9)-1)</f>
        <v>11891</v>
      </c>
      <c r="F9" s="106" t="s">
        <v>196</v>
      </c>
      <c r="G9" s="106" t="s">
        <v>334</v>
      </c>
      <c r="H9" s="106" t="s">
        <v>362</v>
      </c>
    </row>
    <row r="10" spans="1:8" x14ac:dyDescent="0.15">
      <c r="A10" s="106">
        <v>1189</v>
      </c>
      <c r="B10" s="140" t="str">
        <f>VLOOKUP(A10,[1]characters!$A:$C,3,FALSE)</f>
        <v>ハッピーハロウィン ジェリー</v>
      </c>
      <c r="C10" s="106" t="s">
        <v>197</v>
      </c>
      <c r="D10" s="140" t="str">
        <f t="shared" si="4"/>
        <v>1189cskill</v>
      </c>
      <c r="E10" s="140" t="str">
        <f>A10&amp;+(COUNTIF(A10:A$38,A10)-1)</f>
        <v>11890</v>
      </c>
      <c r="F10" s="106" t="s">
        <v>196</v>
      </c>
      <c r="G10" s="106" t="s">
        <v>367</v>
      </c>
      <c r="H10" s="106" t="s">
        <v>363</v>
      </c>
    </row>
    <row r="11" spans="1:8" x14ac:dyDescent="0.15">
      <c r="A11" s="106">
        <v>1190</v>
      </c>
      <c r="B11" s="140" t="str">
        <f>VLOOKUP(A11,[1]characters!$A:$C,3,FALSE)</f>
        <v>ハッピーハロウィン エレキポット</v>
      </c>
      <c r="C11" s="106" t="s">
        <v>194</v>
      </c>
      <c r="D11" s="140" t="str">
        <f t="shared" si="2"/>
        <v>1190skill</v>
      </c>
      <c r="E11" s="140" t="str">
        <f>A11&amp;+(COUNTIF(A11:A$38,A11)-1)</f>
        <v>11902</v>
      </c>
      <c r="F11" s="106" t="s">
        <v>196</v>
      </c>
      <c r="G11" s="106" t="s">
        <v>334</v>
      </c>
      <c r="H11" s="106" t="s">
        <v>364</v>
      </c>
    </row>
    <row r="12" spans="1:8" x14ac:dyDescent="0.15">
      <c r="A12" s="106">
        <v>1190</v>
      </c>
      <c r="B12" s="140" t="str">
        <f>VLOOKUP(A12,[1]characters!$A:$C,3,FALSE)</f>
        <v>ハッピーハロウィン エレキポット</v>
      </c>
      <c r="C12" s="106" t="s">
        <v>197</v>
      </c>
      <c r="D12" s="140" t="str">
        <f t="shared" ref="D12" si="6">A12&amp;C12</f>
        <v>1190cskill</v>
      </c>
      <c r="E12" s="140" t="str">
        <f>A12&amp;+(COUNTIF(A12:A$38,A12)-1)</f>
        <v>11901</v>
      </c>
      <c r="F12" s="106" t="s">
        <v>196</v>
      </c>
      <c r="G12" s="106" t="s">
        <v>334</v>
      </c>
      <c r="H12" s="106" t="s">
        <v>365</v>
      </c>
    </row>
    <row r="13" spans="1:8" x14ac:dyDescent="0.15">
      <c r="A13" s="106">
        <v>1190</v>
      </c>
      <c r="B13" s="140" t="str">
        <f>VLOOKUP(A13,[1]characters!$A:$C,3,FALSE)</f>
        <v>ハッピーハロウィン エレキポット</v>
      </c>
      <c r="C13" s="106" t="s">
        <v>197</v>
      </c>
      <c r="D13" s="140" t="str">
        <f t="shared" si="2"/>
        <v>1190cskill</v>
      </c>
      <c r="E13" s="140" t="str">
        <f>A13&amp;+(COUNTIF(A13:A$38,A13)-1)</f>
        <v>11900</v>
      </c>
      <c r="F13" s="106" t="s">
        <v>196</v>
      </c>
      <c r="G13" s="106" t="s">
        <v>334</v>
      </c>
      <c r="H13" s="106" t="s">
        <v>366</v>
      </c>
    </row>
    <row r="14" spans="1:8" x14ac:dyDescent="0.15">
      <c r="A14" s="106">
        <v>1194</v>
      </c>
      <c r="B14" s="140" t="str">
        <f>VLOOKUP(A14,[1]characters!$A:$C,3,FALSE)</f>
        <v>ハーヴェスト</v>
      </c>
      <c r="C14" s="106" t="s">
        <v>194</v>
      </c>
      <c r="D14" s="140" t="str">
        <f t="shared" ref="D14:D24" si="7">A14&amp;C14</f>
        <v>1194skill</v>
      </c>
      <c r="E14" s="140" t="str">
        <f>A14&amp;+(COUNTIF(A14:A$38,A14)-1)</f>
        <v>11943</v>
      </c>
      <c r="F14" s="106" t="s">
        <v>196</v>
      </c>
      <c r="G14" s="106" t="s">
        <v>195</v>
      </c>
      <c r="H14" s="106" t="s">
        <v>345</v>
      </c>
    </row>
    <row r="15" spans="1:8" x14ac:dyDescent="0.15">
      <c r="A15" s="106">
        <v>1194</v>
      </c>
      <c r="B15" s="140" t="str">
        <f>VLOOKUP(A15,[1]characters!$A:$C,3,FALSE)</f>
        <v>ハーヴェスト</v>
      </c>
      <c r="C15" s="106" t="s">
        <v>197</v>
      </c>
      <c r="D15" s="140" t="str">
        <f t="shared" si="7"/>
        <v>1194cskill</v>
      </c>
      <c r="E15" s="140" t="str">
        <f>A15&amp;+(COUNTIF(A15:A$38,A15)-1)</f>
        <v>11942</v>
      </c>
      <c r="F15" s="106" t="s">
        <v>196</v>
      </c>
      <c r="G15" s="106" t="s">
        <v>334</v>
      </c>
      <c r="H15" s="106" t="s">
        <v>340</v>
      </c>
    </row>
    <row r="16" spans="1:8" x14ac:dyDescent="0.15">
      <c r="A16" s="106">
        <v>1194</v>
      </c>
      <c r="B16" s="140" t="str">
        <f>VLOOKUP(A16,[1]characters!$A:$C,3,FALSE)</f>
        <v>ハーヴェスト</v>
      </c>
      <c r="C16" s="106" t="s">
        <v>197</v>
      </c>
      <c r="D16" s="140" t="str">
        <f t="shared" ref="D16:D17" si="8">A16&amp;C16</f>
        <v>1194cskill</v>
      </c>
      <c r="E16" s="140" t="str">
        <f>A16&amp;+(COUNTIF(A16:A$38,A16)-1)</f>
        <v>11941</v>
      </c>
      <c r="F16" s="106" t="s">
        <v>196</v>
      </c>
      <c r="G16" s="106" t="s">
        <v>334</v>
      </c>
      <c r="H16" s="106" t="s">
        <v>341</v>
      </c>
    </row>
    <row r="17" spans="1:8" x14ac:dyDescent="0.15">
      <c r="A17" s="106">
        <v>1194</v>
      </c>
      <c r="B17" s="140" t="str">
        <f>VLOOKUP(A17,[1]characters!$A:$C,3,FALSE)</f>
        <v>ハーヴェスト</v>
      </c>
      <c r="C17" s="106" t="s">
        <v>197</v>
      </c>
      <c r="D17" s="140" t="str">
        <f t="shared" si="8"/>
        <v>1194cskill</v>
      </c>
      <c r="E17" s="140" t="str">
        <f>A17&amp;+(COUNTIF(A17:A$38,A17)-1)</f>
        <v>11940</v>
      </c>
      <c r="F17" s="106" t="s">
        <v>196</v>
      </c>
      <c r="G17" s="106" t="s">
        <v>195</v>
      </c>
      <c r="H17" s="106" t="s">
        <v>342</v>
      </c>
    </row>
    <row r="18" spans="1:8" x14ac:dyDescent="0.15">
      <c r="A18" s="106">
        <v>1195</v>
      </c>
      <c r="B18" s="140" t="str">
        <f>VLOOKUP(A18,[1]characters!$A:$C,3,FALSE)</f>
        <v>賑夜の幼魔 ハーヴェスト</v>
      </c>
      <c r="C18" s="106" t="s">
        <v>194</v>
      </c>
      <c r="D18" s="140" t="str">
        <f t="shared" si="7"/>
        <v>1195skill</v>
      </c>
      <c r="E18" s="140" t="str">
        <f>A18&amp;+(COUNTIF(A18:A$38,A18)-1)</f>
        <v>11954</v>
      </c>
      <c r="F18" s="106" t="s">
        <v>196</v>
      </c>
      <c r="G18" s="106" t="s">
        <v>195</v>
      </c>
      <c r="H18" s="106" t="s">
        <v>344</v>
      </c>
    </row>
    <row r="19" spans="1:8" x14ac:dyDescent="0.15">
      <c r="A19" s="106">
        <v>1195</v>
      </c>
      <c r="B19" s="140" t="str">
        <f>VLOOKUP(A19,[1]characters!$A:$C,3,FALSE)</f>
        <v>賑夜の幼魔 ハーヴェスト</v>
      </c>
      <c r="C19" s="106" t="s">
        <v>197</v>
      </c>
      <c r="D19" s="140" t="str">
        <f t="shared" si="7"/>
        <v>1195cskill</v>
      </c>
      <c r="E19" s="140" t="str">
        <f>A19&amp;+(COUNTIF(A19:A$38,A19)-1)</f>
        <v>11953</v>
      </c>
      <c r="F19" s="106" t="s">
        <v>196</v>
      </c>
      <c r="G19" s="106" t="s">
        <v>334</v>
      </c>
      <c r="H19" s="106" t="s">
        <v>340</v>
      </c>
    </row>
    <row r="20" spans="1:8" x14ac:dyDescent="0.15">
      <c r="A20" s="106">
        <v>1195</v>
      </c>
      <c r="B20" s="140" t="str">
        <f>VLOOKUP(A20,[1]characters!$A:$C,3,FALSE)</f>
        <v>賑夜の幼魔 ハーヴェスト</v>
      </c>
      <c r="C20" s="106" t="s">
        <v>197</v>
      </c>
      <c r="D20" s="140" t="str">
        <f t="shared" ref="D20:D22" si="9">A20&amp;C20</f>
        <v>1195cskill</v>
      </c>
      <c r="E20" s="140" t="str">
        <f>A20&amp;+(COUNTIF(A20:A$38,A20)-1)</f>
        <v>11952</v>
      </c>
      <c r="F20" s="106" t="s">
        <v>196</v>
      </c>
      <c r="G20" s="106" t="s">
        <v>334</v>
      </c>
      <c r="H20" s="106" t="s">
        <v>341</v>
      </c>
    </row>
    <row r="21" spans="1:8" x14ac:dyDescent="0.15">
      <c r="A21" s="106">
        <v>1195</v>
      </c>
      <c r="B21" s="140" t="str">
        <f>VLOOKUP(A21,[1]characters!$A:$C,3,FALSE)</f>
        <v>賑夜の幼魔 ハーヴェスト</v>
      </c>
      <c r="C21" s="106" t="s">
        <v>197</v>
      </c>
      <c r="D21" s="140" t="str">
        <f t="shared" si="9"/>
        <v>1195cskill</v>
      </c>
      <c r="E21" s="140" t="str">
        <f>A21&amp;+(COUNTIF(A21:A$38,A21)-1)</f>
        <v>11951</v>
      </c>
      <c r="F21" s="106" t="s">
        <v>196</v>
      </c>
      <c r="G21" s="106" t="s">
        <v>195</v>
      </c>
      <c r="H21" s="106" t="s">
        <v>342</v>
      </c>
    </row>
    <row r="22" spans="1:8" x14ac:dyDescent="0.15">
      <c r="A22" s="106">
        <v>1195</v>
      </c>
      <c r="B22" s="140" t="str">
        <f>VLOOKUP(A22,[1]characters!$A:$C,3,FALSE)</f>
        <v>賑夜の幼魔 ハーヴェスト</v>
      </c>
      <c r="C22" s="106" t="s">
        <v>197</v>
      </c>
      <c r="D22" s="140" t="str">
        <f t="shared" si="9"/>
        <v>1195cskill</v>
      </c>
      <c r="E22" s="140" t="str">
        <f>A22&amp;+(COUNTIF(A22:A$38,A22)-1)</f>
        <v>11950</v>
      </c>
      <c r="F22" s="106" t="s">
        <v>196</v>
      </c>
      <c r="G22" s="106" t="s">
        <v>334</v>
      </c>
      <c r="H22" s="106" t="s">
        <v>343</v>
      </c>
    </row>
    <row r="23" spans="1:8" x14ac:dyDescent="0.15">
      <c r="A23" s="106">
        <v>1196</v>
      </c>
      <c r="B23" s="140" t="str">
        <f>VLOOKUP(A23,[1]characters!$A:$C,3,FALSE)</f>
        <v>華装の闇鋏 ラプンツェル</v>
      </c>
      <c r="C23" s="106" t="s">
        <v>194</v>
      </c>
      <c r="D23" s="140" t="str">
        <f t="shared" si="7"/>
        <v>1196skill</v>
      </c>
      <c r="E23" s="140" t="str">
        <f>A23&amp;+(COUNTIF(A23:A$38,A23)-1)</f>
        <v>11964</v>
      </c>
      <c r="F23" s="106" t="s">
        <v>196</v>
      </c>
      <c r="G23" s="106" t="s">
        <v>334</v>
      </c>
      <c r="H23" s="106" t="s">
        <v>339</v>
      </c>
    </row>
    <row r="24" spans="1:8" x14ac:dyDescent="0.15">
      <c r="A24" s="106">
        <v>1196</v>
      </c>
      <c r="B24" s="140" t="str">
        <f>VLOOKUP(A24,[1]characters!$A:$C,3,FALSE)</f>
        <v>華装の闇鋏 ラプンツェル</v>
      </c>
      <c r="C24" s="106" t="s">
        <v>197</v>
      </c>
      <c r="D24" s="140" t="str">
        <f t="shared" si="7"/>
        <v>1196cskill</v>
      </c>
      <c r="E24" s="140" t="str">
        <f>A24&amp;+(COUNTIF(A24:A$38,A24)-1)</f>
        <v>11963</v>
      </c>
      <c r="F24" s="106" t="s">
        <v>196</v>
      </c>
      <c r="G24" s="106" t="s">
        <v>334</v>
      </c>
      <c r="H24" s="106" t="s">
        <v>335</v>
      </c>
    </row>
    <row r="25" spans="1:8" x14ac:dyDescent="0.15">
      <c r="A25" s="106">
        <v>1196</v>
      </c>
      <c r="B25" s="140" t="str">
        <f>VLOOKUP(A25,[1]characters!$A:$C,3,FALSE)</f>
        <v>華装の闇鋏 ラプンツェル</v>
      </c>
      <c r="C25" s="106" t="s">
        <v>197</v>
      </c>
      <c r="D25" s="140" t="str">
        <f t="shared" ref="D25:D27" si="10">A25&amp;C25</f>
        <v>1196cskill</v>
      </c>
      <c r="E25" s="140" t="str">
        <f>A25&amp;+(COUNTIF(A25:A$38,A25)-1)</f>
        <v>11962</v>
      </c>
      <c r="F25" s="106" t="s">
        <v>196</v>
      </c>
      <c r="G25" s="106" t="s">
        <v>195</v>
      </c>
      <c r="H25" s="106" t="s">
        <v>336</v>
      </c>
    </row>
    <row r="26" spans="1:8" x14ac:dyDescent="0.15">
      <c r="A26" s="106">
        <v>1196</v>
      </c>
      <c r="B26" s="140" t="str">
        <f>VLOOKUP(A26,[1]characters!$A:$C,3,FALSE)</f>
        <v>華装の闇鋏 ラプンツェル</v>
      </c>
      <c r="C26" s="106" t="s">
        <v>197</v>
      </c>
      <c r="D26" s="140" t="str">
        <f t="shared" si="10"/>
        <v>1196cskill</v>
      </c>
      <c r="E26" s="140" t="str">
        <f>A26&amp;+(COUNTIF(A26:A$38,A26)-1)</f>
        <v>11961</v>
      </c>
      <c r="F26" s="106" t="s">
        <v>196</v>
      </c>
      <c r="G26" s="106" t="s">
        <v>195</v>
      </c>
      <c r="H26" s="106" t="s">
        <v>337</v>
      </c>
    </row>
    <row r="27" spans="1:8" x14ac:dyDescent="0.15">
      <c r="A27" s="106">
        <v>1196</v>
      </c>
      <c r="B27" s="140" t="str">
        <f>VLOOKUP(A27,[1]characters!$A:$C,3,FALSE)</f>
        <v>華装の闇鋏 ラプンツェル</v>
      </c>
      <c r="C27" s="106" t="s">
        <v>197</v>
      </c>
      <c r="D27" s="140" t="str">
        <f t="shared" si="10"/>
        <v>1196cskill</v>
      </c>
      <c r="E27" s="140" t="str">
        <f>A27&amp;+(COUNTIF(A27:A$38,A27)-1)</f>
        <v>11960</v>
      </c>
      <c r="F27" s="106" t="s">
        <v>196</v>
      </c>
      <c r="G27" s="106" t="s">
        <v>195</v>
      </c>
      <c r="H27" s="106" t="s">
        <v>338</v>
      </c>
    </row>
    <row r="28" spans="1:8" x14ac:dyDescent="0.15">
      <c r="A28" s="106"/>
      <c r="B28" s="140"/>
      <c r="C28" s="106"/>
      <c r="D28" s="140"/>
      <c r="E28" s="140"/>
      <c r="F28" s="106"/>
      <c r="G28" s="106"/>
      <c r="H28" s="106"/>
    </row>
    <row r="29" spans="1:8" x14ac:dyDescent="0.15">
      <c r="A29" s="106"/>
      <c r="B29" s="140"/>
      <c r="C29" s="106"/>
      <c r="D29" s="140"/>
      <c r="E29" s="140"/>
      <c r="F29" s="106"/>
      <c r="G29" s="106"/>
      <c r="H29" s="106"/>
    </row>
  </sheetData>
  <phoneticPr fontId="22"/>
  <dataValidations count="2">
    <dataValidation type="list" allowBlank="1" showInputMessage="1" showErrorMessage="1" sqref="G2:G27">
      <formula1>"maru,giza,kumo"</formula1>
    </dataValidation>
    <dataValidation type="list" allowBlank="1" showInputMessage="1" showErrorMessage="1" sqref="C2:C27">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2"/>
  <sheetViews>
    <sheetView showGridLines="0" workbookViewId="0">
      <pane xSplit="9" ySplit="1" topLeftCell="P2" activePane="bottomRight" state="frozen"/>
      <selection pane="topRight" activeCell="J1" sqref="J1"/>
      <selection pane="bottomLeft" activeCell="A3" sqref="A3"/>
      <selection pane="bottomRight" activeCell="Q2" sqref="Q2"/>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22" style="13" hidden="1" customWidth="1" outlineLevel="1"/>
    <col min="11" max="11" width="14.1640625" style="13" hidden="1" customWidth="1" outlineLevel="1"/>
    <col min="12" max="12" width="12.33203125" style="13" hidden="1" customWidth="1" outlineLevel="1"/>
    <col min="13" max="15" width="13.6640625" style="13" hidden="1" customWidth="1" outlineLevel="1"/>
    <col min="16" max="16" width="15.1640625" style="13" customWidth="1"/>
    <col min="17" max="17" width="20.1640625" style="12" bestFit="1" customWidth="1"/>
    <col min="18" max="18" width="18.83203125" style="13" bestFit="1" customWidth="1"/>
    <col min="19" max="20" width="18.83203125" style="13" customWidth="1"/>
    <col min="21" max="21" width="15.1640625" style="13" customWidth="1"/>
    <col min="22" max="16384" width="8.83203125" style="12"/>
  </cols>
  <sheetData>
    <row r="1" spans="1:21" ht="21" customHeight="1" x14ac:dyDescent="0.15">
      <c r="A1" s="78" t="s">
        <v>275</v>
      </c>
      <c r="B1" s="92" t="s">
        <v>276</v>
      </c>
      <c r="C1" s="83" t="s">
        <v>277</v>
      </c>
      <c r="D1" s="83" t="s">
        <v>278</v>
      </c>
      <c r="E1" s="83" t="s">
        <v>279</v>
      </c>
      <c r="F1" s="83" t="s">
        <v>280</v>
      </c>
      <c r="G1" s="83" t="s">
        <v>1</v>
      </c>
      <c r="H1" s="177" t="s">
        <v>19</v>
      </c>
      <c r="I1" s="83" t="s">
        <v>0</v>
      </c>
      <c r="J1" s="82" t="s">
        <v>281</v>
      </c>
      <c r="K1" s="83" t="s">
        <v>276</v>
      </c>
      <c r="L1" s="84" t="s">
        <v>49</v>
      </c>
      <c r="M1" s="84" t="s">
        <v>48</v>
      </c>
      <c r="N1" s="84" t="s">
        <v>282</v>
      </c>
      <c r="O1" s="84" t="s">
        <v>283</v>
      </c>
      <c r="P1" s="89" t="s">
        <v>284</v>
      </c>
      <c r="Q1" s="88" t="s">
        <v>285</v>
      </c>
      <c r="R1" s="77" t="s">
        <v>276</v>
      </c>
      <c r="S1" s="89" t="s">
        <v>286</v>
      </c>
      <c r="T1" s="77" t="s">
        <v>276</v>
      </c>
      <c r="U1" s="89" t="s">
        <v>287</v>
      </c>
    </row>
    <row r="2" spans="1:21" ht="21" customHeight="1" x14ac:dyDescent="0.15">
      <c r="A2" s="12">
        <v>1194</v>
      </c>
      <c r="B2" s="54" t="str">
        <f ca="1">VLOOKUP($A2,OFFSET([1]characters!$A$1,0,0,COUNTA([1]characters!$A:$A),MATCH(B$1,[1]characters!$1:$1,0)-MATCH($A$1,[1]characters!$1:$1,0)+1),MATCH(B$1,[1]characters!$1:$1,0)-MATCH($A$1,[1]characters!$1:$1,0)+1,FALSE)</f>
        <v>ハーヴェスト</v>
      </c>
      <c r="C2" s="54" t="str">
        <f ca="1">VLOOKUP($A2,OFFSET([1]characters!$A$1,0,0,COUNTA([1]characters!$A:$A),MATCH(C$1,[1]characters!$1:$1,0)-MATCH($A$1,[1]characters!$1:$1,0)+1),MATCH(C$1,[1]characters!$1:$1,0)-MATCH($A$1,[1]characters!$1:$1,0)+1,FALSE)</f>
        <v>未定</v>
      </c>
      <c r="D2" s="54" t="str">
        <f ca="1">VLOOKUP($A2,OFFSET([1]characters!$A$1,0,0,COUNTA([1]characters!$A:$A),MATCH(D$1,[1]characters!$1:$1,0)-MATCH($A$1,[1]characters!$1:$1,0)+1),MATCH(D$1,[1]characters!$1:$1,0)-MATCH($A$1,[1]characters!$1:$1,0)+1,FALSE)</f>
        <v>アリス</v>
      </c>
      <c r="E2" s="54" t="str">
        <f ca="1">VLOOKUP($A2,OFFSET([1]characters!$A$1,0,0,COUNTA([1]characters!$A:$A),MATCH(E$1,[1]characters!$1:$1,0)-MATCH($A$1,[1]characters!$1:$1,0)+1),MATCH(E$1,[1]characters!$1:$1,0)-MATCH($A$1,[1]characters!$1:$1,0)+1,FALSE)</f>
        <v>世界観</v>
      </c>
      <c r="F2" s="54" t="str">
        <f ca="1">VLOOKUP($A2,OFFSET([1]characters!$A$1,0,0,COUNTA([1]characters!$A:$A),MATCH(F$1,[1]characters!$1:$1,0)-MATCH($A$1,[1]characters!$1:$1,0)+1),MATCH(F$1,[1]characters!$1:$1,0)-MATCH($A$1,[1]characters!$1:$1,0)+1,FALSE)</f>
        <v>不明</v>
      </c>
      <c r="G2" s="54">
        <f ca="1">VLOOKUP($A2,OFFSET([1]characters!$A$1,0,0,COUNTA([1]characters!$A:$A),MATCH(G$1,[1]characters!$1:$1,0)-MATCH($A$1,[1]characters!$1:$1,0)+1),MATCH(G$1,[1]characters!$1:$1,0)-MATCH($A$1,[1]characters!$1:$1,0)+1,FALSE)</f>
        <v>5</v>
      </c>
      <c r="H2" s="54" t="str">
        <f ca="1">VLOOKUP($A2,OFFSET([1]characters!$A$1,0,0,COUNTA([1]characters!$A:$A),MATCH(H$1,[1]characters!$1:$1,0)-MATCH($A$1,[1]characters!$1:$1,0)+1),MATCH(H$1,[1]characters!$1:$1,0)-MATCH($A$1,[1]characters!$1:$1,0)+1,FALSE)</f>
        <v>PremiumSS</v>
      </c>
      <c r="I2" s="54" t="str">
        <f ca="1">VLOOKUP($A2,OFFSET([1]characters!$A$1,0,0,COUNTA([1]characters!$A:$A),MATCH(I$1,[1]characters!$1:$1,0)-MATCH($A$1,[1]characters!$1:$1,0)+1),MATCH(I$1,[1]characters!$1:$1,0)-MATCH($A$1,[1]characters!$1:$1,0)+1,FALSE)</f>
        <v>green</v>
      </c>
      <c r="J2" s="54" t="str">
        <f ca="1">VLOOKUP($A2,OFFSET([1]characters!$A$1,0,0,COUNTA([1]characters!$A:$A),MATCH(J$1,[1]characters!$1:$1,0)-MATCH($A$1,[1]characters!$1:$1,0)+1),MATCH(J$1,[1]characters!$1:$1,0)-MATCH($A$1,[1]characters!$1:$1,0)+1,FALSE)</f>
        <v>demon</v>
      </c>
      <c r="K2" s="5" t="str">
        <f ca="1">VLOOKUP(J2,[1]character_tribe_i18n!$A:$H,3,FALSE)</f>
        <v>デーモン</v>
      </c>
      <c r="L2" s="11" t="e">
        <f>VLOOKUP(#REF!,[1]character_tribe_i18n!$A:$H,4,FALSE)</f>
        <v>#REF!</v>
      </c>
      <c r="M2" s="11" t="e">
        <f>VLOOKUP(#REF!,[1]character_tribe_i18n!$A:$H,5,FALSE)</f>
        <v>#REF!</v>
      </c>
      <c r="N2" s="11" t="e">
        <f>VLOOKUP(#REF!,[1]character_tribe_i18n!$A:$H,6,FALSE)</f>
        <v>#REF!</v>
      </c>
      <c r="O2" s="11" t="e">
        <f>VLOOKUP(#REF!,[1]character_tribe_i18n!$A:$H,7,FALSE)</f>
        <v>#REF!</v>
      </c>
      <c r="P2" s="178" t="str">
        <f>VLOOKUP(Q2,[1]characters!$A:$AC,20)</f>
        <v>normal</v>
      </c>
      <c r="Q2" s="9">
        <v>1195</v>
      </c>
      <c r="R2" s="59" t="str">
        <f ca="1">IF(Q2="NULL","",VLOOKUP($Q2,OFFSET([1]characters!$A$1,0,0,COUNTA([1]characters!$A:$A),MATCH(R$1,[1]characters!$1:$1,0)-MATCH($A$1,[1]characters!$1:$1,0)+1),MATCH(R$1,[1]characters!$1:$1,0)-MATCH($A$1,[1]characters!$1:$1,0)+1,FALSE))</f>
        <v>賑夜の幼魔 ハーヴェスト</v>
      </c>
      <c r="S2" s="5">
        <f ca="1">IF(ISNA(MATCH(A2,Q:Q,0)),A2,INDIRECT(ADDRESS(MATCH(A2,Q:Q,0),COLUMN())))</f>
        <v>1194</v>
      </c>
      <c r="T2" s="59" t="str">
        <f ca="1">VLOOKUP($S2,OFFSET([1]characters!$A$1,0,0,COUNTA([1]characters!$A:$A),MATCH(T$1,[1]characters!$1:$1,0)-MATCH($A$1,[1]characters!$1:$1,0)+1),MATCH(T$1,[1]characters!$1:$1,0)-MATCH($A$1,[1]characters!$1:$1,0)+1,FALSE)</f>
        <v>ハーヴェスト</v>
      </c>
      <c r="U2" s="11">
        <f ca="1">IF(Q2="NULL","NULL",VLOOKUP(G2,[2]ビット!$A$2:$B$7,2))</f>
        <v>200000</v>
      </c>
    </row>
  </sheetData>
  <autoFilter ref="A1:U1"/>
  <phoneticPr fontId="22"/>
  <conditionalFormatting sqref="W1:W1048576">
    <cfRule type="cellIs" dxfId="24" priority="5"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5"/>
  <sheetViews>
    <sheetView showGridLines="0" topLeftCell="G1" workbookViewId="0">
      <pane ySplit="1" topLeftCell="A2" activePane="bottomLeft" state="frozen"/>
      <selection pane="bottomLeft" activeCell="N14" sqref="N14"/>
    </sheetView>
  </sheetViews>
  <sheetFormatPr baseColWidth="12" defaultColWidth="13" defaultRowHeight="15" x14ac:dyDescent="0.15"/>
  <cols>
    <col min="1" max="1" width="11.5" style="62"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2" t="s">
        <v>99</v>
      </c>
      <c r="B1" s="40" t="s">
        <v>38</v>
      </c>
      <c r="C1" s="179" t="s">
        <v>288</v>
      </c>
      <c r="D1" s="20" t="s">
        <v>40</v>
      </c>
      <c r="E1" s="20" t="s">
        <v>42</v>
      </c>
      <c r="F1" s="20" t="s">
        <v>43</v>
      </c>
      <c r="G1" s="179" t="s">
        <v>289</v>
      </c>
      <c r="H1" s="20" t="s">
        <v>40</v>
      </c>
      <c r="I1" s="41" t="s">
        <v>36</v>
      </c>
      <c r="J1" s="20" t="s">
        <v>41</v>
      </c>
      <c r="K1" s="19" t="s">
        <v>37</v>
      </c>
      <c r="L1" s="182" t="s">
        <v>127</v>
      </c>
      <c r="M1" s="183" t="s">
        <v>291</v>
      </c>
    </row>
    <row r="2" spans="1:14" ht="21" customHeight="1" x14ac:dyDescent="0.15">
      <c r="A2" s="62" t="str">
        <f>B2&amp;"_"&amp;I2</f>
        <v>1194_108</v>
      </c>
      <c r="B2" s="181">
        <v>1194</v>
      </c>
      <c r="C2" s="180">
        <f>B2</f>
        <v>1194</v>
      </c>
      <c r="D2" s="54" t="str">
        <f ca="1">VLOOKUP($C2,OFFSET([1]characters!$A$1,0,0,COUNTA([1]characters!$A:$A),MATCH(D$1,[1]characters!$1:$1,0)-MATCH($C$1,[1]characters!$1:$1,0)+1),MATCH(D$1,[1]characters!$1:$1,0)-MATCH($C$1,[1]characters!$1:$1,0)+1,FALSE)</f>
        <v>ハーヴェスト</v>
      </c>
      <c r="E2" s="54">
        <f ca="1">VLOOKUP($C2,OFFSET([1]characters!$A$1,0,0,COUNTA([1]characters!$A:$A),MATCH(E$1,[1]characters!$1:$1,0)-MATCH($C$1,[1]characters!$1:$1,0)+1),MATCH(E$1,[1]characters!$1:$1,0)-MATCH($C$1,[1]characters!$1:$1,0)+1,FALSE)</f>
        <v>5</v>
      </c>
      <c r="F2" s="54" t="str">
        <f ca="1">VLOOKUP($C2,OFFSET([1]characters!$A$1,0,0,COUNTA([1]characters!$A:$A),MATCH(F$1,[1]characters!$1:$1,0)-MATCH($C$1,[1]characters!$1:$1,0)+1),MATCH(F$1,[1]characters!$1:$1,0)-MATCH($C$1,[1]characters!$1:$1,0)+1,FALSE)</f>
        <v>PremiumSS</v>
      </c>
      <c r="G2" s="181">
        <v>1195</v>
      </c>
      <c r="H2" s="54" t="str">
        <f ca="1">VLOOKUP($G2,OFFSET([1]characters!$A$1,0,0,COUNTA([1]characters!$A:$A),MATCH(H$1,[1]characters!$1:$1,0)-MATCH($C$1,[1]characters!$1:$1,0)+1),MATCH(H$1,[1]characters!$1:$1,0)-MATCH($C$1,[1]characters!$1:$1,0)+1,FALSE)</f>
        <v>賑夜の幼魔 ハーヴェスト</v>
      </c>
      <c r="I2" s="189">
        <v>108</v>
      </c>
      <c r="J2" s="54" t="str">
        <f ca="1">VLOOKUP($I2,OFFSET([1]characters!$A$1,0,0,COUNTA([1]characters!$A:$A),MATCH(J$1,[1]characters!$1:$1,0)-MATCH($C$1,[1]characters!$1:$1,0)+1),MATCH(J$1,[1]characters!$1:$1,0)-MATCH($C$1,[1]characters!$1:$1,0)+1,FALSE)</f>
        <v>森のマッドハッター</v>
      </c>
      <c r="K2" s="18">
        <v>1</v>
      </c>
      <c r="L2" s="111">
        <v>1</v>
      </c>
      <c r="M2" s="111">
        <v>100</v>
      </c>
      <c r="N2" s="2" t="s">
        <v>290</v>
      </c>
    </row>
    <row r="3" spans="1:14" ht="21" customHeight="1" x14ac:dyDescent="0.15">
      <c r="A3" s="62" t="str">
        <f>B3&amp;"_"&amp;I3</f>
        <v>1194_107</v>
      </c>
      <c r="B3" s="181">
        <v>1194</v>
      </c>
      <c r="C3" s="180">
        <f>B3</f>
        <v>1194</v>
      </c>
      <c r="D3" s="54" t="str">
        <f ca="1">VLOOKUP($C3,OFFSET([1]characters!$A$1,0,0,COUNTA([1]characters!$A:$A),MATCH(D$1,[1]characters!$1:$1,0)-MATCH($C$1,[1]characters!$1:$1,0)+1),MATCH(D$1,[1]characters!$1:$1,0)-MATCH($C$1,[1]characters!$1:$1,0)+1,FALSE)</f>
        <v>ハーヴェスト</v>
      </c>
      <c r="E3" s="54">
        <f ca="1">VLOOKUP($C3,OFFSET([1]characters!$A$1,0,0,COUNTA([1]characters!$A:$A),MATCH(E$1,[1]characters!$1:$1,0)-MATCH($C$1,[1]characters!$1:$1,0)+1),MATCH(E$1,[1]characters!$1:$1,0)-MATCH($C$1,[1]characters!$1:$1,0)+1,FALSE)</f>
        <v>5</v>
      </c>
      <c r="F3" s="54" t="str">
        <f ca="1">VLOOKUP($C3,OFFSET([1]characters!$A$1,0,0,COUNTA([1]characters!$A:$A),MATCH(F$1,[1]characters!$1:$1,0)-MATCH($C$1,[1]characters!$1:$1,0)+1),MATCH(F$1,[1]characters!$1:$1,0)-MATCH($C$1,[1]characters!$1:$1,0)+1,FALSE)</f>
        <v>PremiumSS</v>
      </c>
      <c r="G3" s="181">
        <v>1195</v>
      </c>
      <c r="H3" s="54" t="str">
        <f ca="1">VLOOKUP($G3,OFFSET([1]characters!$A$1,0,0,COUNTA([1]characters!$A:$A),MATCH(H$1,[1]characters!$1:$1,0)-MATCH($C$1,[1]characters!$1:$1,0)+1),MATCH(H$1,[1]characters!$1:$1,0)-MATCH($C$1,[1]characters!$1:$1,0)+1,FALSE)</f>
        <v>賑夜の幼魔 ハーヴェスト</v>
      </c>
      <c r="I3" s="189">
        <v>107</v>
      </c>
      <c r="J3" s="54" t="str">
        <f ca="1">VLOOKUP($I3,OFFSET([1]characters!$A$1,0,0,COUNTA([1]characters!$A:$A),MATCH(J$1,[1]characters!$1:$1,0)-MATCH($C$1,[1]characters!$1:$1,0)+1),MATCH(J$1,[1]characters!$1:$1,0)-MATCH($C$1,[1]characters!$1:$1,0)+1,FALSE)</f>
        <v>グリーンキャタップ</v>
      </c>
      <c r="K3" s="18">
        <v>1</v>
      </c>
      <c r="L3" s="111">
        <v>1</v>
      </c>
      <c r="M3" s="111">
        <v>100</v>
      </c>
      <c r="N3" s="2" t="s">
        <v>290</v>
      </c>
    </row>
    <row r="4" spans="1:14" ht="21" customHeight="1" x14ac:dyDescent="0.15">
      <c r="A4" s="62" t="str">
        <f>B4&amp;"_"&amp;I4</f>
        <v>1194_106</v>
      </c>
      <c r="B4" s="181">
        <v>1194</v>
      </c>
      <c r="C4" s="180">
        <f>B4</f>
        <v>1194</v>
      </c>
      <c r="D4" s="54" t="str">
        <f ca="1">VLOOKUP($C4,OFFSET([1]characters!$A$1,0,0,COUNTA([1]characters!$A:$A),MATCH(D$1,[1]characters!$1:$1,0)-MATCH($C$1,[1]characters!$1:$1,0)+1),MATCH(D$1,[1]characters!$1:$1,0)-MATCH($C$1,[1]characters!$1:$1,0)+1,FALSE)</f>
        <v>ハーヴェスト</v>
      </c>
      <c r="E4" s="54">
        <f ca="1">VLOOKUP($C4,OFFSET([1]characters!$A$1,0,0,COUNTA([1]characters!$A:$A),MATCH(E$1,[1]characters!$1:$1,0)-MATCH($C$1,[1]characters!$1:$1,0)+1),MATCH(E$1,[1]characters!$1:$1,0)-MATCH($C$1,[1]characters!$1:$1,0)+1,FALSE)</f>
        <v>5</v>
      </c>
      <c r="F4" s="54" t="str">
        <f ca="1">VLOOKUP($C4,OFFSET([1]characters!$A$1,0,0,COUNTA([1]characters!$A:$A),MATCH(F$1,[1]characters!$1:$1,0)-MATCH($C$1,[1]characters!$1:$1,0)+1),MATCH(F$1,[1]characters!$1:$1,0)-MATCH($C$1,[1]characters!$1:$1,0)+1,FALSE)</f>
        <v>PremiumSS</v>
      </c>
      <c r="G4" s="181">
        <v>1195</v>
      </c>
      <c r="H4" s="54" t="str">
        <f ca="1">VLOOKUP($G4,OFFSET([1]characters!$A$1,0,0,COUNTA([1]characters!$A:$A),MATCH(H$1,[1]characters!$1:$1,0)-MATCH($C$1,[1]characters!$1:$1,0)+1),MATCH(H$1,[1]characters!$1:$1,0)-MATCH($C$1,[1]characters!$1:$1,0)+1,FALSE)</f>
        <v>賑夜の幼魔 ハーヴェスト</v>
      </c>
      <c r="I4" s="189">
        <v>106</v>
      </c>
      <c r="J4" s="54" t="str">
        <f ca="1">VLOOKUP($I4,OFFSET([1]characters!$A$1,0,0,COUNTA([1]characters!$A:$A),MATCH(J$1,[1]characters!$1:$1,0)-MATCH($C$1,[1]characters!$1:$1,0)+1),MATCH(J$1,[1]characters!$1:$1,0)-MATCH($C$1,[1]characters!$1:$1,0)+1,FALSE)</f>
        <v>グリーンラビット</v>
      </c>
      <c r="K4" s="18">
        <v>1</v>
      </c>
      <c r="L4" s="111">
        <v>1</v>
      </c>
      <c r="M4" s="111">
        <v>100</v>
      </c>
      <c r="N4" s="2" t="s">
        <v>290</v>
      </c>
    </row>
    <row r="5" spans="1:14" ht="21" customHeight="1" x14ac:dyDescent="0.15">
      <c r="A5" s="62" t="str">
        <f>B5&amp;"_"&amp;I5</f>
        <v>1194_837</v>
      </c>
      <c r="B5" s="181">
        <v>1194</v>
      </c>
      <c r="C5" s="180">
        <f>B5</f>
        <v>1194</v>
      </c>
      <c r="D5" s="54" t="str">
        <f ca="1">VLOOKUP($C5,OFFSET([1]characters!$A$1,0,0,COUNTA([1]characters!$A:$A),MATCH(D$1,[1]characters!$1:$1,0)-MATCH($C$1,[1]characters!$1:$1,0)+1),MATCH(D$1,[1]characters!$1:$1,0)-MATCH($C$1,[1]characters!$1:$1,0)+1,FALSE)</f>
        <v>ハーヴェスト</v>
      </c>
      <c r="E5" s="54">
        <f ca="1">VLOOKUP($C5,OFFSET([1]characters!$A$1,0,0,COUNTA([1]characters!$A:$A),MATCH(E$1,[1]characters!$1:$1,0)-MATCH($C$1,[1]characters!$1:$1,0)+1),MATCH(E$1,[1]characters!$1:$1,0)-MATCH($C$1,[1]characters!$1:$1,0)+1,FALSE)</f>
        <v>5</v>
      </c>
      <c r="F5" s="54" t="str">
        <f ca="1">VLOOKUP($C5,OFFSET([1]characters!$A$1,0,0,COUNTA([1]characters!$A:$A),MATCH(F$1,[1]characters!$1:$1,0)-MATCH($C$1,[1]characters!$1:$1,0)+1),MATCH(F$1,[1]characters!$1:$1,0)-MATCH($C$1,[1]characters!$1:$1,0)+1,FALSE)</f>
        <v>PremiumSS</v>
      </c>
      <c r="G5" s="181">
        <v>1195</v>
      </c>
      <c r="H5" s="54" t="str">
        <f ca="1">VLOOKUP($G5,OFFSET([1]characters!$A$1,0,0,COUNTA([1]characters!$A:$A),MATCH(H$1,[1]characters!$1:$1,0)-MATCH($C$1,[1]characters!$1:$1,0)+1),MATCH(H$1,[1]characters!$1:$1,0)-MATCH($C$1,[1]characters!$1:$1,0)+1,FALSE)</f>
        <v>賑夜の幼魔 ハーヴェスト</v>
      </c>
      <c r="I5" s="189">
        <v>837</v>
      </c>
      <c r="J5" s="54" t="str">
        <f ca="1">VLOOKUP($I5,OFFSET([1]characters!$A$1,0,0,COUNTA([1]characters!$A:$A),MATCH(J$1,[1]characters!$1:$1,0)-MATCH($C$1,[1]characters!$1:$1,0)+1),MATCH(J$1,[1]characters!$1:$1,0)-MATCH($C$1,[1]characters!$1:$1,0)+1,FALSE)</f>
        <v>リトルハンプティ</v>
      </c>
      <c r="K5" s="18">
        <v>1</v>
      </c>
      <c r="L5" s="111">
        <v>1</v>
      </c>
      <c r="M5" s="111">
        <v>1000</v>
      </c>
      <c r="N5" s="2" t="s">
        <v>290</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activeCell="D12" sqref="D12"/>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38.1640625" customWidth="1"/>
  </cols>
  <sheetData>
    <row r="1" spans="1:10" s="23" customFormat="1" ht="21" customHeight="1" x14ac:dyDescent="0.15">
      <c r="A1" s="169" t="s">
        <v>302</v>
      </c>
      <c r="B1" s="117" t="s">
        <v>303</v>
      </c>
      <c r="C1" s="118" t="s">
        <v>304</v>
      </c>
      <c r="D1" s="119" t="s">
        <v>305</v>
      </c>
      <c r="E1" s="119" t="s">
        <v>306</v>
      </c>
      <c r="F1" s="119" t="s">
        <v>307</v>
      </c>
      <c r="G1" s="119" t="s">
        <v>308</v>
      </c>
      <c r="H1" s="119" t="s">
        <v>309</v>
      </c>
      <c r="I1" s="175" t="s">
        <v>310</v>
      </c>
      <c r="J1" s="170" t="s">
        <v>311</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4"/>
  <sheetViews>
    <sheetView workbookViewId="0">
      <selection activeCell="D3" sqref="D3"/>
    </sheetView>
  </sheetViews>
  <sheetFormatPr baseColWidth="12" defaultRowHeight="15" x14ac:dyDescent="0.15"/>
  <cols>
    <col min="5" max="5" width="22.6640625" customWidth="1"/>
    <col min="6" max="6" width="35.33203125" customWidth="1"/>
  </cols>
  <sheetData>
    <row r="1" spans="1:8" s="23" customFormat="1" ht="21" customHeight="1" x14ac:dyDescent="0.15">
      <c r="A1" s="169" t="s">
        <v>138</v>
      </c>
      <c r="B1" s="172" t="s">
        <v>266</v>
      </c>
      <c r="C1" s="117" t="s">
        <v>267</v>
      </c>
      <c r="D1" s="117" t="s">
        <v>268</v>
      </c>
      <c r="E1" s="173" t="s">
        <v>269</v>
      </c>
      <c r="F1" s="173" t="s">
        <v>270</v>
      </c>
      <c r="G1" s="120" t="s">
        <v>271</v>
      </c>
      <c r="H1" s="169" t="s">
        <v>272</v>
      </c>
    </row>
    <row r="2" spans="1:8" s="4" customFormat="1" ht="21" customHeight="1" x14ac:dyDescent="0.15">
      <c r="A2" s="171">
        <v>1195</v>
      </c>
      <c r="B2" s="174" t="str">
        <f>VLOOKUP(A2,[1]characters!$A:$C,3)</f>
        <v>賑夜の幼魔 ハーヴェスト</v>
      </c>
      <c r="C2" s="171">
        <v>1</v>
      </c>
      <c r="D2" s="171">
        <v>109</v>
      </c>
      <c r="E2" s="175" t="str">
        <f>IF(ISERROR(VLOOKUP(D2,[3]abilities!A:D,3,FALSE))=FALSE,VLOOKUP(D2,[3]abilities!A:D,3),IF(ISERROR(VLOOKUP(D2,abilities!A:D,3,FALSE))=FALSE,VLOOKUP(D2,abilities!A:D,3),"なし"))</f>
        <v>ダメージパネルブレイク</v>
      </c>
      <c r="F2" s="175" t="str">
        <f>IF(ISERROR(VLOOKUP(D2,[3]abilities!A:D,4,FALSE))=FALSE,VLOOKUP(D2,[3]abilities!A:D,4),IF(ISERROR(VLOOKUP(D2,abilities!A:D,4,FALSE))=FALSE,VLOOKUP(D2,abilities!A:D,4),"なし"))</f>
        <v>自身が先頭の時、ダメージを受けずにダメージパネルを破壊できる</v>
      </c>
      <c r="G2" s="176" t="s">
        <v>273</v>
      </c>
      <c r="H2" s="176" t="s">
        <v>274</v>
      </c>
    </row>
    <row r="3" spans="1:8" s="4" customFormat="1" ht="21" customHeight="1" x14ac:dyDescent="0.15">
      <c r="A3" s="171">
        <v>1195</v>
      </c>
      <c r="B3" s="174" t="str">
        <f>VLOOKUP(A3,[1]characters!$A:$C,3)</f>
        <v>賑夜の幼魔 ハーヴェスト</v>
      </c>
      <c r="C3" s="171">
        <v>2</v>
      </c>
      <c r="D3" s="171">
        <v>900</v>
      </c>
      <c r="E3" s="175" t="str">
        <f>IF(ISERROR(VLOOKUP(D3,[3]abilities!A:D,3,FALSE))=FALSE,VLOOKUP(D3,[3]abilities!A:D,3),IF(ISERROR(VLOOKUP(D3,abilities!A:D,3,FALSE))=FALSE,VLOOKUP(D3,abilities!A:D,3),"なし"))</f>
        <v>チェイン12 攻撃力UP</v>
      </c>
      <c r="F3" s="175" t="str">
        <f>IF(ISERROR(VLOOKUP(D3,[3]abilities!A:D,4,FALSE))=FALSE,VLOOKUP(D3,[3]abilities!A:D,4),IF(ISERROR(VLOOKUP(D3,abilities!A:D,4,FALSE))=FALSE,VLOOKUP(D3,abilities!A:D,4),"なし"))</f>
        <v>自身が先頭の時、1タップで12個以上パネルを繋げた場合に攻撃力UP(1ターンに1度だけ発動)</v>
      </c>
      <c r="G3" s="176" t="s">
        <v>273</v>
      </c>
      <c r="H3" s="176" t="s">
        <v>331</v>
      </c>
    </row>
    <row r="4" spans="1:8" s="4" customFormat="1" ht="21" customHeight="1" x14ac:dyDescent="0.15">
      <c r="A4" s="171">
        <v>1196</v>
      </c>
      <c r="B4" s="174" t="str">
        <f>VLOOKUP(A4,[1]characters!$A:$C,3)</f>
        <v>華装の闇鋏 ラプンツェル</v>
      </c>
      <c r="C4" s="171">
        <v>1</v>
      </c>
      <c r="D4" s="171">
        <v>109</v>
      </c>
      <c r="E4" s="175" t="str">
        <f>IF(ISERROR(VLOOKUP(D4,[3]abilities!A:D,3,FALSE))=FALSE,VLOOKUP(D4,[3]abilities!A:D,3),IF(ISERROR(VLOOKUP(D4,abilities!A:D,3,FALSE))=FALSE,VLOOKUP(D4,abilities!A:D,3),"なし"))</f>
        <v>ダメージパネルブレイク</v>
      </c>
      <c r="F4" s="175" t="str">
        <f>IF(ISERROR(VLOOKUP(D4,[3]abilities!A:D,4,FALSE))=FALSE,VLOOKUP(D4,[3]abilities!A:D,4),IF(ISERROR(VLOOKUP(D4,abilities!A:D,4,FALSE))=FALSE,VLOOKUP(D4,abilities!A:D,4),"なし"))</f>
        <v>自身が先頭の時、ダメージを受けずにダメージパネルを破壊できる</v>
      </c>
      <c r="G4" s="176" t="s">
        <v>273</v>
      </c>
      <c r="H4" s="176" t="s">
        <v>316</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B19"/>
  <sheetViews>
    <sheetView workbookViewId="0">
      <selection activeCell="I11" sqref="I11"/>
    </sheetView>
  </sheetViews>
  <sheetFormatPr baseColWidth="12" defaultRowHeight="15" x14ac:dyDescent="0.15"/>
  <sheetData>
    <row r="1" spans="1:2" x14ac:dyDescent="0.15">
      <c r="A1" t="s">
        <v>385</v>
      </c>
      <c r="B1" t="s">
        <v>386</v>
      </c>
    </row>
    <row r="2" spans="1:2" x14ac:dyDescent="0.15">
      <c r="A2" t="s">
        <v>387</v>
      </c>
      <c r="B2">
        <v>1</v>
      </c>
    </row>
    <row r="3" spans="1:2" x14ac:dyDescent="0.15">
      <c r="A3" t="s">
        <v>388</v>
      </c>
      <c r="B3">
        <v>1</v>
      </c>
    </row>
    <row r="4" spans="1:2" x14ac:dyDescent="0.15">
      <c r="A4" t="s">
        <v>389</v>
      </c>
      <c r="B4">
        <v>1</v>
      </c>
    </row>
    <row r="5" spans="1:2" x14ac:dyDescent="0.15">
      <c r="A5" t="s">
        <v>390</v>
      </c>
      <c r="B5">
        <v>1</v>
      </c>
    </row>
    <row r="6" spans="1:2" x14ac:dyDescent="0.15">
      <c r="A6" t="s">
        <v>391</v>
      </c>
      <c r="B6">
        <v>1</v>
      </c>
    </row>
    <row r="7" spans="1:2" x14ac:dyDescent="0.15">
      <c r="A7" t="s">
        <v>392</v>
      </c>
      <c r="B7">
        <v>1</v>
      </c>
    </row>
    <row r="8" spans="1:2" x14ac:dyDescent="0.15">
      <c r="A8" t="s">
        <v>393</v>
      </c>
      <c r="B8">
        <v>1</v>
      </c>
    </row>
    <row r="9" spans="1:2" x14ac:dyDescent="0.15">
      <c r="A9" t="s">
        <v>394</v>
      </c>
      <c r="B9">
        <v>1</v>
      </c>
    </row>
    <row r="10" spans="1:2" x14ac:dyDescent="0.15">
      <c r="A10" t="s">
        <v>395</v>
      </c>
      <c r="B10">
        <v>1</v>
      </c>
    </row>
    <row r="11" spans="1:2" x14ac:dyDescent="0.15">
      <c r="A11" t="s">
        <v>396</v>
      </c>
      <c r="B11">
        <v>1</v>
      </c>
    </row>
    <row r="12" spans="1:2" x14ac:dyDescent="0.15">
      <c r="A12" t="s">
        <v>397</v>
      </c>
      <c r="B12">
        <v>1</v>
      </c>
    </row>
    <row r="13" spans="1:2" x14ac:dyDescent="0.15">
      <c r="A13" t="s">
        <v>398</v>
      </c>
      <c r="B13">
        <v>0</v>
      </c>
    </row>
    <row r="14" spans="1:2" x14ac:dyDescent="0.15">
      <c r="A14" t="s">
        <v>399</v>
      </c>
      <c r="B14">
        <v>500</v>
      </c>
    </row>
    <row r="15" spans="1:2" x14ac:dyDescent="0.15">
      <c r="A15" t="s">
        <v>400</v>
      </c>
      <c r="B15">
        <v>600</v>
      </c>
    </row>
    <row r="16" spans="1:2" x14ac:dyDescent="0.15">
      <c r="A16" t="s">
        <v>401</v>
      </c>
      <c r="B16">
        <v>700</v>
      </c>
    </row>
    <row r="17" spans="1:2" x14ac:dyDescent="0.15">
      <c r="A17" t="s">
        <v>402</v>
      </c>
      <c r="B17">
        <v>5500</v>
      </c>
    </row>
    <row r="18" spans="1:2" x14ac:dyDescent="0.15">
      <c r="A18" t="s">
        <v>403</v>
      </c>
      <c r="B18">
        <v>6000</v>
      </c>
    </row>
    <row r="19" spans="1:2" x14ac:dyDescent="0.15">
      <c r="A19" t="s">
        <v>404</v>
      </c>
      <c r="B19">
        <v>30000</v>
      </c>
    </row>
  </sheetData>
  <phoneticPr fontId="2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F21" sqref="F21"/>
    </sheetView>
  </sheetViews>
  <sheetFormatPr baseColWidth="12" defaultColWidth="13" defaultRowHeight="21" customHeight="1" x14ac:dyDescent="0.15"/>
  <cols>
    <col min="1" max="1" width="13" style="4"/>
    <col min="2" max="16384" width="13" style="23"/>
  </cols>
  <sheetData>
    <row r="1" spans="1:9" s="4" customFormat="1" ht="21" customHeight="1" x14ac:dyDescent="0.15">
      <c r="A1" s="30" t="s">
        <v>233</v>
      </c>
      <c r="B1" s="32">
        <v>1</v>
      </c>
      <c r="C1" s="32">
        <v>2</v>
      </c>
      <c r="D1" s="32">
        <v>3</v>
      </c>
      <c r="E1" s="32">
        <v>4</v>
      </c>
      <c r="F1" s="32">
        <v>5</v>
      </c>
      <c r="G1" s="32">
        <v>6</v>
      </c>
      <c r="H1" s="32">
        <v>7</v>
      </c>
      <c r="I1" s="32">
        <v>8</v>
      </c>
    </row>
    <row r="2" spans="1:9" s="4" customFormat="1" ht="21" customHeight="1" x14ac:dyDescent="0.15">
      <c r="A2" s="143" t="s">
        <v>234</v>
      </c>
      <c r="B2" s="144"/>
      <c r="C2" s="145"/>
      <c r="D2" s="146" t="s">
        <v>235</v>
      </c>
      <c r="E2" s="146">
        <v>30</v>
      </c>
      <c r="F2" s="146">
        <v>40</v>
      </c>
      <c r="G2" s="146">
        <f>15+F2</f>
        <v>55</v>
      </c>
      <c r="H2" s="145"/>
      <c r="I2" s="145"/>
    </row>
    <row r="3" spans="1:9" s="4" customFormat="1" ht="21" customHeight="1" x14ac:dyDescent="0.15">
      <c r="A3" s="143" t="s">
        <v>236</v>
      </c>
      <c r="B3" s="147"/>
      <c r="C3" s="148"/>
      <c r="D3" s="149" t="s">
        <v>235</v>
      </c>
      <c r="E3" s="149">
        <v>25</v>
      </c>
      <c r="F3" s="149">
        <v>35</v>
      </c>
      <c r="G3" s="146">
        <f t="shared" ref="G3:G4" si="0">15+F3</f>
        <v>50</v>
      </c>
      <c r="H3" s="148"/>
      <c r="I3" s="148"/>
    </row>
    <row r="4" spans="1:9" s="4" customFormat="1" ht="21" customHeight="1" x14ac:dyDescent="0.15">
      <c r="A4" s="143" t="s">
        <v>237</v>
      </c>
      <c r="B4" s="150"/>
      <c r="C4" s="151"/>
      <c r="D4" s="152">
        <v>10</v>
      </c>
      <c r="E4" s="152">
        <v>20</v>
      </c>
      <c r="F4" s="152">
        <v>30</v>
      </c>
      <c r="G4" s="152">
        <f t="shared" si="0"/>
        <v>45</v>
      </c>
      <c r="H4" s="151"/>
      <c r="I4" s="151"/>
    </row>
    <row r="5" spans="1:9" s="4" customFormat="1" ht="21" customHeight="1" x14ac:dyDescent="0.15">
      <c r="A5" s="162" t="s">
        <v>238</v>
      </c>
      <c r="B5" s="157"/>
      <c r="C5" s="158"/>
      <c r="D5" s="28">
        <v>9</v>
      </c>
      <c r="E5" s="28">
        <v>18</v>
      </c>
      <c r="F5" s="28">
        <v>28</v>
      </c>
      <c r="G5" s="38">
        <v>38</v>
      </c>
      <c r="H5" s="158"/>
      <c r="I5" s="158"/>
    </row>
    <row r="6" spans="1:9" s="4" customFormat="1" ht="21" customHeight="1" x14ac:dyDescent="0.15">
      <c r="A6" s="162" t="s">
        <v>239</v>
      </c>
      <c r="B6" s="157"/>
      <c r="C6" s="158"/>
      <c r="D6" s="28">
        <v>7</v>
      </c>
      <c r="E6" s="28">
        <v>16</v>
      </c>
      <c r="F6" s="66" t="s">
        <v>11</v>
      </c>
      <c r="G6" s="66" t="s">
        <v>11</v>
      </c>
      <c r="H6" s="158"/>
      <c r="I6" s="158"/>
    </row>
    <row r="7" spans="1:9" ht="21" customHeight="1" x14ac:dyDescent="0.15">
      <c r="A7" s="71" t="s">
        <v>240</v>
      </c>
      <c r="B7" s="44" t="s">
        <v>11</v>
      </c>
      <c r="C7" s="44" t="s">
        <v>11</v>
      </c>
      <c r="D7" s="38" t="s">
        <v>235</v>
      </c>
      <c r="E7" s="38" t="s">
        <v>235</v>
      </c>
      <c r="F7" s="38" t="s">
        <v>235</v>
      </c>
      <c r="G7" s="38" t="s">
        <v>235</v>
      </c>
      <c r="H7" s="38" t="s">
        <v>235</v>
      </c>
      <c r="I7" s="38" t="s">
        <v>235</v>
      </c>
    </row>
    <row r="8" spans="1:9" ht="21" customHeight="1" x14ac:dyDescent="0.15">
      <c r="A8" s="72" t="s">
        <v>241</v>
      </c>
      <c r="B8" s="44" t="s">
        <v>11</v>
      </c>
      <c r="C8" s="44" t="s">
        <v>11</v>
      </c>
      <c r="D8" s="38" t="s">
        <v>235</v>
      </c>
      <c r="E8" s="38">
        <v>30</v>
      </c>
      <c r="F8" s="38">
        <v>40</v>
      </c>
      <c r="G8" s="38">
        <f>15+F8</f>
        <v>55</v>
      </c>
      <c r="H8" s="38" t="s">
        <v>235</v>
      </c>
      <c r="I8" s="38" t="s">
        <v>235</v>
      </c>
    </row>
    <row r="9" spans="1:9" s="43" customFormat="1" ht="21" customHeight="1" x14ac:dyDescent="0.15">
      <c r="A9" s="73" t="s">
        <v>312</v>
      </c>
      <c r="B9" s="28" t="s">
        <v>11</v>
      </c>
      <c r="C9" s="28" t="s">
        <v>11</v>
      </c>
      <c r="D9" s="103" t="s">
        <v>109</v>
      </c>
      <c r="E9" s="103" t="s">
        <v>109</v>
      </c>
      <c r="F9" s="103">
        <v>38</v>
      </c>
      <c r="G9" s="38">
        <f>15+F9</f>
        <v>53</v>
      </c>
      <c r="H9" s="103" t="s">
        <v>109</v>
      </c>
      <c r="I9" s="103" t="s">
        <v>109</v>
      </c>
    </row>
    <row r="10" spans="1:9" s="43" customFormat="1" ht="21" customHeight="1" x14ac:dyDescent="0.15">
      <c r="A10" s="73" t="s">
        <v>242</v>
      </c>
      <c r="B10" s="28" t="s">
        <v>11</v>
      </c>
      <c r="C10" s="28" t="s">
        <v>11</v>
      </c>
      <c r="D10" s="103" t="s">
        <v>235</v>
      </c>
      <c r="E10" s="103">
        <v>25</v>
      </c>
      <c r="F10" s="103">
        <v>35</v>
      </c>
      <c r="G10" s="38">
        <f t="shared" ref="G10:G11" si="1">15+F10</f>
        <v>50</v>
      </c>
      <c r="H10" s="103" t="s">
        <v>235</v>
      </c>
      <c r="I10" s="103" t="s">
        <v>235</v>
      </c>
    </row>
    <row r="11" spans="1:9" ht="21" customHeight="1" x14ac:dyDescent="0.15">
      <c r="A11" s="73" t="s">
        <v>9</v>
      </c>
      <c r="B11" s="66" t="s">
        <v>11</v>
      </c>
      <c r="C11" s="66" t="s">
        <v>11</v>
      </c>
      <c r="D11" s="28">
        <v>10</v>
      </c>
      <c r="E11" s="28">
        <v>20</v>
      </c>
      <c r="F11" s="28">
        <v>30</v>
      </c>
      <c r="G11" s="38">
        <f t="shared" si="1"/>
        <v>45</v>
      </c>
      <c r="H11" s="66" t="s">
        <v>11</v>
      </c>
      <c r="I11" s="66" t="s">
        <v>11</v>
      </c>
    </row>
    <row r="12" spans="1:9" ht="21" customHeight="1" x14ac:dyDescent="0.15">
      <c r="A12" s="73" t="s">
        <v>243</v>
      </c>
      <c r="B12" s="66" t="s">
        <v>11</v>
      </c>
      <c r="C12" s="66" t="s">
        <v>11</v>
      </c>
      <c r="D12" s="28">
        <v>9</v>
      </c>
      <c r="E12" s="28">
        <v>18</v>
      </c>
      <c r="F12" s="28">
        <v>28</v>
      </c>
      <c r="G12" s="38">
        <v>38</v>
      </c>
      <c r="H12" s="66" t="s">
        <v>11</v>
      </c>
      <c r="I12" s="66" t="s">
        <v>11</v>
      </c>
    </row>
    <row r="13" spans="1:9" ht="21" customHeight="1" x14ac:dyDescent="0.15">
      <c r="A13" s="73" t="s">
        <v>244</v>
      </c>
      <c r="B13" s="66" t="s">
        <v>11</v>
      </c>
      <c r="C13" s="66" t="s">
        <v>11</v>
      </c>
      <c r="D13" s="28">
        <v>7</v>
      </c>
      <c r="E13" s="28">
        <v>16</v>
      </c>
      <c r="F13" s="186">
        <v>26</v>
      </c>
      <c r="G13" s="66" t="s">
        <v>11</v>
      </c>
      <c r="H13" s="66" t="s">
        <v>11</v>
      </c>
      <c r="I13" s="66" t="s">
        <v>11</v>
      </c>
    </row>
    <row r="14" spans="1:9" ht="21" customHeight="1" x14ac:dyDescent="0.15">
      <c r="A14" s="102" t="s">
        <v>245</v>
      </c>
      <c r="B14" s="66" t="s">
        <v>11</v>
      </c>
      <c r="C14" s="66" t="s">
        <v>11</v>
      </c>
      <c r="D14" s="28">
        <v>8</v>
      </c>
      <c r="E14" s="28">
        <v>17</v>
      </c>
      <c r="F14" s="28">
        <v>26</v>
      </c>
      <c r="G14" s="66" t="s">
        <v>11</v>
      </c>
      <c r="H14" s="66" t="s">
        <v>11</v>
      </c>
      <c r="I14" s="66" t="s">
        <v>11</v>
      </c>
    </row>
    <row r="15" spans="1:9" ht="21" customHeight="1" x14ac:dyDescent="0.15">
      <c r="A15" s="73" t="s">
        <v>246</v>
      </c>
      <c r="B15" s="66" t="s">
        <v>11</v>
      </c>
      <c r="C15" s="66" t="s">
        <v>11</v>
      </c>
      <c r="D15" s="28">
        <v>8</v>
      </c>
      <c r="E15" s="28">
        <v>17</v>
      </c>
      <c r="F15" s="28">
        <v>26</v>
      </c>
      <c r="G15" s="66" t="s">
        <v>11</v>
      </c>
      <c r="H15" s="66" t="s">
        <v>11</v>
      </c>
      <c r="I15" s="66" t="s">
        <v>11</v>
      </c>
    </row>
    <row r="16" spans="1:9" ht="21" customHeight="1" x14ac:dyDescent="0.15">
      <c r="A16" s="73" t="s">
        <v>247</v>
      </c>
      <c r="B16" s="66" t="s">
        <v>11</v>
      </c>
      <c r="C16" s="66" t="s">
        <v>11</v>
      </c>
      <c r="D16" s="28">
        <v>6</v>
      </c>
      <c r="E16" s="28">
        <v>14</v>
      </c>
      <c r="F16" s="66" t="s">
        <v>11</v>
      </c>
      <c r="G16" s="66" t="s">
        <v>11</v>
      </c>
      <c r="H16" s="66" t="s">
        <v>11</v>
      </c>
      <c r="I16" s="66" t="s">
        <v>11</v>
      </c>
    </row>
    <row r="17" spans="1:9" ht="21" customHeight="1" x14ac:dyDescent="0.15">
      <c r="A17" s="73" t="s">
        <v>248</v>
      </c>
      <c r="B17" s="66" t="s">
        <v>11</v>
      </c>
      <c r="C17" s="28">
        <v>4</v>
      </c>
      <c r="D17" s="28">
        <v>6</v>
      </c>
      <c r="E17" s="28">
        <v>14</v>
      </c>
      <c r="F17" s="66" t="s">
        <v>11</v>
      </c>
      <c r="G17" s="66" t="s">
        <v>11</v>
      </c>
      <c r="H17" s="66" t="s">
        <v>11</v>
      </c>
      <c r="I17" s="66" t="s">
        <v>11</v>
      </c>
    </row>
    <row r="18" spans="1:9" ht="21" customHeight="1" x14ac:dyDescent="0.15">
      <c r="A18" s="73" t="s">
        <v>8</v>
      </c>
      <c r="B18" s="28">
        <v>2</v>
      </c>
      <c r="C18" s="28">
        <v>4</v>
      </c>
      <c r="D18" s="28">
        <v>6</v>
      </c>
      <c r="E18" s="66" t="s">
        <v>11</v>
      </c>
      <c r="F18" s="66" t="s">
        <v>11</v>
      </c>
      <c r="G18" s="66" t="s">
        <v>11</v>
      </c>
      <c r="H18" s="66" t="s">
        <v>11</v>
      </c>
      <c r="I18" s="66" t="s">
        <v>11</v>
      </c>
    </row>
    <row r="19" spans="1:9" ht="21" customHeight="1" x14ac:dyDescent="0.15">
      <c r="A19" s="74" t="s">
        <v>7</v>
      </c>
      <c r="B19" s="31">
        <v>1</v>
      </c>
      <c r="C19" s="31">
        <v>2</v>
      </c>
      <c r="D19" s="67" t="s">
        <v>11</v>
      </c>
      <c r="E19" s="67" t="s">
        <v>11</v>
      </c>
      <c r="F19" s="67" t="s">
        <v>11</v>
      </c>
      <c r="G19" s="67" t="s">
        <v>11</v>
      </c>
      <c r="H19" s="67" t="s">
        <v>11</v>
      </c>
      <c r="I19" s="67" t="s">
        <v>11</v>
      </c>
    </row>
    <row r="20" spans="1:9" ht="21" customHeight="1" x14ac:dyDescent="0.15">
      <c r="A20" s="75" t="s">
        <v>249</v>
      </c>
      <c r="B20" s="26">
        <v>1</v>
      </c>
      <c r="C20" s="26">
        <v>1</v>
      </c>
      <c r="D20" s="67" t="s">
        <v>11</v>
      </c>
      <c r="E20" s="67" t="s">
        <v>11</v>
      </c>
      <c r="F20" s="67" t="s">
        <v>11</v>
      </c>
      <c r="G20" s="67" t="s">
        <v>11</v>
      </c>
      <c r="H20" s="67" t="s">
        <v>11</v>
      </c>
      <c r="I20" s="67" t="s">
        <v>11</v>
      </c>
    </row>
    <row r="21" spans="1:9" ht="21" customHeight="1" x14ac:dyDescent="0.15">
      <c r="A21" s="37" t="s">
        <v>250</v>
      </c>
      <c r="B21" s="36">
        <v>99</v>
      </c>
      <c r="C21" s="36">
        <v>99</v>
      </c>
      <c r="D21" s="36">
        <v>99</v>
      </c>
      <c r="E21" s="36">
        <v>99</v>
      </c>
      <c r="F21" s="36">
        <v>99</v>
      </c>
      <c r="G21" s="36">
        <v>99</v>
      </c>
      <c r="H21" s="36">
        <v>99</v>
      </c>
      <c r="I21" s="36">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topLeftCell="B1" workbookViewId="0">
      <selection activeCell="J17" sqref="J17"/>
    </sheetView>
  </sheetViews>
  <sheetFormatPr baseColWidth="12" defaultColWidth="13" defaultRowHeight="21" customHeight="1" x14ac:dyDescent="0.15"/>
  <cols>
    <col min="1" max="1" width="13" style="4"/>
    <col min="2" max="16384" width="13" style="23"/>
  </cols>
  <sheetData>
    <row r="1" spans="1:9" ht="21" customHeight="1" x14ac:dyDescent="0.15">
      <c r="A1" s="32" t="s">
        <v>10</v>
      </c>
      <c r="B1" s="22">
        <v>1</v>
      </c>
      <c r="C1" s="22">
        <v>2</v>
      </c>
      <c r="D1" s="22">
        <v>3</v>
      </c>
      <c r="E1" s="22">
        <v>4</v>
      </c>
      <c r="F1" s="22">
        <v>5</v>
      </c>
      <c r="G1" s="22">
        <v>6</v>
      </c>
      <c r="H1" s="22">
        <v>7</v>
      </c>
      <c r="I1" s="22">
        <v>8</v>
      </c>
    </row>
    <row r="2" spans="1:9" s="4" customFormat="1" ht="21" customHeight="1" x14ac:dyDescent="0.15">
      <c r="A2" s="143" t="s">
        <v>234</v>
      </c>
      <c r="B2" s="159"/>
      <c r="C2" s="145"/>
      <c r="D2" s="153" t="s">
        <v>109</v>
      </c>
      <c r="E2" s="153">
        <v>60</v>
      </c>
      <c r="F2" s="153">
        <v>80</v>
      </c>
      <c r="G2" s="153">
        <v>99</v>
      </c>
      <c r="H2" s="145"/>
      <c r="I2" s="145"/>
    </row>
    <row r="3" spans="1:9" s="4" customFormat="1" ht="21" customHeight="1" x14ac:dyDescent="0.15">
      <c r="A3" s="143" t="s">
        <v>236</v>
      </c>
      <c r="B3" s="160"/>
      <c r="C3" s="148"/>
      <c r="D3" s="153" t="s">
        <v>109</v>
      </c>
      <c r="E3" s="153">
        <v>60</v>
      </c>
      <c r="F3" s="153">
        <v>80</v>
      </c>
      <c r="G3" s="153">
        <v>99</v>
      </c>
      <c r="H3" s="148"/>
      <c r="I3" s="148"/>
    </row>
    <row r="4" spans="1:9" s="4" customFormat="1" ht="21" customHeight="1" x14ac:dyDescent="0.15">
      <c r="A4" s="143" t="s">
        <v>230</v>
      </c>
      <c r="B4" s="161"/>
      <c r="C4" s="151"/>
      <c r="D4" s="153">
        <v>40</v>
      </c>
      <c r="E4" s="153">
        <v>60</v>
      </c>
      <c r="F4" s="153">
        <v>80</v>
      </c>
      <c r="G4" s="153">
        <v>99</v>
      </c>
      <c r="H4" s="151"/>
      <c r="I4" s="151"/>
    </row>
    <row r="5" spans="1:9" s="4" customFormat="1" ht="21" customHeight="1" x14ac:dyDescent="0.15">
      <c r="A5" s="162" t="s">
        <v>238</v>
      </c>
      <c r="B5" s="157"/>
      <c r="C5" s="158"/>
      <c r="D5" s="153">
        <v>40</v>
      </c>
      <c r="E5" s="153">
        <v>60</v>
      </c>
      <c r="F5" s="153">
        <v>80</v>
      </c>
      <c r="G5" s="153">
        <v>99</v>
      </c>
      <c r="H5" s="158"/>
      <c r="I5" s="158"/>
    </row>
    <row r="6" spans="1:9" s="4" customFormat="1" ht="21" customHeight="1" x14ac:dyDescent="0.15">
      <c r="A6" s="162" t="s">
        <v>239</v>
      </c>
      <c r="B6" s="157"/>
      <c r="C6" s="158"/>
      <c r="D6" s="153">
        <v>40</v>
      </c>
      <c r="E6" s="153">
        <v>60</v>
      </c>
      <c r="F6" s="153" t="s">
        <v>109</v>
      </c>
      <c r="G6" s="153" t="s">
        <v>109</v>
      </c>
      <c r="H6" s="158"/>
      <c r="I6" s="158"/>
    </row>
    <row r="7" spans="1:9" ht="21" customHeight="1" x14ac:dyDescent="0.15">
      <c r="A7" s="71" t="s">
        <v>206</v>
      </c>
      <c r="B7" s="39" t="s">
        <v>109</v>
      </c>
      <c r="C7" s="39" t="s">
        <v>109</v>
      </c>
      <c r="D7" s="39" t="s">
        <v>109</v>
      </c>
      <c r="E7" s="39" t="s">
        <v>109</v>
      </c>
      <c r="F7" s="39" t="s">
        <v>109</v>
      </c>
      <c r="G7" s="39" t="s">
        <v>109</v>
      </c>
      <c r="H7" s="39" t="s">
        <v>109</v>
      </c>
      <c r="I7" s="39" t="s">
        <v>109</v>
      </c>
    </row>
    <row r="8" spans="1:9" ht="21" customHeight="1" x14ac:dyDescent="0.15">
      <c r="A8" s="72" t="s">
        <v>241</v>
      </c>
      <c r="B8" s="39" t="s">
        <v>109</v>
      </c>
      <c r="C8" s="39" t="s">
        <v>109</v>
      </c>
      <c r="D8" s="39" t="s">
        <v>109</v>
      </c>
      <c r="E8" s="39">
        <v>60</v>
      </c>
      <c r="F8" s="39">
        <v>80</v>
      </c>
      <c r="G8" s="39">
        <v>99</v>
      </c>
      <c r="H8" s="39" t="s">
        <v>109</v>
      </c>
      <c r="I8" s="39" t="s">
        <v>109</v>
      </c>
    </row>
    <row r="9" spans="1:9" s="43" customFormat="1" ht="21" customHeight="1" x14ac:dyDescent="0.15">
      <c r="A9" s="73" t="s">
        <v>313</v>
      </c>
      <c r="B9" s="63" t="s">
        <v>109</v>
      </c>
      <c r="C9" s="63" t="s">
        <v>109</v>
      </c>
      <c r="D9" s="63" t="s">
        <v>109</v>
      </c>
      <c r="E9" s="63" t="s">
        <v>109</v>
      </c>
      <c r="F9" s="63">
        <v>80</v>
      </c>
      <c r="G9" s="63">
        <v>99</v>
      </c>
      <c r="H9" s="63" t="s">
        <v>109</v>
      </c>
      <c r="I9" s="63" t="s">
        <v>109</v>
      </c>
    </row>
    <row r="10" spans="1:9" s="43" customFormat="1" ht="21" customHeight="1" x14ac:dyDescent="0.15">
      <c r="A10" s="73" t="s">
        <v>242</v>
      </c>
      <c r="B10" s="63" t="s">
        <v>109</v>
      </c>
      <c r="C10" s="63" t="s">
        <v>109</v>
      </c>
      <c r="D10" s="63" t="s">
        <v>109</v>
      </c>
      <c r="E10" s="63">
        <v>60</v>
      </c>
      <c r="F10" s="63">
        <v>80</v>
      </c>
      <c r="G10" s="63">
        <v>99</v>
      </c>
      <c r="H10" s="63" t="s">
        <v>109</v>
      </c>
      <c r="I10" s="63" t="s">
        <v>109</v>
      </c>
    </row>
    <row r="11" spans="1:9" ht="21" customHeight="1" x14ac:dyDescent="0.15">
      <c r="A11" s="73" t="s">
        <v>9</v>
      </c>
      <c r="B11" s="68" t="s">
        <v>109</v>
      </c>
      <c r="C11" s="68" t="s">
        <v>109</v>
      </c>
      <c r="D11" s="36">
        <v>40</v>
      </c>
      <c r="E11" s="36">
        <v>60</v>
      </c>
      <c r="F11" s="36">
        <v>80</v>
      </c>
      <c r="G11" s="39">
        <v>99</v>
      </c>
      <c r="H11" s="68" t="s">
        <v>109</v>
      </c>
      <c r="I11" s="68" t="s">
        <v>109</v>
      </c>
    </row>
    <row r="12" spans="1:9" ht="21" customHeight="1" x14ac:dyDescent="0.15">
      <c r="A12" s="73" t="s">
        <v>209</v>
      </c>
      <c r="B12" s="68" t="s">
        <v>109</v>
      </c>
      <c r="C12" s="68" t="s">
        <v>109</v>
      </c>
      <c r="D12" s="36">
        <v>40</v>
      </c>
      <c r="E12" s="36">
        <v>60</v>
      </c>
      <c r="F12" s="36">
        <v>80</v>
      </c>
      <c r="G12" s="63">
        <v>99</v>
      </c>
      <c r="H12" s="68" t="s">
        <v>109</v>
      </c>
      <c r="I12" s="68" t="s">
        <v>109</v>
      </c>
    </row>
    <row r="13" spans="1:9" ht="21" customHeight="1" x14ac:dyDescent="0.15">
      <c r="A13" s="73" t="s">
        <v>205</v>
      </c>
      <c r="B13" s="68" t="s">
        <v>109</v>
      </c>
      <c r="C13" s="68" t="s">
        <v>109</v>
      </c>
      <c r="D13" s="36">
        <v>40</v>
      </c>
      <c r="E13" s="36">
        <v>60</v>
      </c>
      <c r="F13" s="187">
        <v>80</v>
      </c>
      <c r="G13" s="68" t="s">
        <v>109</v>
      </c>
      <c r="H13" s="68" t="s">
        <v>109</v>
      </c>
      <c r="I13" s="68" t="s">
        <v>109</v>
      </c>
    </row>
    <row r="14" spans="1:9" ht="21" customHeight="1" x14ac:dyDescent="0.15">
      <c r="A14" s="102" t="s">
        <v>245</v>
      </c>
      <c r="B14" s="68" t="s">
        <v>109</v>
      </c>
      <c r="C14" s="68" t="s">
        <v>109</v>
      </c>
      <c r="D14" s="36">
        <v>40</v>
      </c>
      <c r="E14" s="36">
        <v>60</v>
      </c>
      <c r="F14" s="36">
        <v>80</v>
      </c>
      <c r="G14" s="68" t="s">
        <v>109</v>
      </c>
      <c r="H14" s="68" t="s">
        <v>109</v>
      </c>
      <c r="I14" s="68" t="s">
        <v>109</v>
      </c>
    </row>
    <row r="15" spans="1:9" ht="21" customHeight="1" x14ac:dyDescent="0.15">
      <c r="A15" s="73" t="s">
        <v>246</v>
      </c>
      <c r="B15" s="68" t="s">
        <v>109</v>
      </c>
      <c r="C15" s="68" t="s">
        <v>109</v>
      </c>
      <c r="D15" s="36">
        <v>40</v>
      </c>
      <c r="E15" s="36">
        <v>60</v>
      </c>
      <c r="F15" s="36">
        <v>80</v>
      </c>
      <c r="G15" s="68" t="s">
        <v>109</v>
      </c>
      <c r="H15" s="68" t="s">
        <v>109</v>
      </c>
      <c r="I15" s="68" t="s">
        <v>109</v>
      </c>
    </row>
    <row r="16" spans="1:9" ht="21" customHeight="1" x14ac:dyDescent="0.15">
      <c r="A16" s="73" t="s">
        <v>105</v>
      </c>
      <c r="B16" s="68" t="s">
        <v>109</v>
      </c>
      <c r="C16" s="36">
        <v>30</v>
      </c>
      <c r="D16" s="36">
        <v>40</v>
      </c>
      <c r="E16" s="36">
        <v>60</v>
      </c>
      <c r="F16" s="68" t="s">
        <v>109</v>
      </c>
      <c r="G16" s="68" t="s">
        <v>109</v>
      </c>
      <c r="H16" s="68" t="s">
        <v>109</v>
      </c>
      <c r="I16" s="68" t="s">
        <v>109</v>
      </c>
    </row>
    <row r="17" spans="1:9" ht="21" customHeight="1" x14ac:dyDescent="0.15">
      <c r="A17" s="73" t="s">
        <v>248</v>
      </c>
      <c r="B17" s="68" t="s">
        <v>109</v>
      </c>
      <c r="C17" s="36">
        <v>30</v>
      </c>
      <c r="D17" s="36">
        <v>40</v>
      </c>
      <c r="E17" s="36">
        <v>60</v>
      </c>
      <c r="F17" s="68" t="s">
        <v>109</v>
      </c>
      <c r="G17" s="68" t="s">
        <v>109</v>
      </c>
      <c r="H17" s="68" t="s">
        <v>109</v>
      </c>
      <c r="I17" s="68" t="s">
        <v>109</v>
      </c>
    </row>
    <row r="18" spans="1:9" ht="21" customHeight="1" x14ac:dyDescent="0.15">
      <c r="A18" s="73" t="s">
        <v>8</v>
      </c>
      <c r="B18" s="36">
        <v>15</v>
      </c>
      <c r="C18" s="36">
        <v>30</v>
      </c>
      <c r="D18" s="36">
        <v>40</v>
      </c>
      <c r="E18" s="68" t="s">
        <v>109</v>
      </c>
      <c r="F18" s="68" t="s">
        <v>109</v>
      </c>
      <c r="G18" s="68" t="s">
        <v>109</v>
      </c>
      <c r="H18" s="68" t="s">
        <v>109</v>
      </c>
      <c r="I18" s="68" t="s">
        <v>109</v>
      </c>
    </row>
    <row r="19" spans="1:9" ht="21" customHeight="1" x14ac:dyDescent="0.15">
      <c r="A19" s="74" t="s">
        <v>7</v>
      </c>
      <c r="B19" s="36">
        <v>15</v>
      </c>
      <c r="C19" s="36">
        <v>30</v>
      </c>
      <c r="D19" s="36">
        <v>40</v>
      </c>
      <c r="E19" s="68" t="s">
        <v>215</v>
      </c>
      <c r="F19" s="68" t="s">
        <v>215</v>
      </c>
      <c r="G19" s="68" t="s">
        <v>215</v>
      </c>
      <c r="H19" s="68" t="s">
        <v>215</v>
      </c>
      <c r="I19" s="68" t="s">
        <v>215</v>
      </c>
    </row>
    <row r="20" spans="1:9" ht="21" customHeight="1" x14ac:dyDescent="0.15">
      <c r="A20" s="75" t="s">
        <v>249</v>
      </c>
      <c r="B20" s="36">
        <v>10</v>
      </c>
      <c r="C20" s="36">
        <v>20</v>
      </c>
      <c r="D20" s="68" t="s">
        <v>215</v>
      </c>
      <c r="E20" s="68" t="s">
        <v>215</v>
      </c>
      <c r="F20" s="68" t="s">
        <v>215</v>
      </c>
      <c r="G20" s="68" t="s">
        <v>215</v>
      </c>
      <c r="H20" s="68" t="s">
        <v>215</v>
      </c>
      <c r="I20" s="68" t="s">
        <v>215</v>
      </c>
    </row>
    <row r="21" spans="1:9" ht="21" customHeight="1" x14ac:dyDescent="0.15">
      <c r="A21" s="37" t="s">
        <v>250</v>
      </c>
      <c r="B21" s="36">
        <v>1</v>
      </c>
      <c r="C21" s="36">
        <v>1</v>
      </c>
      <c r="D21" s="36">
        <v>1</v>
      </c>
      <c r="E21" s="36">
        <v>1</v>
      </c>
      <c r="F21" s="36">
        <v>1</v>
      </c>
      <c r="G21" s="36">
        <v>1</v>
      </c>
      <c r="H21" s="36">
        <v>1</v>
      </c>
      <c r="I21" s="36">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3"/>
  </cols>
  <sheetData>
    <row r="1" spans="1:11" ht="21" customHeight="1" x14ac:dyDescent="0.15">
      <c r="A1" s="46" t="s">
        <v>10</v>
      </c>
      <c r="B1" s="47">
        <v>1</v>
      </c>
      <c r="C1" s="47">
        <v>2</v>
      </c>
      <c r="D1" s="47">
        <v>3</v>
      </c>
      <c r="E1" s="47">
        <v>4</v>
      </c>
      <c r="F1" s="47">
        <v>5</v>
      </c>
      <c r="G1" s="47">
        <v>6</v>
      </c>
      <c r="H1" s="47">
        <v>7</v>
      </c>
      <c r="I1" s="47">
        <v>8</v>
      </c>
    </row>
    <row r="2" spans="1:11" s="4" customFormat="1" ht="21" customHeight="1" x14ac:dyDescent="0.15">
      <c r="A2" s="143" t="s">
        <v>234</v>
      </c>
      <c r="B2" s="144"/>
      <c r="C2" s="145"/>
      <c r="D2" s="153" t="s">
        <v>109</v>
      </c>
      <c r="E2" s="154" t="s">
        <v>59</v>
      </c>
      <c r="F2" s="154" t="s">
        <v>59</v>
      </c>
      <c r="G2" s="154" t="s">
        <v>251</v>
      </c>
      <c r="H2" s="145"/>
      <c r="I2" s="145"/>
    </row>
    <row r="3" spans="1:11" s="4" customFormat="1" ht="21" customHeight="1" x14ac:dyDescent="0.15">
      <c r="A3" s="143" t="s">
        <v>236</v>
      </c>
      <c r="B3" s="147"/>
      <c r="C3" s="148"/>
      <c r="D3" s="154" t="s">
        <v>59</v>
      </c>
      <c r="E3" s="154" t="s">
        <v>59</v>
      </c>
      <c r="F3" s="154" t="s">
        <v>59</v>
      </c>
      <c r="G3" s="154" t="s">
        <v>229</v>
      </c>
      <c r="H3" s="148"/>
      <c r="I3" s="148"/>
    </row>
    <row r="4" spans="1:11" s="4" customFormat="1" ht="21" customHeight="1" x14ac:dyDescent="0.15">
      <c r="A4" s="143" t="s">
        <v>230</v>
      </c>
      <c r="B4" s="150"/>
      <c r="C4" s="151"/>
      <c r="D4" s="155" t="s">
        <v>59</v>
      </c>
      <c r="E4" s="155" t="s">
        <v>59</v>
      </c>
      <c r="F4" s="155" t="s">
        <v>59</v>
      </c>
      <c r="G4" s="154" t="s">
        <v>229</v>
      </c>
      <c r="H4" s="151"/>
      <c r="I4" s="151"/>
    </row>
    <row r="5" spans="1:11" s="4" customFormat="1" ht="21" customHeight="1" x14ac:dyDescent="0.15">
      <c r="A5" s="162" t="s">
        <v>238</v>
      </c>
      <c r="B5" s="157"/>
      <c r="C5" s="158"/>
      <c r="D5" s="155" t="s">
        <v>59</v>
      </c>
      <c r="E5" s="155" t="s">
        <v>59</v>
      </c>
      <c r="F5" s="155" t="s">
        <v>59</v>
      </c>
      <c r="G5" s="154" t="s">
        <v>219</v>
      </c>
      <c r="H5" s="158"/>
      <c r="I5" s="158"/>
    </row>
    <row r="6" spans="1:11" s="4" customFormat="1" ht="21" customHeight="1" x14ac:dyDescent="0.15">
      <c r="A6" s="162" t="s">
        <v>239</v>
      </c>
      <c r="B6" s="157"/>
      <c r="C6" s="158"/>
      <c r="D6" s="163" t="s">
        <v>60</v>
      </c>
      <c r="E6" s="163" t="s">
        <v>60</v>
      </c>
      <c r="F6" s="153" t="s">
        <v>109</v>
      </c>
      <c r="G6" s="153" t="s">
        <v>109</v>
      </c>
      <c r="H6" s="158"/>
      <c r="I6" s="158"/>
    </row>
    <row r="7" spans="1:11" ht="21" customHeight="1" x14ac:dyDescent="0.15">
      <c r="A7" s="71" t="s">
        <v>206</v>
      </c>
      <c r="B7" s="39" t="s">
        <v>109</v>
      </c>
      <c r="C7" s="39" t="s">
        <v>109</v>
      </c>
      <c r="D7" s="39" t="s">
        <v>109</v>
      </c>
      <c r="E7" s="39" t="s">
        <v>109</v>
      </c>
      <c r="F7" s="39" t="s">
        <v>109</v>
      </c>
      <c r="G7" s="39" t="s">
        <v>109</v>
      </c>
      <c r="H7" s="39" t="s">
        <v>109</v>
      </c>
      <c r="I7" s="39" t="s">
        <v>109</v>
      </c>
    </row>
    <row r="8" spans="1:11" ht="21" customHeight="1" x14ac:dyDescent="0.15">
      <c r="A8" s="72" t="s">
        <v>241</v>
      </c>
      <c r="B8" s="39" t="s">
        <v>109</v>
      </c>
      <c r="C8" s="39" t="s">
        <v>109</v>
      </c>
      <c r="D8" s="39" t="s">
        <v>216</v>
      </c>
      <c r="E8" s="49" t="s">
        <v>115</v>
      </c>
      <c r="F8" s="49" t="s">
        <v>115</v>
      </c>
      <c r="G8" s="49" t="s">
        <v>217</v>
      </c>
      <c r="H8" s="39" t="s">
        <v>216</v>
      </c>
      <c r="I8" s="39" t="s">
        <v>109</v>
      </c>
    </row>
    <row r="9" spans="1:11" s="43" customFormat="1" ht="21" customHeight="1" x14ac:dyDescent="0.15">
      <c r="A9" s="73" t="s">
        <v>312</v>
      </c>
      <c r="B9" s="63" t="s">
        <v>109</v>
      </c>
      <c r="C9" s="63" t="s">
        <v>109</v>
      </c>
      <c r="D9" s="63" t="s">
        <v>109</v>
      </c>
      <c r="E9" s="63" t="s">
        <v>109</v>
      </c>
      <c r="F9" s="49" t="s">
        <v>59</v>
      </c>
      <c r="G9" s="49" t="s">
        <v>115</v>
      </c>
      <c r="H9" s="63" t="s">
        <v>109</v>
      </c>
      <c r="I9" s="63" t="s">
        <v>109</v>
      </c>
    </row>
    <row r="10" spans="1:11" s="43" customFormat="1" ht="21" customHeight="1" x14ac:dyDescent="0.15">
      <c r="A10" s="73" t="s">
        <v>242</v>
      </c>
      <c r="B10" s="63" t="s">
        <v>109</v>
      </c>
      <c r="C10" s="63" t="s">
        <v>109</v>
      </c>
      <c r="D10" s="63" t="s">
        <v>109</v>
      </c>
      <c r="E10" s="49" t="s">
        <v>59</v>
      </c>
      <c r="F10" s="49" t="s">
        <v>59</v>
      </c>
      <c r="G10" s="49" t="s">
        <v>115</v>
      </c>
      <c r="H10" s="63" t="s">
        <v>218</v>
      </c>
      <c r="I10" s="63" t="s">
        <v>218</v>
      </c>
    </row>
    <row r="11" spans="1:11" ht="21" customHeight="1" x14ac:dyDescent="0.15">
      <c r="A11" s="73" t="s">
        <v>9</v>
      </c>
      <c r="B11" s="68" t="s">
        <v>109</v>
      </c>
      <c r="C11" s="68" t="s">
        <v>109</v>
      </c>
      <c r="D11" s="49" t="s">
        <v>59</v>
      </c>
      <c r="E11" s="49" t="s">
        <v>59</v>
      </c>
      <c r="F11" s="49" t="s">
        <v>59</v>
      </c>
      <c r="G11" s="49" t="s">
        <v>219</v>
      </c>
      <c r="H11" s="68" t="s">
        <v>218</v>
      </c>
      <c r="I11" s="68" t="s">
        <v>218</v>
      </c>
      <c r="K11" s="27" t="s">
        <v>12</v>
      </c>
    </row>
    <row r="12" spans="1:11" ht="21" customHeight="1" x14ac:dyDescent="0.15">
      <c r="A12" s="73" t="s">
        <v>209</v>
      </c>
      <c r="B12" s="68" t="s">
        <v>109</v>
      </c>
      <c r="C12" s="68" t="s">
        <v>109</v>
      </c>
      <c r="D12" s="50" t="s">
        <v>59</v>
      </c>
      <c r="E12" s="50" t="s">
        <v>59</v>
      </c>
      <c r="F12" s="50" t="s">
        <v>59</v>
      </c>
      <c r="G12" s="49" t="s">
        <v>219</v>
      </c>
      <c r="H12" s="68" t="s">
        <v>218</v>
      </c>
      <c r="I12" s="68" t="s">
        <v>218</v>
      </c>
      <c r="K12" s="29" t="s">
        <v>13</v>
      </c>
    </row>
    <row r="13" spans="1:11" ht="21" customHeight="1" x14ac:dyDescent="0.15">
      <c r="A13" s="73" t="s">
        <v>205</v>
      </c>
      <c r="B13" s="68" t="s">
        <v>109</v>
      </c>
      <c r="C13" s="68" t="s">
        <v>109</v>
      </c>
      <c r="D13" s="51" t="s">
        <v>60</v>
      </c>
      <c r="E13" s="51" t="s">
        <v>60</v>
      </c>
      <c r="F13" s="188" t="s">
        <v>59</v>
      </c>
      <c r="G13" s="68" t="s">
        <v>109</v>
      </c>
      <c r="H13" s="68" t="s">
        <v>109</v>
      </c>
      <c r="I13" s="68" t="s">
        <v>109</v>
      </c>
      <c r="K13" s="69" t="s">
        <v>35</v>
      </c>
    </row>
    <row r="14" spans="1:11" ht="21" customHeight="1" x14ac:dyDescent="0.15">
      <c r="A14" s="102" t="s">
        <v>245</v>
      </c>
      <c r="B14" s="68" t="s">
        <v>109</v>
      </c>
      <c r="C14" s="68" t="s">
        <v>109</v>
      </c>
      <c r="D14" s="52" t="s">
        <v>59</v>
      </c>
      <c r="E14" s="52" t="s">
        <v>59</v>
      </c>
      <c r="F14" s="52" t="s">
        <v>59</v>
      </c>
      <c r="G14" s="68" t="s">
        <v>109</v>
      </c>
      <c r="H14" s="68" t="s">
        <v>109</v>
      </c>
      <c r="I14" s="68" t="s">
        <v>109</v>
      </c>
      <c r="K14" s="70"/>
    </row>
    <row r="15" spans="1:11" ht="21" customHeight="1" x14ac:dyDescent="0.15">
      <c r="A15" s="73" t="s">
        <v>246</v>
      </c>
      <c r="B15" s="68" t="s">
        <v>109</v>
      </c>
      <c r="C15" s="68" t="s">
        <v>109</v>
      </c>
      <c r="D15" s="52" t="s">
        <v>59</v>
      </c>
      <c r="E15" s="52" t="s">
        <v>59</v>
      </c>
      <c r="F15" s="52" t="s">
        <v>59</v>
      </c>
      <c r="G15" s="68" t="s">
        <v>109</v>
      </c>
      <c r="H15" s="68" t="s">
        <v>109</v>
      </c>
      <c r="I15" s="68" t="s">
        <v>109</v>
      </c>
    </row>
    <row r="16" spans="1:11" ht="21" customHeight="1" x14ac:dyDescent="0.15">
      <c r="A16" s="73" t="s">
        <v>105</v>
      </c>
      <c r="B16" s="68" t="s">
        <v>109</v>
      </c>
      <c r="C16" s="68" t="s">
        <v>109</v>
      </c>
      <c r="D16" s="52" t="s">
        <v>60</v>
      </c>
      <c r="E16" s="52" t="s">
        <v>60</v>
      </c>
      <c r="F16" s="68" t="s">
        <v>109</v>
      </c>
      <c r="G16" s="68" t="s">
        <v>109</v>
      </c>
      <c r="H16" s="68" t="s">
        <v>109</v>
      </c>
      <c r="I16" s="68" t="s">
        <v>109</v>
      </c>
    </row>
    <row r="17" spans="1:9" ht="21" customHeight="1" x14ac:dyDescent="0.15">
      <c r="A17" s="73" t="s">
        <v>248</v>
      </c>
      <c r="B17" s="68" t="s">
        <v>109</v>
      </c>
      <c r="C17" s="52" t="s">
        <v>60</v>
      </c>
      <c r="D17" s="52" t="s">
        <v>60</v>
      </c>
      <c r="E17" s="52" t="s">
        <v>60</v>
      </c>
      <c r="F17" s="68" t="s">
        <v>109</v>
      </c>
      <c r="G17" s="68" t="s">
        <v>109</v>
      </c>
      <c r="H17" s="68" t="s">
        <v>109</v>
      </c>
      <c r="I17" s="68" t="s">
        <v>109</v>
      </c>
    </row>
    <row r="18" spans="1:9" ht="21" customHeight="1" x14ac:dyDescent="0.15">
      <c r="A18" s="73" t="s">
        <v>8</v>
      </c>
      <c r="B18" s="53" t="s">
        <v>61</v>
      </c>
      <c r="C18" s="53" t="s">
        <v>61</v>
      </c>
      <c r="D18" s="53" t="s">
        <v>61</v>
      </c>
      <c r="E18" s="68" t="s">
        <v>109</v>
      </c>
      <c r="F18" s="68" t="s">
        <v>109</v>
      </c>
      <c r="G18" s="68" t="s">
        <v>109</v>
      </c>
      <c r="H18" s="68" t="s">
        <v>109</v>
      </c>
      <c r="I18" s="68" t="s">
        <v>109</v>
      </c>
    </row>
    <row r="19" spans="1:9" ht="21" customHeight="1" x14ac:dyDescent="0.15">
      <c r="A19" s="74" t="s">
        <v>7</v>
      </c>
      <c r="B19" s="48" t="s">
        <v>62</v>
      </c>
      <c r="C19" s="48" t="s">
        <v>62</v>
      </c>
      <c r="D19" s="68" t="s">
        <v>109</v>
      </c>
      <c r="E19" s="68" t="s">
        <v>109</v>
      </c>
      <c r="F19" s="68" t="s">
        <v>109</v>
      </c>
      <c r="G19" s="68" t="s">
        <v>109</v>
      </c>
      <c r="H19" s="68" t="s">
        <v>109</v>
      </c>
      <c r="I19" s="68" t="s">
        <v>109</v>
      </c>
    </row>
    <row r="20" spans="1:9" ht="21" customHeight="1" x14ac:dyDescent="0.15">
      <c r="A20" s="75" t="s">
        <v>249</v>
      </c>
      <c r="B20" s="50" t="s">
        <v>63</v>
      </c>
      <c r="C20" s="50" t="s">
        <v>63</v>
      </c>
      <c r="D20" s="68" t="s">
        <v>109</v>
      </c>
      <c r="E20" s="68" t="s">
        <v>109</v>
      </c>
      <c r="F20" s="68" t="s">
        <v>109</v>
      </c>
      <c r="G20" s="68" t="s">
        <v>109</v>
      </c>
      <c r="H20" s="68" t="s">
        <v>109</v>
      </c>
      <c r="I20" s="68" t="s">
        <v>109</v>
      </c>
    </row>
    <row r="21" spans="1:9" ht="21" customHeight="1" x14ac:dyDescent="0.15">
      <c r="A21" s="37" t="s">
        <v>250</v>
      </c>
      <c r="B21" s="76" t="s">
        <v>47</v>
      </c>
      <c r="C21" s="76" t="s">
        <v>47</v>
      </c>
      <c r="D21" s="76" t="s">
        <v>47</v>
      </c>
      <c r="E21" s="76" t="s">
        <v>47</v>
      </c>
      <c r="F21" s="76" t="s">
        <v>47</v>
      </c>
      <c r="G21" s="76" t="s">
        <v>47</v>
      </c>
      <c r="H21" s="76" t="s">
        <v>47</v>
      </c>
      <c r="I21" s="76" t="s">
        <v>47</v>
      </c>
    </row>
    <row r="26" spans="1:9" ht="21" customHeight="1" x14ac:dyDescent="0.15">
      <c r="A26" s="23" t="s">
        <v>14</v>
      </c>
    </row>
    <row r="27" spans="1:9" ht="21" customHeight="1" x14ac:dyDescent="0.15">
      <c r="A27" s="21" t="s">
        <v>64</v>
      </c>
      <c r="B27" s="21" t="s">
        <v>65</v>
      </c>
    </row>
    <row r="28" spans="1:9" ht="21" customHeight="1" x14ac:dyDescent="0.15">
      <c r="A28" s="24">
        <v>1</v>
      </c>
      <c r="B28" s="24">
        <v>200</v>
      </c>
    </row>
    <row r="29" spans="1:9" ht="21" customHeight="1" x14ac:dyDescent="0.15">
      <c r="A29" s="24">
        <v>2</v>
      </c>
      <c r="B29" s="24">
        <v>600</v>
      </c>
    </row>
    <row r="30" spans="1:9" ht="21" customHeight="1" x14ac:dyDescent="0.15">
      <c r="A30" s="24">
        <v>3</v>
      </c>
      <c r="B30" s="24">
        <v>1500</v>
      </c>
    </row>
    <row r="31" spans="1:9" ht="21" customHeight="1" x14ac:dyDescent="0.15">
      <c r="A31" s="24">
        <v>4</v>
      </c>
      <c r="B31" s="24">
        <v>3400</v>
      </c>
    </row>
    <row r="32" spans="1:9" ht="21" customHeight="1" x14ac:dyDescent="0.15">
      <c r="A32" s="24">
        <v>5</v>
      </c>
      <c r="B32" s="24">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3"/>
  </cols>
  <sheetData>
    <row r="1" spans="1:9" s="4" customFormat="1" ht="21" customHeight="1" x14ac:dyDescent="0.15">
      <c r="A1" s="32" t="s">
        <v>10</v>
      </c>
      <c r="B1" s="32">
        <v>1</v>
      </c>
      <c r="C1" s="32">
        <v>2</v>
      </c>
      <c r="D1" s="32">
        <v>3</v>
      </c>
      <c r="E1" s="32">
        <v>4</v>
      </c>
      <c r="F1" s="32">
        <v>5</v>
      </c>
      <c r="G1" s="32">
        <v>6</v>
      </c>
      <c r="H1" s="32">
        <v>7</v>
      </c>
      <c r="I1" s="32">
        <v>8</v>
      </c>
    </row>
    <row r="2" spans="1:9" s="4" customFormat="1" ht="21" customHeight="1" x14ac:dyDescent="0.15">
      <c r="A2" s="143" t="s">
        <v>227</v>
      </c>
      <c r="B2" s="144"/>
      <c r="C2" s="145"/>
      <c r="D2" s="156" t="s">
        <v>11</v>
      </c>
      <c r="E2" s="156">
        <v>8000</v>
      </c>
      <c r="F2" s="156">
        <v>10000</v>
      </c>
      <c r="G2" s="156">
        <v>14000</v>
      </c>
      <c r="H2" s="145"/>
      <c r="I2" s="145"/>
    </row>
    <row r="3" spans="1:9" s="4" customFormat="1" ht="21" customHeight="1" x14ac:dyDescent="0.15">
      <c r="A3" s="143" t="s">
        <v>228</v>
      </c>
      <c r="B3" s="147"/>
      <c r="C3" s="148"/>
      <c r="D3" s="156" t="s">
        <v>11</v>
      </c>
      <c r="E3" s="156">
        <v>7500</v>
      </c>
      <c r="F3" s="156">
        <v>9500</v>
      </c>
      <c r="G3" s="156">
        <v>13000</v>
      </c>
      <c r="H3" s="148"/>
      <c r="I3" s="148"/>
    </row>
    <row r="4" spans="1:9" s="4" customFormat="1" ht="21" customHeight="1" x14ac:dyDescent="0.15">
      <c r="A4" s="143" t="s">
        <v>230</v>
      </c>
      <c r="B4" s="150"/>
      <c r="C4" s="151"/>
      <c r="D4" s="156">
        <v>5000</v>
      </c>
      <c r="E4" s="156">
        <v>7000</v>
      </c>
      <c r="F4" s="156">
        <v>9000</v>
      </c>
      <c r="G4" s="156">
        <v>12000</v>
      </c>
      <c r="H4" s="151"/>
      <c r="I4" s="151"/>
    </row>
    <row r="5" spans="1:9" s="4" customFormat="1" ht="21" customHeight="1" x14ac:dyDescent="0.15">
      <c r="A5" s="162" t="s">
        <v>231</v>
      </c>
      <c r="B5" s="157"/>
      <c r="C5" s="158"/>
      <c r="D5" s="156">
        <v>4900</v>
      </c>
      <c r="E5" s="156">
        <v>6700</v>
      </c>
      <c r="F5" s="156">
        <v>8500</v>
      </c>
      <c r="G5" s="156">
        <v>11000</v>
      </c>
      <c r="H5" s="158"/>
      <c r="I5" s="158"/>
    </row>
    <row r="6" spans="1:9" s="4" customFormat="1" ht="21" customHeight="1" x14ac:dyDescent="0.15">
      <c r="A6" s="162" t="s">
        <v>232</v>
      </c>
      <c r="B6" s="157"/>
      <c r="C6" s="158"/>
      <c r="D6" s="156">
        <v>4800</v>
      </c>
      <c r="E6" s="156">
        <v>6600</v>
      </c>
      <c r="F6" s="156" t="s">
        <v>11</v>
      </c>
      <c r="G6" s="156" t="s">
        <v>11</v>
      </c>
      <c r="H6" s="158"/>
      <c r="I6" s="158"/>
    </row>
    <row r="7" spans="1:9" ht="21" customHeight="1" x14ac:dyDescent="0.15">
      <c r="A7" s="71" t="s">
        <v>206</v>
      </c>
      <c r="B7" s="44" t="s">
        <v>11</v>
      </c>
      <c r="C7" s="44" t="s">
        <v>11</v>
      </c>
      <c r="D7" s="44" t="s">
        <v>11</v>
      </c>
      <c r="E7" s="44" t="s">
        <v>11</v>
      </c>
      <c r="F7" s="44" t="s">
        <v>11</v>
      </c>
      <c r="G7" s="44" t="s">
        <v>11</v>
      </c>
      <c r="H7" s="44" t="s">
        <v>11</v>
      </c>
      <c r="I7" s="44" t="s">
        <v>11</v>
      </c>
    </row>
    <row r="8" spans="1:9" ht="21" customHeight="1" x14ac:dyDescent="0.15">
      <c r="A8" s="72" t="s">
        <v>207</v>
      </c>
      <c r="B8" s="44" t="s">
        <v>11</v>
      </c>
      <c r="C8" s="44" t="s">
        <v>11</v>
      </c>
      <c r="D8" s="44" t="s">
        <v>11</v>
      </c>
      <c r="E8" s="44">
        <v>8000</v>
      </c>
      <c r="F8" s="28">
        <v>10000</v>
      </c>
      <c r="G8" s="44">
        <v>14000</v>
      </c>
      <c r="H8" s="44" t="s">
        <v>11</v>
      </c>
      <c r="I8" s="44" t="s">
        <v>11</v>
      </c>
    </row>
    <row r="9" spans="1:9" s="43" customFormat="1" ht="21" customHeight="1" x14ac:dyDescent="0.15">
      <c r="A9" s="185" t="s">
        <v>314</v>
      </c>
      <c r="B9" s="28" t="s">
        <v>11</v>
      </c>
      <c r="C9" s="28" t="s">
        <v>11</v>
      </c>
      <c r="D9" s="28" t="s">
        <v>11</v>
      </c>
      <c r="E9" s="28" t="s">
        <v>11</v>
      </c>
      <c r="F9" s="28">
        <v>10000</v>
      </c>
      <c r="G9" s="44">
        <v>14000</v>
      </c>
      <c r="H9" s="28" t="s">
        <v>11</v>
      </c>
      <c r="I9" s="28" t="s">
        <v>11</v>
      </c>
    </row>
    <row r="10" spans="1:9" s="43" customFormat="1" ht="21" customHeight="1" x14ac:dyDescent="0.15">
      <c r="A10" s="73" t="s">
        <v>208</v>
      </c>
      <c r="B10" s="28" t="s">
        <v>11</v>
      </c>
      <c r="C10" s="28" t="s">
        <v>11</v>
      </c>
      <c r="D10" s="28" t="s">
        <v>11</v>
      </c>
      <c r="E10" s="28">
        <v>7500</v>
      </c>
      <c r="F10" s="28">
        <v>9500</v>
      </c>
      <c r="G10" s="44">
        <v>13000</v>
      </c>
      <c r="H10" s="28" t="s">
        <v>11</v>
      </c>
      <c r="I10" s="28" t="s">
        <v>11</v>
      </c>
    </row>
    <row r="11" spans="1:9" ht="21" customHeight="1" x14ac:dyDescent="0.15">
      <c r="A11" s="73" t="s">
        <v>9</v>
      </c>
      <c r="B11" s="66" t="s">
        <v>11</v>
      </c>
      <c r="C11" s="66" t="s">
        <v>11</v>
      </c>
      <c r="D11" s="28">
        <v>5000</v>
      </c>
      <c r="E11" s="28">
        <v>7000</v>
      </c>
      <c r="F11" s="28">
        <v>9000</v>
      </c>
      <c r="G11" s="44">
        <v>12000</v>
      </c>
      <c r="H11" s="66" t="s">
        <v>11</v>
      </c>
      <c r="I11" s="66" t="s">
        <v>11</v>
      </c>
    </row>
    <row r="12" spans="1:9" ht="21" customHeight="1" x14ac:dyDescent="0.15">
      <c r="A12" s="73" t="s">
        <v>209</v>
      </c>
      <c r="B12" s="66" t="s">
        <v>11</v>
      </c>
      <c r="C12" s="66" t="s">
        <v>11</v>
      </c>
      <c r="D12" s="28">
        <v>4900</v>
      </c>
      <c r="E12" s="28">
        <v>6700</v>
      </c>
      <c r="F12" s="28">
        <v>8500</v>
      </c>
      <c r="G12" s="44">
        <v>11000</v>
      </c>
      <c r="H12" s="66" t="s">
        <v>11</v>
      </c>
      <c r="I12" s="66" t="s">
        <v>11</v>
      </c>
    </row>
    <row r="13" spans="1:9" ht="21" customHeight="1" x14ac:dyDescent="0.15">
      <c r="A13" s="73" t="s">
        <v>106</v>
      </c>
      <c r="B13" s="66" t="s">
        <v>11</v>
      </c>
      <c r="C13" s="66" t="s">
        <v>11</v>
      </c>
      <c r="D13" s="28">
        <v>4800</v>
      </c>
      <c r="E13" s="28">
        <v>6600</v>
      </c>
      <c r="F13" s="186">
        <v>9000</v>
      </c>
      <c r="G13" s="66" t="s">
        <v>11</v>
      </c>
      <c r="H13" s="66" t="s">
        <v>11</v>
      </c>
      <c r="I13" s="66" t="s">
        <v>11</v>
      </c>
    </row>
    <row r="14" spans="1:9" ht="21" customHeight="1" x14ac:dyDescent="0.15">
      <c r="A14" s="73" t="s">
        <v>210</v>
      </c>
      <c r="B14" s="66" t="s">
        <v>11</v>
      </c>
      <c r="C14" s="66" t="s">
        <v>11</v>
      </c>
      <c r="D14" s="66" t="s">
        <v>11</v>
      </c>
      <c r="E14" s="28">
        <v>6300</v>
      </c>
      <c r="F14" s="66" t="s">
        <v>11</v>
      </c>
      <c r="G14" s="66" t="s">
        <v>11</v>
      </c>
      <c r="H14" s="66" t="s">
        <v>11</v>
      </c>
      <c r="I14" s="66" t="s">
        <v>11</v>
      </c>
    </row>
    <row r="15" spans="1:9" ht="21" customHeight="1" x14ac:dyDescent="0.15">
      <c r="A15" s="73" t="s">
        <v>211</v>
      </c>
      <c r="B15" s="66" t="s">
        <v>11</v>
      </c>
      <c r="C15" s="66" t="s">
        <v>11</v>
      </c>
      <c r="D15" s="28">
        <v>4600</v>
      </c>
      <c r="E15" s="28">
        <v>5800</v>
      </c>
      <c r="F15" s="28">
        <v>7600</v>
      </c>
      <c r="G15" s="66" t="s">
        <v>11</v>
      </c>
      <c r="H15" s="66" t="s">
        <v>11</v>
      </c>
      <c r="I15" s="66" t="s">
        <v>11</v>
      </c>
    </row>
    <row r="16" spans="1:9" ht="21" customHeight="1" x14ac:dyDescent="0.15">
      <c r="A16" s="73" t="s">
        <v>105</v>
      </c>
      <c r="B16" s="66" t="s">
        <v>11</v>
      </c>
      <c r="C16" s="66" t="s">
        <v>11</v>
      </c>
      <c r="D16" s="28">
        <v>4400</v>
      </c>
      <c r="E16" s="28">
        <v>5600</v>
      </c>
      <c r="F16" s="66" t="s">
        <v>11</v>
      </c>
      <c r="G16" s="66" t="s">
        <v>11</v>
      </c>
      <c r="H16" s="66" t="s">
        <v>11</v>
      </c>
      <c r="I16" s="66" t="s">
        <v>11</v>
      </c>
    </row>
    <row r="17" spans="1:9" ht="21" customHeight="1" x14ac:dyDescent="0.15">
      <c r="A17" s="73" t="s">
        <v>212</v>
      </c>
      <c r="B17" s="66" t="s">
        <v>11</v>
      </c>
      <c r="C17" s="28">
        <v>3000</v>
      </c>
      <c r="D17" s="28">
        <v>4200</v>
      </c>
      <c r="E17" s="28">
        <v>5400</v>
      </c>
      <c r="F17" s="66" t="s">
        <v>11</v>
      </c>
      <c r="G17" s="66" t="s">
        <v>11</v>
      </c>
      <c r="H17" s="66" t="s">
        <v>11</v>
      </c>
      <c r="I17" s="66" t="s">
        <v>11</v>
      </c>
    </row>
    <row r="18" spans="1:9" ht="21" customHeight="1" x14ac:dyDescent="0.15">
      <c r="A18" s="73" t="s">
        <v>8</v>
      </c>
      <c r="B18" s="28">
        <v>2000</v>
      </c>
      <c r="C18" s="28">
        <v>2800</v>
      </c>
      <c r="D18" s="28">
        <v>4000</v>
      </c>
      <c r="E18" s="66" t="s">
        <v>11</v>
      </c>
      <c r="F18" s="66" t="s">
        <v>11</v>
      </c>
      <c r="G18" s="66" t="s">
        <v>11</v>
      </c>
      <c r="H18" s="66" t="s">
        <v>11</v>
      </c>
      <c r="I18" s="66" t="s">
        <v>11</v>
      </c>
    </row>
    <row r="19" spans="1:9" ht="21" customHeight="1" x14ac:dyDescent="0.15">
      <c r="A19" s="74" t="s">
        <v>7</v>
      </c>
      <c r="B19" s="28">
        <v>1750</v>
      </c>
      <c r="C19" s="28">
        <v>2550</v>
      </c>
      <c r="D19" s="66" t="s">
        <v>11</v>
      </c>
      <c r="E19" s="66" t="s">
        <v>11</v>
      </c>
      <c r="F19" s="66" t="s">
        <v>11</v>
      </c>
      <c r="G19" s="66" t="s">
        <v>11</v>
      </c>
      <c r="H19" s="66" t="s">
        <v>11</v>
      </c>
      <c r="I19" s="66" t="s">
        <v>11</v>
      </c>
    </row>
    <row r="20" spans="1:9" ht="21" customHeight="1" x14ac:dyDescent="0.15">
      <c r="A20" s="74" t="s">
        <v>213</v>
      </c>
      <c r="B20" s="28">
        <v>1500</v>
      </c>
      <c r="C20" s="28">
        <v>2300</v>
      </c>
      <c r="D20" s="66" t="s">
        <v>11</v>
      </c>
      <c r="E20" s="66" t="s">
        <v>11</v>
      </c>
      <c r="F20" s="66" t="s">
        <v>11</v>
      </c>
      <c r="G20" s="66" t="s">
        <v>11</v>
      </c>
      <c r="H20" s="66" t="s">
        <v>11</v>
      </c>
      <c r="I20" s="66" t="s">
        <v>11</v>
      </c>
    </row>
    <row r="21" spans="1:9" ht="21" customHeight="1" x14ac:dyDescent="0.15">
      <c r="A21" s="37" t="s">
        <v>214</v>
      </c>
      <c r="B21" s="36">
        <v>1000</v>
      </c>
      <c r="C21" s="36">
        <v>1000</v>
      </c>
      <c r="D21" s="36">
        <v>1000</v>
      </c>
      <c r="E21" s="36">
        <v>1000</v>
      </c>
      <c r="F21" s="36">
        <v>1000</v>
      </c>
      <c r="G21" s="36">
        <v>1000</v>
      </c>
      <c r="H21" s="36">
        <v>1000</v>
      </c>
      <c r="I21" s="36">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3"/>
  </cols>
  <sheetData>
    <row r="1" spans="1:8" ht="21" customHeight="1" x14ac:dyDescent="0.15">
      <c r="A1" s="23" t="s">
        <v>111</v>
      </c>
      <c r="G1" s="23" t="s">
        <v>112</v>
      </c>
    </row>
    <row r="2" spans="1:8" ht="21" customHeight="1" x14ac:dyDescent="0.15">
      <c r="A2" s="21" t="s">
        <v>15</v>
      </c>
      <c r="B2" s="21" t="s">
        <v>16</v>
      </c>
      <c r="G2" s="21" t="s">
        <v>15</v>
      </c>
      <c r="H2" s="21" t="s">
        <v>16</v>
      </c>
    </row>
    <row r="3" spans="1:8" ht="21" customHeight="1" x14ac:dyDescent="0.15">
      <c r="A3" s="24">
        <v>1</v>
      </c>
      <c r="B3" s="33">
        <v>5000</v>
      </c>
      <c r="G3" s="24">
        <v>1</v>
      </c>
      <c r="H3" s="24">
        <v>75</v>
      </c>
    </row>
    <row r="4" spans="1:8" ht="21" customHeight="1" x14ac:dyDescent="0.15">
      <c r="A4" s="24">
        <v>2</v>
      </c>
      <c r="B4" s="25">
        <v>10000</v>
      </c>
      <c r="G4" s="24">
        <v>2</v>
      </c>
      <c r="H4" s="24">
        <v>150</v>
      </c>
    </row>
    <row r="5" spans="1:8" ht="21" customHeight="1" x14ac:dyDescent="0.15">
      <c r="A5" s="24">
        <v>3</v>
      </c>
      <c r="B5" s="25">
        <v>20000</v>
      </c>
      <c r="G5" s="24">
        <v>3</v>
      </c>
      <c r="H5" s="24">
        <v>300</v>
      </c>
    </row>
    <row r="6" spans="1:8" ht="21" customHeight="1" x14ac:dyDescent="0.15">
      <c r="A6" s="24">
        <v>4</v>
      </c>
      <c r="B6" s="25">
        <v>50000</v>
      </c>
      <c r="G6" s="24">
        <v>4</v>
      </c>
      <c r="H6" s="24">
        <v>600</v>
      </c>
    </row>
    <row r="7" spans="1:8" ht="21" customHeight="1" x14ac:dyDescent="0.15">
      <c r="A7" s="24">
        <v>5</v>
      </c>
      <c r="B7" s="25">
        <v>200000</v>
      </c>
      <c r="G7" s="24">
        <v>5</v>
      </c>
      <c r="H7" s="24">
        <v>900</v>
      </c>
    </row>
    <row r="8" spans="1:8" ht="21" customHeight="1" x14ac:dyDescent="0.15">
      <c r="A8" s="24">
        <v>6</v>
      </c>
      <c r="B8" s="34">
        <v>0</v>
      </c>
      <c r="G8" s="24">
        <v>6</v>
      </c>
      <c r="H8" s="35">
        <v>1200</v>
      </c>
    </row>
    <row r="9" spans="1:8" ht="21" customHeight="1" x14ac:dyDescent="0.15">
      <c r="A9" s="24">
        <v>7</v>
      </c>
      <c r="B9" s="34"/>
      <c r="G9" s="24">
        <v>7</v>
      </c>
      <c r="H9" s="34"/>
    </row>
    <row r="10" spans="1:8" ht="21" customHeight="1" x14ac:dyDescent="0.15">
      <c r="A10" s="24">
        <v>8</v>
      </c>
      <c r="B10" s="34"/>
      <c r="G10" s="24">
        <v>8</v>
      </c>
      <c r="H10" s="34"/>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198</v>
      </c>
      <c r="B2" s="12">
        <v>591</v>
      </c>
    </row>
    <row r="3" spans="1:4" x14ac:dyDescent="0.15">
      <c r="A3" t="s">
        <v>199</v>
      </c>
      <c r="B3" s="130">
        <v>592</v>
      </c>
    </row>
    <row r="4" spans="1:4" x14ac:dyDescent="0.15">
      <c r="A4" t="s">
        <v>200</v>
      </c>
      <c r="B4" s="130">
        <v>593</v>
      </c>
    </row>
    <row r="7" spans="1:4" x14ac:dyDescent="0.15">
      <c r="A7" t="s">
        <v>201</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220</v>
      </c>
    </row>
    <row r="13" spans="1:4" x14ac:dyDescent="0.15">
      <c r="B13" t="s">
        <v>224</v>
      </c>
      <c r="C13" t="s">
        <v>225</v>
      </c>
      <c r="D13" t="s">
        <v>226</v>
      </c>
    </row>
    <row r="14" spans="1:4" x14ac:dyDescent="0.15">
      <c r="A14" t="s">
        <v>222</v>
      </c>
      <c r="B14" t="e">
        <f>VLOOKUP($B2,units!$A:$BN,63)</f>
        <v>#N/A</v>
      </c>
      <c r="C14" t="e">
        <f>VLOOKUP($B2,units!$A:$BN,64)</f>
        <v>#N/A</v>
      </c>
      <c r="D14" t="e">
        <f>VLOOKUP($B2,units!$A:$BN,66)</f>
        <v>#N/A</v>
      </c>
    </row>
    <row r="15" spans="1:4" x14ac:dyDescent="0.15">
      <c r="A15" t="s">
        <v>223</v>
      </c>
      <c r="B15" t="e">
        <f>VLOOKUP($B3,units!$A:$BN,63)</f>
        <v>#N/A</v>
      </c>
      <c r="C15" t="e">
        <f>VLOOKUP($B3,units!$A:$BN,64)</f>
        <v>#N/A</v>
      </c>
      <c r="D15" t="e">
        <f>VLOOKUP($B3,units!$A:$BN,66)</f>
        <v>#N/A</v>
      </c>
    </row>
    <row r="16" spans="1:4" x14ac:dyDescent="0.15">
      <c r="A16" t="s">
        <v>221</v>
      </c>
      <c r="B16" t="e">
        <f>VLOOKUP($B4,units!$A:$BN,63)</f>
        <v>#N/A</v>
      </c>
      <c r="C16" t="e">
        <f>VLOOKUP($B4,units!$A:$BN,64)</f>
        <v>#N/A</v>
      </c>
      <c r="D16" t="e">
        <f>VLOOKUP($B4,units!$A:$BN,66)</f>
        <v>#N/A</v>
      </c>
    </row>
    <row r="19" spans="1:1" ht="19" customHeight="1" x14ac:dyDescent="0.15">
      <c r="A19" t="s">
        <v>202</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203</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204</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2"/>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ghosts_label</vt:lpstr>
      <vt:lpstr>コスト</vt:lpstr>
      <vt:lpstr>レベル</vt:lpstr>
      <vt:lpstr>経験値</vt:lpstr>
      <vt:lpstr>RC6SV</vt:lpstr>
      <vt:lpstr>ビット</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2017-06-06T08:46:10Z</dcterms:modified>
</cp:coreProperties>
</file>