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26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  <externalReference r:id="rId16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2" i="23"/>
  <c r="BR2" i="23"/>
  <c r="G8" i="23"/>
  <c r="BC8" i="23"/>
  <c r="BD8" i="23"/>
  <c r="Q8" i="23"/>
  <c r="V8" i="23"/>
  <c r="W8" i="23"/>
  <c r="AD8" i="23"/>
  <c r="I8" i="23"/>
  <c r="M8" i="23"/>
  <c r="BN8" i="23"/>
  <c r="G2" i="53"/>
  <c r="G3" i="53"/>
  <c r="G4" i="53"/>
  <c r="G5" i="53"/>
  <c r="G6" i="53"/>
  <c r="G7" i="53"/>
  <c r="G8" i="53"/>
  <c r="B4" i="54"/>
  <c r="B5" i="54"/>
  <c r="B6" i="54"/>
  <c r="B7" i="54"/>
  <c r="B8" i="54"/>
  <c r="B9" i="54"/>
  <c r="B10" i="54"/>
  <c r="B11" i="54"/>
  <c r="B12" i="54"/>
  <c r="B13" i="54"/>
  <c r="B14" i="54"/>
  <c r="B15" i="54"/>
  <c r="B16" i="54"/>
  <c r="B17" i="54"/>
  <c r="B18" i="54"/>
  <c r="B19" i="54"/>
  <c r="B20" i="54"/>
  <c r="B21" i="54"/>
  <c r="B22" i="54"/>
  <c r="B23" i="54"/>
  <c r="B24" i="54"/>
  <c r="B25" i="54"/>
  <c r="B26" i="54"/>
  <c r="B27" i="54"/>
  <c r="B28" i="54"/>
  <c r="B29" i="54"/>
  <c r="B30" i="54"/>
  <c r="B31" i="54"/>
  <c r="B32" i="54"/>
  <c r="B33" i="54"/>
  <c r="E3" i="54"/>
  <c r="E4" i="54"/>
  <c r="E5" i="54"/>
  <c r="E6" i="54"/>
  <c r="E7" i="54"/>
  <c r="E8" i="54"/>
  <c r="E9" i="54"/>
  <c r="E10" i="54"/>
  <c r="E11" i="54"/>
  <c r="E12" i="54"/>
  <c r="E13" i="54"/>
  <c r="E14" i="54"/>
  <c r="E15" i="54"/>
  <c r="E16" i="54"/>
  <c r="E17" i="54"/>
  <c r="E18" i="54"/>
  <c r="E19" i="54"/>
  <c r="E20" i="54"/>
  <c r="E21" i="54"/>
  <c r="E22" i="54"/>
  <c r="E23" i="54"/>
  <c r="E24" i="54"/>
  <c r="E25" i="54"/>
  <c r="E26" i="54"/>
  <c r="E27" i="54"/>
  <c r="E28" i="54"/>
  <c r="E29" i="54"/>
  <c r="E30" i="54"/>
  <c r="E31" i="54"/>
  <c r="E32" i="54"/>
  <c r="E33" i="54"/>
  <c r="E2" i="54"/>
  <c r="G19" i="3"/>
  <c r="E19" i="3"/>
  <c r="D19" i="3"/>
  <c r="C19" i="3"/>
  <c r="A19" i="3"/>
  <c r="G18" i="3"/>
  <c r="E18" i="3"/>
  <c r="D18" i="3"/>
  <c r="C18" i="3"/>
  <c r="A18" i="3"/>
  <c r="G17" i="3"/>
  <c r="E17" i="3"/>
  <c r="D17" i="3"/>
  <c r="C17" i="3"/>
  <c r="A17" i="3"/>
  <c r="G16" i="3"/>
  <c r="E16" i="3"/>
  <c r="D16" i="3"/>
  <c r="C16" i="3"/>
  <c r="A16" i="3"/>
  <c r="G15" i="3"/>
  <c r="E15" i="3"/>
  <c r="D15" i="3"/>
  <c r="C15" i="3"/>
  <c r="A15" i="3"/>
  <c r="G14" i="3"/>
  <c r="E14" i="3"/>
  <c r="D14" i="3"/>
  <c r="C14" i="3"/>
  <c r="G13" i="3"/>
  <c r="E13" i="3"/>
  <c r="D13" i="3"/>
  <c r="C13" i="3"/>
  <c r="G12" i="3"/>
  <c r="E12" i="3"/>
  <c r="D12" i="3"/>
  <c r="C12" i="3"/>
  <c r="G11" i="3"/>
  <c r="E11" i="3"/>
  <c r="D11" i="3"/>
  <c r="C11" i="3"/>
  <c r="G10" i="3"/>
  <c r="E10" i="3"/>
  <c r="D10" i="3"/>
  <c r="C10" i="3"/>
  <c r="G9" i="3"/>
  <c r="E9" i="3"/>
  <c r="D9" i="3"/>
  <c r="C9" i="3"/>
  <c r="G8" i="3"/>
  <c r="E8" i="3"/>
  <c r="D8" i="3"/>
  <c r="C8" i="3"/>
  <c r="G7" i="3"/>
  <c r="E7" i="3"/>
  <c r="D7" i="3"/>
  <c r="C7" i="3"/>
  <c r="G6" i="3"/>
  <c r="E6" i="3"/>
  <c r="D6" i="3"/>
  <c r="C6" i="3"/>
  <c r="G5" i="3"/>
  <c r="E5" i="3"/>
  <c r="D5" i="3"/>
  <c r="C5" i="3"/>
  <c r="G4" i="3"/>
  <c r="E4" i="3"/>
  <c r="D4" i="3"/>
  <c r="C4" i="3"/>
  <c r="G3" i="3"/>
  <c r="E3" i="3"/>
  <c r="D3" i="3"/>
  <c r="C3" i="3"/>
  <c r="G2" i="3"/>
  <c r="E2" i="3"/>
  <c r="D2" i="3"/>
  <c r="C2" i="3"/>
  <c r="A2" i="3"/>
  <c r="G9" i="53"/>
  <c r="G10" i="53"/>
  <c r="J6" i="52"/>
  <c r="AT3" i="23"/>
  <c r="AT4" i="23"/>
  <c r="AT5" i="23"/>
  <c r="AT6" i="23"/>
  <c r="AT7" i="23"/>
  <c r="AT8" i="23"/>
  <c r="AT9" i="23"/>
  <c r="AT10" i="23"/>
  <c r="AT11" i="23"/>
  <c r="AT2" i="23"/>
  <c r="AP3" i="23"/>
  <c r="AP4" i="23"/>
  <c r="AP5" i="23"/>
  <c r="AP6" i="23"/>
  <c r="AP7" i="23"/>
  <c r="AP8" i="23"/>
  <c r="AP9" i="23"/>
  <c r="AP10" i="23"/>
  <c r="AP11" i="23"/>
  <c r="AP2" i="23"/>
  <c r="E3" i="52"/>
  <c r="D5" i="52"/>
  <c r="E4" i="53"/>
  <c r="E5" i="53"/>
  <c r="E6" i="53"/>
  <c r="E7" i="53"/>
  <c r="E8" i="53"/>
  <c r="E9" i="53"/>
  <c r="E10" i="53"/>
  <c r="G11" i="53"/>
  <c r="E11" i="53"/>
  <c r="E3" i="53"/>
  <c r="J4" i="52"/>
  <c r="E4" i="52"/>
  <c r="H4" i="52"/>
  <c r="J5" i="52"/>
  <c r="E5" i="52"/>
  <c r="H5" i="52"/>
  <c r="E6" i="52"/>
  <c r="H6" i="52"/>
  <c r="J7" i="52"/>
  <c r="E7" i="52"/>
  <c r="H7" i="52"/>
  <c r="J8" i="52"/>
  <c r="E8" i="52"/>
  <c r="H8" i="52"/>
  <c r="J9" i="52"/>
  <c r="E9" i="52"/>
  <c r="H9" i="52"/>
  <c r="J10" i="52"/>
  <c r="E10" i="52"/>
  <c r="H10" i="52"/>
  <c r="J11" i="52"/>
  <c r="E11" i="52"/>
  <c r="H11" i="52"/>
  <c r="J3" i="52"/>
  <c r="H3" i="52"/>
  <c r="AE9" i="23"/>
  <c r="AE4" i="23"/>
  <c r="AE6" i="23"/>
  <c r="AE2" i="23"/>
  <c r="C3" i="49"/>
  <c r="C4" i="49"/>
  <c r="C5" i="49"/>
  <c r="C6" i="49"/>
  <c r="C7" i="49"/>
  <c r="C8" i="49"/>
  <c r="C9" i="49"/>
  <c r="C10" i="49"/>
  <c r="G11" i="13"/>
  <c r="G10" i="13"/>
  <c r="G9" i="13"/>
  <c r="G8" i="13"/>
  <c r="G5" i="13"/>
  <c r="G4" i="13"/>
  <c r="G3" i="13"/>
  <c r="G2" i="13"/>
  <c r="B10" i="23"/>
  <c r="C10" i="23"/>
  <c r="D10" i="23"/>
  <c r="E10" i="23"/>
  <c r="F10" i="23"/>
  <c r="G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9" i="23"/>
  <c r="AG10" i="23"/>
  <c r="AH10" i="23"/>
  <c r="AI10" i="23"/>
  <c r="AK10" i="23"/>
  <c r="AL10" i="23"/>
  <c r="AM10" i="23"/>
  <c r="AN10" i="23"/>
  <c r="J2" i="52"/>
  <c r="AQ10" i="23"/>
  <c r="AR10" i="23"/>
  <c r="AS10" i="23"/>
  <c r="AU10" i="23"/>
  <c r="AV10" i="23"/>
  <c r="AW10" i="23"/>
  <c r="AX10" i="23"/>
  <c r="BC10" i="23"/>
  <c r="BD10" i="23"/>
  <c r="G9" i="23"/>
  <c r="BC9" i="23"/>
  <c r="BE10" i="23"/>
  <c r="I9" i="23"/>
  <c r="J9" i="23"/>
  <c r="BF10" i="23"/>
  <c r="BK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G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B2" i="23"/>
  <c r="C2" i="23"/>
  <c r="D2" i="23"/>
  <c r="E2" i="23"/>
  <c r="F2" i="23"/>
  <c r="G2" i="23"/>
  <c r="I2" i="23"/>
  <c r="J2" i="23"/>
  <c r="K2" i="23"/>
  <c r="L2" i="23"/>
  <c r="M2" i="23"/>
  <c r="N2" i="23"/>
  <c r="O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3" i="23"/>
  <c r="C3" i="23"/>
  <c r="D3" i="23"/>
  <c r="E3" i="23"/>
  <c r="F3" i="23"/>
  <c r="G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4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B6" i="23"/>
  <c r="C6" i="23"/>
  <c r="D6" i="23"/>
  <c r="E6" i="23"/>
  <c r="F6" i="23"/>
  <c r="G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B7" i="23"/>
  <c r="C7" i="23"/>
  <c r="D7" i="23"/>
  <c r="E7" i="23"/>
  <c r="F7" i="23"/>
  <c r="G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B8" i="23"/>
  <c r="C8" i="23"/>
  <c r="D8" i="23"/>
  <c r="E8" i="23"/>
  <c r="F8" i="23"/>
  <c r="J8" i="23"/>
  <c r="K8" i="23"/>
  <c r="L8" i="23"/>
  <c r="N8" i="23"/>
  <c r="O8" i="23"/>
  <c r="P8" i="23"/>
  <c r="R8" i="23"/>
  <c r="S8" i="23"/>
  <c r="T8" i="23"/>
  <c r="U8" i="23"/>
  <c r="X8" i="23"/>
  <c r="Y8" i="23"/>
  <c r="Z8" i="23"/>
  <c r="AA8" i="23"/>
  <c r="AB8" i="23"/>
  <c r="AC8" i="23"/>
  <c r="AF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E8" i="23"/>
  <c r="BF8" i="23"/>
  <c r="BK8" i="23"/>
  <c r="BG8" i="23"/>
  <c r="BL8" i="23"/>
  <c r="BH8" i="23"/>
  <c r="BM8" i="23"/>
  <c r="BI8" i="23"/>
  <c r="BJ8" i="23"/>
  <c r="B9" i="23"/>
  <c r="C9" i="23"/>
  <c r="D9" i="23"/>
  <c r="E9" i="23"/>
  <c r="F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D9" i="23"/>
  <c r="BE9" i="23"/>
  <c r="BF9" i="23"/>
  <c r="BK9" i="23"/>
  <c r="BG9" i="23"/>
  <c r="BL9" i="23"/>
  <c r="BH9" i="23"/>
  <c r="BM9" i="23"/>
  <c r="BI9" i="23"/>
  <c r="BN9" i="23"/>
  <c r="BJ9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3" i="54"/>
  <c r="B2" i="54"/>
  <c r="E2" i="53"/>
  <c r="H2" i="52"/>
  <c r="E2" i="52"/>
  <c r="E8" i="49"/>
  <c r="E7" i="49"/>
  <c r="E6" i="49"/>
  <c r="E5" i="49"/>
  <c r="E9" i="49"/>
  <c r="E10" i="49"/>
  <c r="E3" i="49"/>
  <c r="E4" i="49"/>
  <c r="E2" i="49"/>
  <c r="AG8" i="23"/>
  <c r="AH8" i="23"/>
</calcChain>
</file>

<file path=xl/sharedStrings.xml><?xml version="1.0" encoding="utf-8"?>
<sst xmlns="http://schemas.openxmlformats.org/spreadsheetml/2006/main" count="918" uniqueCount="358">
  <si>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</si>
  <si>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</si>
  <si>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</si>
  <si>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</si>
  <si>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</si>
  <si>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</si>
  <si>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</si>
  <si>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</si>
  <si>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</si>
  <si>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</si>
  <si>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</si>
  <si>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</si>
  <si>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</si>
  <si>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</si>
  <si>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</si>
  <si>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</si>
  <si>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</si>
  <si>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</si>
  <si>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</si>
  <si>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</si>
  <si>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</si>
  <si>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</si>
  <si>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</si>
  <si>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</si>
  <si>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</si>
  <si>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</si>
  <si>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</si>
  <si>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</si>
  <si>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</si>
  <si>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</si>
  <si>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</si>
  <si>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</si>
  <si>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</si>
  <si>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</si>
  <si>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</si>
  <si>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</si>
  <si>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</si>
  <si>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</si>
  <si>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</si>
  <si>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</si>
  <si>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</si>
  <si>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</si>
  <si>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</si>
  <si>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</si>
  <si>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</si>
  <si>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</si>
  <si>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</si>
  <si>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</si>
  <si>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</si>
  <si>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</si>
  <si>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</si>
  <si>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</si>
  <si>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</si>
  <si>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</si>
  <si>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</si>
  <si>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</si>
  <si>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</si>
  <si>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</si>
  <si>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</si>
  <si>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</si>
  <si>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</si>
  <si>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</si>
  <si>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</si>
  <si>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</si>
  <si>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</si>
  <si>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</si>
  <si>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</si>
  <si>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</si>
  <si>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</si>
  <si>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</si>
  <si>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</si>
  <si>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</si>
  <si>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</si>
  <si>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</si>
  <si>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</si>
  <si>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</si>
  <si>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</si>
  <si>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</si>
  <si>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</si>
  <si>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</si>
  <si>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</si>
  <si>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</si>
  <si>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</si>
  <si>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</si>
  <si>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</si>
  <si>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</si>
  <si>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</si>
  <si>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</si>
  <si>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</si>
  <si>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</si>
  <si>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</si>
  <si>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</si>
  <si>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</si>
  <si>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</si>
  <si>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</si>
  <si>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</si>
  <si>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</si>
  <si>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</si>
  <si>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</si>
  <si>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</si>
  <si>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</si>
  <si>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</si>
  <si>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</si>
  <si>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</si>
  <si>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</si>
  <si>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</si>
  <si>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</si>
  <si>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</si>
  <si>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</si>
  <si>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</si>
  <si>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</si>
  <si>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</si>
  <si>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</si>
  <si>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</si>
  <si>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</si>
  <si>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</si>
  <si>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</si>
  <si>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</si>
  <si>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</si>
  <si>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</si>
  <si>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</si>
  <si>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</si>
  <si>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</si>
  <si>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</si>
  <si>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</si>
  <si>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</si>
  <si>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</si>
  <si>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</si>
  <si>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</si>
  <si>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</si>
  <si>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</si>
  <si>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</si>
  <si>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</si>
  <si>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</si>
  <si>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</si>
  <si>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</si>
  <si>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</si>
  <si>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</si>
  <si>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</si>
  <si>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</si>
  <si>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</si>
  <si>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</si>
  <si>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</si>
  <si>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</si>
  <si>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</si>
  <si>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</si>
  <si>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</si>
  <si>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</si>
  <si>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</si>
  <si>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</si>
  <si>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</si>
  <si>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</si>
  <si>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</si>
  <si>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</si>
  <si>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</si>
  <si>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</si>
  <si>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</si>
  <si>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</si>
  <si>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</si>
  <si>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</si>
  <si>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</si>
  <si>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</si>
  <si>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</si>
  <si>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</si>
  <si>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</si>
  <si>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</si>
  <si>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</si>
  <si>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</si>
  <si>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</si>
  <si>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</si>
  <si>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</si>
  <si>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</si>
  <si>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</si>
  <si>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</si>
  <si>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</si>
  <si>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</si>
  <si>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</si>
  <si>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</si>
  <si>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</si>
  <si>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</si>
  <si>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</si>
  <si>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</si>
  <si>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</si>
  <si>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</si>
  <si>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</si>
  <si>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</si>
  <si>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</si>
  <si>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</si>
  <si>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</si>
  <si>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</si>
  <si>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</si>
  <si>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</si>
  <si>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</si>
  <si>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</si>
  <si>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</si>
  <si>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</si>
  <si>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</si>
  <si>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</si>
  <si>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</si>
  <si>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</si>
  <si>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</si>
  <si>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</si>
  <si>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</si>
  <si>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</si>
  <si>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</si>
  <si>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</si>
  <si>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</si>
  <si>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</si>
  <si>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</si>
  <si>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</si>
  <si>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</si>
  <si>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</si>
  <si>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</si>
  <si>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</si>
  <si>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</si>
  <si>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</si>
  <si>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</si>
  <si>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</si>
  <si>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</si>
  <si>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</si>
  <si>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</si>
  <si>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</si>
  <si>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</si>
  <si>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</si>
  <si>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</si>
  <si>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</si>
  <si>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</si>
  <si>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</si>
  <si>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</si>
  <si>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</si>
  <si>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</si>
  <si>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</si>
  <si>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</si>
  <si>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</si>
  <si>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</si>
  <si>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</si>
  <si>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</si>
  <si>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</si>
  <si>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</si>
  <si>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</si>
  <si>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</si>
  <si>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</si>
  <si>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</si>
  <si>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</si>
  <si>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</si>
  <si>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</si>
  <si>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</si>
  <si>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</si>
  <si>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</si>
  <si>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</si>
  <si>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</si>
  <si>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oldstory01</t>
    <phoneticPr fontId="22"/>
  </si>
  <si>
    <t>null</t>
    <phoneticPr fontId="10"/>
  </si>
  <si>
    <t>1ターン自身のタップ回数を2増やし、攻撃力を特大UP</t>
    <rPh sb="4" eb="6">
      <t>ジシン</t>
    </rPh>
    <rPh sb="10" eb="12">
      <t>カ</t>
    </rPh>
    <rPh sb="14" eb="17">
      <t>フヤs</t>
    </rPh>
    <rPh sb="18" eb="22">
      <t>コウゲk</t>
    </rPh>
    <rPh sb="22" eb="23">
      <t>トk</t>
    </rPh>
    <rPh sb="23" eb="24">
      <t>ダ</t>
    </rPh>
    <phoneticPr fontId="22"/>
  </si>
  <si>
    <t>name</t>
    <phoneticPr fontId="9"/>
  </si>
  <si>
    <t>[effect:damage, target:enemy_all, color:yellow, val:0.675, animation:damage_all_yellow04],[effect:damage, target:enemy_one, color:yellow, val:1.4, animation:damage_one_yellow04]</t>
    <phoneticPr fontId="22"/>
  </si>
  <si>
    <t>1体に大ダメージ
ヒューマンに効果特大</t>
    <phoneticPr fontId="9"/>
  </si>
  <si>
    <t>全体に大ダメージ＋
HP小回復</t>
    <phoneticPr fontId="22"/>
  </si>
  <si>
    <t>1体に大ダメージ
ヒューマンに効果特大</t>
    <phoneticPr fontId="9"/>
  </si>
  <si>
    <t>old</t>
    <phoneticPr fontId="22"/>
  </si>
  <si>
    <t>赤・青パネルを緑パネルに変換し、1ターン緑属性の攻撃力を特大UP</t>
    <rPh sb="0" eb="1">
      <t>アk</t>
    </rPh>
    <rPh sb="2" eb="7">
      <t>アオパネr</t>
    </rPh>
    <rPh sb="7" eb="12">
      <t>ミドr</t>
    </rPh>
    <rPh sb="12" eb="15">
      <t>ヘン</t>
    </rPh>
    <rPh sb="20" eb="21">
      <t>ミドr</t>
    </rPh>
    <rPh sb="21" eb="23">
      <t>ゾクセ</t>
    </rPh>
    <rPh sb="23" eb="24">
      <t>ゼン</t>
    </rPh>
    <rPh sb="24" eb="27">
      <t>コウゲk</t>
    </rPh>
    <rPh sb="28" eb="29">
      <t>トk</t>
    </rPh>
    <rPh sb="29" eb="30">
      <t>トk</t>
    </rPh>
    <phoneticPr fontId="22"/>
  </si>
  <si>
    <t>[effect:special_block,val:24, count:1, animation:change_block],[effect:enhance_unit, target:unit_all, turn:3, status:heal, val:0.6, calc:mul, animation:enhance_unit_all_heal04]</t>
    <phoneticPr fontId="22"/>
  </si>
  <si>
    <t>天羽織り</t>
    <phoneticPr fontId="22"/>
  </si>
  <si>
    <t>海渡リスキー</t>
  </si>
  <si>
    <t>水底の神意</t>
    <phoneticPr fontId="22"/>
  </si>
  <si>
    <t>亀の底力</t>
    <phoneticPr fontId="22"/>
  </si>
  <si>
    <t xml:space="preserve">亀の幾地 </t>
    <phoneticPr fontId="22"/>
  </si>
  <si>
    <t>単体に中ダメージ+
全体に大ダメージ</t>
    <phoneticPr fontId="22"/>
  </si>
  <si>
    <t>単体に大ダメージ+
全体に大ダメージ</t>
    <rPh sb="13" eb="14">
      <t>ダ</t>
    </rPh>
    <phoneticPr fontId="22"/>
  </si>
  <si>
    <t>[effect:change_block, new_block:block_green, target:block_blue,color:block_blue,count:0, val:20, animation:change_block],[effect:change_block, new_block:block_green, target:block_red,color:block_red,count:0, val:20, animation:change_block],[effect:enhance_unit, target:unit_green, turn:1, status:attack, val:0.21, calc:mul, animation:enhance_unit_all_attack04_unit01]</t>
    <phoneticPr fontId="22"/>
  </si>
  <si>
    <t>skill</t>
    <phoneticPr fontId="22"/>
  </si>
  <si>
    <t>skill</t>
    <phoneticPr fontId="22"/>
  </si>
  <si>
    <t>cskill</t>
    <phoneticPr fontId="22"/>
  </si>
  <si>
    <t>cskill</t>
    <phoneticPr fontId="22"/>
  </si>
  <si>
    <t>skill</t>
    <phoneticPr fontId="22"/>
  </si>
  <si>
    <t>cskill</t>
    <phoneticPr fontId="22"/>
  </si>
  <si>
    <t>skill</t>
    <phoneticPr fontId="22"/>
  </si>
  <si>
    <t>cskill</t>
    <phoneticPr fontId="22"/>
  </si>
  <si>
    <t>3ターン赤属性の攻撃力と回復力を超大UPし、Cパネル生成短縮(効果大)</t>
    <rPh sb="4" eb="8">
      <t>アk</t>
    </rPh>
    <rPh sb="8" eb="11">
      <t>コウゲk</t>
    </rPh>
    <rPh sb="12" eb="15">
      <t>カイフk</t>
    </rPh>
    <rPh sb="16" eb="17">
      <t>チョ</t>
    </rPh>
    <rPh sb="17" eb="18">
      <t>トk</t>
    </rPh>
    <rPh sb="26" eb="28">
      <t>セ</t>
    </rPh>
    <rPh sb="28" eb="30">
      <t>タンシュk</t>
    </rPh>
    <rPh sb="31" eb="33">
      <t>コウk</t>
    </rPh>
    <rPh sb="33" eb="34">
      <t>トk</t>
    </rPh>
    <phoneticPr fontId="22"/>
  </si>
  <si>
    <t>[effect:damage, target:enemy_one, color:green, val:2.25, animation:damage_one_green05]</t>
    <phoneticPr fontId="22"/>
  </si>
  <si>
    <t>[effect:damage_anti_tribe, target:enemy_one, tribe:human, val1:3.375, val2:1.31,  animation:damage_one_red05]</t>
    <phoneticPr fontId="22"/>
  </si>
  <si>
    <t>[effect:damage_anti_tribe, target:enemy_one, tribe:human, val1:3.375, val2:1.31,  animation:damage_one_red05]</t>
    <phoneticPr fontId="22"/>
  </si>
  <si>
    <t>3ターン赤属性の攻撃力と回復力を特大UPし、Cパネル生成短縮(効果大)</t>
    <rPh sb="4" eb="8">
      <t>アk</t>
    </rPh>
    <rPh sb="8" eb="11">
      <t>コウゲk</t>
    </rPh>
    <rPh sb="12" eb="15">
      <t>カイフk</t>
    </rPh>
    <rPh sb="16" eb="17">
      <t>トk</t>
    </rPh>
    <rPh sb="17" eb="18">
      <t>トk</t>
    </rPh>
    <rPh sb="26" eb="28">
      <t>セ</t>
    </rPh>
    <rPh sb="28" eb="30">
      <t>タンシュk</t>
    </rPh>
    <rPh sb="31" eb="33">
      <t>コウk</t>
    </rPh>
    <rPh sb="33" eb="34">
      <t>トk</t>
    </rPh>
    <phoneticPr fontId="22"/>
  </si>
  <si>
    <t>[effect:special_block,val:24, count:1, animation:change_block],[effect:enhance_unit, target:unit_all, turn:3, status:heal, val:0.6, calc:mul, animation:enhance_unit_all_heal04]</t>
    <phoneticPr fontId="22"/>
  </si>
  <si>
    <t>千羽返し</t>
    <phoneticPr fontId="31"/>
  </si>
  <si>
    <t>千羽返し</t>
    <phoneticPr fontId="31"/>
  </si>
  <si>
    <t>逃切アリゲート</t>
    <phoneticPr fontId="31"/>
  </si>
  <si>
    <t>逃切アリゲート</t>
    <phoneticPr fontId="31"/>
  </si>
  <si>
    <t>退魔浄水</t>
    <phoneticPr fontId="31"/>
  </si>
  <si>
    <t>退魔浄水</t>
    <phoneticPr fontId="31"/>
  </si>
  <si>
    <t>魔除けの霊水</t>
    <phoneticPr fontId="31"/>
  </si>
  <si>
    <t>懸命な一歩</t>
  </si>
  <si>
    <t>剛堅一歩</t>
    <phoneticPr fontId="31"/>
  </si>
  <si>
    <t>全体に中ダメージ＋
HP小回復</t>
    <rPh sb="3" eb="4">
      <t>チュ</t>
    </rPh>
    <phoneticPr fontId="22"/>
  </si>
  <si>
    <t>受け取って</t>
    <phoneticPr fontId="31"/>
  </si>
  <si>
    <t>これが恩返し</t>
    <phoneticPr fontId="31"/>
  </si>
  <si>
    <t>綺麗でしょう？</t>
    <rPh sb="0" eb="6">
      <t>キレイデショ</t>
    </rPh>
    <phoneticPr fontId="22"/>
  </si>
  <si>
    <t>ご覧あれ</t>
    <rPh sb="1" eb="4">
      <t>ラン</t>
    </rPh>
    <phoneticPr fontId="22"/>
  </si>
  <si>
    <t>天に捧げます</t>
    <rPh sb="0" eb="2">
      <t>テン</t>
    </rPh>
    <rPh sb="2" eb="6">
      <t>ササg</t>
    </rPh>
    <phoneticPr fontId="22"/>
  </si>
  <si>
    <t>追い越してみせる！</t>
    <rPh sb="0" eb="1">
      <t>オ</t>
    </rPh>
    <rPh sb="2" eb="5">
      <t>コs</t>
    </rPh>
    <phoneticPr fontId="31"/>
  </si>
  <si>
    <t>ここをこうしちゃえ！</t>
    <phoneticPr fontId="31"/>
  </si>
  <si>
    <t>いゃっほー！</t>
    <phoneticPr fontId="22"/>
  </si>
  <si>
    <t>いけるいける！</t>
    <phoneticPr fontId="22"/>
  </si>
  <si>
    <t>giza</t>
    <phoneticPr fontId="22"/>
  </si>
  <si>
    <t>kumo</t>
    <phoneticPr fontId="22"/>
  </si>
  <si>
    <t>kumo</t>
    <phoneticPr fontId="22"/>
  </si>
  <si>
    <t>giza</t>
    <phoneticPr fontId="22"/>
  </si>
  <si>
    <t>giza</t>
    <phoneticPr fontId="22"/>
  </si>
  <si>
    <t>skill</t>
    <phoneticPr fontId="22"/>
  </si>
  <si>
    <t>よっと！</t>
    <phoneticPr fontId="22"/>
  </si>
  <si>
    <t>よっと！</t>
    <phoneticPr fontId="22"/>
  </si>
  <si>
    <t>おっとっと！</t>
    <phoneticPr fontId="31"/>
  </si>
  <si>
    <t>これでよい…</t>
    <phoneticPr fontId="31"/>
  </si>
  <si>
    <t>消えゆけ…</t>
    <rPh sb="0" eb="2">
      <t>キ</t>
    </rPh>
    <phoneticPr fontId="22"/>
  </si>
  <si>
    <t>こうすべきなのだ…</t>
    <phoneticPr fontId="22"/>
  </si>
  <si>
    <t>消えゆけ…</t>
    <rPh sb="0" eb="4">
      <t>キ</t>
    </rPh>
    <phoneticPr fontId="22"/>
  </si>
  <si>
    <t>あるべきところへ…</t>
    <phoneticPr fontId="22"/>
  </si>
  <si>
    <t>平穏は保たれる…</t>
    <phoneticPr fontId="31"/>
  </si>
  <si>
    <t>治まれ…</t>
    <rPh sb="0" eb="1">
      <t>オサマr</t>
    </rPh>
    <phoneticPr fontId="22"/>
  </si>
  <si>
    <t>ここからが本番ダ！</t>
    <rPh sb="5" eb="7">
      <t>ホン</t>
    </rPh>
    <phoneticPr fontId="31"/>
  </si>
  <si>
    <t>待テ！</t>
    <rPh sb="0" eb="1">
      <t>マt</t>
    </rPh>
    <phoneticPr fontId="22"/>
  </si>
  <si>
    <t>見えてきたゾ！</t>
    <rPh sb="0" eb="5">
      <t>ミ</t>
    </rPh>
    <phoneticPr fontId="22"/>
  </si>
  <si>
    <t>これがオレの本領発揮ダ！</t>
    <rPh sb="6" eb="12">
      <t>ホン</t>
    </rPh>
    <phoneticPr fontId="22"/>
  </si>
  <si>
    <t>あと少しダ！</t>
    <rPh sb="2" eb="4">
      <t>スコs</t>
    </rPh>
    <phoneticPr fontId="22"/>
  </si>
  <si>
    <t>[effect:special_block,val:24, count:1, animation:change_block],[effect:enhance_unit, target:unit_all, turn:3, status:heal, val:0.6, calc:mul, animation:enhance_unit_all_heal04]</t>
    <phoneticPr fontId="22"/>
  </si>
  <si>
    <t>1ターン自身のタップ回数を1増やし、攻撃力を大UP</t>
    <phoneticPr fontId="22"/>
  </si>
  <si>
    <t>1ターン自身のタップ回数を1増やし、攻撃力を大UP</t>
    <rPh sb="4" eb="6">
      <t>ジシン</t>
    </rPh>
    <rPh sb="10" eb="12">
      <t>カ</t>
    </rPh>
    <rPh sb="14" eb="17">
      <t>フヤs</t>
    </rPh>
    <rPh sb="18" eb="22">
      <t>コウゲk</t>
    </rPh>
    <rPh sb="22" eb="23">
      <t>ダ</t>
    </rPh>
    <phoneticPr fontId="22"/>
  </si>
  <si>
    <t>[effect:enhance_unit, target:unit_red, turn:3, status:attack, val:0.21, calc:mul, animation:enhance_unit_all_attack04_unit01],[effect:crash_condition, target:unit_red, val:-2, turn:3, animation:crash_panel_reduce04],[effect:enhance_unit, target:unit_red, turn:3, status:heal, val:0.45, calc:mul, animation:enhance_unit_all_heal04]</t>
    <phoneticPr fontId="22"/>
  </si>
  <si>
    <t>[effect:enhance_unit, target:unit_red, turn:3, status:attack, val:0.28, calc:mul, animation:enhance_unit_all_attack04_unit01],[effect:crash_condition, target:unit_red, val:-2, turn:3, animation:crash_panel_reduce04],[effect:enhance_unit, target:unit_red, turn:3, status:heal, val:0.54, calc:mul, animation:enhance_unit_all_heal04]</t>
    <phoneticPr fontId="22"/>
  </si>
  <si>
    <t>[effect:enhance_unit, target:myself, turn:1, status:action, val:1.0, calc:mul, animation:enhance_unit_one_action01],[effect:enhance_unit, target:myself, turn:1, status:attack, val:0.213, calc:mul, animation:enhance_unit_all_attack03]</t>
    <phoneticPr fontId="22"/>
  </si>
  <si>
    <t>[effect:enhance_unit, target:myself, turn:1, status:action, val:2.0, calc:mul, animation:enhance_unit_one_action02],[effect:enhance_unit, target:myself, turn:1, status:attack, val:0.255, calc:mul, animation:enhance_unit_all_attack04]</t>
    <phoneticPr fontId="22"/>
  </si>
  <si>
    <t>[effect:damage, target:enemy_all, color:yellow, val:0.675, animation:damage_all_yellow04],[effect:damage, target:enemy_one, color:yellow, val:1.2, animation:damage_one_yellow03]</t>
    <phoneticPr fontId="22"/>
  </si>
  <si>
    <t>[effect:damage, target:enemy_all, color:blue, val:0.6, animation:damage_all_blue04],[effect:heal_ratio, val:0.18, animation:heal_unit, animation:heal_unit01]</t>
    <phoneticPr fontId="22"/>
  </si>
  <si>
    <t>[effect:damage, target:enemy_all, color:blue, val:0.45, animation:damage_all_blue03],[effect:heal_ratio, val:0.18, animation:heal_unit, animation:heal_unit01]</t>
    <phoneticPr fontId="22"/>
  </si>
  <si>
    <t>3ターン回復力を特大UP+SCパネル(威力大)を1つ生成</t>
    <rPh sb="4" eb="8">
      <t>カ</t>
    </rPh>
    <rPh sb="8" eb="10">
      <t>トk</t>
    </rPh>
    <rPh sb="19" eb="22">
      <t>イリョk</t>
    </rPh>
    <rPh sb="26" eb="28">
      <t>セイセ</t>
    </rPh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</si>
  <si>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</si>
  <si>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</si>
  <si>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</si>
  <si>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</si>
  <si>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</si>
  <si>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</si>
  <si>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</si>
  <si>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</si>
  <si>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</si>
  <si>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</si>
  <si>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</si>
  <si>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</si>
  <si>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</si>
  <si>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</si>
  <si>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</si>
  <si>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</si>
  <si>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</si>
  <si>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</si>
  <si>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</si>
  <si>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</si>
  <si>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</si>
  <si>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</si>
  <si>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1体に特大ダメージ</t>
    <rPh sb="1" eb="9">
      <t>タ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</si>
</sst>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3"/>
      <color rgb="FF000000"/>
      <name val="ＭＳ Ｐゴシック"/>
      <family val="2"/>
      <charset val="128"/>
    </font>
    <font>
      <sz val="12"/>
      <color theme="1"/>
      <name val="ＭＳ Ｐゴシック"/>
      <charset val="128"/>
    </font>
    <font>
      <sz val="6"/>
      <name val="メイリオ"/>
      <family val="2"/>
      <charset val="128"/>
    </font>
    <font>
      <sz val="12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698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6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28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  <xf numFmtId="0" fontId="0" fillId="15" borderId="4" xfId="0" applyFill="1" applyBorder="1"/>
    <xf numFmtId="0" fontId="14" fillId="0" borderId="4" xfId="0" applyFont="1" applyBorder="1" applyAlignment="1">
      <alignment horizontal="left" vertical="center" wrapText="1"/>
    </xf>
    <xf numFmtId="0" fontId="14" fillId="27" borderId="4" xfId="0" applyFont="1" applyFill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/>
    </xf>
    <xf numFmtId="0" fontId="25" fillId="0" borderId="7" xfId="0" applyFont="1" applyFill="1" applyBorder="1" applyAlignment="1">
      <alignment vertical="center" wrapText="1"/>
    </xf>
    <xf numFmtId="0" fontId="29" fillId="0" borderId="0" xfId="0" applyFont="1"/>
    <xf numFmtId="0" fontId="30" fillId="23" borderId="4" xfId="0" applyFont="1" applyFill="1" applyBorder="1"/>
    <xf numFmtId="0" fontId="30" fillId="24" borderId="4" xfId="0" applyFont="1" applyFill="1" applyBorder="1"/>
    <xf numFmtId="0" fontId="30" fillId="8" borderId="4" xfId="0" applyFont="1" applyFill="1" applyBorder="1"/>
    <xf numFmtId="0" fontId="30" fillId="0" borderId="0" xfId="0" applyFont="1" applyAlignment="1">
      <alignment horizontal="left" vertical="center"/>
    </xf>
    <xf numFmtId="0" fontId="30" fillId="0" borderId="4" xfId="0" applyFont="1" applyBorder="1"/>
    <xf numFmtId="0" fontId="30" fillId="0" borderId="0" xfId="0" applyFont="1"/>
    <xf numFmtId="0" fontId="30" fillId="24" borderId="0" xfId="0" applyFont="1" applyFill="1"/>
    <xf numFmtId="0" fontId="30" fillId="23" borderId="4" xfId="0" applyFont="1" applyFill="1" applyBorder="1" applyAlignment="1">
      <alignment horizontal="left"/>
    </xf>
    <xf numFmtId="0" fontId="30" fillId="0" borderId="4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0" fillId="24" borderId="4" xfId="0" applyNumberFormat="1" applyFill="1" applyBorder="1"/>
    <xf numFmtId="0" fontId="0" fillId="0" borderId="4" xfId="0" applyBorder="1" applyAlignment="1">
      <alignment vertical="center"/>
    </xf>
    <xf numFmtId="0" fontId="32" fillId="0" borderId="0" xfId="0" applyFont="1"/>
    <xf numFmtId="0" fontId="15" fillId="0" borderId="0" xfId="0" applyFont="1"/>
  </cellXfs>
  <cellStyles count="4698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赤字強調" xfId="4"/>
    <cellStyle name="青字強調" xfId="3"/>
  </cellStyles>
  <dxfs count="28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externalLink" Target="externalLinks/externalLink2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N1" workbookViewId="0">
      <selection activeCell="T11" sqref="T11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7" t="s">
        <v>125</v>
      </c>
      <c r="B1" s="107" t="s">
        <v>116</v>
      </c>
      <c r="C1" s="107" t="s">
        <v>117</v>
      </c>
      <c r="D1" s="107" t="s">
        <v>118</v>
      </c>
      <c r="E1" s="107" t="s">
        <v>119</v>
      </c>
      <c r="F1" s="107" t="s">
        <v>120</v>
      </c>
      <c r="G1" s="107" t="s">
        <v>121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3" x14ac:dyDescent="0.15">
      <c r="A2" s="109" t="s">
        <v>259</v>
      </c>
      <c r="B2" s="109" t="s">
        <v>129</v>
      </c>
      <c r="C2" s="166" t="s">
        <v>251</v>
      </c>
      <c r="D2" s="109" t="s">
        <v>128</v>
      </c>
      <c r="E2" s="108" t="str">
        <f>B2&amp;C2&amp;D2</f>
        <v>units_oldstory01.tmp</v>
      </c>
      <c r="F2" s="109" t="s">
        <v>124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 t="s">
        <v>335</v>
      </c>
      <c r="S2" s="109"/>
      <c r="T2" s="109"/>
      <c r="U2" s="109"/>
      <c r="V2" s="109"/>
      <c r="W2" s="109"/>
    </row>
    <row r="3" spans="1:23" x14ac:dyDescent="0.15">
      <c r="A3" s="109" t="s">
        <v>259</v>
      </c>
      <c r="B3" s="109" t="s">
        <v>130</v>
      </c>
      <c r="C3" s="166" t="str">
        <f>C2</f>
        <v>oldstory01</v>
      </c>
      <c r="D3" s="109" t="s">
        <v>128</v>
      </c>
      <c r="E3" s="108" t="str">
        <f>B3&amp;C3&amp;D3</f>
        <v>awake_materials_oldstory01.tmp</v>
      </c>
      <c r="F3" s="109" t="s">
        <v>123</v>
      </c>
      <c r="G3" s="110" t="s">
        <v>38</v>
      </c>
      <c r="H3" s="111" t="s">
        <v>36</v>
      </c>
      <c r="I3" s="111" t="s">
        <v>37</v>
      </c>
      <c r="J3" s="113" t="s">
        <v>126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3" x14ac:dyDescent="0.15">
      <c r="A4" s="109" t="s">
        <v>259</v>
      </c>
      <c r="B4" s="109" t="s">
        <v>131</v>
      </c>
      <c r="C4" s="166" t="str">
        <f t="shared" ref="C4:C10" si="0">C3</f>
        <v>oldstory01</v>
      </c>
      <c r="D4" s="109" t="s">
        <v>132</v>
      </c>
      <c r="E4" s="108" t="str">
        <f t="shared" ref="E4" si="1">B4&amp;C4&amp;D4</f>
        <v>unit_levels_calc_oldstory01.tmp</v>
      </c>
      <c r="F4" s="109" t="s">
        <v>122</v>
      </c>
      <c r="G4" s="59" t="s">
        <v>17</v>
      </c>
      <c r="H4" s="60" t="s">
        <v>2</v>
      </c>
      <c r="I4" s="61" t="s">
        <v>79</v>
      </c>
      <c r="J4" s="61" t="s">
        <v>80</v>
      </c>
      <c r="K4" s="61" t="s">
        <v>81</v>
      </c>
      <c r="L4" s="61" t="s">
        <v>82</v>
      </c>
      <c r="M4" s="61" t="s">
        <v>87</v>
      </c>
      <c r="N4" s="61" t="s">
        <v>88</v>
      </c>
      <c r="O4" s="61" t="s">
        <v>89</v>
      </c>
      <c r="P4" s="61" t="s">
        <v>90</v>
      </c>
      <c r="Q4" s="61" t="s">
        <v>91</v>
      </c>
      <c r="R4" s="61" t="s">
        <v>94</v>
      </c>
      <c r="S4" s="61" t="s">
        <v>92</v>
      </c>
      <c r="T4" s="61" t="s">
        <v>93</v>
      </c>
      <c r="U4" s="61" t="s">
        <v>83</v>
      </c>
      <c r="V4" s="61" t="s">
        <v>84</v>
      </c>
      <c r="W4" s="61" t="s">
        <v>85</v>
      </c>
    </row>
    <row r="5" spans="1:23" x14ac:dyDescent="0.15">
      <c r="A5" s="109" t="s">
        <v>259</v>
      </c>
      <c r="B5" s="109" t="s">
        <v>143</v>
      </c>
      <c r="C5" s="166" t="str">
        <f t="shared" si="0"/>
        <v>oldstory01</v>
      </c>
      <c r="D5" s="109" t="s">
        <v>144</v>
      </c>
      <c r="E5" s="108" t="str">
        <f>B5&amp;C5&amp;D5</f>
        <v>unit_skills_data_oldstory01.tmp</v>
      </c>
      <c r="F5" s="109" t="s">
        <v>145</v>
      </c>
      <c r="G5" s="118" t="s">
        <v>20</v>
      </c>
      <c r="H5" s="118" t="s">
        <v>146</v>
      </c>
      <c r="I5" s="118" t="s">
        <v>2</v>
      </c>
      <c r="J5" s="118" t="s">
        <v>147</v>
      </c>
      <c r="K5" s="118" t="s">
        <v>148</v>
      </c>
      <c r="L5" s="118" t="s">
        <v>4</v>
      </c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</row>
    <row r="6" spans="1:23" x14ac:dyDescent="0.15">
      <c r="A6" s="109" t="s">
        <v>259</v>
      </c>
      <c r="B6" s="109" t="s">
        <v>149</v>
      </c>
      <c r="C6" s="166" t="str">
        <f t="shared" si="0"/>
        <v>oldstory01</v>
      </c>
      <c r="D6" s="109" t="s">
        <v>128</v>
      </c>
      <c r="E6" s="108" t="str">
        <f>B6&amp;C6&amp;D6</f>
        <v>unit_skills_i18n_oldstory01.tmp</v>
      </c>
      <c r="F6" s="109" t="s">
        <v>145</v>
      </c>
      <c r="G6" s="118" t="s">
        <v>150</v>
      </c>
      <c r="H6" s="118" t="s">
        <v>134</v>
      </c>
      <c r="I6" s="118" t="s">
        <v>151</v>
      </c>
      <c r="J6" s="118" t="s">
        <v>152</v>
      </c>
      <c r="K6" s="112"/>
      <c r="L6" s="112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</row>
    <row r="7" spans="1:23" x14ac:dyDescent="0.15">
      <c r="A7" s="109" t="s">
        <v>259</v>
      </c>
      <c r="B7" s="109" t="s">
        <v>153</v>
      </c>
      <c r="C7" s="166" t="str">
        <f t="shared" si="0"/>
        <v>oldstory01</v>
      </c>
      <c r="D7" s="109" t="s">
        <v>154</v>
      </c>
      <c r="E7" s="108" t="str">
        <f>B7&amp;C7&amp;D7</f>
        <v>crash_skills_data_oldstory01.tmp</v>
      </c>
      <c r="F7" s="109" t="s">
        <v>155</v>
      </c>
      <c r="G7" s="118" t="s">
        <v>156</v>
      </c>
      <c r="H7" s="118" t="s">
        <v>148</v>
      </c>
      <c r="I7" s="118" t="s">
        <v>4</v>
      </c>
      <c r="J7" s="112"/>
      <c r="K7" s="112"/>
      <c r="L7" s="112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3" x14ac:dyDescent="0.15">
      <c r="A8" s="109" t="s">
        <v>259</v>
      </c>
      <c r="B8" s="109" t="s">
        <v>157</v>
      </c>
      <c r="C8" s="166" t="str">
        <f t="shared" si="0"/>
        <v>oldstory01</v>
      </c>
      <c r="D8" s="109" t="s">
        <v>158</v>
      </c>
      <c r="E8" s="108" t="str">
        <f t="shared" ref="E8" si="2">B8&amp;C8&amp;D8</f>
        <v>crash_skills_i18n_oldstory01.tmp</v>
      </c>
      <c r="F8" s="109" t="s">
        <v>155</v>
      </c>
      <c r="G8" s="118" t="s">
        <v>159</v>
      </c>
      <c r="H8" s="118" t="s">
        <v>160</v>
      </c>
      <c r="I8" s="118" t="s">
        <v>161</v>
      </c>
      <c r="J8" s="118" t="s">
        <v>162</v>
      </c>
      <c r="K8" s="119"/>
      <c r="L8" s="119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3" x14ac:dyDescent="0.15">
      <c r="A9" s="109" t="s">
        <v>259</v>
      </c>
      <c r="B9" s="112" t="s">
        <v>135</v>
      </c>
      <c r="C9" s="166" t="str">
        <f t="shared" si="0"/>
        <v>oldstory01</v>
      </c>
      <c r="D9" s="109" t="s">
        <v>158</v>
      </c>
      <c r="E9" s="108" t="str">
        <f t="shared" ref="E9:E10" si="3">B9&amp;C9&amp;D9</f>
        <v>unit_serifs_data_oldstory01.tmp</v>
      </c>
      <c r="F9" s="112" t="s">
        <v>137</v>
      </c>
      <c r="G9" s="117" t="s">
        <v>138</v>
      </c>
      <c r="H9" s="118" t="s">
        <v>139</v>
      </c>
      <c r="I9" s="118" t="s">
        <v>133</v>
      </c>
      <c r="J9" s="116" t="s">
        <v>189</v>
      </c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</row>
    <row r="10" spans="1:23" x14ac:dyDescent="0.15">
      <c r="A10" s="109" t="s">
        <v>259</v>
      </c>
      <c r="B10" s="112" t="s">
        <v>136</v>
      </c>
      <c r="C10" s="166" t="str">
        <f t="shared" si="0"/>
        <v>oldstory01</v>
      </c>
      <c r="D10" s="109" t="s">
        <v>158</v>
      </c>
      <c r="E10" s="108" t="str">
        <f t="shared" si="3"/>
        <v>unit_serifs_i18n_oldstory01.tmp</v>
      </c>
      <c r="F10" s="112" t="s">
        <v>137</v>
      </c>
      <c r="G10" s="117" t="s">
        <v>140</v>
      </c>
      <c r="H10" s="118" t="s">
        <v>141</v>
      </c>
      <c r="I10" s="118" t="s">
        <v>142</v>
      </c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1"/>
  <sheetViews>
    <sheetView showGridLines="0" workbookViewId="0">
      <pane xSplit="9" ySplit="1" topLeftCell="BN2" activePane="bottomRight" state="frozen"/>
      <selection pane="topRight" activeCell="J1" sqref="J1"/>
      <selection pane="bottomLeft" activeCell="A3" sqref="A3"/>
      <selection pane="bottomRight" activeCell="C6" sqref="C6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/>
    <col min="10" max="10" width="59.5" style="13" customWidth="1" outlineLevel="1"/>
    <col min="11" max="13" width="13.6640625" style="13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108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113</v>
      </c>
      <c r="AR1" s="96" t="s">
        <v>107</v>
      </c>
      <c r="AS1" s="80" t="s">
        <v>104</v>
      </c>
      <c r="AT1" s="91" t="s">
        <v>102</v>
      </c>
      <c r="AU1" s="80" t="s">
        <v>110</v>
      </c>
      <c r="AV1" s="96" t="s">
        <v>107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114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82" t="s">
        <v>86</v>
      </c>
      <c r="BR1" s="10" t="s">
        <v>336</v>
      </c>
    </row>
    <row r="2" spans="1:70" ht="26" customHeight="1" x14ac:dyDescent="0.15">
      <c r="A2" s="12">
        <v>770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ハヅル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ガチャ:日本昔話01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25</v>
      </c>
      <c r="O2" s="11">
        <f ca="1">INDEX(レベル!$A$1:$I$21,MATCH(H2,レベル!$A$1:$A$21,FALSE),MATCH(G2,レベル!$A$1:$I$1,FALSE))</f>
        <v>60</v>
      </c>
      <c r="P2" s="48">
        <f t="shared" ref="P2:P9" ca="1" si="0">G2*15</f>
        <v>60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0.9</v>
      </c>
      <c r="AE2" s="9">
        <f>A3</f>
        <v>771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天織羽鶴 ハヅル</v>
      </c>
      <c r="AG2" s="5">
        <f t="shared" ref="AG2:AG11" ca="1" si="1">IF(ISNA(MATCH(A2,AE:AE,0)),A2,INDIRECT(ADDRESS(MATCH(A2,AE:AE,0),COLUMN())))</f>
        <v>770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ハヅル</v>
      </c>
      <c r="AI2" s="11">
        <f ca="1">IF(AE2="NULL","NULL",VLOOKUP(G2,ビット!$A$2:$B$7,2))</f>
        <v>50000</v>
      </c>
      <c r="AJ2" s="6">
        <v>2</v>
      </c>
      <c r="AK2" s="7" t="str">
        <f t="shared" ref="AK2:AK9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5"/>
      <c r="AP2" s="67">
        <f>A2</f>
        <v>770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天羽織り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3ターン赤属性の攻撃力と回復力を特大UPし、Cパネル生成短縮(効果大)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770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千羽返し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1体に大ダメージ_x000D_ヒューマンに効果特大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1</v>
      </c>
      <c r="AZ2" s="68">
        <v>1</v>
      </c>
      <c r="BA2" s="68">
        <v>0</v>
      </c>
      <c r="BB2" s="68">
        <v>1</v>
      </c>
      <c r="BC2" s="11">
        <f ca="1">INDEX('RC6SV'!$A$1:$G$20,MATCH(H2,'RC6SV'!$A$1:$A$20,FALSE),MATCH(G2,'RC6SV'!$A$1:$G$1,FALSE))</f>
        <v>7500</v>
      </c>
      <c r="BD2" s="48">
        <f t="shared" ref="BD2:BD9" ca="1" si="3">ROUND(BC2*IF(AJ2=1,0.95,IF(AJ2=2,1,IF(AJ2,1.05,0))),0)</f>
        <v>7500</v>
      </c>
      <c r="BE2" s="11">
        <f t="shared" ref="BE2:BE11" ca="1" si="4">ROUND(IFERROR(INDIRECT(ADDRESS(MATCH($A2,$AE:$AE,0),MATCH($BC$1,$1:$1,0))),0),0)</f>
        <v>0</v>
      </c>
      <c r="BF2" s="11">
        <f t="shared" ref="BF2:BF11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1875</v>
      </c>
      <c r="BH2" s="16">
        <f ca="1">IF($BE2&lt;=0,ROUND(BL2*0.5,0), ROUND($BE2*T2*AB2*K2*AZ2*0.8*[1]ステータス!$C$2,0))</f>
        <v>1263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827</v>
      </c>
      <c r="BK2" s="11">
        <f ca="1">ROUND(BD2*S2*AA2*J2*AY2*[1]ステータス!$B$2,0)</f>
        <v>3750</v>
      </c>
      <c r="BL2" s="11">
        <f ca="1">ROUND(BD2*T2*AB2*K2*AZ2*[1]ステータス!$C$2,0)</f>
        <v>2525</v>
      </c>
      <c r="BM2" s="11">
        <f ca="1">ROUND(BD2*U2*AC2*L2*BA2*[1]ステータス!$D$2,0)</f>
        <v>0</v>
      </c>
      <c r="BN2" s="11">
        <f ca="1">ROUND(BD2*V2*AD2*M2*BB2*[1]ステータス!$E$2,0)</f>
        <v>1654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5500</v>
      </c>
    </row>
    <row r="3" spans="1:70" ht="26" customHeight="1" x14ac:dyDescent="0.15">
      <c r="A3" s="12">
        <v>771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天織羽鶴 ハヅル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ガチャ:日本昔話01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INDEX(コスト!$A$1:$I$20,MATCH(H3,コスト!$A$1:$A$20,FALSE),MATCH(G3,コスト!$A$1:$I$1,FALSE))</f>
        <v>35</v>
      </c>
      <c r="O3" s="11">
        <f ca="1">INDEX(レベル!$A$1:$I$21,MATCH(H3,レベル!$A$1:$A$21,FALSE),MATCH(G3,レベル!$A$1:$I$1,FALSE))</f>
        <v>80</v>
      </c>
      <c r="P3" s="48">
        <f t="shared" ca="1" si="0"/>
        <v>75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1">
        <f ca="1">VLOOKUP(Q3,[1]character_type_i18n!$A:$H,4,FALSE)</f>
        <v>1</v>
      </c>
      <c r="T3" s="11">
        <f ca="1">VLOOKUP(Q3,[1]character_type_i18n!$A:$H,5,FALSE)</f>
        <v>1</v>
      </c>
      <c r="U3" s="11">
        <f ca="1">VLOOKUP(Q3,[1]character_type_i18n!$A:$H,6,FALSE)</f>
        <v>1</v>
      </c>
      <c r="V3" s="11">
        <f ca="1">VLOOKUP(Q3,[1]character_type_i18n!$A:$H,7,FALSE)</f>
        <v>1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0.9</v>
      </c>
      <c r="AE3" s="9" t="s">
        <v>182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770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ハヅル</v>
      </c>
      <c r="AI3" s="11" t="str">
        <f>IF(AE3="NULL","NULL",VLOOKUP(G3,ビット!$A$2:$B$7,2))</f>
        <v>NULL</v>
      </c>
      <c r="AJ3" s="6">
        <v>2</v>
      </c>
      <c r="AK3" s="7" t="str">
        <f t="shared" si="2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7">
        <f t="shared" ref="AP3:AP11" si="6">A3</f>
        <v>771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天羽織り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3ターン赤属性の攻撃力と回復力を超大UPし、Cパネル生成短縮(効果大)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 t="shared" ref="AT3:AT11" si="7">A3</f>
        <v>771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千羽返し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1体に大ダメージ_x000D_ヒューマンに効果特大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</v>
      </c>
      <c r="AZ3" s="68">
        <v>1</v>
      </c>
      <c r="BA3" s="68">
        <v>0</v>
      </c>
      <c r="BB3" s="68">
        <v>1</v>
      </c>
      <c r="BC3" s="11">
        <f ca="1">INDEX('RC6SV'!$A$1:$G$20,MATCH(H3,'RC6SV'!$A$1:$A$20,FALSE),MATCH(G3,'RC6SV'!$A$1:$G$1,FALSE))</f>
        <v>9500</v>
      </c>
      <c r="BD3" s="48">
        <f t="shared" ca="1" si="3"/>
        <v>9500</v>
      </c>
      <c r="BE3" s="11">
        <f t="shared" ca="1" si="4"/>
        <v>7500</v>
      </c>
      <c r="BF3" s="11">
        <f t="shared" ca="1" si="5"/>
        <v>1</v>
      </c>
      <c r="BG3" s="16">
        <f ca="1">IF($BE3&lt;=0,ROUND(BK3*0.5,0), ROUND($BE3*S3*AA3*J3*AY3*0.8*[1]ステータス!$B$2,0))</f>
        <v>3000</v>
      </c>
      <c r="BH3" s="16">
        <f ca="1">IF($BE3&lt;=0,ROUND(BL3*0.5,0), ROUND($BE3*T3*AB3*K3*AZ3*0.8*[1]ステータス!$C$2,0))</f>
        <v>2020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1323</v>
      </c>
      <c r="BK3" s="11">
        <f ca="1">ROUND(BD3*S3*AA3*J3*AY3*[1]ステータス!$B$2,0)</f>
        <v>4750</v>
      </c>
      <c r="BL3" s="11">
        <f ca="1">ROUND(BD3*T3*AB3*K3*AZ3*[1]ステータス!$C$2,0)</f>
        <v>3198</v>
      </c>
      <c r="BM3" s="11">
        <f ca="1">ROUND(BD3*U3*AC3*L3*BA3*[1]ステータス!$D$2,0)</f>
        <v>0</v>
      </c>
      <c r="BN3" s="11">
        <f ca="1">ROUND(BD3*V3*AD3*M3*BB3*[1]ステータス!$E$2,0)</f>
        <v>2095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5500</v>
      </c>
    </row>
    <row r="4" spans="1:70" ht="26" customHeight="1" x14ac:dyDescent="0.15">
      <c r="A4" s="12">
        <v>772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イナバ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ガチャ:日本昔話01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INDEX(コスト!$A$1:$I$20,MATCH(H4,コスト!$A$1:$A$20,FALSE),MATCH(G4,コスト!$A$1:$I$1,FALSE))</f>
        <v>25</v>
      </c>
      <c r="O4" s="11">
        <f ca="1">INDEX(レベル!$A$1:$I$21,MATCH(H4,レベル!$A$1:$A$21,FALSE),MATCH(G4,レベル!$A$1:$I$1,FALSE))</f>
        <v>60</v>
      </c>
      <c r="P4" s="48">
        <f t="shared" ca="1" si="0"/>
        <v>60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animal</v>
      </c>
      <c r="X4" s="5" t="str">
        <f ca="1">VLOOKUP(W4,[1]character_tribe_i18n!$A:$H,3,FALSE)</f>
        <v>アニマル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0.9</v>
      </c>
      <c r="AE4" s="9">
        <f t="shared" ref="AE4" si="8">A5</f>
        <v>773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浮跳天兎 イナバ</v>
      </c>
      <c r="AG4" s="5">
        <f t="shared" ca="1" si="1"/>
        <v>772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イナバ</v>
      </c>
      <c r="AI4" s="11">
        <f ca="1">IF(AE4="NULL","NULL",VLOOKUP(G4,ビット!$A$2:$B$7,2))</f>
        <v>50000</v>
      </c>
      <c r="AJ4" s="6">
        <v>2</v>
      </c>
      <c r="AK4" s="7" t="str">
        <f t="shared" si="2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5"/>
      <c r="AP4" s="67">
        <f t="shared" si="6"/>
        <v>772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海渡リスキー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赤・青パネルを緑パネルに変換し、1ターン緑属性の攻撃力を特大UP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 t="shared" si="7"/>
        <v>772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逃切アリゲート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1</v>
      </c>
      <c r="AZ4" s="68">
        <v>1</v>
      </c>
      <c r="BA4" s="68">
        <v>0</v>
      </c>
      <c r="BB4" s="68">
        <v>1</v>
      </c>
      <c r="BC4" s="11">
        <f ca="1">INDEX('RC6SV'!$A$1:$G$20,MATCH(H4,'RC6SV'!$A$1:$A$20,FALSE),MATCH(G4,'RC6SV'!$A$1:$G$1,FALSE))</f>
        <v>7500</v>
      </c>
      <c r="BD4" s="48">
        <f t="shared" ca="1" si="3"/>
        <v>7500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1913</v>
      </c>
      <c r="BH4" s="16">
        <f ca="1">IF($BE4&lt;=0,ROUND(BL4*0.5,0), ROUND($BE4*T4*AB4*K4*AZ4*0.8*[1]ステータス!$C$2,0))</f>
        <v>1213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844</v>
      </c>
      <c r="BK4" s="11">
        <f ca="1">ROUND(BD4*S4*AA4*J4*AY4*[1]ステータス!$B$2,0)</f>
        <v>3825</v>
      </c>
      <c r="BL4" s="11">
        <f ca="1">ROUND(BD4*T4*AB4*K4*AZ4*[1]ステータス!$C$2,0)</f>
        <v>2426</v>
      </c>
      <c r="BM4" s="11">
        <f ca="1">ROUND(BD4*U4*AC4*L4*BA4*[1]ステータス!$D$2,0)</f>
        <v>0</v>
      </c>
      <c r="BN4" s="11">
        <f ca="1">ROUND(BD4*V4*AD4*M4*BB4*[1]ステータス!$E$2,0)</f>
        <v>1688</v>
      </c>
      <c r="BO4" s="10">
        <v>0</v>
      </c>
      <c r="BP4" s="10">
        <v>1</v>
      </c>
      <c r="BQ4" s="10" t="s">
        <v>47</v>
      </c>
      <c r="BR4" s="10">
        <f ca="1">VLOOKUP(H4,ghosts_label!$A$2:$B$19,2,FALSE)</f>
        <v>5500</v>
      </c>
    </row>
    <row r="5" spans="1:70" ht="26" customHeight="1" x14ac:dyDescent="0.15">
      <c r="A5" s="12">
        <v>773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浮跳天兎 イナバ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ガチャ:日本昔話01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INDEX(コスト!$A$1:$I$20,MATCH(H5,コスト!$A$1:$A$20,FALSE),MATCH(G5,コスト!$A$1:$I$1,FALSE))</f>
        <v>35</v>
      </c>
      <c r="O5" s="11">
        <f ca="1">INDEX(レベル!$A$1:$I$21,MATCH(H5,レベル!$A$1:$A$21,FALSE),MATCH(G5,レベル!$A$1:$I$1,FALSE))</f>
        <v>80</v>
      </c>
      <c r="P5" s="48">
        <f t="shared" ca="1" si="0"/>
        <v>75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1">
        <f ca="1">VLOOKUP(Q5,[1]character_type_i18n!$A:$H,4,FALSE)</f>
        <v>1</v>
      </c>
      <c r="T5" s="11">
        <f ca="1">VLOOKUP(Q5,[1]character_type_i18n!$A:$H,5,FALSE)</f>
        <v>1</v>
      </c>
      <c r="U5" s="11">
        <f ca="1">VLOOKUP(Q5,[1]character_type_i18n!$A:$H,6,FALSE)</f>
        <v>1</v>
      </c>
      <c r="V5" s="11">
        <f ca="1">VLOOKUP(Q5,[1]character_type_i18n!$A:$H,7,FALSE)</f>
        <v>1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animal</v>
      </c>
      <c r="X5" s="5" t="str">
        <f ca="1">VLOOKUP(W5,[1]character_tribe_i18n!$A:$H,3,FALSE)</f>
        <v>アニマル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0.9</v>
      </c>
      <c r="AE5" s="9" t="s">
        <v>182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772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イナバ</v>
      </c>
      <c r="AI5" s="11" t="str">
        <f>IF(AE5="NULL","NULL",VLOOKUP(G5,ビット!$A$2:$B$7,2))</f>
        <v>NULL</v>
      </c>
      <c r="AJ5" s="6">
        <v>2</v>
      </c>
      <c r="AK5" s="7" t="str">
        <f t="shared" si="2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7">
        <f t="shared" si="6"/>
        <v>773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海渡リスキー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赤・青パネルを緑パネルに変換し、1ターン緑属性の攻撃力を特大UP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 t="shared" si="7"/>
        <v>773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逃切アリゲート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1体に特大ダメージ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1</v>
      </c>
      <c r="AZ5" s="68">
        <v>1</v>
      </c>
      <c r="BA5" s="68">
        <v>0</v>
      </c>
      <c r="BB5" s="68">
        <v>1</v>
      </c>
      <c r="BC5" s="11">
        <f ca="1">INDEX('RC6SV'!$A$1:$G$20,MATCH(H5,'RC6SV'!$A$1:$A$20,FALSE),MATCH(G5,'RC6SV'!$A$1:$G$1,FALSE))</f>
        <v>9500</v>
      </c>
      <c r="BD5" s="48">
        <f t="shared" ca="1" si="3"/>
        <v>9500</v>
      </c>
      <c r="BE5" s="11">
        <f t="shared" ca="1" si="4"/>
        <v>7500</v>
      </c>
      <c r="BF5" s="11">
        <f t="shared" ca="1" si="5"/>
        <v>1</v>
      </c>
      <c r="BG5" s="16">
        <f ca="1">IF($BE5&lt;=0,ROUND(BK5*0.5,0), ROUND($BE5*S5*AA5*J5*AY5*0.8*[1]ステータス!$B$2,0))</f>
        <v>3060</v>
      </c>
      <c r="BH5" s="16">
        <f ca="1">IF($BE5&lt;=0,ROUND(BL5*0.5,0), ROUND($BE5*T5*AB5*K5*AZ5*0.8*[1]ステータス!$C$2,0))</f>
        <v>1940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1350</v>
      </c>
      <c r="BK5" s="11">
        <f ca="1">ROUND(BD5*S5*AA5*J5*AY5*[1]ステータス!$B$2,0)</f>
        <v>4845</v>
      </c>
      <c r="BL5" s="11">
        <f ca="1">ROUND(BD5*T5*AB5*K5*AZ5*[1]ステータス!$C$2,0)</f>
        <v>3072</v>
      </c>
      <c r="BM5" s="11">
        <f ca="1">ROUND(BD5*U5*AC5*L5*BA5*[1]ステータス!$D$2,0)</f>
        <v>0</v>
      </c>
      <c r="BN5" s="11">
        <f ca="1">ROUND(BD5*V5*AD5*M5*BB5*[1]ステータス!$E$2,0)</f>
        <v>2138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5500</v>
      </c>
    </row>
    <row r="6" spans="1:70" ht="26" customHeight="1" x14ac:dyDescent="0.15">
      <c r="A6" s="12">
        <v>774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ミズチ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ガチャ:日本昔話01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3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1">
        <f ca="1">VLOOKUP(I6,[1]属性!$A:$E,2,FALSE)</f>
        <v>1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1.02</v>
      </c>
      <c r="N6" s="11">
        <f ca="1">INDEX(コスト!$A$1:$I$20,MATCH(H6,コスト!$A$1:$A$20,FALSE),MATCH(G6,コスト!$A$1:$I$1,FALSE))</f>
        <v>10</v>
      </c>
      <c r="O6" s="11">
        <f ca="1">INDEX(レベル!$A$1:$I$21,MATCH(H6,レベル!$A$1:$A$21,FALSE),MATCH(G6,レベル!$A$1:$I$1,FALSE))</f>
        <v>40</v>
      </c>
      <c r="P6" s="48">
        <f t="shared" ca="1" si="0"/>
        <v>45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heal</v>
      </c>
      <c r="R6" s="5" t="str">
        <f ca="1">VLOOKUP(Q6,[1]character_type_i18n!$A:$H,3,FALSE)</f>
        <v>回復タイプ</v>
      </c>
      <c r="S6" s="11">
        <f ca="1">VLOOKUP(Q6,[1]character_type_i18n!$A:$H,4,FALSE)</f>
        <v>0.8</v>
      </c>
      <c r="T6" s="11">
        <f ca="1">VLOOKUP(Q6,[1]character_type_i18n!$A:$H,5,FALSE)</f>
        <v>0.78</v>
      </c>
      <c r="U6" s="11">
        <f ca="1">VLOOKUP(Q6,[1]character_type_i18n!$A:$H,6,FALSE)</f>
        <v>1</v>
      </c>
      <c r="V6" s="11">
        <f ca="1">VLOOKUP(Q6,[1]character_type_i18n!$A:$H,7,FALSE)</f>
        <v>1.42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dragon</v>
      </c>
      <c r="X6" s="5" t="str">
        <f ca="1">VLOOKUP(W6,[1]character_tribe_i18n!$A:$H,3,FALSE)</f>
        <v>ドラゴン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1.1499999999999999</v>
      </c>
      <c r="AB6" s="11">
        <f ca="1">VLOOKUP(W6,[1]character_tribe_i18n!$A:$H,5,FALSE)</f>
        <v>1.1000000000000001</v>
      </c>
      <c r="AC6" s="11">
        <f ca="1">VLOOKUP(W6,[1]character_tribe_i18n!$A:$H,6,FALSE)</f>
        <v>1</v>
      </c>
      <c r="AD6" s="11">
        <f ca="1">VLOOKUP(W6,[1]character_tribe_i18n!$A:$H,7,FALSE)</f>
        <v>0.75</v>
      </c>
      <c r="AE6" s="9">
        <f t="shared" ref="AE6" si="9">A7</f>
        <v>775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水底霊竜 ミズチ</v>
      </c>
      <c r="AG6" s="5">
        <f t="shared" ca="1" si="1"/>
        <v>774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ミズチ</v>
      </c>
      <c r="AI6" s="11">
        <f ca="1">IF(AE6="NULL","NULL",VLOOKUP(G6,ビット!$A$2:$B$7,2))</f>
        <v>20000</v>
      </c>
      <c r="AJ6" s="6">
        <v>2</v>
      </c>
      <c r="AK6" s="7" t="str">
        <f t="shared" si="2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1500</v>
      </c>
      <c r="AN6" s="17">
        <f ca="1">VLOOKUP(G6,ビット!$G$2:$H$7,2)</f>
        <v>300</v>
      </c>
      <c r="AO6" s="45"/>
      <c r="AP6" s="67">
        <f t="shared" si="6"/>
        <v>774</v>
      </c>
      <c r="AQ6" s="57" t="str">
        <f ca="1">VLOOKUP($AP6,OFFSET(unit_skills!$A$1,0,0,COUNTA(unit_skills!$A:$A),MATCH(AQ$1,unit_skills!$1:$1,0)-MATCH($AP$1,unit_skills!$1:$1,0)+1),MATCH(AQ$1,unit_skills!$1:$1,0)-MATCH($AP$1,unit_skills!$1:$1,0)+1,FALSE)</f>
        <v>水底の神意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3ターン回復力を特大UP+SCパネル(威力大)を1つ生成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 t="shared" si="7"/>
        <v>774</v>
      </c>
      <c r="AU6" s="57" t="str">
        <f ca="1">VLOOKUP($AT6,OFFSET(crash_skills!$A$1,0,0,COUNTA(crash_skills!$A:$A),MATCH(AU$1,crash_skills!$1:$1,0)-MATCH($AT$1,crash_skills!$1:$1,0)+1),MATCH(AU$1,crash_skills!$1:$1,0)-MATCH($AT$1,crash_skills!$1:$1,0)+1,FALSE)</f>
        <v>退魔浄水</v>
      </c>
      <c r="AV6" s="57" t="str">
        <f ca="1">VLOOKUP($AT6,OFFSET(crash_skills!$A$1,0,0,COUNTA(crash_skills!$A:$A),MATCH(AV$1,crash_skills!$1:$1,0)-MATCH($AT$1,crash_skills!$1:$1,0)+1),MATCH(AV$1,crash_skills!$1:$1,0)-MATCH($AT$1,crash_skills!$1:$1,0)+1,FALSE)</f>
        <v>全体に中ダメージ＋_x000D_HP小回復</v>
      </c>
      <c r="AW6" s="57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8">
        <v>1</v>
      </c>
      <c r="AZ6" s="68">
        <v>1</v>
      </c>
      <c r="BA6" s="68">
        <v>0</v>
      </c>
      <c r="BB6" s="68">
        <v>1.3</v>
      </c>
      <c r="BC6" s="11">
        <f ca="1">INDEX('RC6SV'!$A$1:$G$20,MATCH(H6,'RC6SV'!$A$1:$A$20,FALSE),MATCH(G6,'RC6SV'!$A$1:$G$1,FALSE))</f>
        <v>5000</v>
      </c>
      <c r="BD6" s="48">
        <f t="shared" ca="1" si="3"/>
        <v>5000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1150</v>
      </c>
      <c r="BH6" s="16">
        <f ca="1">IF($BE6&lt;=0,ROUND(BL6*0.5,0), ROUND($BE6*T6*AB6*K6*AZ6*0.8*[1]ステータス!$C$2,0))</f>
        <v>631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883</v>
      </c>
      <c r="BK6" s="11">
        <f ca="1">ROUND(BD6*S6*AA6*J6*AY6*[1]ステータス!$B$2,0)</f>
        <v>2300</v>
      </c>
      <c r="BL6" s="11">
        <f ca="1">ROUND(BD6*T6*AB6*K6*AZ6*[1]ステータス!$C$2,0)</f>
        <v>1261</v>
      </c>
      <c r="BM6" s="11">
        <f ca="1">ROUND(BD6*U6*AC6*L6*BA6*[1]ステータス!$D$2,0)</f>
        <v>0</v>
      </c>
      <c r="BN6" s="11">
        <f ca="1">ROUND(BD6*V6*AD6*M6*BB6*[1]ステータス!$E$2,0)</f>
        <v>1765</v>
      </c>
      <c r="BO6" s="10">
        <v>0</v>
      </c>
      <c r="BP6" s="10">
        <v>1</v>
      </c>
      <c r="BQ6" s="10" t="s">
        <v>47</v>
      </c>
      <c r="BR6" s="10">
        <f ca="1">VLOOKUP(H6,ghosts_label!$A$2:$B$19,2,FALSE)</f>
        <v>700</v>
      </c>
    </row>
    <row r="7" spans="1:70" ht="26" customHeight="1" x14ac:dyDescent="0.15">
      <c r="A7" s="12">
        <v>775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水底霊竜 ミズチ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ガチャ:日本昔話01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4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INDEX(コスト!$A$1:$I$20,MATCH(H7,コスト!$A$1:$A$20,FALSE),MATCH(G7,コスト!$A$1:$I$1,FALSE))</f>
        <v>20</v>
      </c>
      <c r="O7" s="11">
        <f ca="1">INDEX(レベル!$A$1:$I$21,MATCH(H7,レベル!$A$1:$A$21,FALSE),MATCH(G7,レベル!$A$1:$I$1,FALSE))</f>
        <v>60</v>
      </c>
      <c r="P7" s="48">
        <f t="shared" ca="1" si="0"/>
        <v>60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heal</v>
      </c>
      <c r="R7" s="5" t="str">
        <f ca="1">VLOOKUP(Q7,[1]character_type_i18n!$A:$H,3,FALSE)</f>
        <v>回復タイプ</v>
      </c>
      <c r="S7" s="11">
        <f ca="1">VLOOKUP(Q7,[1]character_type_i18n!$A:$H,4,FALSE)</f>
        <v>0.8</v>
      </c>
      <c r="T7" s="11">
        <f ca="1">VLOOKUP(Q7,[1]character_type_i18n!$A:$H,5,FALSE)</f>
        <v>0.78</v>
      </c>
      <c r="U7" s="11">
        <f ca="1">VLOOKUP(Q7,[1]character_type_i18n!$A:$H,6,FALSE)</f>
        <v>1</v>
      </c>
      <c r="V7" s="11">
        <f ca="1">VLOOKUP(Q7,[1]character_type_i18n!$A:$H,7,FALSE)</f>
        <v>1.42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dragon</v>
      </c>
      <c r="X7" s="5" t="str">
        <f ca="1">VLOOKUP(W7,[1]character_tribe_i18n!$A:$H,3,FALSE)</f>
        <v>ドラゴン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1.1499999999999999</v>
      </c>
      <c r="AB7" s="11">
        <f ca="1">VLOOKUP(W7,[1]character_tribe_i18n!$A:$H,5,FALSE)</f>
        <v>1.1000000000000001</v>
      </c>
      <c r="AC7" s="11">
        <f ca="1">VLOOKUP(W7,[1]character_tribe_i18n!$A:$H,6,FALSE)</f>
        <v>1</v>
      </c>
      <c r="AD7" s="11">
        <f ca="1">VLOOKUP(W7,[1]character_tribe_i18n!$A:$H,7,FALSE)</f>
        <v>0.75</v>
      </c>
      <c r="AE7" s="9">
        <v>776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>水竜底主 ミズチ</v>
      </c>
      <c r="AG7" s="5">
        <f t="shared" ca="1" si="1"/>
        <v>774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ミズチ</v>
      </c>
      <c r="AI7" s="11">
        <f ca="1">IF(AE7="NULL","NULL",VLOOKUP(G7,ビット!$A$2:$B$7,2))</f>
        <v>50000</v>
      </c>
      <c r="AJ7" s="6">
        <v>2</v>
      </c>
      <c r="AK7" s="7" t="str">
        <f t="shared" si="2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3400</v>
      </c>
      <c r="AN7" s="17">
        <f ca="1">VLOOKUP(G7,ビット!$G$2:$H$7,2)</f>
        <v>600</v>
      </c>
      <c r="AO7" s="45"/>
      <c r="AP7" s="67">
        <f t="shared" si="6"/>
        <v>775</v>
      </c>
      <c r="AQ7" s="57" t="str">
        <f ca="1">VLOOKUP($AP7,OFFSET(unit_skills!$A$1,0,0,COUNTA(unit_skills!$A:$A),MATCH(AQ$1,unit_skills!$1:$1,0)-MATCH($AP$1,unit_skills!$1:$1,0)+1),MATCH(AQ$1,unit_skills!$1:$1,0)-MATCH($AP$1,unit_skills!$1:$1,0)+1,FALSE)</f>
        <v>水底の神意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3ターン回復力を特大UP+SCパネル(威力大)を1つ生成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f t="shared" si="7"/>
        <v>775</v>
      </c>
      <c r="AU7" s="57" t="str">
        <f ca="1">VLOOKUP($AT7,OFFSET(crash_skills!$A$1,0,0,COUNTA(crash_skills!$A:$A),MATCH(AU$1,crash_skills!$1:$1,0)-MATCH($AT$1,crash_skills!$1:$1,0)+1),MATCH(AU$1,crash_skills!$1:$1,0)-MATCH($AT$1,crash_skills!$1:$1,0)+1,FALSE)</f>
        <v>退魔浄水</v>
      </c>
      <c r="AV7" s="57" t="str">
        <f ca="1">VLOOKUP($AT7,OFFSET(crash_skills!$A$1,0,0,COUNTA(crash_skills!$A:$A),MATCH(AV$1,crash_skills!$1:$1,0)-MATCH($AT$1,crash_skills!$1:$1,0)+1),MATCH(AV$1,crash_skills!$1:$1,0)-MATCH($AT$1,crash_skills!$1:$1,0)+1,FALSE)</f>
        <v>全体に中ダメージ＋_x000D_HP小回復</v>
      </c>
      <c r="AW7" s="57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8">
        <v>1</v>
      </c>
      <c r="AZ7" s="68">
        <v>1</v>
      </c>
      <c r="BA7" s="68">
        <v>0</v>
      </c>
      <c r="BB7" s="68">
        <v>1.3</v>
      </c>
      <c r="BC7" s="11">
        <f ca="1">INDEX('RC6SV'!$A$1:$G$20,MATCH(H7,'RC6SV'!$A$1:$A$20,FALSE),MATCH(G7,'RC6SV'!$A$1:$G$1,FALSE))</f>
        <v>7000</v>
      </c>
      <c r="BD7" s="48">
        <f t="shared" ca="1" si="3"/>
        <v>7000</v>
      </c>
      <c r="BE7" s="11">
        <f t="shared" ca="1" si="4"/>
        <v>5000</v>
      </c>
      <c r="BF7" s="11">
        <f t="shared" ca="1" si="5"/>
        <v>1</v>
      </c>
      <c r="BG7" s="16">
        <f ca="1">IF($BE7&lt;=0,ROUND(BK7*0.5,0), ROUND($BE7*S7*AA7*J7*AY7*0.8*[1]ステータス!$B$2,0))</f>
        <v>1840</v>
      </c>
      <c r="BH7" s="16">
        <f ca="1">IF($BE7&lt;=0,ROUND(BL7*0.5,0), ROUND($BE7*T7*AB7*K7*AZ7*0.8*[1]ステータス!$C$2,0))</f>
        <v>1009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1412</v>
      </c>
      <c r="BK7" s="11">
        <f ca="1">ROUND(BD7*S7*AA7*J7*AY7*[1]ステータス!$B$2,0)</f>
        <v>3220</v>
      </c>
      <c r="BL7" s="11">
        <f ca="1">ROUND(BD7*T7*AB7*K7*AZ7*[1]ステータス!$C$2,0)</f>
        <v>1766</v>
      </c>
      <c r="BM7" s="11">
        <f ca="1">ROUND(BD7*U7*AC7*L7*BA7*[1]ステータス!$D$2,0)</f>
        <v>0</v>
      </c>
      <c r="BN7" s="11">
        <f ca="1">ROUND(BD7*V7*AD7*M7*BB7*[1]ステータス!$E$2,0)</f>
        <v>2471</v>
      </c>
      <c r="BO7" s="10">
        <v>0</v>
      </c>
      <c r="BP7" s="10">
        <v>1</v>
      </c>
      <c r="BQ7" s="10" t="s">
        <v>47</v>
      </c>
      <c r="BR7" s="10">
        <f ca="1">VLOOKUP(H7,ghosts_label!$A$2:$B$19,2,FALSE)</f>
        <v>700</v>
      </c>
    </row>
    <row r="8" spans="1:70" ht="26" customHeight="1" x14ac:dyDescent="0.15">
      <c r="A8" s="12">
        <v>776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水竜底主 ミズチ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ガチャ:日本昔話01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INDEX(コスト!$A$1:$I$20,MATCH(H8,コスト!$A$1:$A$20,FALSE),MATCH(G8,コスト!$A$1:$I$1,FALSE))</f>
        <v>30</v>
      </c>
      <c r="O8" s="11">
        <f ca="1">INDEX(レベル!$A$1:$I$21,MATCH(H8,レベル!$A$1:$A$21,FALSE),MATCH(G8,レベル!$A$1:$I$1,FALSE))</f>
        <v>80</v>
      </c>
      <c r="P8" s="48">
        <f t="shared" ca="1" si="0"/>
        <v>75</v>
      </c>
      <c r="Q8" s="57" t="str">
        <f ca="1">VLOOKUP($A8,OFFSET([1]characters!$A$1,0,0,COUNTA([1]characters!$A:$A),MATCH(Q$1,[1]characters!$1:$1,0)-MATCH($A$1,[1]characters!$1:$1,0)+1),MATCH(Q$1,[1]characters!$1:$1,0)-MATCH($A$1,[1]characters!$1:$1,0)+1,FALSE)</f>
        <v>heal</v>
      </c>
      <c r="R8" s="5" t="str">
        <f ca="1">VLOOKUP(Q8,[1]character_type_i18n!$A:$H,3,FALSE)</f>
        <v>回復タイプ</v>
      </c>
      <c r="S8" s="11">
        <f ca="1">VLOOKUP(Q8,[1]character_type_i18n!$A:$H,4,FALSE)</f>
        <v>0.8</v>
      </c>
      <c r="T8" s="11">
        <f ca="1">VLOOKUP(Q8,[1]character_type_i18n!$A:$H,5,FALSE)</f>
        <v>0.78</v>
      </c>
      <c r="U8" s="11">
        <f ca="1">VLOOKUP(Q8,[1]character_type_i18n!$A:$H,6,FALSE)</f>
        <v>1</v>
      </c>
      <c r="V8" s="11">
        <f ca="1">VLOOKUP(Q8,[1]character_type_i18n!$A:$H,7,FALSE)</f>
        <v>1.42</v>
      </c>
      <c r="W8" s="57" t="str">
        <f ca="1">VLOOKUP($A8,OFFSET([1]characters!$A$1,0,0,COUNTA([1]characters!$A:$A),MATCH(W$1,[1]characters!$1:$1,0)-MATCH($A$1,[1]characters!$1:$1,0)+1),MATCH(W$1,[1]characters!$1:$1,0)-MATCH($A$1,[1]characters!$1:$1,0)+1,FALSE)</f>
        <v>dragon</v>
      </c>
      <c r="X8" s="5" t="str">
        <f ca="1">VLOOKUP(W8,[1]character_tribe_i18n!$A:$H,3,FALSE)</f>
        <v>ドラゴン</v>
      </c>
      <c r="Y8" s="57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1.1499999999999999</v>
      </c>
      <c r="AB8" s="11">
        <f ca="1">VLOOKUP(W8,[1]character_tribe_i18n!$A:$H,5,FALSE)</f>
        <v>1.1000000000000001</v>
      </c>
      <c r="AC8" s="11">
        <f ca="1">VLOOKUP(W8,[1]character_tribe_i18n!$A:$H,6,FALSE)</f>
        <v>1</v>
      </c>
      <c r="AD8" s="11">
        <f ca="1">VLOOKUP(W8,[1]character_tribe_i18n!$A:$H,7,FALSE)</f>
        <v>0.75</v>
      </c>
      <c r="AE8" s="9" t="s">
        <v>252</v>
      </c>
      <c r="AF8" s="6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f t="shared" ca="1" si="1"/>
        <v>774</v>
      </c>
      <c r="AH8" s="62" t="str">
        <f ca="1">VLOOKUP($AG8,OFFSET([1]characters!$A$1,0,0,COUNTA([1]characters!$A:$A),MATCH(AH$1,[1]characters!$1:$1,0)-MATCH($A$1,[1]characters!$1:$1,0)+1),MATCH(AH$1,[1]characters!$1:$1,0)-MATCH($A$1,[1]characters!$1:$1,0)+1,FALSE)</f>
        <v>ミズチ</v>
      </c>
      <c r="AI8" s="11" t="str">
        <f>IF(AE8="NULL","NULL",VLOOKUP(G8,ビット!$A$2:$B$7,2))</f>
        <v>NULL</v>
      </c>
      <c r="AJ8" s="6">
        <v>2</v>
      </c>
      <c r="AK8" s="7" t="str">
        <f t="shared" si="2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6400</v>
      </c>
      <c r="AN8" s="17">
        <f ca="1">VLOOKUP(G8,ビット!$G$2:$H$7,2)</f>
        <v>900</v>
      </c>
      <c r="AO8" s="45"/>
      <c r="AP8" s="67">
        <f t="shared" si="6"/>
        <v>776</v>
      </c>
      <c r="AQ8" s="57" t="str">
        <f ca="1">VLOOKUP($AP8,OFFSET(unit_skills!$A$1,0,0,COUNTA(unit_skills!$A:$A),MATCH(AQ$1,unit_skills!$1:$1,0)-MATCH($AP$1,unit_skills!$1:$1,0)+1),MATCH(AQ$1,unit_skills!$1:$1,0)-MATCH($AP$1,unit_skills!$1:$1,0)+1,FALSE)</f>
        <v>水底の神意</v>
      </c>
      <c r="AR8" s="57" t="str">
        <f ca="1">VLOOKUP($AP8,OFFSET(unit_skills!$A$1,0,0,COUNTA(unit_skills!$A:$A),MATCH(AR$1,unit_skills!$1:$1,0)-MATCH($AP$1,unit_skills!$1:$1,0)+1),MATCH(AR$1,unit_skills!$1:$1,0)-MATCH($AP$1,unit_skills!$1:$1,0)+1,FALSE)</f>
        <v>3ターン回復力を特大UP+SCパネル(威力大)を1つ生成</v>
      </c>
      <c r="AS8" s="57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f t="shared" si="7"/>
        <v>776</v>
      </c>
      <c r="AU8" s="57" t="str">
        <f ca="1">VLOOKUP($AT8,OFFSET(crash_skills!$A$1,0,0,COUNTA(crash_skills!$A:$A),MATCH(AU$1,crash_skills!$1:$1,0)-MATCH($AT$1,crash_skills!$1:$1,0)+1),MATCH(AU$1,crash_skills!$1:$1,0)-MATCH($AT$1,crash_skills!$1:$1,0)+1,FALSE)</f>
        <v>魔除けの霊水</v>
      </c>
      <c r="AV8" s="57" t="str">
        <f ca="1">VLOOKUP($AT8,OFFSET(crash_skills!$A$1,0,0,COUNTA(crash_skills!$A:$A),MATCH(AV$1,crash_skills!$1:$1,0)-MATCH($AT$1,crash_skills!$1:$1,0)+1),MATCH(AV$1,crash_skills!$1:$1,0)-MATCH($AT$1,crash_skills!$1:$1,0)+1,FALSE)</f>
        <v>全体に大ダメージ＋_x000D_HP小回復</v>
      </c>
      <c r="AW8" s="57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8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8">
        <v>1</v>
      </c>
      <c r="AZ8" s="68">
        <v>1</v>
      </c>
      <c r="BA8" s="68">
        <v>0</v>
      </c>
      <c r="BB8" s="68">
        <v>1.3</v>
      </c>
      <c r="BC8" s="11">
        <f ca="1">INDEX('RC6SV'!$A$1:$G$20,MATCH(H8,'RC6SV'!$A$1:$A$20,FALSE),MATCH(G8,'RC6SV'!$A$1:$G$1,FALSE))</f>
        <v>9000</v>
      </c>
      <c r="BD8" s="48">
        <f t="shared" ca="1" si="3"/>
        <v>9000</v>
      </c>
      <c r="BE8" s="11">
        <f t="shared" ca="1" si="4"/>
        <v>7000</v>
      </c>
      <c r="BF8" s="11">
        <f t="shared" ca="1" si="5"/>
        <v>1</v>
      </c>
      <c r="BG8" s="16">
        <f ca="1">IF($BE8&lt;=0,ROUND(BK8*0.5,0), ROUND($BE8*S8*AA8*J8*AY8*0.8*[1]ステータス!$B$2,0))</f>
        <v>2576</v>
      </c>
      <c r="BH8" s="16">
        <f ca="1">IF($BE8&lt;=0,ROUND(BL8*0.5,0), ROUND($BE8*T8*AB8*K8*AZ8*0.8*[1]ステータス!$C$2,0))</f>
        <v>1413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1977</v>
      </c>
      <c r="BK8" s="11">
        <f ca="1">ROUND(BD8*S8*AA8*J8*AY8*[1]ステータス!$B$2,0)</f>
        <v>4140</v>
      </c>
      <c r="BL8" s="11">
        <f ca="1">ROUND(BD8*T8*AB8*K8*AZ8*[1]ステータス!$C$2,0)</f>
        <v>2270</v>
      </c>
      <c r="BM8" s="11">
        <f ca="1">ROUND(BD8*U8*AC8*L8*BA8*[1]ステータス!$D$2,0)</f>
        <v>0</v>
      </c>
      <c r="BN8" s="11">
        <f ca="1">ROUND(BD8*V8*AD8*M8*BB8*[1]ステータス!$E$2,0)</f>
        <v>3177</v>
      </c>
      <c r="BO8" s="10">
        <v>0</v>
      </c>
      <c r="BP8" s="10">
        <v>1</v>
      </c>
      <c r="BQ8" s="10" t="s">
        <v>47</v>
      </c>
      <c r="BR8" s="10">
        <f ca="1">VLOOKUP(H8,ghosts_label!$A$2:$B$19,2,FALSE)</f>
        <v>700</v>
      </c>
    </row>
    <row r="9" spans="1:70" ht="26" customHeight="1" x14ac:dyDescent="0.15">
      <c r="A9" s="12">
        <v>777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ガメック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ガチャ:日本昔話01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不明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3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INDEX(コスト!$A$1:$I$20,MATCH(H9,コスト!$A$1:$A$20,FALSE),MATCH(G9,コスト!$A$1:$I$1,FALSE))</f>
        <v>10</v>
      </c>
      <c r="O9" s="11">
        <f ca="1">INDEX(レベル!$A$1:$I$21,MATCH(H9,レベル!$A$1:$A$21,FALSE),MATCH(G9,レベル!$A$1:$I$1,FALSE))</f>
        <v>40</v>
      </c>
      <c r="P9" s="48">
        <f t="shared" ca="1" si="0"/>
        <v>45</v>
      </c>
      <c r="Q9" s="57" t="str">
        <f ca="1">VLOOKUP($A9,OFFSET([1]characters!$A$1,0,0,COUNTA([1]characters!$A:$A),MATCH(Q$1,[1]characters!$1:$1,0)-MATCH($A$1,[1]characters!$1:$1,0)+1),MATCH(Q$1,[1]characters!$1:$1,0)-MATCH($A$1,[1]characters!$1:$1,0)+1,FALSE)</f>
        <v>hp</v>
      </c>
      <c r="R9" s="5" t="str">
        <f ca="1">VLOOKUP(Q9,[1]character_type_i18n!$A:$H,3,FALSE)</f>
        <v>体力タイプ</v>
      </c>
      <c r="S9" s="11">
        <f ca="1">VLOOKUP(Q9,[1]character_type_i18n!$A:$H,4,FALSE)</f>
        <v>1.45</v>
      </c>
      <c r="T9" s="11">
        <f ca="1">VLOOKUP(Q9,[1]character_type_i18n!$A:$H,5,FALSE)</f>
        <v>0.85</v>
      </c>
      <c r="U9" s="11">
        <f ca="1">VLOOKUP(Q9,[1]character_type_i18n!$A:$H,6,FALSE)</f>
        <v>1</v>
      </c>
      <c r="V9" s="11">
        <f ca="1">VLOOKUP(Q9,[1]character_type_i18n!$A:$H,7,FALSE)</f>
        <v>0.7</v>
      </c>
      <c r="W9" s="57" t="str">
        <f ca="1">VLOOKUP($A9,OFFSET([1]characters!$A$1,0,0,COUNTA([1]characters!$A:$A),MATCH(W$1,[1]characters!$1:$1,0)-MATCH($A$1,[1]characters!$1:$1,0)+1),MATCH(W$1,[1]characters!$1:$1,0)-MATCH($A$1,[1]characters!$1:$1,0)+1,FALSE)</f>
        <v>animal</v>
      </c>
      <c r="X9" s="5" t="str">
        <f ca="1">VLOOKUP(W9,[1]character_tribe_i18n!$A:$H,3,FALSE)</f>
        <v>アニマル</v>
      </c>
      <c r="Y9" s="57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</v>
      </c>
      <c r="AB9" s="11">
        <f ca="1">VLOOKUP(W9,[1]character_tribe_i18n!$A:$H,5,FALSE)</f>
        <v>1.1000000000000001</v>
      </c>
      <c r="AC9" s="11">
        <f ca="1">VLOOKUP(W9,[1]character_tribe_i18n!$A:$H,6,FALSE)</f>
        <v>1</v>
      </c>
      <c r="AD9" s="11">
        <f ca="1">VLOOKUP(W9,[1]character_tribe_i18n!$A:$H,7,FALSE)</f>
        <v>0.9</v>
      </c>
      <c r="AE9" s="9">
        <f t="shared" ref="AE9" si="10">A10</f>
        <v>778</v>
      </c>
      <c r="AF9" s="6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>一亀懸明 ガメック</v>
      </c>
      <c r="AG9" s="5">
        <f t="shared" ca="1" si="1"/>
        <v>777</v>
      </c>
      <c r="AH9" s="62" t="str">
        <f ca="1">VLOOKUP($AG9,OFFSET([1]characters!$A$1,0,0,COUNTA([1]characters!$A:$A),MATCH(AH$1,[1]characters!$1:$1,0)-MATCH($A$1,[1]characters!$1:$1,0)+1),MATCH(AH$1,[1]characters!$1:$1,0)-MATCH($A$1,[1]characters!$1:$1,0)+1,FALSE)</f>
        <v>ガメック</v>
      </c>
      <c r="AI9" s="11">
        <f ca="1">IF(AE9="NULL","NULL",VLOOKUP(G9,ビット!$A$2:$B$7,2))</f>
        <v>20000</v>
      </c>
      <c r="AJ9" s="6">
        <v>2</v>
      </c>
      <c r="AK9" s="7" t="str">
        <f t="shared" si="2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1500</v>
      </c>
      <c r="AN9" s="17">
        <f ca="1">VLOOKUP(G9,ビット!$G$2:$H$7,2)</f>
        <v>300</v>
      </c>
      <c r="AO9" s="45"/>
      <c r="AP9" s="67">
        <f t="shared" si="6"/>
        <v>777</v>
      </c>
      <c r="AQ9" s="57" t="str">
        <f ca="1">VLOOKUP($AP9,OFFSET(unit_skills!$A$1,0,0,COUNTA(unit_skills!$A:$A),MATCH(AQ$1,unit_skills!$1:$1,0)-MATCH($AP$1,unit_skills!$1:$1,0)+1),MATCH(AQ$1,unit_skills!$1:$1,0)-MATCH($AP$1,unit_skills!$1:$1,0)+1,FALSE)</f>
        <v>亀の底力</v>
      </c>
      <c r="AR9" s="57" t="str">
        <f ca="1">VLOOKUP($AP9,OFFSET(unit_skills!$A$1,0,0,COUNTA(unit_skills!$A:$A),MATCH(AR$1,unit_skills!$1:$1,0)-MATCH($AP$1,unit_skills!$1:$1,0)+1),MATCH(AR$1,unit_skills!$1:$1,0)-MATCH($AP$1,unit_skills!$1:$1,0)+1,FALSE)</f>
        <v>1ターン自身のタップ回数を1増やし、攻撃力を大UP</v>
      </c>
      <c r="AS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f t="shared" si="7"/>
        <v>777</v>
      </c>
      <c r="AU9" s="57" t="str">
        <f ca="1">VLOOKUP($AT9,OFFSET(crash_skills!$A$1,0,0,COUNTA(crash_skills!$A:$A),MATCH(AU$1,crash_skills!$1:$1,0)-MATCH($AT$1,crash_skills!$1:$1,0)+1),MATCH(AU$1,crash_skills!$1:$1,0)-MATCH($AT$1,crash_skills!$1:$1,0)+1,FALSE)</f>
        <v>懸命な一歩</v>
      </c>
      <c r="AV9" s="57" t="str">
        <f ca="1">VLOOKUP($AT9,OFFSET(crash_skills!$A$1,0,0,COUNTA(crash_skills!$A:$A),MATCH(AV$1,crash_skills!$1:$1,0)-MATCH($AT$1,crash_skills!$1:$1,0)+1),MATCH(AV$1,crash_skills!$1:$1,0)-MATCH($AT$1,crash_skills!$1:$1,0)+1,FALSE)</f>
        <v>単体に中ダメージ+_x000D_全体に大ダメージ</v>
      </c>
      <c r="AW9" s="57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8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8">
        <v>1</v>
      </c>
      <c r="AZ9" s="68">
        <v>1</v>
      </c>
      <c r="BA9" s="68">
        <v>0</v>
      </c>
      <c r="BB9" s="68">
        <v>1</v>
      </c>
      <c r="BC9" s="11">
        <f ca="1">INDEX('RC6SV'!$A$1:$G$20,MATCH(H9,'RC6SV'!$A$1:$A$20,FALSE),MATCH(G9,'RC6SV'!$A$1:$G$1,FALSE))</f>
        <v>5000</v>
      </c>
      <c r="BD9" s="48">
        <f t="shared" ca="1" si="3"/>
        <v>5000</v>
      </c>
      <c r="BE9" s="11">
        <f t="shared" ca="1" si="4"/>
        <v>0</v>
      </c>
      <c r="BF9" s="11">
        <f t="shared" ca="1" si="5"/>
        <v>1</v>
      </c>
      <c r="BG9" s="16">
        <f ca="1">IF($BE9&lt;=0,ROUND(BK9*0.5,0), ROUND($BE9*S9*AA9*J9*AY9*0.8*[1]ステータス!$B$2,0))</f>
        <v>1777</v>
      </c>
      <c r="BH9" s="16">
        <f ca="1">IF($BE9&lt;=0,ROUND(BL9*0.5,0), ROUND($BE9*T9*AB9*K9*AZ9*0.8*[1]ステータス!$C$2,0))</f>
        <v>709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398</v>
      </c>
      <c r="BK9" s="11">
        <f ca="1">ROUND(BD9*S9*AA9*J9*AY9*[1]ステータス!$B$2,0)</f>
        <v>3553</v>
      </c>
      <c r="BL9" s="11">
        <f ca="1">ROUND(BD9*T9*AB9*K9*AZ9*[1]ステータス!$C$2,0)</f>
        <v>1417</v>
      </c>
      <c r="BM9" s="11">
        <f ca="1">ROUND(BD9*U9*AC9*L9*BA9*[1]ステータス!$D$2,0)</f>
        <v>0</v>
      </c>
      <c r="BN9" s="11">
        <f ca="1">ROUND(BD9*V9*AD9*M9*BB9*[1]ステータス!$E$2,0)</f>
        <v>795</v>
      </c>
      <c r="BO9" s="10">
        <v>0</v>
      </c>
      <c r="BP9" s="10">
        <v>1</v>
      </c>
      <c r="BQ9" s="10" t="s">
        <v>47</v>
      </c>
      <c r="BR9" s="10">
        <f ca="1">VLOOKUP(H9,ghosts_label!$A$2:$B$19,2,FALSE)</f>
        <v>700</v>
      </c>
    </row>
    <row r="10" spans="1:70" ht="26" customHeight="1" x14ac:dyDescent="0.15">
      <c r="A10" s="12">
        <v>778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一亀懸明 ガメック</v>
      </c>
      <c r="C10" s="57" t="str">
        <f ca="1">VLOOKUP($A10,OFFSET([1]characters!$A$1,0,0,COUNTA([1]characters!$A:$A),MATCH(C$1,[1]characters!$1:$1,0)-MATCH($A$1,[1]characters!$1:$1,0)+1),MATCH(C$1,[1]characters!$1:$1,0)-MATCH($A$1,[1]characters!$1:$1,0)+1,FALSE)</f>
        <v>ガチャ:日本昔話01</v>
      </c>
      <c r="D10" s="57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7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7" t="str">
        <f ca="1">VLOOKUP($A10,OFFSET([1]characters!$A$1,0,0,COUNTA([1]characters!$A:$A),MATCH(F$1,[1]characters!$1:$1,0)-MATCH($A$1,[1]characters!$1:$1,0)+1),MATCH(F$1,[1]characters!$1:$1,0)-MATCH($A$1,[1]characters!$1:$1,0)+1,FALSE)</f>
        <v>不明</v>
      </c>
      <c r="G10" s="57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7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7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1">
        <f ca="1">VLOOKUP(I10,[1]属性!$A:$E,2,FALSE)</f>
        <v>0.98</v>
      </c>
      <c r="K10" s="11">
        <f ca="1">VLOOKUP(I10,[1]属性!$A:$E,3,FALSE)</f>
        <v>1.01</v>
      </c>
      <c r="L10" s="11">
        <f ca="1">VLOOKUP(I10,[1]属性!$A:$E,4,FALSE)</f>
        <v>1</v>
      </c>
      <c r="M10" s="11">
        <f ca="1">VLOOKUP(I10,[1]属性!$A:$E,5,FALSE)</f>
        <v>1.01</v>
      </c>
      <c r="N10" s="11">
        <f ca="1">INDEX(コスト!$A$1:$I$20,MATCH(H10,コスト!$A$1:$A$20,FALSE),MATCH(G10,コスト!$A$1:$I$1,FALSE))</f>
        <v>20</v>
      </c>
      <c r="O10" s="11">
        <f ca="1">INDEX(レベル!$A$1:$I$21,MATCH(H10,レベル!$A$1:$A$21,FALSE),MATCH(G10,レベル!$A$1:$I$1,FALSE))</f>
        <v>60</v>
      </c>
      <c r="P10" s="48">
        <f t="shared" ref="P10:P11" ca="1" si="11">G10*15</f>
        <v>60</v>
      </c>
      <c r="Q10" s="57" t="str">
        <f ca="1">VLOOKUP($A10,OFFSET([1]characters!$A$1,0,0,COUNTA([1]characters!$A:$A),MATCH(Q$1,[1]characters!$1:$1,0)-MATCH($A$1,[1]characters!$1:$1,0)+1),MATCH(Q$1,[1]characters!$1:$1,0)-MATCH($A$1,[1]characters!$1:$1,0)+1,FALSE)</f>
        <v>hp</v>
      </c>
      <c r="R10" s="5" t="str">
        <f ca="1">VLOOKUP(Q10,[1]character_type_i18n!$A:$H,3,FALSE)</f>
        <v>体力タイプ</v>
      </c>
      <c r="S10" s="11">
        <f ca="1">VLOOKUP(Q10,[1]character_type_i18n!$A:$H,4,FALSE)</f>
        <v>1.45</v>
      </c>
      <c r="T10" s="11">
        <f ca="1">VLOOKUP(Q10,[1]character_type_i18n!$A:$H,5,FALSE)</f>
        <v>0.85</v>
      </c>
      <c r="U10" s="11">
        <f ca="1">VLOOKUP(Q10,[1]character_type_i18n!$A:$H,6,FALSE)</f>
        <v>1</v>
      </c>
      <c r="V10" s="11">
        <f ca="1">VLOOKUP(Q10,[1]character_type_i18n!$A:$H,7,FALSE)</f>
        <v>0.7</v>
      </c>
      <c r="W10" s="57" t="str">
        <f ca="1">VLOOKUP($A10,OFFSET([1]characters!$A$1,0,0,COUNTA([1]characters!$A:$A),MATCH(W$1,[1]characters!$1:$1,0)-MATCH($A$1,[1]characters!$1:$1,0)+1),MATCH(W$1,[1]characters!$1:$1,0)-MATCH($A$1,[1]characters!$1:$1,0)+1,FALSE)</f>
        <v>animal</v>
      </c>
      <c r="X10" s="5" t="str">
        <f ca="1">VLOOKUP(W10,[1]character_tribe_i18n!$A:$H,3,FALSE)</f>
        <v>アニマル</v>
      </c>
      <c r="Y10" s="57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</v>
      </c>
      <c r="AB10" s="11">
        <f ca="1">VLOOKUP(W10,[1]character_tribe_i18n!$A:$H,5,FALSE)</f>
        <v>1.1000000000000001</v>
      </c>
      <c r="AC10" s="11">
        <f ca="1">VLOOKUP(W10,[1]character_tribe_i18n!$A:$H,6,FALSE)</f>
        <v>1</v>
      </c>
      <c r="AD10" s="11">
        <f ca="1">VLOOKUP(W10,[1]character_tribe_i18n!$A:$H,7,FALSE)</f>
        <v>0.9</v>
      </c>
      <c r="AE10" s="9">
        <v>779</v>
      </c>
      <c r="AF10" s="62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頑堅咬亀 ガメック</v>
      </c>
      <c r="AG10" s="5">
        <f t="shared" ca="1" si="1"/>
        <v>777</v>
      </c>
      <c r="AH10" s="62" t="str">
        <f ca="1">VLOOKUP($AG10,OFFSET([1]characters!$A$1,0,0,COUNTA([1]characters!$A:$A),MATCH(AH$1,[1]characters!$1:$1,0)-MATCH($A$1,[1]characters!$1:$1,0)+1),MATCH(AH$1,[1]characters!$1:$1,0)-MATCH($A$1,[1]characters!$1:$1,0)+1,FALSE)</f>
        <v>ガメック</v>
      </c>
      <c r="AI10" s="11">
        <f ca="1">IF(AE10="NULL","NULL",VLOOKUP(G10,ビット!$A$2:$B$7,2))</f>
        <v>50000</v>
      </c>
      <c r="AJ10" s="6">
        <v>2</v>
      </c>
      <c r="AK10" s="7" t="str">
        <f t="shared" ref="AK10:AK11" si="12">IF(AJ10=1,"早熟",IF(AJ10=2,"普通",IF(AJ10=3,"晩成","")))</f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3400</v>
      </c>
      <c r="AN10" s="17">
        <f ca="1">VLOOKUP(G10,ビット!$G$2:$H$7,2)</f>
        <v>600</v>
      </c>
      <c r="AO10" s="45"/>
      <c r="AP10" s="67">
        <f t="shared" si="6"/>
        <v>778</v>
      </c>
      <c r="AQ10" s="57" t="str">
        <f ca="1">VLOOKUP($AP10,OFFSET(unit_skills!$A$1,0,0,COUNTA(unit_skills!$A:$A),MATCH(AQ$1,unit_skills!$1:$1,0)-MATCH($AP$1,unit_skills!$1:$1,0)+1),MATCH(AQ$1,unit_skills!$1:$1,0)-MATCH($AP$1,unit_skills!$1:$1,0)+1,FALSE)</f>
        <v>亀の底力</v>
      </c>
      <c r="AR10" s="57" t="str">
        <f ca="1">VLOOKUP($AP10,OFFSET(unit_skills!$A$1,0,0,COUNTA(unit_skills!$A:$A),MATCH(AR$1,unit_skills!$1:$1,0)-MATCH($AP$1,unit_skills!$1:$1,0)+1),MATCH(AR$1,unit_skills!$1:$1,0)-MATCH($AP$1,unit_skills!$1:$1,0)+1,FALSE)</f>
        <v>1ターン自身のタップ回数を1増やし、攻撃力を大UP</v>
      </c>
      <c r="AS10" s="57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1">
        <f t="shared" si="7"/>
        <v>778</v>
      </c>
      <c r="AU10" s="57" t="str">
        <f ca="1">VLOOKUP($AT10,OFFSET(crash_skills!$A$1,0,0,COUNTA(crash_skills!$A:$A),MATCH(AU$1,crash_skills!$1:$1,0)-MATCH($AT$1,crash_skills!$1:$1,0)+1),MATCH(AU$1,crash_skills!$1:$1,0)-MATCH($AT$1,crash_skills!$1:$1,0)+1,FALSE)</f>
        <v>懸命な一歩</v>
      </c>
      <c r="AV10" s="57" t="str">
        <f ca="1">VLOOKUP($AT10,OFFSET(crash_skills!$A$1,0,0,COUNTA(crash_skills!$A:$A),MATCH(AV$1,crash_skills!$1:$1,0)-MATCH($AT$1,crash_skills!$1:$1,0)+1),MATCH(AV$1,crash_skills!$1:$1,0)-MATCH($AT$1,crash_skills!$1:$1,0)+1,FALSE)</f>
        <v>単体に中ダメージ+_x000D_全体に大ダメージ</v>
      </c>
      <c r="AW10" s="57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8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8">
        <v>1</v>
      </c>
      <c r="AZ10" s="68">
        <v>1</v>
      </c>
      <c r="BA10" s="68">
        <v>0</v>
      </c>
      <c r="BB10" s="68">
        <v>1</v>
      </c>
      <c r="BC10" s="11">
        <f ca="1">INDEX('RC6SV'!$A$1:$G$20,MATCH(H10,'RC6SV'!$A$1:$A$20,FALSE),MATCH(G10,'RC6SV'!$A$1:$G$1,FALSE))</f>
        <v>7000</v>
      </c>
      <c r="BD10" s="48">
        <f t="shared" ref="BD10:BD11" ca="1" si="13">ROUND(BC10*IF(AJ10=1,0.95,IF(AJ10=2,1,IF(AJ10,1.05,0))),0)</f>
        <v>7000</v>
      </c>
      <c r="BE10" s="11">
        <f t="shared" ca="1" si="4"/>
        <v>5000</v>
      </c>
      <c r="BF10" s="11">
        <f t="shared" ca="1" si="5"/>
        <v>1</v>
      </c>
      <c r="BG10" s="16">
        <f ca="1">IF($BE10&lt;=0,ROUND(BK10*0.5,0), ROUND($BE10*S10*AA10*J10*AY10*0.8*[1]ステータス!$B$2,0))</f>
        <v>2842</v>
      </c>
      <c r="BH10" s="16">
        <f ca="1">IF($BE10&lt;=0,ROUND(BL10*0.5,0), ROUND($BE10*T10*AB10*K10*AZ10*0.8*[1]ステータス!$C$2,0))</f>
        <v>1133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636</v>
      </c>
      <c r="BK10" s="11">
        <f ca="1">ROUND(BD10*S10*AA10*J10*AY10*[1]ステータス!$B$2,0)</f>
        <v>4974</v>
      </c>
      <c r="BL10" s="11">
        <f ca="1">ROUND(BD10*T10*AB10*K10*AZ10*[1]ステータス!$C$2,0)</f>
        <v>1983</v>
      </c>
      <c r="BM10" s="11">
        <f ca="1">ROUND(BD10*U10*AC10*L10*BA10*[1]ステータス!$D$2,0)</f>
        <v>0</v>
      </c>
      <c r="BN10" s="11">
        <f ca="1">ROUND(BD10*V10*AD10*M10*BB10*[1]ステータス!$E$2,0)</f>
        <v>1114</v>
      </c>
      <c r="BO10" s="10">
        <v>0</v>
      </c>
      <c r="BP10" s="10">
        <v>1</v>
      </c>
      <c r="BQ10" s="10" t="s">
        <v>47</v>
      </c>
      <c r="BR10" s="10">
        <f ca="1">VLOOKUP(H10,ghosts_label!$A$2:$B$19,2,FALSE)</f>
        <v>700</v>
      </c>
    </row>
    <row r="11" spans="1:70" ht="26" customHeight="1" x14ac:dyDescent="0.15">
      <c r="A11" s="12">
        <v>779</v>
      </c>
      <c r="B11" s="57" t="str">
        <f ca="1">VLOOKUP($A11,OFFSET([1]characters!$A$1,0,0,COUNTA([1]characters!$A:$A),MATCH(B$1,[1]characters!$1:$1,0)-MATCH($A$1,[1]characters!$1:$1,0)+1),MATCH(B$1,[1]characters!$1:$1,0)-MATCH($A$1,[1]characters!$1:$1,0)+1,FALSE)</f>
        <v>頑堅咬亀 ガメック</v>
      </c>
      <c r="C11" s="57" t="str">
        <f ca="1">VLOOKUP($A11,OFFSET([1]characters!$A$1,0,0,COUNTA([1]characters!$A:$A),MATCH(C$1,[1]characters!$1:$1,0)-MATCH($A$1,[1]characters!$1:$1,0)+1),MATCH(C$1,[1]characters!$1:$1,0)-MATCH($A$1,[1]characters!$1:$1,0)+1,FALSE)</f>
        <v>ガチャ:日本昔話01</v>
      </c>
      <c r="D11" s="57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7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7" t="str">
        <f ca="1">VLOOKUP($A11,OFFSET([1]characters!$A$1,0,0,COUNTA([1]characters!$A:$A),MATCH(F$1,[1]characters!$1:$1,0)-MATCH($A$1,[1]characters!$1:$1,0)+1),MATCH(F$1,[1]characters!$1:$1,0)-MATCH($A$1,[1]characters!$1:$1,0)+1,FALSE)</f>
        <v>不明</v>
      </c>
      <c r="G11" s="57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7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7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INDEX(コスト!$A$1:$I$20,MATCH(H11,コスト!$A$1:$A$20,FALSE),MATCH(G11,コスト!$A$1:$I$1,FALSE))</f>
        <v>30</v>
      </c>
      <c r="O11" s="11">
        <f ca="1">INDEX(レベル!$A$1:$I$21,MATCH(H11,レベル!$A$1:$A$21,FALSE),MATCH(G11,レベル!$A$1:$I$1,FALSE))</f>
        <v>80</v>
      </c>
      <c r="P11" s="48">
        <f t="shared" ca="1" si="11"/>
        <v>75</v>
      </c>
      <c r="Q11" s="57" t="str">
        <f ca="1">VLOOKUP($A11,OFFSET([1]characters!$A$1,0,0,COUNTA([1]characters!$A:$A),MATCH(Q$1,[1]characters!$1:$1,0)-MATCH($A$1,[1]characters!$1:$1,0)+1),MATCH(Q$1,[1]characters!$1:$1,0)-MATCH($A$1,[1]characters!$1:$1,0)+1,FALSE)</f>
        <v>hp</v>
      </c>
      <c r="R11" s="5" t="str">
        <f ca="1">VLOOKUP(Q11,[1]character_type_i18n!$A:$H,3,FALSE)</f>
        <v>体力タイプ</v>
      </c>
      <c r="S11" s="11">
        <f ca="1">VLOOKUP(Q11,[1]character_type_i18n!$A:$H,4,FALSE)</f>
        <v>1.45</v>
      </c>
      <c r="T11" s="11">
        <f ca="1">VLOOKUP(Q11,[1]character_type_i18n!$A:$H,5,FALSE)</f>
        <v>0.85</v>
      </c>
      <c r="U11" s="11">
        <f ca="1">VLOOKUP(Q11,[1]character_type_i18n!$A:$H,6,FALSE)</f>
        <v>1</v>
      </c>
      <c r="V11" s="11">
        <f ca="1">VLOOKUP(Q11,[1]character_type_i18n!$A:$H,7,FALSE)</f>
        <v>0.7</v>
      </c>
      <c r="W11" s="57" t="str">
        <f ca="1">VLOOKUP($A11,OFFSET([1]characters!$A$1,0,0,COUNTA([1]characters!$A:$A),MATCH(W$1,[1]characters!$1:$1,0)-MATCH($A$1,[1]characters!$1:$1,0)+1),MATCH(W$1,[1]characters!$1:$1,0)-MATCH($A$1,[1]characters!$1:$1,0)+1,FALSE)</f>
        <v>animal</v>
      </c>
      <c r="X11" s="5" t="str">
        <f ca="1">VLOOKUP(W11,[1]character_tribe_i18n!$A:$H,3,FALSE)</f>
        <v>アニマル</v>
      </c>
      <c r="Y11" s="57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</v>
      </c>
      <c r="AB11" s="11">
        <f ca="1">VLOOKUP(W11,[1]character_tribe_i18n!$A:$H,5,FALSE)</f>
        <v>1.1000000000000001</v>
      </c>
      <c r="AC11" s="11">
        <f ca="1">VLOOKUP(W11,[1]character_tribe_i18n!$A:$H,6,FALSE)</f>
        <v>1</v>
      </c>
      <c r="AD11" s="11">
        <f ca="1">VLOOKUP(W11,[1]character_tribe_i18n!$A:$H,7,FALSE)</f>
        <v>0.9</v>
      </c>
      <c r="AE11" s="9" t="s">
        <v>252</v>
      </c>
      <c r="AF11" s="62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1"/>
        <v>777</v>
      </c>
      <c r="AH11" s="62" t="str">
        <f ca="1">VLOOKUP($AG11,OFFSET([1]characters!$A$1,0,0,COUNTA([1]characters!$A:$A),MATCH(AH$1,[1]characters!$1:$1,0)-MATCH($A$1,[1]characters!$1:$1,0)+1),MATCH(AH$1,[1]characters!$1:$1,0)-MATCH($A$1,[1]characters!$1:$1,0)+1,FALSE)</f>
        <v>ガメック</v>
      </c>
      <c r="AI11" s="11" t="str">
        <f>IF(AE11="NULL","NULL",VLOOKUP(G11,ビット!$A$2:$B$7,2))</f>
        <v>NULL</v>
      </c>
      <c r="AJ11" s="6">
        <v>2</v>
      </c>
      <c r="AK11" s="7" t="str">
        <f t="shared" si="12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6400</v>
      </c>
      <c r="AN11" s="17">
        <f ca="1">VLOOKUP(G11,ビット!$G$2:$H$7,2)</f>
        <v>900</v>
      </c>
      <c r="AO11" s="45"/>
      <c r="AP11" s="67">
        <f t="shared" si="6"/>
        <v>779</v>
      </c>
      <c r="AQ11" s="57" t="str">
        <f ca="1">VLOOKUP($AP11,OFFSET(unit_skills!$A$1,0,0,COUNTA(unit_skills!$A:$A),MATCH(AQ$1,unit_skills!$1:$1,0)-MATCH($AP$1,unit_skills!$1:$1,0)+1),MATCH(AQ$1,unit_skills!$1:$1,0)-MATCH($AP$1,unit_skills!$1:$1,0)+1,FALSE)</f>
        <v xml:space="preserve">亀の幾地 </v>
      </c>
      <c r="AR11" s="57" t="str">
        <f ca="1">VLOOKUP($AP11,OFFSET(unit_skills!$A$1,0,0,COUNTA(unit_skills!$A:$A),MATCH(AR$1,unit_skills!$1:$1,0)-MATCH($AP$1,unit_skills!$1:$1,0)+1),MATCH(AR$1,unit_skills!$1:$1,0)-MATCH($AP$1,unit_skills!$1:$1,0)+1,FALSE)</f>
        <v>1ターン自身のタップ回数を2増やし、攻撃力を特大UP</v>
      </c>
      <c r="AS11" s="57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1">
        <f t="shared" si="7"/>
        <v>779</v>
      </c>
      <c r="AU11" s="57" t="str">
        <f ca="1">VLOOKUP($AT11,OFFSET(crash_skills!$A$1,0,0,COUNTA(crash_skills!$A:$A),MATCH(AU$1,crash_skills!$1:$1,0)-MATCH($AT$1,crash_skills!$1:$1,0)+1),MATCH(AU$1,crash_skills!$1:$1,0)-MATCH($AT$1,crash_skills!$1:$1,0)+1,FALSE)</f>
        <v>剛堅一歩</v>
      </c>
      <c r="AV11" s="57" t="str">
        <f ca="1">VLOOKUP($AT11,OFFSET(crash_skills!$A$1,0,0,COUNTA(crash_skills!$A:$A),MATCH(AV$1,crash_skills!$1:$1,0)-MATCH($AT$1,crash_skills!$1:$1,0)+1),MATCH(AV$1,crash_skills!$1:$1,0)-MATCH($AT$1,crash_skills!$1:$1,0)+1,FALSE)</f>
        <v>単体に大ダメージ+_x000D_全体に大ダメージ</v>
      </c>
      <c r="AW11" s="57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8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8">
        <v>1</v>
      </c>
      <c r="AZ11" s="68">
        <v>1</v>
      </c>
      <c r="BA11" s="68">
        <v>0</v>
      </c>
      <c r="BB11" s="68">
        <v>1</v>
      </c>
      <c r="BC11" s="11">
        <f ca="1">INDEX('RC6SV'!$A$1:$G$20,MATCH(H11,'RC6SV'!$A$1:$A$20,FALSE),MATCH(G11,'RC6SV'!$A$1:$G$1,FALSE))</f>
        <v>9000</v>
      </c>
      <c r="BD11" s="48">
        <f t="shared" ca="1" si="13"/>
        <v>9000</v>
      </c>
      <c r="BE11" s="11">
        <f t="shared" ca="1" si="4"/>
        <v>7000</v>
      </c>
      <c r="BF11" s="11">
        <f t="shared" ca="1" si="5"/>
        <v>1</v>
      </c>
      <c r="BG11" s="16">
        <f ca="1">IF($BE11&lt;=0,ROUND(BK11*0.5,0), ROUND($BE11*S11*AA11*J11*AY11*0.8*[1]ステータス!$B$2,0))</f>
        <v>3979</v>
      </c>
      <c r="BH11" s="16">
        <f ca="1">IF($BE11&lt;=0,ROUND(BL11*0.5,0), ROUND($BE11*T11*AB11*K11*AZ11*0.8*[1]ステータス!$C$2,0))</f>
        <v>1587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891</v>
      </c>
      <c r="BK11" s="11">
        <f ca="1">ROUND(BD11*S11*AA11*J11*AY11*[1]ステータス!$B$2,0)</f>
        <v>6395</v>
      </c>
      <c r="BL11" s="11">
        <f ca="1">ROUND(BD11*T11*AB11*K11*AZ11*[1]ステータス!$C$2,0)</f>
        <v>2550</v>
      </c>
      <c r="BM11" s="11">
        <f ca="1">ROUND(BD11*U11*AC11*L11*BA11*[1]ステータス!$D$2,0)</f>
        <v>0</v>
      </c>
      <c r="BN11" s="11">
        <f ca="1">ROUND(BD11*V11*AD11*M11*BB11*[1]ステータス!$E$2,0)</f>
        <v>1432</v>
      </c>
      <c r="BO11" s="10">
        <v>0</v>
      </c>
      <c r="BP11" s="10">
        <v>1</v>
      </c>
      <c r="BQ11" s="10" t="s">
        <v>47</v>
      </c>
      <c r="BR11" s="10">
        <f ca="1">VLOOKUP(H11,ghosts_label!$A$2:$B$19,2,FALSE)</f>
        <v>700</v>
      </c>
    </row>
  </sheetData>
  <autoFilter ref="A1:BQ1"/>
  <phoneticPr fontId="10"/>
  <conditionalFormatting sqref="BO1">
    <cfRule type="cellIs" dxfId="27" priority="120" stopIfTrue="1" operator="equal">
      <formula>1</formula>
    </cfRule>
  </conditionalFormatting>
  <conditionalFormatting sqref="BQ1">
    <cfRule type="cellIs" dxfId="26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8" sqref="D18"/>
    </sheetView>
  </sheetViews>
  <sheetFormatPr baseColWidth="12" defaultColWidth="13" defaultRowHeight="21" customHeight="1" outlineLevelCol="1" x14ac:dyDescent="0.15"/>
  <cols>
    <col min="1" max="1" width="16.1640625" style="132" bestFit="1" customWidth="1"/>
    <col min="2" max="2" width="13" style="132" bestFit="1" customWidth="1"/>
    <col min="3" max="3" width="21.83203125" style="132" customWidth="1"/>
    <col min="4" max="4" width="41.83203125" style="132" customWidth="1"/>
    <col min="5" max="5" width="9" style="132" customWidth="1"/>
    <col min="6" max="6" width="7.83203125" style="132" bestFit="1" customWidth="1"/>
    <col min="7" max="7" width="8.1640625" style="132" bestFit="1" customWidth="1"/>
    <col min="8" max="8" width="13.6640625" style="132" bestFit="1" customWidth="1"/>
    <col min="9" max="10" width="51.6640625" style="132" customWidth="1"/>
    <col min="11" max="11" width="10.83203125" style="132" customWidth="1" outlineLevel="1"/>
    <col min="12" max="17" width="9.5" style="131" customWidth="1" outlineLevel="1"/>
    <col min="18" max="18" width="20.33203125" style="132" customWidth="1" outlineLevel="1"/>
    <col min="19" max="19" width="10.33203125" style="132" bestFit="1" customWidth="1"/>
    <col min="20" max="16384" width="13" style="132"/>
  </cols>
  <sheetData>
    <row r="1" spans="1:19" s="131" customFormat="1" ht="21" customHeight="1" x14ac:dyDescent="0.15">
      <c r="A1" s="120" t="s">
        <v>20</v>
      </c>
      <c r="B1" s="121" t="s">
        <v>134</v>
      </c>
      <c r="C1" s="122" t="s">
        <v>40</v>
      </c>
      <c r="D1" s="123" t="s">
        <v>163</v>
      </c>
      <c r="E1" s="123" t="s">
        <v>164</v>
      </c>
      <c r="F1" s="120" t="s">
        <v>146</v>
      </c>
      <c r="G1" s="124" t="s">
        <v>2</v>
      </c>
      <c r="H1" s="124" t="s">
        <v>165</v>
      </c>
      <c r="I1" s="124" t="s">
        <v>166</v>
      </c>
      <c r="J1" s="125" t="s">
        <v>183</v>
      </c>
      <c r="K1" s="124" t="s">
        <v>4</v>
      </c>
      <c r="L1" s="126" t="s">
        <v>167</v>
      </c>
      <c r="M1" s="127" t="s">
        <v>168</v>
      </c>
      <c r="N1" s="127" t="s">
        <v>169</v>
      </c>
      <c r="O1" s="127" t="s">
        <v>170</v>
      </c>
      <c r="P1" s="127" t="s">
        <v>171</v>
      </c>
      <c r="Q1" s="128" t="s">
        <v>172</v>
      </c>
      <c r="R1" s="129" t="s">
        <v>173</v>
      </c>
      <c r="S1" s="130" t="s">
        <v>174</v>
      </c>
    </row>
    <row r="2" spans="1:19" ht="21" customHeight="1" x14ac:dyDescent="0.15">
      <c r="A2" s="12">
        <v>770</v>
      </c>
      <c r="B2" s="135" t="s">
        <v>184</v>
      </c>
      <c r="C2" s="136" t="s">
        <v>262</v>
      </c>
      <c r="D2" s="136" t="s">
        <v>282</v>
      </c>
      <c r="E2" s="137">
        <f t="shared" ref="E2" si="0">LEN(D2)</f>
        <v>35</v>
      </c>
      <c r="F2" s="119">
        <v>12</v>
      </c>
      <c r="G2" s="119">
        <v>5</v>
      </c>
      <c r="H2" s="138">
        <f>2001</f>
        <v>2001</v>
      </c>
      <c r="I2" s="138" t="s">
        <v>327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ハヅル</v>
      </c>
      <c r="K2" s="139">
        <v>3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771</v>
      </c>
      <c r="B3" s="135" t="s">
        <v>184</v>
      </c>
      <c r="C3" s="136" t="s">
        <v>262</v>
      </c>
      <c r="D3" s="136" t="s">
        <v>278</v>
      </c>
      <c r="E3" s="137">
        <f>LEN(D3)</f>
        <v>35</v>
      </c>
      <c r="F3" s="119">
        <v>13</v>
      </c>
      <c r="G3" s="119">
        <v>5</v>
      </c>
      <c r="H3" s="138">
        <f>2001</f>
        <v>2001</v>
      </c>
      <c r="I3" s="138" t="s">
        <v>328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天織羽鶴 ハヅル</v>
      </c>
      <c r="K3" s="139">
        <v>3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772</v>
      </c>
      <c r="B4" s="135" t="s">
        <v>184</v>
      </c>
      <c r="C4" s="171" t="s">
        <v>263</v>
      </c>
      <c r="D4" s="136" t="s">
        <v>260</v>
      </c>
      <c r="E4" s="137">
        <f t="shared" ref="E4" si="1">LEN(D4)</f>
        <v>32</v>
      </c>
      <c r="F4" s="119">
        <v>11</v>
      </c>
      <c r="G4" s="119">
        <v>5</v>
      </c>
      <c r="H4" s="138">
        <f>2001</f>
        <v>2001</v>
      </c>
      <c r="I4" s="138" t="s">
        <v>269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イナバ</v>
      </c>
      <c r="K4" s="139">
        <v>3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773</v>
      </c>
      <c r="B5" s="135" t="s">
        <v>184</v>
      </c>
      <c r="C5" s="171" t="s">
        <v>263</v>
      </c>
      <c r="D5" s="136" t="str">
        <f>D4</f>
        <v>赤・青パネルを緑パネルに変換し、1ターン緑属性の攻撃力を特大UP</v>
      </c>
      <c r="E5" s="137">
        <f t="shared" ref="E5:E11" si="2">LEN(D5)</f>
        <v>32</v>
      </c>
      <c r="F5" s="119">
        <v>11</v>
      </c>
      <c r="G5" s="119">
        <v>5</v>
      </c>
      <c r="H5" s="138">
        <f>2001</f>
        <v>2001</v>
      </c>
      <c r="I5" s="138" t="s">
        <v>269</v>
      </c>
      <c r="J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浮跳天兎 イナバ</v>
      </c>
      <c r="K5" s="139">
        <v>3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774</v>
      </c>
      <c r="B6" s="135" t="s">
        <v>184</v>
      </c>
      <c r="C6" s="136" t="s">
        <v>264</v>
      </c>
      <c r="D6" s="136" t="s">
        <v>334</v>
      </c>
      <c r="E6" s="137">
        <f t="shared" si="2"/>
        <v>28</v>
      </c>
      <c r="F6" s="119">
        <v>12</v>
      </c>
      <c r="G6" s="119">
        <v>5</v>
      </c>
      <c r="H6" s="138">
        <f>2001</f>
        <v>2001</v>
      </c>
      <c r="I6" s="138" t="s">
        <v>324</v>
      </c>
      <c r="J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ミズチ</v>
      </c>
      <c r="K6" s="139">
        <v>3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775</v>
      </c>
      <c r="B7" s="135" t="s">
        <v>184</v>
      </c>
      <c r="C7" s="136" t="s">
        <v>264</v>
      </c>
      <c r="D7" s="136" t="s">
        <v>334</v>
      </c>
      <c r="E7" s="137">
        <f t="shared" si="2"/>
        <v>28</v>
      </c>
      <c r="F7" s="119">
        <v>12</v>
      </c>
      <c r="G7" s="119">
        <v>5</v>
      </c>
      <c r="H7" s="138">
        <f>2001</f>
        <v>2001</v>
      </c>
      <c r="I7" s="138" t="s">
        <v>261</v>
      </c>
      <c r="J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水底霊竜 ミズチ</v>
      </c>
      <c r="K7" s="139">
        <v>3</v>
      </c>
      <c r="L7" s="140"/>
      <c r="M7" s="141"/>
      <c r="N7" s="141"/>
      <c r="O7" s="141"/>
      <c r="P7" s="141"/>
      <c r="Q7" s="141"/>
      <c r="R7" s="136"/>
      <c r="S7" s="142"/>
    </row>
    <row r="8" spans="1:19" ht="21" customHeight="1" x14ac:dyDescent="0.15">
      <c r="A8" s="12">
        <v>776</v>
      </c>
      <c r="B8" s="135" t="s">
        <v>184</v>
      </c>
      <c r="C8" s="136" t="s">
        <v>264</v>
      </c>
      <c r="D8" s="136" t="s">
        <v>334</v>
      </c>
      <c r="E8" s="137">
        <f t="shared" si="2"/>
        <v>28</v>
      </c>
      <c r="F8" s="119">
        <v>12</v>
      </c>
      <c r="G8" s="119">
        <v>5</v>
      </c>
      <c r="H8" s="138">
        <f>2001</f>
        <v>2001</v>
      </c>
      <c r="I8" s="138" t="s">
        <v>283</v>
      </c>
      <c r="J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水竜底主 ミズチ</v>
      </c>
      <c r="K8" s="139">
        <v>3</v>
      </c>
      <c r="L8" s="140"/>
      <c r="M8" s="141"/>
      <c r="N8" s="141"/>
      <c r="O8" s="141"/>
      <c r="P8" s="141"/>
      <c r="Q8" s="141"/>
      <c r="R8" s="136"/>
      <c r="S8" s="142"/>
    </row>
    <row r="9" spans="1:19" ht="21" customHeight="1" x14ac:dyDescent="0.15">
      <c r="A9" s="12">
        <v>777</v>
      </c>
      <c r="B9" s="135" t="s">
        <v>184</v>
      </c>
      <c r="C9" s="136" t="s">
        <v>265</v>
      </c>
      <c r="D9" s="136" t="s">
        <v>326</v>
      </c>
      <c r="E9" s="137">
        <f t="shared" si="2"/>
        <v>25</v>
      </c>
      <c r="F9" s="119">
        <v>10</v>
      </c>
      <c r="G9" s="119">
        <v>5</v>
      </c>
      <c r="H9" s="138">
        <f>2001</f>
        <v>2001</v>
      </c>
      <c r="I9" s="138" t="s">
        <v>329</v>
      </c>
      <c r="J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ガメック</v>
      </c>
      <c r="K9" s="139">
        <v>3</v>
      </c>
      <c r="L9" s="140"/>
      <c r="M9" s="141"/>
      <c r="N9" s="141"/>
      <c r="O9" s="141"/>
      <c r="P9" s="141"/>
      <c r="Q9" s="141"/>
      <c r="R9" s="136"/>
      <c r="S9" s="142"/>
    </row>
    <row r="10" spans="1:19" ht="21" customHeight="1" x14ac:dyDescent="0.15">
      <c r="A10" s="12">
        <v>778</v>
      </c>
      <c r="B10" s="135" t="s">
        <v>184</v>
      </c>
      <c r="C10" s="136" t="s">
        <v>265</v>
      </c>
      <c r="D10" s="136" t="s">
        <v>325</v>
      </c>
      <c r="E10" s="137">
        <f t="shared" si="2"/>
        <v>25</v>
      </c>
      <c r="F10" s="119">
        <v>10</v>
      </c>
      <c r="G10" s="119">
        <v>5</v>
      </c>
      <c r="H10" s="138">
        <f>2001</f>
        <v>2001</v>
      </c>
      <c r="I10" s="138" t="s">
        <v>329</v>
      </c>
      <c r="J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一亀懸明 ガメック</v>
      </c>
      <c r="K10" s="139">
        <v>3</v>
      </c>
      <c r="L10" s="140"/>
      <c r="M10" s="141"/>
      <c r="N10" s="141"/>
      <c r="O10" s="141"/>
      <c r="P10" s="141"/>
      <c r="Q10" s="141"/>
      <c r="R10" s="136"/>
      <c r="S10" s="142"/>
    </row>
    <row r="11" spans="1:19" ht="21" customHeight="1" x14ac:dyDescent="0.15">
      <c r="A11" s="12">
        <v>779</v>
      </c>
      <c r="B11" s="135" t="s">
        <v>184</v>
      </c>
      <c r="C11" s="136" t="s">
        <v>266</v>
      </c>
      <c r="D11" s="136" t="s">
        <v>253</v>
      </c>
      <c r="E11" s="137">
        <f t="shared" si="2"/>
        <v>26</v>
      </c>
      <c r="F11" s="119">
        <v>10</v>
      </c>
      <c r="G11" s="119">
        <v>5</v>
      </c>
      <c r="H11" s="138">
        <f>2001</f>
        <v>2001</v>
      </c>
      <c r="I11" s="138" t="s">
        <v>330</v>
      </c>
      <c r="J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頑堅咬亀 ガメック</v>
      </c>
      <c r="K11" s="139">
        <v>3</v>
      </c>
      <c r="L11" s="140"/>
      <c r="M11" s="141"/>
      <c r="N11" s="141"/>
      <c r="O11" s="141"/>
      <c r="P11" s="141"/>
      <c r="Q11" s="141"/>
      <c r="R11" s="136"/>
      <c r="S11" s="142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2:E1048576">
    <cfRule type="cellIs" dxfId="25" priority="7" operator="greaterThan">
      <formula>41</formula>
    </cfRule>
  </conditionalFormatting>
  <conditionalFormatting sqref="E2:E11">
    <cfRule type="cellIs" dxfId="24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14" sqref="F14"/>
    </sheetView>
  </sheetViews>
  <sheetFormatPr baseColWidth="12" defaultColWidth="13" defaultRowHeight="21" customHeight="1" x14ac:dyDescent="0.15"/>
  <cols>
    <col min="1" max="2" width="12.1640625" style="132" customWidth="1"/>
    <col min="3" max="3" width="48.83203125" style="133" customWidth="1"/>
    <col min="4" max="4" width="23.83203125" style="133" customWidth="1"/>
    <col min="5" max="5" width="10.5" style="133" customWidth="1"/>
    <col min="6" max="7" width="59.1640625" style="133" customWidth="1"/>
    <col min="8" max="8" width="6.83203125" style="132" bestFit="1" customWidth="1"/>
    <col min="9" max="9" width="20.33203125" style="132" customWidth="1"/>
    <col min="10" max="10" width="5" style="132" bestFit="1" customWidth="1"/>
    <col min="11" max="16384" width="13" style="132"/>
  </cols>
  <sheetData>
    <row r="1" spans="1:19" ht="21" customHeight="1" x14ac:dyDescent="0.15">
      <c r="A1" s="120" t="s">
        <v>181</v>
      </c>
      <c r="B1" s="121" t="s">
        <v>180</v>
      </c>
      <c r="C1" s="122" t="s">
        <v>254</v>
      </c>
      <c r="D1" s="123" t="s">
        <v>179</v>
      </c>
      <c r="E1" s="123" t="s">
        <v>178</v>
      </c>
      <c r="F1" s="124" t="s">
        <v>177</v>
      </c>
      <c r="G1" s="125" t="s">
        <v>183</v>
      </c>
      <c r="H1" s="124" t="s">
        <v>176</v>
      </c>
      <c r="I1" s="125" t="s">
        <v>175</v>
      </c>
      <c r="J1" s="129" t="s">
        <v>174</v>
      </c>
    </row>
    <row r="2" spans="1:19" ht="21" customHeight="1" x14ac:dyDescent="0.15">
      <c r="A2" s="12">
        <v>770</v>
      </c>
      <c r="B2" s="135" t="s">
        <v>185</v>
      </c>
      <c r="C2" s="183" t="s">
        <v>284</v>
      </c>
      <c r="D2" s="168" t="s">
        <v>256</v>
      </c>
      <c r="E2" s="137">
        <f t="shared" ref="E2" si="0">LEN(D2)</f>
        <v>19</v>
      </c>
      <c r="F2" s="169" t="s">
        <v>281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ハヅル</v>
      </c>
      <c r="H2" s="138">
        <v>3</v>
      </c>
      <c r="I2" s="138"/>
      <c r="J2" s="143"/>
      <c r="K2" s="139">
        <v>1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771</v>
      </c>
      <c r="B3" s="135" t="s">
        <v>184</v>
      </c>
      <c r="C3" s="183" t="s">
        <v>285</v>
      </c>
      <c r="D3" s="168" t="s">
        <v>258</v>
      </c>
      <c r="E3" s="137">
        <f t="shared" ref="E3:E4" si="1">LEN(D3)</f>
        <v>19</v>
      </c>
      <c r="F3" s="169" t="s">
        <v>280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天織羽鶴 ハヅル</v>
      </c>
      <c r="H3" s="138">
        <v>3</v>
      </c>
      <c r="I3" s="138"/>
      <c r="J3" s="143"/>
      <c r="K3" s="139">
        <v>2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772</v>
      </c>
      <c r="B4" s="135" t="s">
        <v>184</v>
      </c>
      <c r="C4" s="183" t="s">
        <v>286</v>
      </c>
      <c r="D4" s="136" t="s">
        <v>357</v>
      </c>
      <c r="E4" s="137">
        <f t="shared" si="1"/>
        <v>9</v>
      </c>
      <c r="F4" s="170" t="s">
        <v>279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イナバ</v>
      </c>
      <c r="H4" s="138">
        <v>3</v>
      </c>
      <c r="I4" s="138"/>
      <c r="J4" s="143"/>
      <c r="K4" s="139">
        <v>3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773</v>
      </c>
      <c r="B5" s="135" t="s">
        <v>184</v>
      </c>
      <c r="C5" s="183" t="s">
        <v>287</v>
      </c>
      <c r="D5" s="136" t="s">
        <v>357</v>
      </c>
      <c r="E5" s="137">
        <f t="shared" ref="E5:E11" si="2">LEN(D5)</f>
        <v>9</v>
      </c>
      <c r="F5" s="170" t="s">
        <v>279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浮跳天兎 イナバ</v>
      </c>
      <c r="H5" s="138">
        <v>3</v>
      </c>
      <c r="I5" s="138"/>
      <c r="J5" s="143"/>
      <c r="K5" s="139">
        <v>4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774</v>
      </c>
      <c r="B6" s="135" t="s">
        <v>184</v>
      </c>
      <c r="C6" s="183" t="s">
        <v>288</v>
      </c>
      <c r="D6" s="136" t="s">
        <v>293</v>
      </c>
      <c r="E6" s="137">
        <f t="shared" si="2"/>
        <v>15</v>
      </c>
      <c r="F6" s="138" t="s">
        <v>333</v>
      </c>
      <c r="G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ミズチ</v>
      </c>
      <c r="H6" s="138">
        <v>3</v>
      </c>
      <c r="I6" s="138"/>
      <c r="J6" s="143"/>
      <c r="K6" s="139">
        <v>5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775</v>
      </c>
      <c r="B7" s="135" t="s">
        <v>184</v>
      </c>
      <c r="C7" s="183" t="s">
        <v>289</v>
      </c>
      <c r="D7" s="136" t="s">
        <v>293</v>
      </c>
      <c r="E7" s="137">
        <f t="shared" si="2"/>
        <v>15</v>
      </c>
      <c r="F7" s="138" t="s">
        <v>333</v>
      </c>
      <c r="G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水底霊竜 ミズチ</v>
      </c>
      <c r="H7" s="138">
        <v>3</v>
      </c>
      <c r="I7" s="138"/>
      <c r="J7" s="143"/>
      <c r="K7" s="139">
        <v>6</v>
      </c>
      <c r="L7" s="140"/>
      <c r="M7" s="141"/>
      <c r="N7" s="141"/>
      <c r="O7" s="141"/>
      <c r="P7" s="141"/>
      <c r="Q7" s="141"/>
      <c r="R7" s="136"/>
      <c r="S7" s="142"/>
    </row>
    <row r="8" spans="1:19" ht="21" customHeight="1" x14ac:dyDescent="0.15">
      <c r="A8" s="12">
        <v>776</v>
      </c>
      <c r="B8" s="135" t="s">
        <v>184</v>
      </c>
      <c r="C8" s="183" t="s">
        <v>290</v>
      </c>
      <c r="D8" s="136" t="s">
        <v>257</v>
      </c>
      <c r="E8" s="137">
        <f t="shared" si="2"/>
        <v>15</v>
      </c>
      <c r="F8" s="138" t="s">
        <v>332</v>
      </c>
      <c r="G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水竜底主 ミズチ</v>
      </c>
      <c r="H8" s="138">
        <v>3</v>
      </c>
      <c r="I8" s="138"/>
      <c r="J8" s="143"/>
      <c r="K8" s="139">
        <v>7</v>
      </c>
      <c r="L8" s="140"/>
      <c r="M8" s="141"/>
      <c r="N8" s="141"/>
      <c r="O8" s="141"/>
      <c r="P8" s="141"/>
      <c r="Q8" s="141"/>
      <c r="R8" s="136"/>
      <c r="S8" s="142"/>
    </row>
    <row r="9" spans="1:19" ht="21" customHeight="1" x14ac:dyDescent="0.2">
      <c r="A9" s="12">
        <v>777</v>
      </c>
      <c r="B9" s="135" t="s">
        <v>184</v>
      </c>
      <c r="C9" s="184" t="s">
        <v>291</v>
      </c>
      <c r="D9" s="136" t="s">
        <v>267</v>
      </c>
      <c r="E9" s="137">
        <f t="shared" si="2"/>
        <v>18</v>
      </c>
      <c r="F9" s="170" t="s">
        <v>331</v>
      </c>
      <c r="G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ガメック</v>
      </c>
      <c r="H9" s="138">
        <v>3</v>
      </c>
      <c r="I9" s="138"/>
      <c r="J9" s="143"/>
      <c r="K9" s="139">
        <v>8</v>
      </c>
      <c r="L9" s="140"/>
      <c r="M9" s="141"/>
      <c r="N9" s="141"/>
      <c r="O9" s="141"/>
      <c r="P9" s="141"/>
      <c r="Q9" s="141"/>
      <c r="R9" s="136"/>
      <c r="S9" s="142"/>
    </row>
    <row r="10" spans="1:19" ht="21" customHeight="1" x14ac:dyDescent="0.2">
      <c r="A10" s="12">
        <v>778</v>
      </c>
      <c r="B10" s="135" t="s">
        <v>184</v>
      </c>
      <c r="C10" s="184" t="s">
        <v>291</v>
      </c>
      <c r="D10" s="136" t="s">
        <v>267</v>
      </c>
      <c r="E10" s="137">
        <f t="shared" si="2"/>
        <v>18</v>
      </c>
      <c r="F10" s="170" t="s">
        <v>331</v>
      </c>
      <c r="G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一亀懸明 ガメック</v>
      </c>
      <c r="H10" s="138">
        <v>3</v>
      </c>
      <c r="I10" s="138"/>
      <c r="J10" s="143"/>
      <c r="K10" s="139">
        <v>9</v>
      </c>
      <c r="L10" s="140"/>
      <c r="M10" s="141"/>
      <c r="N10" s="141"/>
      <c r="O10" s="141"/>
      <c r="P10" s="141"/>
      <c r="Q10" s="141"/>
      <c r="R10" s="136"/>
      <c r="S10" s="142"/>
    </row>
    <row r="11" spans="1:19" ht="21" customHeight="1" x14ac:dyDescent="0.15">
      <c r="A11" s="12">
        <v>779</v>
      </c>
      <c r="B11" s="135" t="s">
        <v>184</v>
      </c>
      <c r="C11" s="183" t="s">
        <v>292</v>
      </c>
      <c r="D11" s="167" t="s">
        <v>268</v>
      </c>
      <c r="E11" s="137">
        <f t="shared" si="2"/>
        <v>18</v>
      </c>
      <c r="F11" s="119" t="s">
        <v>255</v>
      </c>
      <c r="G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頑堅咬亀 ガメック</v>
      </c>
      <c r="H11" s="138">
        <v>3</v>
      </c>
      <c r="I11" s="138"/>
      <c r="J11" s="143"/>
      <c r="K11" s="139">
        <v>10</v>
      </c>
      <c r="L11" s="140"/>
      <c r="M11" s="141"/>
      <c r="N11" s="141"/>
      <c r="O11" s="141"/>
      <c r="P11" s="141"/>
      <c r="Q11" s="141"/>
      <c r="R11" s="136"/>
      <c r="S11" s="142"/>
    </row>
  </sheetData>
  <sheetProtection selectLockedCells="1" selectUnlockedCells="1"/>
  <autoFilter ref="A1:J1"/>
  <phoneticPr fontId="22"/>
  <conditionalFormatting sqref="E2:E11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33"/>
  <sheetViews>
    <sheetView topLeftCell="A4" workbookViewId="0">
      <selection activeCell="I23" sqref="I23"/>
    </sheetView>
  </sheetViews>
  <sheetFormatPr baseColWidth="12" defaultRowHeight="15" outlineLevelCol="1" x14ac:dyDescent="0.15"/>
  <cols>
    <col min="1" max="1" width="12.83203125" style="181"/>
    <col min="2" max="2" width="12.83203125" style="178"/>
    <col min="3" max="3" width="12.83203125" style="177"/>
    <col min="4" max="4" width="12.83203125" style="178" customWidth="1" outlineLevel="1"/>
    <col min="5" max="5" width="12.83203125" style="178"/>
    <col min="6" max="7" width="12.83203125" style="177"/>
    <col min="8" max="8" width="58.33203125" style="177" customWidth="1"/>
  </cols>
  <sheetData>
    <row r="1" spans="1:8" x14ac:dyDescent="0.15">
      <c r="A1" s="179" t="s">
        <v>186</v>
      </c>
      <c r="B1" s="173" t="s">
        <v>187</v>
      </c>
      <c r="C1" s="172" t="s">
        <v>188</v>
      </c>
      <c r="D1" s="173" t="s">
        <v>190</v>
      </c>
      <c r="E1" s="173" t="s">
        <v>191</v>
      </c>
      <c r="F1" s="174" t="s">
        <v>192</v>
      </c>
      <c r="G1" s="172" t="s">
        <v>189</v>
      </c>
      <c r="H1" s="174" t="s">
        <v>193</v>
      </c>
    </row>
    <row r="2" spans="1:8" x14ac:dyDescent="0.15">
      <c r="A2" s="175">
        <v>770</v>
      </c>
      <c r="B2" s="173" t="str">
        <f>VLOOKUP(A2,[1]characters!$A:$C,3,FALSE)</f>
        <v>ハヅル</v>
      </c>
      <c r="C2" s="176" t="s">
        <v>194</v>
      </c>
      <c r="D2" s="173"/>
      <c r="E2" s="182" t="str">
        <f>A2&amp;+(COUNTIF(A$2:A2,A2)-1)</f>
        <v>7700</v>
      </c>
      <c r="F2" s="176" t="s">
        <v>196</v>
      </c>
      <c r="G2" s="176" t="s">
        <v>195</v>
      </c>
      <c r="H2" s="183" t="s">
        <v>294</v>
      </c>
    </row>
    <row r="3" spans="1:8" x14ac:dyDescent="0.15">
      <c r="A3" s="175">
        <v>770</v>
      </c>
      <c r="B3" s="173" t="str">
        <f>VLOOKUP(A3,[1]characters!$A:$C,3,FALSE)</f>
        <v>ハヅル</v>
      </c>
      <c r="C3" s="176" t="s">
        <v>197</v>
      </c>
      <c r="D3" s="173"/>
      <c r="E3" s="182" t="str">
        <f>A3&amp;+(COUNTIF(A$2:A3,A3)-1)</f>
        <v>7701</v>
      </c>
      <c r="F3" s="176" t="s">
        <v>196</v>
      </c>
      <c r="G3" s="176" t="s">
        <v>195</v>
      </c>
      <c r="H3" s="176" t="s">
        <v>296</v>
      </c>
    </row>
    <row r="4" spans="1:8" x14ac:dyDescent="0.15">
      <c r="A4" s="180">
        <v>770</v>
      </c>
      <c r="B4" s="173" t="str">
        <f>VLOOKUP(A4,[1]characters!$A:$C,3,FALSE)</f>
        <v>ハヅル</v>
      </c>
      <c r="C4" s="176" t="s">
        <v>197</v>
      </c>
      <c r="D4" s="173"/>
      <c r="E4" s="182" t="str">
        <f>A4&amp;+(COUNTIF(A$2:A4,A4)-1)</f>
        <v>7702</v>
      </c>
      <c r="F4" s="176" t="s">
        <v>196</v>
      </c>
      <c r="G4" s="176" t="s">
        <v>195</v>
      </c>
      <c r="H4" s="176" t="s">
        <v>297</v>
      </c>
    </row>
    <row r="5" spans="1:8" x14ac:dyDescent="0.15">
      <c r="A5" s="180">
        <v>771</v>
      </c>
      <c r="B5" s="173" t="str">
        <f>VLOOKUP(A5,[1]characters!$A:$C,3,FALSE)</f>
        <v>天織羽鶴 ハヅル</v>
      </c>
      <c r="C5" s="176" t="s">
        <v>270</v>
      </c>
      <c r="D5" s="173"/>
      <c r="E5" s="182" t="str">
        <f>A5&amp;+(COUNTIF(A$2:A5,A5)-1)</f>
        <v>7710</v>
      </c>
      <c r="F5" s="176" t="s">
        <v>196</v>
      </c>
      <c r="G5" s="176" t="s">
        <v>195</v>
      </c>
      <c r="H5" s="183" t="s">
        <v>295</v>
      </c>
    </row>
    <row r="6" spans="1:8" x14ac:dyDescent="0.15">
      <c r="A6" s="180">
        <v>771</v>
      </c>
      <c r="B6" s="173" t="str">
        <f>VLOOKUP(A6,[1]characters!$A:$C,3,FALSE)</f>
        <v>天織羽鶴 ハヅル</v>
      </c>
      <c r="C6" s="176" t="s">
        <v>197</v>
      </c>
      <c r="D6" s="173"/>
      <c r="E6" s="182" t="str">
        <f>A6&amp;+(COUNTIF(A$2:A6,A6)-1)</f>
        <v>7711</v>
      </c>
      <c r="F6" s="176" t="s">
        <v>196</v>
      </c>
      <c r="G6" s="176" t="s">
        <v>195</v>
      </c>
      <c r="H6" s="176" t="s">
        <v>296</v>
      </c>
    </row>
    <row r="7" spans="1:8" x14ac:dyDescent="0.15">
      <c r="A7" s="180">
        <v>771</v>
      </c>
      <c r="B7" s="173" t="str">
        <f>VLOOKUP(A7,[1]characters!$A:$C,3,FALSE)</f>
        <v>天織羽鶴 ハヅル</v>
      </c>
      <c r="C7" s="176" t="s">
        <v>197</v>
      </c>
      <c r="D7" s="173"/>
      <c r="E7" s="182" t="str">
        <f>A7&amp;+(COUNTIF(A$2:A7,A7)-1)</f>
        <v>7712</v>
      </c>
      <c r="F7" s="176" t="s">
        <v>196</v>
      </c>
      <c r="G7" s="176" t="s">
        <v>195</v>
      </c>
      <c r="H7" s="176" t="s">
        <v>297</v>
      </c>
    </row>
    <row r="8" spans="1:8" x14ac:dyDescent="0.15">
      <c r="A8" s="180">
        <v>771</v>
      </c>
      <c r="B8" s="173" t="str">
        <f>VLOOKUP(A8,[1]characters!$A:$C,3,FALSE)</f>
        <v>天織羽鶴 ハヅル</v>
      </c>
      <c r="C8" s="176" t="s">
        <v>197</v>
      </c>
      <c r="D8" s="173"/>
      <c r="E8" s="182" t="str">
        <f>A8&amp;+(COUNTIF(A$2:A8,A8)-1)</f>
        <v>7713</v>
      </c>
      <c r="F8" s="176" t="s">
        <v>196</v>
      </c>
      <c r="G8" s="176" t="s">
        <v>195</v>
      </c>
      <c r="H8" s="176" t="s">
        <v>298</v>
      </c>
    </row>
    <row r="9" spans="1:8" x14ac:dyDescent="0.15">
      <c r="A9" s="175">
        <v>772</v>
      </c>
      <c r="B9" s="173" t="str">
        <f>VLOOKUP(A9,[1]characters!$A:$C,3,FALSE)</f>
        <v>イナバ</v>
      </c>
      <c r="C9" s="176" t="s">
        <v>271</v>
      </c>
      <c r="D9" s="173"/>
      <c r="E9" s="182" t="str">
        <f>A9&amp;+(COUNTIF(A$2:A9,A9)-1)</f>
        <v>7720</v>
      </c>
      <c r="F9" s="176" t="s">
        <v>196</v>
      </c>
      <c r="G9" s="176" t="s">
        <v>304</v>
      </c>
      <c r="H9" s="183" t="s">
        <v>311</v>
      </c>
    </row>
    <row r="10" spans="1:8" x14ac:dyDescent="0.15">
      <c r="A10" s="175">
        <v>772</v>
      </c>
      <c r="B10" s="173" t="str">
        <f>VLOOKUP(A10,[1]characters!$A:$C,3,FALSE)</f>
        <v>イナバ</v>
      </c>
      <c r="C10" s="176" t="s">
        <v>272</v>
      </c>
      <c r="D10" s="173"/>
      <c r="E10" s="182" t="str">
        <f>A10&amp;+(COUNTIF(A$2:A10,A10)-1)</f>
        <v>7721</v>
      </c>
      <c r="F10" s="176" t="s">
        <v>196</v>
      </c>
      <c r="G10" s="176" t="s">
        <v>304</v>
      </c>
      <c r="H10" s="176" t="s">
        <v>310</v>
      </c>
    </row>
    <row r="11" spans="1:8" x14ac:dyDescent="0.15">
      <c r="A11" s="180">
        <v>772</v>
      </c>
      <c r="B11" s="173" t="str">
        <f>VLOOKUP(A11,[1]characters!$A:$C,3,FALSE)</f>
        <v>イナバ</v>
      </c>
      <c r="C11" s="176" t="s">
        <v>273</v>
      </c>
      <c r="D11" s="173"/>
      <c r="E11" s="182" t="str">
        <f>A11&amp;+(COUNTIF(A$2:A11,A11)-1)</f>
        <v>7722</v>
      </c>
      <c r="F11" s="176" t="s">
        <v>196</v>
      </c>
      <c r="G11" s="176" t="s">
        <v>306</v>
      </c>
      <c r="H11" s="176" t="s">
        <v>301</v>
      </c>
    </row>
    <row r="12" spans="1:8" x14ac:dyDescent="0.15">
      <c r="A12" s="180">
        <v>773</v>
      </c>
      <c r="B12" s="173" t="str">
        <f>VLOOKUP(A12,[1]characters!$A:$C,3,FALSE)</f>
        <v>浮跳天兎 イナバ</v>
      </c>
      <c r="C12" s="176" t="s">
        <v>308</v>
      </c>
      <c r="D12" s="173"/>
      <c r="E12" s="182" t="str">
        <f>A12&amp;+(COUNTIF(A$2:A12,A12)-1)</f>
        <v>7730</v>
      </c>
      <c r="F12" s="176" t="s">
        <v>196</v>
      </c>
      <c r="G12" s="176" t="s">
        <v>306</v>
      </c>
      <c r="H12" s="183" t="s">
        <v>300</v>
      </c>
    </row>
    <row r="13" spans="1:8" x14ac:dyDescent="0.15">
      <c r="A13" s="180">
        <v>773</v>
      </c>
      <c r="B13" s="173" t="str">
        <f>VLOOKUP(A13,[1]characters!$A:$C,3,FALSE)</f>
        <v>浮跳天兎 イナバ</v>
      </c>
      <c r="C13" s="176" t="s">
        <v>197</v>
      </c>
      <c r="D13" s="173"/>
      <c r="E13" s="182" t="str">
        <f>A13&amp;+(COUNTIF(A$2:A13,A13)-1)</f>
        <v>7731</v>
      </c>
      <c r="F13" s="176" t="s">
        <v>196</v>
      </c>
      <c r="G13" s="176" t="s">
        <v>304</v>
      </c>
      <c r="H13" s="176" t="s">
        <v>309</v>
      </c>
    </row>
    <row r="14" spans="1:8" x14ac:dyDescent="0.15">
      <c r="A14" s="180">
        <v>773</v>
      </c>
      <c r="B14" s="173" t="str">
        <f>VLOOKUP(A14,[1]characters!$A:$C,3,FALSE)</f>
        <v>浮跳天兎 イナバ</v>
      </c>
      <c r="C14" s="176" t="s">
        <v>197</v>
      </c>
      <c r="D14" s="173"/>
      <c r="E14" s="182" t="str">
        <f>A14&amp;+(COUNTIF(A$2:A14,A14)-1)</f>
        <v>7732</v>
      </c>
      <c r="F14" s="176" t="s">
        <v>196</v>
      </c>
      <c r="G14" s="176" t="s">
        <v>306</v>
      </c>
      <c r="H14" s="176" t="s">
        <v>301</v>
      </c>
    </row>
    <row r="15" spans="1:8" x14ac:dyDescent="0.15">
      <c r="A15" s="180">
        <v>773</v>
      </c>
      <c r="B15" s="173" t="str">
        <f>VLOOKUP(A15,[1]characters!$A:$C,3,FALSE)</f>
        <v>浮跳天兎 イナバ</v>
      </c>
      <c r="C15" s="176" t="s">
        <v>197</v>
      </c>
      <c r="D15" s="173"/>
      <c r="E15" s="182" t="str">
        <f>A15&amp;+(COUNTIF(A$2:A15,A15)-1)</f>
        <v>7733</v>
      </c>
      <c r="F15" s="176" t="s">
        <v>196</v>
      </c>
      <c r="G15" s="176" t="s">
        <v>305</v>
      </c>
      <c r="H15" s="176" t="s">
        <v>302</v>
      </c>
    </row>
    <row r="16" spans="1:8" x14ac:dyDescent="0.15">
      <c r="A16" s="180">
        <v>774</v>
      </c>
      <c r="B16" s="173" t="str">
        <f>VLOOKUP(A16,[1]characters!$A:$C,3,FALSE)</f>
        <v>ミズチ</v>
      </c>
      <c r="C16" s="176" t="s">
        <v>274</v>
      </c>
      <c r="D16" s="173"/>
      <c r="E16" s="182" t="str">
        <f>A16&amp;+(COUNTIF(A$2:A16,A16)-1)</f>
        <v>7740</v>
      </c>
      <c r="F16" s="176" t="s">
        <v>196</v>
      </c>
      <c r="G16" s="176" t="s">
        <v>195</v>
      </c>
      <c r="H16" s="183" t="s">
        <v>312</v>
      </c>
    </row>
    <row r="17" spans="1:8" x14ac:dyDescent="0.15">
      <c r="A17" s="180">
        <v>774</v>
      </c>
      <c r="B17" s="173" t="str">
        <f>VLOOKUP(A17,[1]characters!$A:$C,3,FALSE)</f>
        <v>ミズチ</v>
      </c>
      <c r="C17" s="176" t="s">
        <v>275</v>
      </c>
      <c r="D17" s="173"/>
      <c r="E17" s="182" t="str">
        <f>A17&amp;+(COUNTIF(A$2:A17,A17)-1)</f>
        <v>7741</v>
      </c>
      <c r="F17" s="176" t="s">
        <v>196</v>
      </c>
      <c r="G17" s="176" t="s">
        <v>195</v>
      </c>
      <c r="H17" s="176" t="s">
        <v>313</v>
      </c>
    </row>
    <row r="18" spans="1:8" x14ac:dyDescent="0.15">
      <c r="A18" s="180">
        <v>775</v>
      </c>
      <c r="B18" s="173" t="str">
        <f>VLOOKUP(A18,[1]characters!$A:$C,3,FALSE)</f>
        <v>水底霊竜 ミズチ</v>
      </c>
      <c r="C18" s="176" t="s">
        <v>276</v>
      </c>
      <c r="D18" s="173"/>
      <c r="E18" s="182" t="str">
        <f>A18&amp;+(COUNTIF(A$2:A18,A18)-1)</f>
        <v>7750</v>
      </c>
      <c r="F18" s="176" t="s">
        <v>196</v>
      </c>
      <c r="G18" s="176" t="s">
        <v>195</v>
      </c>
      <c r="H18" s="185" t="s">
        <v>314</v>
      </c>
    </row>
    <row r="19" spans="1:8" x14ac:dyDescent="0.15">
      <c r="A19" s="180">
        <v>775</v>
      </c>
      <c r="B19" s="173" t="str">
        <f>VLOOKUP(A19,[1]characters!$A:$C,3,FALSE)</f>
        <v>水底霊竜 ミズチ</v>
      </c>
      <c r="C19" s="176" t="s">
        <v>275</v>
      </c>
      <c r="D19" s="173"/>
      <c r="E19" s="182" t="str">
        <f>A19&amp;+(COUNTIF(A$2:A19,A19)-1)</f>
        <v>7751</v>
      </c>
      <c r="F19" s="176" t="s">
        <v>196</v>
      </c>
      <c r="G19" s="176" t="s">
        <v>195</v>
      </c>
      <c r="H19" s="176" t="s">
        <v>315</v>
      </c>
    </row>
    <row r="20" spans="1:8" x14ac:dyDescent="0.15">
      <c r="A20" s="180">
        <v>775</v>
      </c>
      <c r="B20" s="173" t="str">
        <f>VLOOKUP(A20,[1]characters!$A:$C,3,FALSE)</f>
        <v>水底霊竜 ミズチ</v>
      </c>
      <c r="C20" s="176" t="s">
        <v>277</v>
      </c>
      <c r="D20" s="173"/>
      <c r="E20" s="182" t="str">
        <f>A20&amp;+(COUNTIF(A$2:A20,A20)-1)</f>
        <v>7752</v>
      </c>
      <c r="F20" s="176" t="s">
        <v>196</v>
      </c>
      <c r="G20" s="176" t="s">
        <v>195</v>
      </c>
      <c r="H20" s="176" t="s">
        <v>316</v>
      </c>
    </row>
    <row r="21" spans="1:8" x14ac:dyDescent="0.15">
      <c r="A21" s="180">
        <v>776</v>
      </c>
      <c r="B21" s="173" t="str">
        <f>VLOOKUP(A21,[1]characters!$A:$C,3,FALSE)</f>
        <v>水竜底主 ミズチ</v>
      </c>
      <c r="C21" s="176" t="s">
        <v>274</v>
      </c>
      <c r="D21" s="173"/>
      <c r="E21" s="182" t="str">
        <f>A21&amp;+(COUNTIF(A$2:A21,A21)-1)</f>
        <v>7760</v>
      </c>
      <c r="F21" s="176" t="s">
        <v>196</v>
      </c>
      <c r="G21" s="176" t="s">
        <v>195</v>
      </c>
      <c r="H21" s="183" t="s">
        <v>317</v>
      </c>
    </row>
    <row r="22" spans="1:8" x14ac:dyDescent="0.15">
      <c r="A22" s="180">
        <v>776</v>
      </c>
      <c r="B22" s="173" t="str">
        <f>VLOOKUP(A22,[1]characters!$A:$C,3,FALSE)</f>
        <v>水竜底主 ミズチ</v>
      </c>
      <c r="C22" s="176" t="s">
        <v>275</v>
      </c>
      <c r="D22" s="173"/>
      <c r="E22" s="182" t="str">
        <f>A22&amp;+(COUNTIF(A$2:A22,A22)-1)</f>
        <v>7761</v>
      </c>
      <c r="F22" s="176" t="s">
        <v>196</v>
      </c>
      <c r="G22" s="176" t="s">
        <v>195</v>
      </c>
      <c r="H22" s="176" t="s">
        <v>315</v>
      </c>
    </row>
    <row r="23" spans="1:8" x14ac:dyDescent="0.15">
      <c r="A23" s="180">
        <v>776</v>
      </c>
      <c r="B23" s="173" t="str">
        <f>VLOOKUP(A23,[1]characters!$A:$C,3,FALSE)</f>
        <v>水竜底主 ミズチ</v>
      </c>
      <c r="C23" s="176" t="s">
        <v>275</v>
      </c>
      <c r="D23" s="173"/>
      <c r="E23" s="182" t="str">
        <f>A23&amp;+(COUNTIF(A$2:A23,A23)-1)</f>
        <v>7762</v>
      </c>
      <c r="F23" s="176" t="s">
        <v>196</v>
      </c>
      <c r="G23" s="176" t="s">
        <v>195</v>
      </c>
      <c r="H23" s="176" t="s">
        <v>316</v>
      </c>
    </row>
    <row r="24" spans="1:8" x14ac:dyDescent="0.15">
      <c r="A24" s="180">
        <v>776</v>
      </c>
      <c r="B24" s="173" t="str">
        <f>VLOOKUP(A24,[1]characters!$A:$C,3,FALSE)</f>
        <v>水竜底主 ミズチ</v>
      </c>
      <c r="C24" s="176" t="s">
        <v>275</v>
      </c>
      <c r="D24" s="173"/>
      <c r="E24" s="182" t="str">
        <f>A24&amp;+(COUNTIF(A$2:A24,A24)-1)</f>
        <v>7763</v>
      </c>
      <c r="F24" s="176" t="s">
        <v>196</v>
      </c>
      <c r="G24" s="176" t="s">
        <v>195</v>
      </c>
      <c r="H24" s="176" t="s">
        <v>318</v>
      </c>
    </row>
    <row r="25" spans="1:8" x14ac:dyDescent="0.15">
      <c r="A25" s="180">
        <v>777</v>
      </c>
      <c r="B25" s="173" t="str">
        <f>VLOOKUP(A25,[1]characters!$A:$C,3,FALSE)</f>
        <v>ガメック</v>
      </c>
      <c r="C25" s="176" t="s">
        <v>274</v>
      </c>
      <c r="D25" s="173"/>
      <c r="E25" s="182" t="str">
        <f>A25&amp;+(COUNTIF(A$2:A25,A25)-1)</f>
        <v>7770</v>
      </c>
      <c r="F25" s="176" t="s">
        <v>196</v>
      </c>
      <c r="G25" s="176" t="s">
        <v>303</v>
      </c>
      <c r="H25" s="183" t="s">
        <v>299</v>
      </c>
    </row>
    <row r="26" spans="1:8" x14ac:dyDescent="0.15">
      <c r="A26" s="180">
        <v>777</v>
      </c>
      <c r="B26" s="173" t="str">
        <f>VLOOKUP(A26,[1]characters!$A:$C,3,FALSE)</f>
        <v>ガメック</v>
      </c>
      <c r="C26" s="176" t="s">
        <v>275</v>
      </c>
      <c r="D26" s="173"/>
      <c r="E26" s="182" t="str">
        <f>A26&amp;+(COUNTIF(A$2:A26,A26)-1)</f>
        <v>7771</v>
      </c>
      <c r="F26" s="176" t="s">
        <v>196</v>
      </c>
      <c r="G26" s="176" t="s">
        <v>303</v>
      </c>
      <c r="H26" s="176" t="s">
        <v>320</v>
      </c>
    </row>
    <row r="27" spans="1:8" x14ac:dyDescent="0.15">
      <c r="A27" s="180">
        <v>778</v>
      </c>
      <c r="B27" s="173" t="str">
        <f>VLOOKUP(A27,[1]characters!$A:$C,3,FALSE)</f>
        <v>一亀懸明 ガメック</v>
      </c>
      <c r="C27" s="176" t="s">
        <v>276</v>
      </c>
      <c r="D27" s="173"/>
      <c r="E27" s="182" t="str">
        <f>A27&amp;+(COUNTIF(A$2:A27,A27)-1)</f>
        <v>7780</v>
      </c>
      <c r="F27" s="176" t="s">
        <v>196</v>
      </c>
      <c r="G27" s="176" t="s">
        <v>303</v>
      </c>
      <c r="H27" s="183" t="s">
        <v>319</v>
      </c>
    </row>
    <row r="28" spans="1:8" x14ac:dyDescent="0.15">
      <c r="A28" s="180">
        <v>778</v>
      </c>
      <c r="B28" s="173" t="str">
        <f>VLOOKUP(A28,[1]characters!$A:$C,3,FALSE)</f>
        <v>一亀懸明 ガメック</v>
      </c>
      <c r="C28" s="176" t="s">
        <v>275</v>
      </c>
      <c r="D28" s="173"/>
      <c r="E28" s="182" t="str">
        <f>A28&amp;+(COUNTIF(A$2:A28,A28)-1)</f>
        <v>7781</v>
      </c>
      <c r="F28" s="176" t="s">
        <v>196</v>
      </c>
      <c r="G28" s="176" t="s">
        <v>303</v>
      </c>
      <c r="H28" s="176" t="s">
        <v>320</v>
      </c>
    </row>
    <row r="29" spans="1:8" x14ac:dyDescent="0.15">
      <c r="A29" s="180">
        <v>778</v>
      </c>
      <c r="B29" s="173" t="str">
        <f>VLOOKUP(A29,[1]characters!$A:$C,3,FALSE)</f>
        <v>一亀懸明 ガメック</v>
      </c>
      <c r="C29" s="176" t="s">
        <v>277</v>
      </c>
      <c r="D29" s="173"/>
      <c r="E29" s="182" t="str">
        <f>A29&amp;+(COUNTIF(A$2:A29,A29)-1)</f>
        <v>7782</v>
      </c>
      <c r="F29" s="176" t="s">
        <v>196</v>
      </c>
      <c r="G29" s="176" t="s">
        <v>307</v>
      </c>
      <c r="H29" s="176" t="s">
        <v>321</v>
      </c>
    </row>
    <row r="30" spans="1:8" x14ac:dyDescent="0.15">
      <c r="A30" s="180">
        <v>779</v>
      </c>
      <c r="B30" s="173" t="str">
        <f>VLOOKUP(A30,[1]characters!$A:$C,3,FALSE)</f>
        <v>頑堅咬亀 ガメック</v>
      </c>
      <c r="C30" s="176" t="s">
        <v>274</v>
      </c>
      <c r="D30" s="173"/>
      <c r="E30" s="182" t="str">
        <f>A30&amp;+(COUNTIF(A$2:A30,A30)-1)</f>
        <v>7790</v>
      </c>
      <c r="F30" s="176" t="s">
        <v>196</v>
      </c>
      <c r="G30" s="176" t="s">
        <v>307</v>
      </c>
      <c r="H30" s="185" t="s">
        <v>322</v>
      </c>
    </row>
    <row r="31" spans="1:8" x14ac:dyDescent="0.15">
      <c r="A31" s="180">
        <v>779</v>
      </c>
      <c r="B31" s="173" t="str">
        <f>VLOOKUP(A31,[1]characters!$A:$C,3,FALSE)</f>
        <v>頑堅咬亀 ガメック</v>
      </c>
      <c r="C31" s="176" t="s">
        <v>275</v>
      </c>
      <c r="D31" s="173"/>
      <c r="E31" s="182" t="str">
        <f>A31&amp;+(COUNTIF(A$2:A31,A31)-1)</f>
        <v>7791</v>
      </c>
      <c r="F31" s="176" t="s">
        <v>196</v>
      </c>
      <c r="G31" s="176" t="s">
        <v>307</v>
      </c>
      <c r="H31" s="176" t="s">
        <v>320</v>
      </c>
    </row>
    <row r="32" spans="1:8" x14ac:dyDescent="0.15">
      <c r="A32" s="180">
        <v>779</v>
      </c>
      <c r="B32" s="173" t="str">
        <f>VLOOKUP(A32,[1]characters!$A:$C,3,FALSE)</f>
        <v>頑堅咬亀 ガメック</v>
      </c>
      <c r="C32" s="176" t="s">
        <v>275</v>
      </c>
      <c r="D32" s="173"/>
      <c r="E32" s="182" t="str">
        <f>A32&amp;+(COUNTIF(A$2:A32,A32)-1)</f>
        <v>7792</v>
      </c>
      <c r="F32" s="176" t="s">
        <v>196</v>
      </c>
      <c r="G32" s="176" t="s">
        <v>307</v>
      </c>
      <c r="H32" s="176" t="s">
        <v>321</v>
      </c>
    </row>
    <row r="33" spans="1:8" x14ac:dyDescent="0.15">
      <c r="A33" s="180">
        <v>779</v>
      </c>
      <c r="B33" s="173" t="str">
        <f>VLOOKUP(A33,[1]characters!$A:$C,3,FALSE)</f>
        <v>頑堅咬亀 ガメック</v>
      </c>
      <c r="C33" s="176" t="s">
        <v>275</v>
      </c>
      <c r="D33" s="173"/>
      <c r="E33" s="182" t="str">
        <f>A33&amp;+(COUNTIF(A$2:A33,A33)-1)</f>
        <v>7793</v>
      </c>
      <c r="F33" s="176" t="s">
        <v>196</v>
      </c>
      <c r="G33" s="176" t="s">
        <v>307</v>
      </c>
      <c r="H33" s="176" t="s">
        <v>323</v>
      </c>
    </row>
  </sheetData>
  <phoneticPr fontId="22"/>
  <dataValidations count="2">
    <dataValidation type="list" allowBlank="1" showInputMessage="1" showErrorMessage="1" sqref="G2:G33">
      <formula1>"maru,giza,kumo"</formula1>
    </dataValidation>
    <dataValidation type="list" allowBlank="1" showInputMessage="1" showErrorMessage="1" sqref="C2:C8 C13:C15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9"/>
  <sheetViews>
    <sheetView showGridLines="0" workbookViewId="0">
      <pane ySplit="1" topLeftCell="A2" activePane="bottomLeft" state="frozen"/>
      <selection pane="bottomLeft" activeCell="F18" sqref="F18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5" t="s">
        <v>99</v>
      </c>
      <c r="B1" s="42" t="s">
        <v>38</v>
      </c>
      <c r="C1" s="20" t="s">
        <v>40</v>
      </c>
      <c r="D1" s="20" t="s">
        <v>42</v>
      </c>
      <c r="E1" s="20" t="s">
        <v>43</v>
      </c>
      <c r="F1" s="43" t="s">
        <v>36</v>
      </c>
      <c r="G1" s="20" t="s">
        <v>41</v>
      </c>
      <c r="H1" s="19" t="s">
        <v>37</v>
      </c>
      <c r="I1" s="114" t="s">
        <v>127</v>
      </c>
    </row>
    <row r="2" spans="1:9" ht="21" customHeight="1" x14ac:dyDescent="0.15">
      <c r="A2" s="65" t="str">
        <f>B2&amp;"_"&amp;F2</f>
        <v>770_104</v>
      </c>
      <c r="B2" s="44">
        <v>770</v>
      </c>
      <c r="C2" s="21" t="e">
        <f ca="1">VLOOKUP($B2,OFFSET([2]units!$A$1,0,0,COUNTA([2]units!$A:$A),MATCH(C$1,[2]units!$1:$1,0)-COLUMN(INDIRECT("character_id"))+1),MATCH(C$1,[2]units!$1:$1,0)-COLUMN(INDIRECT("character_id"))+1,FALSE)</f>
        <v>#VALUE!</v>
      </c>
      <c r="D2" s="21" t="e">
        <f ca="1">VLOOKUP($B2,OFFSET([2]units!$A$1,0,0,COUNTA([2]units!$A:$A),MATCH(D$1,[2]units!$1:$1,0)-COLUMN(INDIRECT("character_id"))+1),MATCH(D$1,[2]units!$1:$1,0)-COLUMN(INDIRECT("character_id"))+1,FALSE)</f>
        <v>#VALUE!</v>
      </c>
      <c r="E2" s="21" t="e">
        <f ca="1">VLOOKUP($B2,OFFSET([2]units!$A$1,0,0,COUNTA([2]units!$A:$A),MATCH(E$1,[2]units!$1:$1,0)-COLUMN(INDIRECT("character_id"))+1),MATCH(E$1,[2]units!$1:$1,0)-COLUMN(INDIRECT("character_id"))+1,FALSE)</f>
        <v>#VALUE!</v>
      </c>
      <c r="F2" s="44">
        <v>104</v>
      </c>
      <c r="G2" s="21" t="e">
        <f ca="1">VLOOKUP($F2,OFFSET([2]units!$A$1,0,0,COUNTA([2]units!$A:$A),MATCH(G$1,[2]units!$1:$1,0)-COLUMN(INDIRECT("character_id"))+1),MATCH(G$1,[2]units!$1:$1,0)-COLUMN(INDIRECT("character_id"))+1,FALSE)</f>
        <v>#VALUE!</v>
      </c>
      <c r="H2" s="18">
        <v>1</v>
      </c>
      <c r="I2" s="115">
        <v>1</v>
      </c>
    </row>
    <row r="3" spans="1:9" x14ac:dyDescent="0.15">
      <c r="B3" s="44">
        <v>770</v>
      </c>
      <c r="C3" s="21" t="e">
        <f ca="1">VLOOKUP($B3,OFFSET([2]units!$A$1,0,0,COUNTA([2]units!$A:$A),MATCH(C$1,[2]units!$1:$1,0)-COLUMN(INDIRECT("character_id"))+1),MATCH(C$1,[2]units!$1:$1,0)-COLUMN(INDIRECT("character_id"))+1,FALSE)</f>
        <v>#VALUE!</v>
      </c>
      <c r="D3" s="21" t="e">
        <f ca="1">VLOOKUP($B3,OFFSET([2]units!$A$1,0,0,COUNTA([2]units!$A:$A),MATCH(D$1,[2]units!$1:$1,0)-COLUMN(INDIRECT("character_id"))+1),MATCH(D$1,[2]units!$1:$1,0)-COLUMN(INDIRECT("character_id"))+1,FALSE)</f>
        <v>#VALUE!</v>
      </c>
      <c r="E3" s="21" t="e">
        <f ca="1">VLOOKUP($B3,OFFSET([2]units!$A$1,0,0,COUNTA([2]units!$A:$A),MATCH(E$1,[2]units!$1:$1,0)-COLUMN(INDIRECT("character_id"))+1),MATCH(E$1,[2]units!$1:$1,0)-COLUMN(INDIRECT("character_id"))+1,FALSE)</f>
        <v>#VALUE!</v>
      </c>
      <c r="F3" s="44">
        <v>103</v>
      </c>
      <c r="G3" s="21" t="e">
        <f ca="1">VLOOKUP($F3,OFFSET([2]units!$A$1,0,0,COUNTA([2]units!$A:$A),MATCH(G$1,[2]units!$1:$1,0)-COLUMN(INDIRECT("character_id"))+1),MATCH(G$1,[2]units!$1:$1,0)-COLUMN(INDIRECT("character_id"))+1,FALSE)</f>
        <v>#VALUE!</v>
      </c>
      <c r="H3" s="18">
        <v>2</v>
      </c>
      <c r="I3" s="115">
        <v>1</v>
      </c>
    </row>
    <row r="4" spans="1:9" x14ac:dyDescent="0.15">
      <c r="B4" s="44">
        <v>770</v>
      </c>
      <c r="C4" s="21" t="e">
        <f ca="1">VLOOKUP($B4,OFFSET([2]units!$A$1,0,0,COUNTA([2]units!$A:$A),MATCH(C$1,[2]units!$1:$1,0)-COLUMN(INDIRECT("character_id"))+1),MATCH(C$1,[2]units!$1:$1,0)-COLUMN(INDIRECT("character_id"))+1,FALSE)</f>
        <v>#VALUE!</v>
      </c>
      <c r="D4" s="21" t="e">
        <f ca="1">VLOOKUP($B4,OFFSET([2]units!$A$1,0,0,COUNTA([2]units!$A:$A),MATCH(D$1,[2]units!$1:$1,0)-COLUMN(INDIRECT("character_id"))+1),MATCH(D$1,[2]units!$1:$1,0)-COLUMN(INDIRECT("character_id"))+1,FALSE)</f>
        <v>#VALUE!</v>
      </c>
      <c r="E4" s="21" t="e">
        <f ca="1">VLOOKUP($B4,OFFSET([2]units!$A$1,0,0,COUNTA([2]units!$A:$A),MATCH(E$1,[2]units!$1:$1,0)-COLUMN(INDIRECT("character_id"))+1),MATCH(E$1,[2]units!$1:$1,0)-COLUMN(INDIRECT("character_id"))+1,FALSE)</f>
        <v>#VALUE!</v>
      </c>
      <c r="F4" s="44">
        <v>276</v>
      </c>
      <c r="G4" s="21" t="e">
        <f ca="1">VLOOKUP($F4,OFFSET([2]units!$A$1,0,0,COUNTA([2]units!$A:$A),MATCH(G$1,[2]units!$1:$1,0)-COLUMN(INDIRECT("character_id"))+1),MATCH(G$1,[2]units!$1:$1,0)-COLUMN(INDIRECT("character_id"))+1,FALSE)</f>
        <v>#VALUE!</v>
      </c>
      <c r="H4" s="18">
        <v>1</v>
      </c>
      <c r="I4" s="115">
        <v>1</v>
      </c>
    </row>
    <row r="5" spans="1:9" x14ac:dyDescent="0.15">
      <c r="B5" s="44">
        <v>770</v>
      </c>
      <c r="C5" s="21" t="e">
        <f ca="1">VLOOKUP($B5,OFFSET([2]units!$A$1,0,0,COUNTA([2]units!$A:$A),MATCH(C$1,[2]units!$1:$1,0)-COLUMN(INDIRECT("character_id"))+1),MATCH(C$1,[2]units!$1:$1,0)-COLUMN(INDIRECT("character_id"))+1,FALSE)</f>
        <v>#VALUE!</v>
      </c>
      <c r="D5" s="21" t="e">
        <f ca="1">VLOOKUP($B5,OFFSET([2]units!$A$1,0,0,COUNTA([2]units!$A:$A),MATCH(D$1,[2]units!$1:$1,0)-COLUMN(INDIRECT("character_id"))+1),MATCH(D$1,[2]units!$1:$1,0)-COLUMN(INDIRECT("character_id"))+1,FALSE)</f>
        <v>#VALUE!</v>
      </c>
      <c r="E5" s="21" t="e">
        <f ca="1">VLOOKUP($B5,OFFSET([2]units!$A$1,0,0,COUNTA([2]units!$A:$A),MATCH(E$1,[2]units!$1:$1,0)-COLUMN(INDIRECT("character_id"))+1),MATCH(E$1,[2]units!$1:$1,0)-COLUMN(INDIRECT("character_id"))+1,FALSE)</f>
        <v>#VALUE!</v>
      </c>
      <c r="F5" s="44">
        <v>298</v>
      </c>
      <c r="G5" s="21" t="e">
        <f ca="1">VLOOKUP($F5,OFFSET([2]units!$A$1,0,0,COUNTA([2]units!$A:$A),MATCH(G$1,[2]units!$1:$1,0)-COLUMN(INDIRECT("character_id"))+1),MATCH(G$1,[2]units!$1:$1,0)-COLUMN(INDIRECT("character_id"))+1,FALSE)</f>
        <v>#VALUE!</v>
      </c>
      <c r="H5" s="18">
        <v>1</v>
      </c>
      <c r="I5" s="115">
        <v>1</v>
      </c>
    </row>
    <row r="6" spans="1:9" x14ac:dyDescent="0.15">
      <c r="B6" s="44">
        <v>772</v>
      </c>
      <c r="C6" s="21" t="e">
        <f ca="1">VLOOKUP($B6,OFFSET([2]units!$A$1,0,0,COUNTA([2]units!$A:$A),MATCH(C$1,[2]units!$1:$1,0)-COLUMN(INDIRECT("character_id"))+1),MATCH(C$1,[2]units!$1:$1,0)-COLUMN(INDIRECT("character_id"))+1,FALSE)</f>
        <v>#VALUE!</v>
      </c>
      <c r="D6" s="21" t="e">
        <f ca="1">VLOOKUP($B6,OFFSET([2]units!$A$1,0,0,COUNTA([2]units!$A:$A),MATCH(D$1,[2]units!$1:$1,0)-COLUMN(INDIRECT("character_id"))+1),MATCH(D$1,[2]units!$1:$1,0)-COLUMN(INDIRECT("character_id"))+1,FALSE)</f>
        <v>#VALUE!</v>
      </c>
      <c r="E6" s="21" t="e">
        <f ca="1">VLOOKUP($B6,OFFSET([2]units!$A$1,0,0,COUNTA([2]units!$A:$A),MATCH(E$1,[2]units!$1:$1,0)-COLUMN(INDIRECT("character_id"))+1),MATCH(E$1,[2]units!$1:$1,0)-COLUMN(INDIRECT("character_id"))+1,FALSE)</f>
        <v>#VALUE!</v>
      </c>
      <c r="F6" s="44">
        <v>108</v>
      </c>
      <c r="G6" s="21" t="e">
        <f ca="1">VLOOKUP($F6,OFFSET([2]units!$A$1,0,0,COUNTA([2]units!$A:$A),MATCH(G$1,[2]units!$1:$1,0)-COLUMN(INDIRECT("character_id"))+1),MATCH(G$1,[2]units!$1:$1,0)-COLUMN(INDIRECT("character_id"))+1,FALSE)</f>
        <v>#VALUE!</v>
      </c>
      <c r="H6" s="18">
        <v>1</v>
      </c>
      <c r="I6" s="115">
        <v>1</v>
      </c>
    </row>
    <row r="7" spans="1:9" x14ac:dyDescent="0.15">
      <c r="B7" s="44">
        <v>772</v>
      </c>
      <c r="C7" s="21" t="e">
        <f ca="1">VLOOKUP($B7,OFFSET([2]units!$A$1,0,0,COUNTA([2]units!$A:$A),MATCH(C$1,[2]units!$1:$1,0)-COLUMN(INDIRECT("character_id"))+1),MATCH(C$1,[2]units!$1:$1,0)-COLUMN(INDIRECT("character_id"))+1,FALSE)</f>
        <v>#VALUE!</v>
      </c>
      <c r="D7" s="21" t="e">
        <f ca="1">VLOOKUP($B7,OFFSET([2]units!$A$1,0,0,COUNTA([2]units!$A:$A),MATCH(D$1,[2]units!$1:$1,0)-COLUMN(INDIRECT("character_id"))+1),MATCH(D$1,[2]units!$1:$1,0)-COLUMN(INDIRECT("character_id"))+1,FALSE)</f>
        <v>#VALUE!</v>
      </c>
      <c r="E7" s="21" t="e">
        <f ca="1">VLOOKUP($B7,OFFSET([2]units!$A$1,0,0,COUNTA([2]units!$A:$A),MATCH(E$1,[2]units!$1:$1,0)-COLUMN(INDIRECT("character_id"))+1),MATCH(E$1,[2]units!$1:$1,0)-COLUMN(INDIRECT("character_id"))+1,FALSE)</f>
        <v>#VALUE!</v>
      </c>
      <c r="F7" s="44">
        <v>107</v>
      </c>
      <c r="G7" s="21" t="e">
        <f ca="1">VLOOKUP($F7,OFFSET([2]units!$A$1,0,0,COUNTA([2]units!$A:$A),MATCH(G$1,[2]units!$1:$1,0)-COLUMN(INDIRECT("character_id"))+1),MATCH(G$1,[2]units!$1:$1,0)-COLUMN(INDIRECT("character_id"))+1,FALSE)</f>
        <v>#VALUE!</v>
      </c>
      <c r="H7" s="18">
        <v>2</v>
      </c>
      <c r="I7" s="115">
        <v>1</v>
      </c>
    </row>
    <row r="8" spans="1:9" x14ac:dyDescent="0.15">
      <c r="B8" s="44">
        <v>772</v>
      </c>
      <c r="C8" s="21" t="e">
        <f ca="1">VLOOKUP($B8,OFFSET([2]units!$A$1,0,0,COUNTA([2]units!$A:$A),MATCH(C$1,[2]units!$1:$1,0)-COLUMN(INDIRECT("character_id"))+1),MATCH(C$1,[2]units!$1:$1,0)-COLUMN(INDIRECT("character_id"))+1,FALSE)</f>
        <v>#VALUE!</v>
      </c>
      <c r="D8" s="21" t="e">
        <f ca="1">VLOOKUP($B8,OFFSET([2]units!$A$1,0,0,COUNTA([2]units!$A:$A),MATCH(D$1,[2]units!$1:$1,0)-COLUMN(INDIRECT("character_id"))+1),MATCH(D$1,[2]units!$1:$1,0)-COLUMN(INDIRECT("character_id"))+1,FALSE)</f>
        <v>#VALUE!</v>
      </c>
      <c r="E8" s="21" t="e">
        <f ca="1">VLOOKUP($B8,OFFSET([2]units!$A$1,0,0,COUNTA([2]units!$A:$A),MATCH(E$1,[2]units!$1:$1,0)-COLUMN(INDIRECT("character_id"))+1),MATCH(E$1,[2]units!$1:$1,0)-COLUMN(INDIRECT("character_id"))+1,FALSE)</f>
        <v>#VALUE!</v>
      </c>
      <c r="F8" s="44">
        <v>270</v>
      </c>
      <c r="G8" s="21" t="e">
        <f ca="1">VLOOKUP($F8,OFFSET([2]units!$A$1,0,0,COUNTA([2]units!$A:$A),MATCH(G$1,[2]units!$1:$1,0)-COLUMN(INDIRECT("character_id"))+1),MATCH(G$1,[2]units!$1:$1,0)-COLUMN(INDIRECT("character_id"))+1,FALSE)</f>
        <v>#VALUE!</v>
      </c>
      <c r="H8" s="18">
        <v>1</v>
      </c>
      <c r="I8" s="115">
        <v>1</v>
      </c>
    </row>
    <row r="9" spans="1:9" x14ac:dyDescent="0.15">
      <c r="B9" s="44">
        <v>772</v>
      </c>
      <c r="C9" s="21" t="e">
        <f ca="1">VLOOKUP($B9,OFFSET([2]units!$A$1,0,0,COUNTA([2]units!$A:$A),MATCH(C$1,[2]units!$1:$1,0)-COLUMN(INDIRECT("character_id"))+1),MATCH(C$1,[2]units!$1:$1,0)-COLUMN(INDIRECT("character_id"))+1,FALSE)</f>
        <v>#VALUE!</v>
      </c>
      <c r="D9" s="21" t="e">
        <f ca="1">VLOOKUP($B9,OFFSET([2]units!$A$1,0,0,COUNTA([2]units!$A:$A),MATCH(D$1,[2]units!$1:$1,0)-COLUMN(INDIRECT("character_id"))+1),MATCH(D$1,[2]units!$1:$1,0)-COLUMN(INDIRECT("character_id"))+1,FALSE)</f>
        <v>#VALUE!</v>
      </c>
      <c r="E9" s="21" t="e">
        <f ca="1">VLOOKUP($B9,OFFSET([2]units!$A$1,0,0,COUNTA([2]units!$A:$A),MATCH(E$1,[2]units!$1:$1,0)-COLUMN(INDIRECT("character_id"))+1),MATCH(E$1,[2]units!$1:$1,0)-COLUMN(INDIRECT("character_id"))+1,FALSE)</f>
        <v>#VALUE!</v>
      </c>
      <c r="F9" s="44">
        <v>504</v>
      </c>
      <c r="G9" s="21" t="e">
        <f ca="1">VLOOKUP($F9,OFFSET([2]units!$A$1,0,0,COUNTA([2]units!$A:$A),MATCH(G$1,[2]units!$1:$1,0)-COLUMN(INDIRECT("character_id"))+1),MATCH(G$1,[2]units!$1:$1,0)-COLUMN(INDIRECT("character_id"))+1,FALSE)</f>
        <v>#VALUE!</v>
      </c>
      <c r="H9" s="18">
        <v>1</v>
      </c>
      <c r="I9" s="115">
        <v>1</v>
      </c>
    </row>
    <row r="10" spans="1:9" x14ac:dyDescent="0.15">
      <c r="B10" s="44">
        <v>774</v>
      </c>
      <c r="C10" s="21" t="e">
        <f ca="1">VLOOKUP($B10,OFFSET([2]units!$A$1,0,0,COUNTA([2]units!$A:$A),MATCH(C$1,[2]units!$1:$1,0)-COLUMN(INDIRECT("character_id"))+1),MATCH(C$1,[2]units!$1:$1,0)-COLUMN(INDIRECT("character_id"))+1,FALSE)</f>
        <v>#VALUE!</v>
      </c>
      <c r="D10" s="21" t="e">
        <f ca="1">VLOOKUP($B10,OFFSET([2]units!$A$1,0,0,COUNTA([2]units!$A:$A),MATCH(D$1,[2]units!$1:$1,0)-COLUMN(INDIRECT("character_id"))+1),MATCH(D$1,[2]units!$1:$1,0)-COLUMN(INDIRECT("character_id"))+1,FALSE)</f>
        <v>#VALUE!</v>
      </c>
      <c r="E10" s="21" t="e">
        <f ca="1">VLOOKUP($B10,OFFSET([2]units!$A$1,0,0,COUNTA([2]units!$A:$A),MATCH(E$1,[2]units!$1:$1,0)-COLUMN(INDIRECT("character_id"))+1),MATCH(E$1,[2]units!$1:$1,0)-COLUMN(INDIRECT("character_id"))+1,FALSE)</f>
        <v>#VALUE!</v>
      </c>
      <c r="F10" s="44">
        <v>111</v>
      </c>
      <c r="G10" s="21" t="e">
        <f ca="1">VLOOKUP($F10,OFFSET([2]units!$A$1,0,0,COUNTA([2]units!$A:$A),MATCH(G$1,[2]units!$1:$1,0)-COLUMN(INDIRECT("character_id"))+1),MATCH(G$1,[2]units!$1:$1,0)-COLUMN(INDIRECT("character_id"))+1,FALSE)</f>
        <v>#VALUE!</v>
      </c>
      <c r="H10" s="18">
        <v>3</v>
      </c>
      <c r="I10" s="115">
        <v>1</v>
      </c>
    </row>
    <row r="11" spans="1:9" x14ac:dyDescent="0.15">
      <c r="B11" s="44">
        <v>774</v>
      </c>
      <c r="C11" s="21" t="e">
        <f ca="1">VLOOKUP($B11,OFFSET([2]units!$A$1,0,0,COUNTA([2]units!$A:$A),MATCH(C$1,[2]units!$1:$1,0)-COLUMN(INDIRECT("character_id"))+1),MATCH(C$1,[2]units!$1:$1,0)-COLUMN(INDIRECT("character_id"))+1,FALSE)</f>
        <v>#VALUE!</v>
      </c>
      <c r="D11" s="21" t="e">
        <f ca="1">VLOOKUP($B11,OFFSET([2]units!$A$1,0,0,COUNTA([2]units!$A:$A),MATCH(D$1,[2]units!$1:$1,0)-COLUMN(INDIRECT("character_id"))+1),MATCH(D$1,[2]units!$1:$1,0)-COLUMN(INDIRECT("character_id"))+1,FALSE)</f>
        <v>#VALUE!</v>
      </c>
      <c r="E11" s="21" t="e">
        <f ca="1">VLOOKUP($B11,OFFSET([2]units!$A$1,0,0,COUNTA([2]units!$A:$A),MATCH(E$1,[2]units!$1:$1,0)-COLUMN(INDIRECT("character_id"))+1),MATCH(E$1,[2]units!$1:$1,0)-COLUMN(INDIRECT("character_id"))+1,FALSE)</f>
        <v>#VALUE!</v>
      </c>
      <c r="F11" s="44">
        <v>110</v>
      </c>
      <c r="G11" s="21" t="e">
        <f ca="1">VLOOKUP($F11,OFFSET([2]units!$A$1,0,0,COUNTA([2]units!$A:$A),MATCH(G$1,[2]units!$1:$1,0)-COLUMN(INDIRECT("character_id"))+1),MATCH(G$1,[2]units!$1:$1,0)-COLUMN(INDIRECT("character_id"))+1,FALSE)</f>
        <v>#VALUE!</v>
      </c>
      <c r="H11" s="18">
        <v>1</v>
      </c>
      <c r="I11" s="115">
        <v>1</v>
      </c>
    </row>
    <row r="12" spans="1:9" x14ac:dyDescent="0.15">
      <c r="B12" s="44">
        <v>775</v>
      </c>
      <c r="C12" s="21" t="e">
        <f ca="1">VLOOKUP($B12,OFFSET([2]units!$A$1,0,0,COUNTA([2]units!$A:$A),MATCH(C$1,[2]units!$1:$1,0)-COLUMN(INDIRECT("character_id"))+1),MATCH(C$1,[2]units!$1:$1,0)-COLUMN(INDIRECT("character_id"))+1,FALSE)</f>
        <v>#VALUE!</v>
      </c>
      <c r="D12" s="21" t="e">
        <f ca="1">VLOOKUP($B12,OFFSET([2]units!$A$1,0,0,COUNTA([2]units!$A:$A),MATCH(D$1,[2]units!$1:$1,0)-COLUMN(INDIRECT("character_id"))+1),MATCH(D$1,[2]units!$1:$1,0)-COLUMN(INDIRECT("character_id"))+1,FALSE)</f>
        <v>#VALUE!</v>
      </c>
      <c r="E12" s="21" t="e">
        <f ca="1">VLOOKUP($B12,OFFSET([2]units!$A$1,0,0,COUNTA([2]units!$A:$A),MATCH(E$1,[2]units!$1:$1,0)-COLUMN(INDIRECT("character_id"))+1),MATCH(E$1,[2]units!$1:$1,0)-COLUMN(INDIRECT("character_id"))+1,FALSE)</f>
        <v>#VALUE!</v>
      </c>
      <c r="F12" s="44">
        <v>112</v>
      </c>
      <c r="G12" s="21" t="e">
        <f ca="1">VLOOKUP($F12,OFFSET([2]units!$A$1,0,0,COUNTA([2]units!$A:$A),MATCH(G$1,[2]units!$1:$1,0)-COLUMN(INDIRECT("character_id"))+1),MATCH(G$1,[2]units!$1:$1,0)-COLUMN(INDIRECT("character_id"))+1,FALSE)</f>
        <v>#VALUE!</v>
      </c>
      <c r="H12" s="18">
        <v>2</v>
      </c>
      <c r="I12" s="115">
        <v>1</v>
      </c>
    </row>
    <row r="13" spans="1:9" x14ac:dyDescent="0.15">
      <c r="B13" s="44">
        <v>775</v>
      </c>
      <c r="C13" s="21" t="e">
        <f ca="1">VLOOKUP($B13,OFFSET([2]units!$A$1,0,0,COUNTA([2]units!$A:$A),MATCH(C$1,[2]units!$1:$1,0)-COLUMN(INDIRECT("character_id"))+1),MATCH(C$1,[2]units!$1:$1,0)-COLUMN(INDIRECT("character_id"))+1,FALSE)</f>
        <v>#VALUE!</v>
      </c>
      <c r="D13" s="21" t="e">
        <f ca="1">VLOOKUP($B13,OFFSET([2]units!$A$1,0,0,COUNTA([2]units!$A:$A),MATCH(D$1,[2]units!$1:$1,0)-COLUMN(INDIRECT("character_id"))+1),MATCH(D$1,[2]units!$1:$1,0)-COLUMN(INDIRECT("character_id"))+1,FALSE)</f>
        <v>#VALUE!</v>
      </c>
      <c r="E13" s="21" t="e">
        <f ca="1">VLOOKUP($B13,OFFSET([2]units!$A$1,0,0,COUNTA([2]units!$A:$A),MATCH(E$1,[2]units!$1:$1,0)-COLUMN(INDIRECT("character_id"))+1),MATCH(E$1,[2]units!$1:$1,0)-COLUMN(INDIRECT("character_id"))+1,FALSE)</f>
        <v>#VALUE!</v>
      </c>
      <c r="F13" s="44">
        <v>111</v>
      </c>
      <c r="G13" s="21" t="e">
        <f ca="1">VLOOKUP($F13,OFFSET([2]units!$A$1,0,0,COUNTA([2]units!$A:$A),MATCH(G$1,[2]units!$1:$1,0)-COLUMN(INDIRECT("character_id"))+1),MATCH(G$1,[2]units!$1:$1,0)-COLUMN(INDIRECT("character_id"))+1,FALSE)</f>
        <v>#VALUE!</v>
      </c>
      <c r="H13" s="18">
        <v>2</v>
      </c>
      <c r="I13" s="115">
        <v>1</v>
      </c>
    </row>
    <row r="14" spans="1:9" x14ac:dyDescent="0.15">
      <c r="B14" s="44">
        <v>775</v>
      </c>
      <c r="C14" s="21" t="e">
        <f ca="1">VLOOKUP($B14,OFFSET([2]units!$A$1,0,0,COUNTA([2]units!$A:$A),MATCH(C$1,[2]units!$1:$1,0)-COLUMN(INDIRECT("character_id"))+1),MATCH(C$1,[2]units!$1:$1,0)-COLUMN(INDIRECT("character_id"))+1,FALSE)</f>
        <v>#VALUE!</v>
      </c>
      <c r="D14" s="21" t="e">
        <f ca="1">VLOOKUP($B14,OFFSET([2]units!$A$1,0,0,COUNTA([2]units!$A:$A),MATCH(D$1,[2]units!$1:$1,0)-COLUMN(INDIRECT("character_id"))+1),MATCH(D$1,[2]units!$1:$1,0)-COLUMN(INDIRECT("character_id"))+1,FALSE)</f>
        <v>#VALUE!</v>
      </c>
      <c r="E14" s="21" t="e">
        <f ca="1">VLOOKUP($B14,OFFSET([2]units!$A$1,0,0,COUNTA([2]units!$A:$A),MATCH(E$1,[2]units!$1:$1,0)-COLUMN(INDIRECT("character_id"))+1),MATCH(E$1,[2]units!$1:$1,0)-COLUMN(INDIRECT("character_id"))+1,FALSE)</f>
        <v>#VALUE!</v>
      </c>
      <c r="F14" s="44">
        <v>110</v>
      </c>
      <c r="G14" s="21" t="e">
        <f ca="1">VLOOKUP($F14,OFFSET([2]units!$A$1,0,0,COUNTA([2]units!$A:$A),MATCH(G$1,[2]units!$1:$1,0)-COLUMN(INDIRECT("character_id"))+1),MATCH(G$1,[2]units!$1:$1,0)-COLUMN(INDIRECT("character_id"))+1,FALSE)</f>
        <v>#VALUE!</v>
      </c>
      <c r="H14" s="18">
        <v>1</v>
      </c>
      <c r="I14" s="115">
        <v>1</v>
      </c>
    </row>
    <row r="15" spans="1:9" ht="21" customHeight="1" x14ac:dyDescent="0.15">
      <c r="A15" s="65" t="str">
        <f t="shared" ref="A15:A19" si="0">B15&amp;"_"&amp;F15</f>
        <v>777_115</v>
      </c>
      <c r="B15" s="44">
        <v>777</v>
      </c>
      <c r="C15" s="21" t="e">
        <f ca="1">VLOOKUP($B15,OFFSET([2]units!$A$1,0,0,COUNTA([2]units!$A:$A),MATCH(C$1,[2]units!$1:$1,0)-COLUMN(INDIRECT("character_id"))+1),MATCH(C$1,[2]units!$1:$1,0)-COLUMN(INDIRECT("character_id"))+1,FALSE)</f>
        <v>#VALUE!</v>
      </c>
      <c r="D15" s="21" t="e">
        <f ca="1">VLOOKUP($B15,OFFSET([2]units!$A$1,0,0,COUNTA([2]units!$A:$A),MATCH(D$1,[2]units!$1:$1,0)-COLUMN(INDIRECT("character_id"))+1),MATCH(D$1,[2]units!$1:$1,0)-COLUMN(INDIRECT("character_id"))+1,FALSE)</f>
        <v>#VALUE!</v>
      </c>
      <c r="E15" s="21" t="e">
        <f ca="1">VLOOKUP($B15,OFFSET([2]units!$A$1,0,0,COUNTA([2]units!$A:$A),MATCH(E$1,[2]units!$1:$1,0)-COLUMN(INDIRECT("character_id"))+1),MATCH(E$1,[2]units!$1:$1,0)-COLUMN(INDIRECT("character_id"))+1,FALSE)</f>
        <v>#VALUE!</v>
      </c>
      <c r="F15" s="44">
        <v>115</v>
      </c>
      <c r="G15" s="21" t="e">
        <f ca="1">VLOOKUP($F15,OFFSET([2]units!$A$1,0,0,COUNTA([2]units!$A:$A),MATCH(G$1,[2]units!$1:$1,0)-COLUMN(INDIRECT("character_id"))+1),MATCH(G$1,[2]units!$1:$1,0)-COLUMN(INDIRECT("character_id"))+1,FALSE)</f>
        <v>#VALUE!</v>
      </c>
      <c r="H15" s="18">
        <v>3</v>
      </c>
      <c r="I15" s="115">
        <v>1</v>
      </c>
    </row>
    <row r="16" spans="1:9" ht="21" customHeight="1" x14ac:dyDescent="0.15">
      <c r="A16" s="65" t="str">
        <f t="shared" si="0"/>
        <v>777_114</v>
      </c>
      <c r="B16" s="44">
        <v>777</v>
      </c>
      <c r="C16" s="21" t="e">
        <f ca="1">VLOOKUP($B16,OFFSET([2]units!$A$1,0,0,COUNTA([2]units!$A:$A),MATCH(C$1,[2]units!$1:$1,0)-COLUMN(INDIRECT("character_id"))+1),MATCH(C$1,[2]units!$1:$1,0)-COLUMN(INDIRECT("character_id"))+1,FALSE)</f>
        <v>#VALUE!</v>
      </c>
      <c r="D16" s="21" t="e">
        <f ca="1">VLOOKUP($B16,OFFSET([2]units!$A$1,0,0,COUNTA([2]units!$A:$A),MATCH(D$1,[2]units!$1:$1,0)-COLUMN(INDIRECT("character_id"))+1),MATCH(D$1,[2]units!$1:$1,0)-COLUMN(INDIRECT("character_id"))+1,FALSE)</f>
        <v>#VALUE!</v>
      </c>
      <c r="E16" s="21" t="e">
        <f ca="1">VLOOKUP($B16,OFFSET([2]units!$A$1,0,0,COUNTA([2]units!$A:$A),MATCH(E$1,[2]units!$1:$1,0)-COLUMN(INDIRECT("character_id"))+1),MATCH(E$1,[2]units!$1:$1,0)-COLUMN(INDIRECT("character_id"))+1,FALSE)</f>
        <v>#VALUE!</v>
      </c>
      <c r="F16" s="44">
        <v>114</v>
      </c>
      <c r="G16" s="21" t="e">
        <f ca="1">VLOOKUP($F16,OFFSET([2]units!$A$1,0,0,COUNTA([2]units!$A:$A),MATCH(G$1,[2]units!$1:$1,0)-COLUMN(INDIRECT("character_id"))+1),MATCH(G$1,[2]units!$1:$1,0)-COLUMN(INDIRECT("character_id"))+1,FALSE)</f>
        <v>#VALUE!</v>
      </c>
      <c r="H16" s="18">
        <v>1</v>
      </c>
      <c r="I16" s="115">
        <v>1</v>
      </c>
    </row>
    <row r="17" spans="1:9" ht="21" customHeight="1" x14ac:dyDescent="0.15">
      <c r="A17" s="65" t="str">
        <f t="shared" si="0"/>
        <v>778_116</v>
      </c>
      <c r="B17" s="44">
        <v>778</v>
      </c>
      <c r="C17" s="21" t="e">
        <f ca="1">VLOOKUP($B17,OFFSET([2]units!$A$1,0,0,COUNTA([2]units!$A:$A),MATCH(C$1,[2]units!$1:$1,0)-COLUMN(INDIRECT("character_id"))+1),MATCH(C$1,[2]units!$1:$1,0)-COLUMN(INDIRECT("character_id"))+1,FALSE)</f>
        <v>#VALUE!</v>
      </c>
      <c r="D17" s="21" t="e">
        <f ca="1">VLOOKUP($B17,OFFSET([2]units!$A$1,0,0,COUNTA([2]units!$A:$A),MATCH(D$1,[2]units!$1:$1,0)-COLUMN(INDIRECT("character_id"))+1),MATCH(D$1,[2]units!$1:$1,0)-COLUMN(INDIRECT("character_id"))+1,FALSE)</f>
        <v>#VALUE!</v>
      </c>
      <c r="E17" s="21" t="e">
        <f ca="1">VLOOKUP($B17,OFFSET([2]units!$A$1,0,0,COUNTA([2]units!$A:$A),MATCH(E$1,[2]units!$1:$1,0)-COLUMN(INDIRECT("character_id"))+1),MATCH(E$1,[2]units!$1:$1,0)-COLUMN(INDIRECT("character_id"))+1,FALSE)</f>
        <v>#VALUE!</v>
      </c>
      <c r="F17" s="44">
        <v>116</v>
      </c>
      <c r="G17" s="21" t="e">
        <f ca="1">VLOOKUP($F17,OFFSET([2]units!$A$1,0,0,COUNTA([2]units!$A:$A),MATCH(G$1,[2]units!$1:$1,0)-COLUMN(INDIRECT("character_id"))+1),MATCH(G$1,[2]units!$1:$1,0)-COLUMN(INDIRECT("character_id"))+1,FALSE)</f>
        <v>#VALUE!</v>
      </c>
      <c r="H17" s="18">
        <v>2</v>
      </c>
      <c r="I17" s="115">
        <v>1</v>
      </c>
    </row>
    <row r="18" spans="1:9" ht="21" customHeight="1" x14ac:dyDescent="0.15">
      <c r="A18" s="65" t="str">
        <f t="shared" si="0"/>
        <v>778_115</v>
      </c>
      <c r="B18" s="44">
        <v>778</v>
      </c>
      <c r="C18" s="21" t="e">
        <f ca="1">VLOOKUP($B18,OFFSET([2]units!$A$1,0,0,COUNTA([2]units!$A:$A),MATCH(C$1,[2]units!$1:$1,0)-COLUMN(INDIRECT("character_id"))+1),MATCH(C$1,[2]units!$1:$1,0)-COLUMN(INDIRECT("character_id"))+1,FALSE)</f>
        <v>#VALUE!</v>
      </c>
      <c r="D18" s="21" t="e">
        <f ca="1">VLOOKUP($B18,OFFSET([2]units!$A$1,0,0,COUNTA([2]units!$A:$A),MATCH(D$1,[2]units!$1:$1,0)-COLUMN(INDIRECT("character_id"))+1),MATCH(D$1,[2]units!$1:$1,0)-COLUMN(INDIRECT("character_id"))+1,FALSE)</f>
        <v>#VALUE!</v>
      </c>
      <c r="E18" s="21" t="e">
        <f ca="1">VLOOKUP($B18,OFFSET([2]units!$A$1,0,0,COUNTA([2]units!$A:$A),MATCH(E$1,[2]units!$1:$1,0)-COLUMN(INDIRECT("character_id"))+1),MATCH(E$1,[2]units!$1:$1,0)-COLUMN(INDIRECT("character_id"))+1,FALSE)</f>
        <v>#VALUE!</v>
      </c>
      <c r="F18" s="44">
        <v>115</v>
      </c>
      <c r="G18" s="21" t="e">
        <f ca="1">VLOOKUP($F18,OFFSET([2]units!$A$1,0,0,COUNTA([2]units!$A:$A),MATCH(G$1,[2]units!$1:$1,0)-COLUMN(INDIRECT("character_id"))+1),MATCH(G$1,[2]units!$1:$1,0)-COLUMN(INDIRECT("character_id"))+1,FALSE)</f>
        <v>#VALUE!</v>
      </c>
      <c r="H18" s="18">
        <v>2</v>
      </c>
      <c r="I18" s="115">
        <v>1</v>
      </c>
    </row>
    <row r="19" spans="1:9" ht="21" customHeight="1" x14ac:dyDescent="0.15">
      <c r="A19" s="65" t="str">
        <f t="shared" si="0"/>
        <v>778_114</v>
      </c>
      <c r="B19" s="44">
        <v>778</v>
      </c>
      <c r="C19" s="21" t="e">
        <f ca="1">VLOOKUP($B19,OFFSET([2]units!$A$1,0,0,COUNTA([2]units!$A:$A),MATCH(C$1,[2]units!$1:$1,0)-COLUMN(INDIRECT("character_id"))+1),MATCH(C$1,[2]units!$1:$1,0)-COLUMN(INDIRECT("character_id"))+1,FALSE)</f>
        <v>#VALUE!</v>
      </c>
      <c r="D19" s="21" t="e">
        <f ca="1">VLOOKUP($B19,OFFSET([2]units!$A$1,0,0,COUNTA([2]units!$A:$A),MATCH(D$1,[2]units!$1:$1,0)-COLUMN(INDIRECT("character_id"))+1),MATCH(D$1,[2]units!$1:$1,0)-COLUMN(INDIRECT("character_id"))+1,FALSE)</f>
        <v>#VALUE!</v>
      </c>
      <c r="E19" s="21" t="e">
        <f ca="1">VLOOKUP($B19,OFFSET([2]units!$A$1,0,0,COUNTA([2]units!$A:$A),MATCH(E$1,[2]units!$1:$1,0)-COLUMN(INDIRECT("character_id"))+1),MATCH(E$1,[2]units!$1:$1,0)-COLUMN(INDIRECT("character_id"))+1,FALSE)</f>
        <v>#VALUE!</v>
      </c>
      <c r="F19" s="44">
        <v>114</v>
      </c>
      <c r="G19" s="21" t="e">
        <f ca="1">VLOOKUP($F19,OFFSET([2]units!$A$1,0,0,COUNTA([2]units!$A:$A),MATCH(G$1,[2]units!$1:$1,0)-COLUMN(INDIRECT("character_id"))+1),MATCH(G$1,[2]units!$1:$1,0)-COLUMN(INDIRECT("character_id"))+1,FALSE)</f>
        <v>#VALUE!</v>
      </c>
      <c r="H19" s="18">
        <v>1</v>
      </c>
      <c r="I19" s="115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D10" sqref="D10"/>
    </sheetView>
  </sheetViews>
  <sheetFormatPr baseColWidth="12" defaultRowHeight="15" x14ac:dyDescent="0.15"/>
  <sheetData>
    <row r="1" spans="1:2" x14ac:dyDescent="0.15">
      <c r="A1" t="s">
        <v>337</v>
      </c>
      <c r="B1" t="s">
        <v>338</v>
      </c>
    </row>
    <row r="2" spans="1:2" x14ac:dyDescent="0.15">
      <c r="A2" t="s">
        <v>339</v>
      </c>
      <c r="B2">
        <v>1</v>
      </c>
    </row>
    <row r="3" spans="1:2" x14ac:dyDescent="0.15">
      <c r="A3" t="s">
        <v>340</v>
      </c>
      <c r="B3">
        <v>1</v>
      </c>
    </row>
    <row r="4" spans="1:2" x14ac:dyDescent="0.15">
      <c r="A4" t="s">
        <v>341</v>
      </c>
      <c r="B4">
        <v>1</v>
      </c>
    </row>
    <row r="5" spans="1:2" x14ac:dyDescent="0.15">
      <c r="A5" t="s">
        <v>342</v>
      </c>
      <c r="B5">
        <v>1</v>
      </c>
    </row>
    <row r="6" spans="1:2" x14ac:dyDescent="0.15">
      <c r="A6" t="s">
        <v>343</v>
      </c>
      <c r="B6">
        <v>1</v>
      </c>
    </row>
    <row r="7" spans="1:2" x14ac:dyDescent="0.15">
      <c r="A7" t="s">
        <v>344</v>
      </c>
      <c r="B7">
        <v>1</v>
      </c>
    </row>
    <row r="8" spans="1:2" x14ac:dyDescent="0.15">
      <c r="A8" t="s">
        <v>345</v>
      </c>
      <c r="B8">
        <v>1</v>
      </c>
    </row>
    <row r="9" spans="1:2" x14ac:dyDescent="0.15">
      <c r="A9" t="s">
        <v>346</v>
      </c>
      <c r="B9">
        <v>1</v>
      </c>
    </row>
    <row r="10" spans="1:2" x14ac:dyDescent="0.15">
      <c r="A10" t="s">
        <v>347</v>
      </c>
      <c r="B10">
        <v>1</v>
      </c>
    </row>
    <row r="11" spans="1:2" x14ac:dyDescent="0.15">
      <c r="A11" t="s">
        <v>348</v>
      </c>
      <c r="B11">
        <v>1</v>
      </c>
    </row>
    <row r="12" spans="1:2" x14ac:dyDescent="0.15">
      <c r="A12" t="s">
        <v>349</v>
      </c>
      <c r="B12">
        <v>1</v>
      </c>
    </row>
    <row r="13" spans="1:2" x14ac:dyDescent="0.15">
      <c r="A13" t="s">
        <v>350</v>
      </c>
      <c r="B13">
        <v>0</v>
      </c>
    </row>
    <row r="14" spans="1:2" x14ac:dyDescent="0.15">
      <c r="A14" t="s">
        <v>351</v>
      </c>
      <c r="B14">
        <v>500</v>
      </c>
    </row>
    <row r="15" spans="1:2" x14ac:dyDescent="0.15">
      <c r="A15" t="s">
        <v>352</v>
      </c>
      <c r="B15">
        <v>600</v>
      </c>
    </row>
    <row r="16" spans="1:2" x14ac:dyDescent="0.15">
      <c r="A16" t="s">
        <v>353</v>
      </c>
      <c r="B16">
        <v>700</v>
      </c>
    </row>
    <row r="17" spans="1:2" x14ac:dyDescent="0.15">
      <c r="A17" t="s">
        <v>354</v>
      </c>
      <c r="B17">
        <v>5500</v>
      </c>
    </row>
    <row r="18" spans="1:2" x14ac:dyDescent="0.15">
      <c r="A18" t="s">
        <v>355</v>
      </c>
      <c r="B18">
        <v>6000</v>
      </c>
    </row>
    <row r="19" spans="1:2" x14ac:dyDescent="0.15">
      <c r="A19" t="s">
        <v>356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233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5" t="s">
        <v>234</v>
      </c>
      <c r="B2" s="146"/>
      <c r="C2" s="147"/>
      <c r="D2" s="148" t="s">
        <v>235</v>
      </c>
      <c r="E2" s="148">
        <v>30</v>
      </c>
      <c r="F2" s="148">
        <v>40</v>
      </c>
      <c r="G2" s="148">
        <f>15+F2</f>
        <v>55</v>
      </c>
      <c r="H2" s="147"/>
      <c r="I2" s="147"/>
    </row>
    <row r="3" spans="1:9" s="4" customFormat="1" ht="21" customHeight="1" x14ac:dyDescent="0.15">
      <c r="A3" s="145" t="s">
        <v>236</v>
      </c>
      <c r="B3" s="149"/>
      <c r="C3" s="150"/>
      <c r="D3" s="151" t="s">
        <v>235</v>
      </c>
      <c r="E3" s="151">
        <v>25</v>
      </c>
      <c r="F3" s="151">
        <v>35</v>
      </c>
      <c r="G3" s="148">
        <f t="shared" ref="G3:G5" si="0">15+F3</f>
        <v>50</v>
      </c>
      <c r="H3" s="150"/>
      <c r="I3" s="150"/>
    </row>
    <row r="4" spans="1:9" s="4" customFormat="1" ht="21" customHeight="1" x14ac:dyDescent="0.15">
      <c r="A4" s="145" t="s">
        <v>237</v>
      </c>
      <c r="B4" s="152"/>
      <c r="C4" s="153"/>
      <c r="D4" s="154">
        <v>10</v>
      </c>
      <c r="E4" s="154">
        <v>20</v>
      </c>
      <c r="F4" s="154">
        <v>30</v>
      </c>
      <c r="G4" s="154">
        <f t="shared" si="0"/>
        <v>45</v>
      </c>
      <c r="H4" s="153"/>
      <c r="I4" s="153"/>
    </row>
    <row r="5" spans="1:9" s="4" customFormat="1" ht="21" customHeight="1" x14ac:dyDescent="0.15">
      <c r="A5" s="164" t="s">
        <v>238</v>
      </c>
      <c r="B5" s="159"/>
      <c r="C5" s="160"/>
      <c r="D5" s="29">
        <v>9</v>
      </c>
      <c r="E5" s="29">
        <v>18</v>
      </c>
      <c r="F5" s="29">
        <v>28</v>
      </c>
      <c r="G5" s="39">
        <f t="shared" si="0"/>
        <v>43</v>
      </c>
      <c r="H5" s="160"/>
      <c r="I5" s="160"/>
    </row>
    <row r="6" spans="1:9" s="4" customFormat="1" ht="21" customHeight="1" x14ac:dyDescent="0.15">
      <c r="A6" s="164" t="s">
        <v>239</v>
      </c>
      <c r="B6" s="159"/>
      <c r="C6" s="160"/>
      <c r="D6" s="29">
        <v>7</v>
      </c>
      <c r="E6" s="29">
        <v>16</v>
      </c>
      <c r="F6" s="69" t="s">
        <v>11</v>
      </c>
      <c r="G6" s="69" t="s">
        <v>11</v>
      </c>
      <c r="H6" s="160"/>
      <c r="I6" s="160"/>
    </row>
    <row r="7" spans="1:9" ht="21" customHeight="1" x14ac:dyDescent="0.15">
      <c r="A7" s="74" t="s">
        <v>240</v>
      </c>
      <c r="B7" s="47" t="s">
        <v>11</v>
      </c>
      <c r="C7" s="47" t="s">
        <v>11</v>
      </c>
      <c r="D7" s="39" t="s">
        <v>235</v>
      </c>
      <c r="E7" s="39" t="s">
        <v>235</v>
      </c>
      <c r="F7" s="39" t="s">
        <v>235</v>
      </c>
      <c r="G7" s="39" t="s">
        <v>235</v>
      </c>
      <c r="H7" s="39" t="s">
        <v>235</v>
      </c>
      <c r="I7" s="39" t="s">
        <v>235</v>
      </c>
    </row>
    <row r="8" spans="1:9" ht="21" customHeight="1" x14ac:dyDescent="0.15">
      <c r="A8" s="75" t="s">
        <v>241</v>
      </c>
      <c r="B8" s="47" t="s">
        <v>11</v>
      </c>
      <c r="C8" s="47" t="s">
        <v>11</v>
      </c>
      <c r="D8" s="39" t="s">
        <v>235</v>
      </c>
      <c r="E8" s="39">
        <v>30</v>
      </c>
      <c r="F8" s="39">
        <v>40</v>
      </c>
      <c r="G8" s="39">
        <f>15+F8</f>
        <v>55</v>
      </c>
      <c r="H8" s="39" t="s">
        <v>235</v>
      </c>
      <c r="I8" s="39" t="s">
        <v>235</v>
      </c>
    </row>
    <row r="9" spans="1:9" s="46" customFormat="1" ht="21" customHeight="1" x14ac:dyDescent="0.15">
      <c r="A9" s="76" t="s">
        <v>242</v>
      </c>
      <c r="B9" s="29" t="s">
        <v>11</v>
      </c>
      <c r="C9" s="29" t="s">
        <v>11</v>
      </c>
      <c r="D9" s="106" t="s">
        <v>235</v>
      </c>
      <c r="E9" s="106">
        <v>25</v>
      </c>
      <c r="F9" s="106">
        <v>35</v>
      </c>
      <c r="G9" s="39">
        <f t="shared" ref="G9:G11" si="1">15+F9</f>
        <v>50</v>
      </c>
      <c r="H9" s="106" t="s">
        <v>235</v>
      </c>
      <c r="I9" s="106" t="s">
        <v>235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69" t="s">
        <v>11</v>
      </c>
      <c r="I10" s="69" t="s">
        <v>11</v>
      </c>
    </row>
    <row r="11" spans="1:9" ht="21" customHeight="1" x14ac:dyDescent="0.15">
      <c r="A11" s="76" t="s">
        <v>243</v>
      </c>
      <c r="B11" s="69" t="s">
        <v>11</v>
      </c>
      <c r="C11" s="69" t="s">
        <v>11</v>
      </c>
      <c r="D11" s="29">
        <v>9</v>
      </c>
      <c r="E11" s="29">
        <v>18</v>
      </c>
      <c r="F11" s="29">
        <v>28</v>
      </c>
      <c r="G11" s="39">
        <f t="shared" si="1"/>
        <v>43</v>
      </c>
      <c r="H11" s="69" t="s">
        <v>11</v>
      </c>
      <c r="I11" s="69" t="s">
        <v>11</v>
      </c>
    </row>
    <row r="12" spans="1:9" ht="21" customHeight="1" x14ac:dyDescent="0.15">
      <c r="A12" s="76" t="s">
        <v>244</v>
      </c>
      <c r="B12" s="69" t="s">
        <v>11</v>
      </c>
      <c r="C12" s="69" t="s">
        <v>11</v>
      </c>
      <c r="D12" s="29">
        <v>7</v>
      </c>
      <c r="E12" s="29">
        <v>16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105" t="s">
        <v>245</v>
      </c>
      <c r="B13" s="69" t="s">
        <v>11</v>
      </c>
      <c r="C13" s="69" t="s">
        <v>11</v>
      </c>
      <c r="D13" s="29">
        <v>8</v>
      </c>
      <c r="E13" s="29">
        <v>17</v>
      </c>
      <c r="F13" s="29">
        <v>26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246</v>
      </c>
      <c r="B14" s="69" t="s">
        <v>11</v>
      </c>
      <c r="C14" s="69" t="s">
        <v>11</v>
      </c>
      <c r="D14" s="29">
        <v>8</v>
      </c>
      <c r="E14" s="29">
        <v>17</v>
      </c>
      <c r="F14" s="29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247</v>
      </c>
      <c r="B15" s="69" t="s">
        <v>11</v>
      </c>
      <c r="C15" s="69" t="s">
        <v>11</v>
      </c>
      <c r="D15" s="29">
        <v>6</v>
      </c>
      <c r="E15" s="29">
        <v>14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248</v>
      </c>
      <c r="B16" s="69" t="s">
        <v>11</v>
      </c>
      <c r="C16" s="29">
        <v>4</v>
      </c>
      <c r="D16" s="29">
        <v>6</v>
      </c>
      <c r="E16" s="29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</v>
      </c>
      <c r="C17" s="29">
        <v>4</v>
      </c>
      <c r="D17" s="29">
        <v>6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32">
        <v>1</v>
      </c>
      <c r="C18" s="32">
        <v>2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78" t="s">
        <v>249</v>
      </c>
      <c r="B19" s="27">
        <v>1</v>
      </c>
      <c r="C19" s="27">
        <v>1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8" t="s">
        <v>250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A2" sqref="A2:A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5" t="s">
        <v>234</v>
      </c>
      <c r="B2" s="161"/>
      <c r="C2" s="147"/>
      <c r="D2" s="155" t="s">
        <v>109</v>
      </c>
      <c r="E2" s="155">
        <v>60</v>
      </c>
      <c r="F2" s="155">
        <v>80</v>
      </c>
      <c r="G2" s="155">
        <v>99</v>
      </c>
      <c r="H2" s="147"/>
      <c r="I2" s="147"/>
    </row>
    <row r="3" spans="1:9" s="4" customFormat="1" ht="21" customHeight="1" x14ac:dyDescent="0.15">
      <c r="A3" s="145" t="s">
        <v>236</v>
      </c>
      <c r="B3" s="162"/>
      <c r="C3" s="150"/>
      <c r="D3" s="155" t="s">
        <v>109</v>
      </c>
      <c r="E3" s="155">
        <v>60</v>
      </c>
      <c r="F3" s="155">
        <v>80</v>
      </c>
      <c r="G3" s="155">
        <v>99</v>
      </c>
      <c r="H3" s="150"/>
      <c r="I3" s="150"/>
    </row>
    <row r="4" spans="1:9" s="4" customFormat="1" ht="21" customHeight="1" x14ac:dyDescent="0.15">
      <c r="A4" s="145" t="s">
        <v>230</v>
      </c>
      <c r="B4" s="163"/>
      <c r="C4" s="153"/>
      <c r="D4" s="155">
        <v>40</v>
      </c>
      <c r="E4" s="155">
        <v>60</v>
      </c>
      <c r="F4" s="155">
        <v>80</v>
      </c>
      <c r="G4" s="155">
        <v>99</v>
      </c>
      <c r="H4" s="153"/>
      <c r="I4" s="153"/>
    </row>
    <row r="5" spans="1:9" s="4" customFormat="1" ht="21" customHeight="1" x14ac:dyDescent="0.15">
      <c r="A5" s="164" t="s">
        <v>238</v>
      </c>
      <c r="B5" s="159"/>
      <c r="C5" s="160"/>
      <c r="D5" s="155">
        <v>40</v>
      </c>
      <c r="E5" s="155">
        <v>60</v>
      </c>
      <c r="F5" s="155">
        <v>80</v>
      </c>
      <c r="G5" s="155">
        <v>99</v>
      </c>
      <c r="H5" s="160"/>
      <c r="I5" s="160"/>
    </row>
    <row r="6" spans="1:9" s="4" customFormat="1" ht="21" customHeight="1" x14ac:dyDescent="0.15">
      <c r="A6" s="164" t="s">
        <v>239</v>
      </c>
      <c r="B6" s="159"/>
      <c r="C6" s="160"/>
      <c r="D6" s="155">
        <v>40</v>
      </c>
      <c r="E6" s="155">
        <v>60</v>
      </c>
      <c r="F6" s="155" t="s">
        <v>109</v>
      </c>
      <c r="G6" s="155" t="s">
        <v>109</v>
      </c>
      <c r="H6" s="160"/>
      <c r="I6" s="160"/>
    </row>
    <row r="7" spans="1:9" ht="21" customHeight="1" x14ac:dyDescent="0.15">
      <c r="A7" s="74" t="s">
        <v>206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5" t="s">
        <v>241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6" customFormat="1" ht="21" customHeight="1" x14ac:dyDescent="0.15">
      <c r="A9" s="76" t="s">
        <v>242</v>
      </c>
      <c r="B9" s="66" t="s">
        <v>109</v>
      </c>
      <c r="C9" s="66" t="s">
        <v>109</v>
      </c>
      <c r="D9" s="66" t="s">
        <v>109</v>
      </c>
      <c r="E9" s="66">
        <v>60</v>
      </c>
      <c r="F9" s="66">
        <v>80</v>
      </c>
      <c r="G9" s="66">
        <v>99</v>
      </c>
      <c r="H9" s="66" t="s">
        <v>109</v>
      </c>
      <c r="I9" s="66" t="s">
        <v>109</v>
      </c>
    </row>
    <row r="10" spans="1:9" ht="21" customHeight="1" x14ac:dyDescent="0.15">
      <c r="A10" s="76" t="s">
        <v>9</v>
      </c>
      <c r="B10" s="71" t="s">
        <v>109</v>
      </c>
      <c r="C10" s="71" t="s">
        <v>109</v>
      </c>
      <c r="D10" s="37">
        <v>40</v>
      </c>
      <c r="E10" s="37">
        <v>60</v>
      </c>
      <c r="F10" s="37">
        <v>80</v>
      </c>
      <c r="G10" s="40">
        <v>99</v>
      </c>
      <c r="H10" s="71" t="s">
        <v>109</v>
      </c>
      <c r="I10" s="71" t="s">
        <v>109</v>
      </c>
    </row>
    <row r="11" spans="1:9" ht="21" customHeight="1" x14ac:dyDescent="0.15">
      <c r="A11" s="76" t="s">
        <v>209</v>
      </c>
      <c r="B11" s="71" t="s">
        <v>109</v>
      </c>
      <c r="C11" s="71" t="s">
        <v>109</v>
      </c>
      <c r="D11" s="37">
        <v>40</v>
      </c>
      <c r="E11" s="37">
        <v>60</v>
      </c>
      <c r="F11" s="37">
        <v>80</v>
      </c>
      <c r="G11" s="66">
        <v>99</v>
      </c>
      <c r="H11" s="71" t="s">
        <v>109</v>
      </c>
      <c r="I11" s="71" t="s">
        <v>109</v>
      </c>
    </row>
    <row r="12" spans="1:9" ht="21" customHeight="1" x14ac:dyDescent="0.15">
      <c r="A12" s="76" t="s">
        <v>205</v>
      </c>
      <c r="B12" s="71" t="s">
        <v>109</v>
      </c>
      <c r="C12" s="71" t="s">
        <v>109</v>
      </c>
      <c r="D12" s="37">
        <v>40</v>
      </c>
      <c r="E12" s="37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</row>
    <row r="13" spans="1:9" ht="21" customHeight="1" x14ac:dyDescent="0.15">
      <c r="A13" s="105" t="s">
        <v>245</v>
      </c>
      <c r="B13" s="71" t="s">
        <v>109</v>
      </c>
      <c r="C13" s="71" t="s">
        <v>109</v>
      </c>
      <c r="D13" s="37">
        <v>40</v>
      </c>
      <c r="E13" s="37">
        <v>60</v>
      </c>
      <c r="F13" s="37">
        <v>80</v>
      </c>
      <c r="G13" s="71" t="s">
        <v>109</v>
      </c>
      <c r="H13" s="71" t="s">
        <v>109</v>
      </c>
      <c r="I13" s="71" t="s">
        <v>109</v>
      </c>
    </row>
    <row r="14" spans="1:9" ht="21" customHeight="1" x14ac:dyDescent="0.15">
      <c r="A14" s="76" t="s">
        <v>246</v>
      </c>
      <c r="B14" s="71" t="s">
        <v>109</v>
      </c>
      <c r="C14" s="71" t="s">
        <v>109</v>
      </c>
      <c r="D14" s="37">
        <v>40</v>
      </c>
      <c r="E14" s="37">
        <v>60</v>
      </c>
      <c r="F14" s="37">
        <v>80</v>
      </c>
      <c r="G14" s="71" t="s">
        <v>109</v>
      </c>
      <c r="H14" s="71" t="s">
        <v>109</v>
      </c>
      <c r="I14" s="71" t="s">
        <v>109</v>
      </c>
    </row>
    <row r="15" spans="1:9" ht="21" customHeight="1" x14ac:dyDescent="0.15">
      <c r="A15" s="76" t="s">
        <v>105</v>
      </c>
      <c r="B15" s="71" t="s">
        <v>109</v>
      </c>
      <c r="C15" s="37">
        <v>30</v>
      </c>
      <c r="D15" s="37">
        <v>40</v>
      </c>
      <c r="E15" s="37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9" ht="21" customHeight="1" x14ac:dyDescent="0.15">
      <c r="A16" s="76" t="s">
        <v>248</v>
      </c>
      <c r="B16" s="71" t="s">
        <v>109</v>
      </c>
      <c r="C16" s="37">
        <v>30</v>
      </c>
      <c r="D16" s="37">
        <v>40</v>
      </c>
      <c r="E16" s="37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37">
        <v>15</v>
      </c>
      <c r="C17" s="37">
        <v>30</v>
      </c>
      <c r="D17" s="37">
        <v>40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37">
        <v>15</v>
      </c>
      <c r="C18" s="37">
        <v>30</v>
      </c>
      <c r="D18" s="37">
        <v>40</v>
      </c>
      <c r="E18" s="71" t="s">
        <v>215</v>
      </c>
      <c r="F18" s="71" t="s">
        <v>215</v>
      </c>
      <c r="G18" s="71" t="s">
        <v>215</v>
      </c>
      <c r="H18" s="71" t="s">
        <v>215</v>
      </c>
      <c r="I18" s="71" t="s">
        <v>215</v>
      </c>
    </row>
    <row r="19" spans="1:9" ht="21" customHeight="1" x14ac:dyDescent="0.15">
      <c r="A19" s="78" t="s">
        <v>249</v>
      </c>
      <c r="B19" s="37">
        <v>10</v>
      </c>
      <c r="C19" s="37">
        <v>20</v>
      </c>
      <c r="D19" s="71" t="s">
        <v>215</v>
      </c>
      <c r="E19" s="71" t="s">
        <v>215</v>
      </c>
      <c r="F19" s="71" t="s">
        <v>215</v>
      </c>
      <c r="G19" s="71" t="s">
        <v>215</v>
      </c>
      <c r="H19" s="71" t="s">
        <v>215</v>
      </c>
      <c r="I19" s="71" t="s">
        <v>215</v>
      </c>
    </row>
    <row r="20" spans="1:9" ht="21" customHeight="1" x14ac:dyDescent="0.15">
      <c r="A20" s="38" t="s">
        <v>250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A2" sqref="A2:A20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5" t="s">
        <v>234</v>
      </c>
      <c r="B2" s="146"/>
      <c r="C2" s="147"/>
      <c r="D2" s="155" t="s">
        <v>109</v>
      </c>
      <c r="E2" s="156" t="s">
        <v>59</v>
      </c>
      <c r="F2" s="156" t="s">
        <v>59</v>
      </c>
      <c r="G2" s="156" t="s">
        <v>219</v>
      </c>
      <c r="H2" s="147"/>
      <c r="I2" s="147"/>
    </row>
    <row r="3" spans="1:11" s="4" customFormat="1" ht="21" customHeight="1" x14ac:dyDescent="0.15">
      <c r="A3" s="145" t="s">
        <v>236</v>
      </c>
      <c r="B3" s="149"/>
      <c r="C3" s="150"/>
      <c r="D3" s="156" t="s">
        <v>59</v>
      </c>
      <c r="E3" s="156" t="s">
        <v>59</v>
      </c>
      <c r="F3" s="156" t="s">
        <v>59</v>
      </c>
      <c r="G3" s="156" t="s">
        <v>229</v>
      </c>
      <c r="H3" s="150"/>
      <c r="I3" s="150"/>
    </row>
    <row r="4" spans="1:11" s="4" customFormat="1" ht="21" customHeight="1" x14ac:dyDescent="0.15">
      <c r="A4" s="145" t="s">
        <v>230</v>
      </c>
      <c r="B4" s="152"/>
      <c r="C4" s="153"/>
      <c r="D4" s="157" t="s">
        <v>59</v>
      </c>
      <c r="E4" s="157" t="s">
        <v>59</v>
      </c>
      <c r="F4" s="157" t="s">
        <v>59</v>
      </c>
      <c r="G4" s="156" t="s">
        <v>229</v>
      </c>
      <c r="H4" s="153"/>
      <c r="I4" s="153"/>
    </row>
    <row r="5" spans="1:11" s="4" customFormat="1" ht="21" customHeight="1" x14ac:dyDescent="0.15">
      <c r="A5" s="164" t="s">
        <v>238</v>
      </c>
      <c r="B5" s="159"/>
      <c r="C5" s="160"/>
      <c r="D5" s="157" t="s">
        <v>59</v>
      </c>
      <c r="E5" s="157" t="s">
        <v>59</v>
      </c>
      <c r="F5" s="157" t="s">
        <v>59</v>
      </c>
      <c r="G5" s="156" t="s">
        <v>219</v>
      </c>
      <c r="H5" s="160"/>
      <c r="I5" s="160"/>
    </row>
    <row r="6" spans="1:11" s="4" customFormat="1" ht="21" customHeight="1" x14ac:dyDescent="0.15">
      <c r="A6" s="164" t="s">
        <v>239</v>
      </c>
      <c r="B6" s="159"/>
      <c r="C6" s="160"/>
      <c r="D6" s="165" t="s">
        <v>60</v>
      </c>
      <c r="E6" s="165" t="s">
        <v>60</v>
      </c>
      <c r="F6" s="155" t="s">
        <v>109</v>
      </c>
      <c r="G6" s="155" t="s">
        <v>109</v>
      </c>
      <c r="H6" s="160"/>
      <c r="I6" s="160"/>
    </row>
    <row r="7" spans="1:11" ht="21" customHeight="1" x14ac:dyDescent="0.15">
      <c r="A7" s="74" t="s">
        <v>206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5" t="s">
        <v>241</v>
      </c>
      <c r="B8" s="40" t="s">
        <v>109</v>
      </c>
      <c r="C8" s="40" t="s">
        <v>109</v>
      </c>
      <c r="D8" s="40" t="s">
        <v>216</v>
      </c>
      <c r="E8" s="52" t="s">
        <v>115</v>
      </c>
      <c r="F8" s="52" t="s">
        <v>115</v>
      </c>
      <c r="G8" s="52" t="s">
        <v>217</v>
      </c>
      <c r="H8" s="40" t="s">
        <v>216</v>
      </c>
      <c r="I8" s="40" t="s">
        <v>109</v>
      </c>
    </row>
    <row r="9" spans="1:11" s="46" customFormat="1" ht="21" customHeight="1" x14ac:dyDescent="0.15">
      <c r="A9" s="76" t="s">
        <v>242</v>
      </c>
      <c r="B9" s="66" t="s">
        <v>109</v>
      </c>
      <c r="C9" s="66" t="s">
        <v>109</v>
      </c>
      <c r="D9" s="66" t="s">
        <v>109</v>
      </c>
      <c r="E9" s="52" t="s">
        <v>59</v>
      </c>
      <c r="F9" s="52" t="s">
        <v>59</v>
      </c>
      <c r="G9" s="52" t="s">
        <v>115</v>
      </c>
      <c r="H9" s="66" t="s">
        <v>218</v>
      </c>
      <c r="I9" s="66" t="s">
        <v>218</v>
      </c>
    </row>
    <row r="10" spans="1:11" ht="21" customHeight="1" x14ac:dyDescent="0.15">
      <c r="A10" s="76" t="s">
        <v>9</v>
      </c>
      <c r="B10" s="71" t="s">
        <v>109</v>
      </c>
      <c r="C10" s="71" t="s">
        <v>109</v>
      </c>
      <c r="D10" s="52" t="s">
        <v>59</v>
      </c>
      <c r="E10" s="52" t="s">
        <v>59</v>
      </c>
      <c r="F10" s="52" t="s">
        <v>59</v>
      </c>
      <c r="G10" s="52" t="s">
        <v>219</v>
      </c>
      <c r="H10" s="71" t="s">
        <v>218</v>
      </c>
      <c r="I10" s="71" t="s">
        <v>218</v>
      </c>
      <c r="K10" s="28" t="s">
        <v>12</v>
      </c>
    </row>
    <row r="11" spans="1:11" ht="21" customHeight="1" x14ac:dyDescent="0.15">
      <c r="A11" s="76" t="s">
        <v>209</v>
      </c>
      <c r="B11" s="71" t="s">
        <v>109</v>
      </c>
      <c r="C11" s="71" t="s">
        <v>109</v>
      </c>
      <c r="D11" s="53" t="s">
        <v>59</v>
      </c>
      <c r="E11" s="53" t="s">
        <v>59</v>
      </c>
      <c r="F11" s="53" t="s">
        <v>59</v>
      </c>
      <c r="G11" s="52" t="s">
        <v>219</v>
      </c>
      <c r="H11" s="71" t="s">
        <v>218</v>
      </c>
      <c r="I11" s="71" t="s">
        <v>218</v>
      </c>
      <c r="K11" s="30" t="s">
        <v>13</v>
      </c>
    </row>
    <row r="12" spans="1:11" ht="21" customHeight="1" x14ac:dyDescent="0.15">
      <c r="A12" s="76" t="s">
        <v>205</v>
      </c>
      <c r="B12" s="71" t="s">
        <v>109</v>
      </c>
      <c r="C12" s="71" t="s">
        <v>109</v>
      </c>
      <c r="D12" s="54" t="s">
        <v>60</v>
      </c>
      <c r="E12" s="54" t="s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  <c r="K12" s="72" t="s">
        <v>35</v>
      </c>
    </row>
    <row r="13" spans="1:11" ht="21" customHeight="1" x14ac:dyDescent="0.15">
      <c r="A13" s="105" t="s">
        <v>245</v>
      </c>
      <c r="B13" s="71" t="s">
        <v>109</v>
      </c>
      <c r="C13" s="71" t="s">
        <v>109</v>
      </c>
      <c r="D13" s="55" t="s">
        <v>59</v>
      </c>
      <c r="E13" s="55" t="s">
        <v>59</v>
      </c>
      <c r="F13" s="55" t="s">
        <v>59</v>
      </c>
      <c r="G13" s="71" t="s">
        <v>109</v>
      </c>
      <c r="H13" s="71" t="s">
        <v>109</v>
      </c>
      <c r="I13" s="71" t="s">
        <v>109</v>
      </c>
      <c r="K13" s="73"/>
    </row>
    <row r="14" spans="1:11" ht="21" customHeight="1" x14ac:dyDescent="0.15">
      <c r="A14" s="76" t="s">
        <v>246</v>
      </c>
      <c r="B14" s="71" t="s">
        <v>109</v>
      </c>
      <c r="C14" s="71" t="s">
        <v>109</v>
      </c>
      <c r="D14" s="55" t="s">
        <v>59</v>
      </c>
      <c r="E14" s="55" t="s">
        <v>59</v>
      </c>
      <c r="F14" s="55" t="s">
        <v>59</v>
      </c>
      <c r="G14" s="71" t="s">
        <v>109</v>
      </c>
      <c r="H14" s="71" t="s">
        <v>109</v>
      </c>
      <c r="I14" s="71" t="s">
        <v>109</v>
      </c>
    </row>
    <row r="15" spans="1:11" ht="21" customHeight="1" x14ac:dyDescent="0.15">
      <c r="A15" s="76" t="s">
        <v>105</v>
      </c>
      <c r="B15" s="71" t="s">
        <v>109</v>
      </c>
      <c r="C15" s="71" t="s">
        <v>109</v>
      </c>
      <c r="D15" s="55" t="s">
        <v>60</v>
      </c>
      <c r="E15" s="55" t="s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11" ht="21" customHeight="1" x14ac:dyDescent="0.15">
      <c r="A16" s="76" t="s">
        <v>248</v>
      </c>
      <c r="B16" s="71" t="s">
        <v>109</v>
      </c>
      <c r="C16" s="55" t="s">
        <v>60</v>
      </c>
      <c r="D16" s="55" t="s">
        <v>60</v>
      </c>
      <c r="E16" s="55" t="s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56" t="s">
        <v>61</v>
      </c>
      <c r="C17" s="56" t="s">
        <v>61</v>
      </c>
      <c r="D17" s="56" t="s">
        <v>61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51" t="s">
        <v>62</v>
      </c>
      <c r="C18" s="51" t="s">
        <v>62</v>
      </c>
      <c r="D18" s="71" t="s">
        <v>109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8" t="s">
        <v>249</v>
      </c>
      <c r="B19" s="53" t="s">
        <v>63</v>
      </c>
      <c r="C19" s="53" t="s">
        <v>63</v>
      </c>
      <c r="D19" s="71" t="s">
        <v>109</v>
      </c>
      <c r="E19" s="71" t="s">
        <v>109</v>
      </c>
      <c r="F19" s="71" t="s">
        <v>109</v>
      </c>
      <c r="G19" s="71" t="s">
        <v>109</v>
      </c>
      <c r="H19" s="71" t="s">
        <v>109</v>
      </c>
      <c r="I19" s="71" t="s">
        <v>109</v>
      </c>
    </row>
    <row r="20" spans="1:9" ht="21" customHeight="1" x14ac:dyDescent="0.15">
      <c r="A20" s="38" t="s">
        <v>250</v>
      </c>
      <c r="B20" s="79" t="s">
        <v>47</v>
      </c>
      <c r="C20" s="79" t="s">
        <v>47</v>
      </c>
      <c r="D20" s="79" t="s">
        <v>47</v>
      </c>
      <c r="E20" s="79" t="s">
        <v>47</v>
      </c>
      <c r="F20" s="79" t="s">
        <v>47</v>
      </c>
      <c r="G20" s="79" t="s">
        <v>47</v>
      </c>
      <c r="H20" s="79" t="s">
        <v>47</v>
      </c>
      <c r="I20" s="79" t="s">
        <v>47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64</v>
      </c>
      <c r="B26" s="22" t="s">
        <v>65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H8" sqref="H8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5" t="s">
        <v>227</v>
      </c>
      <c r="B2" s="146"/>
      <c r="C2" s="147"/>
      <c r="D2" s="158" t="s">
        <v>11</v>
      </c>
      <c r="E2" s="158">
        <v>8000</v>
      </c>
      <c r="F2" s="158">
        <v>10000</v>
      </c>
      <c r="G2" s="158">
        <v>14000</v>
      </c>
      <c r="H2" s="147"/>
      <c r="I2" s="147"/>
    </row>
    <row r="3" spans="1:9" s="4" customFormat="1" ht="21" customHeight="1" x14ac:dyDescent="0.15">
      <c r="A3" s="145" t="s">
        <v>228</v>
      </c>
      <c r="B3" s="149"/>
      <c r="C3" s="150"/>
      <c r="D3" s="158" t="s">
        <v>11</v>
      </c>
      <c r="E3" s="158">
        <v>7500</v>
      </c>
      <c r="F3" s="158">
        <v>9500</v>
      </c>
      <c r="G3" s="158">
        <v>13000</v>
      </c>
      <c r="H3" s="150"/>
      <c r="I3" s="150"/>
    </row>
    <row r="4" spans="1:9" s="4" customFormat="1" ht="21" customHeight="1" x14ac:dyDescent="0.15">
      <c r="A4" s="145" t="s">
        <v>230</v>
      </c>
      <c r="B4" s="152"/>
      <c r="C4" s="153"/>
      <c r="D4" s="158">
        <v>5000</v>
      </c>
      <c r="E4" s="158">
        <v>7000</v>
      </c>
      <c r="F4" s="158">
        <v>9000</v>
      </c>
      <c r="G4" s="158">
        <v>12000</v>
      </c>
      <c r="H4" s="153"/>
      <c r="I4" s="153"/>
    </row>
    <row r="5" spans="1:9" s="4" customFormat="1" ht="21" customHeight="1" x14ac:dyDescent="0.15">
      <c r="A5" s="164" t="s">
        <v>231</v>
      </c>
      <c r="B5" s="159"/>
      <c r="C5" s="160"/>
      <c r="D5" s="158">
        <v>4900</v>
      </c>
      <c r="E5" s="158">
        <v>6700</v>
      </c>
      <c r="F5" s="158">
        <v>8500</v>
      </c>
      <c r="G5" s="158">
        <v>11000</v>
      </c>
      <c r="H5" s="160"/>
      <c r="I5" s="160"/>
    </row>
    <row r="6" spans="1:9" s="4" customFormat="1" ht="21" customHeight="1" x14ac:dyDescent="0.15">
      <c r="A6" s="164" t="s">
        <v>232</v>
      </c>
      <c r="B6" s="159"/>
      <c r="C6" s="160"/>
      <c r="D6" s="158">
        <v>4800</v>
      </c>
      <c r="E6" s="158">
        <v>6600</v>
      </c>
      <c r="F6" s="158" t="s">
        <v>11</v>
      </c>
      <c r="G6" s="158" t="s">
        <v>11</v>
      </c>
      <c r="H6" s="160"/>
      <c r="I6" s="160"/>
    </row>
    <row r="7" spans="1:9" ht="21" customHeight="1" x14ac:dyDescent="0.15">
      <c r="A7" s="74" t="s">
        <v>206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207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76" t="s">
        <v>208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7">
        <v>13000</v>
      </c>
      <c r="H9" s="29" t="s">
        <v>11</v>
      </c>
      <c r="I9" s="29" t="s">
        <v>11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5000</v>
      </c>
      <c r="E10" s="29">
        <v>7000</v>
      </c>
      <c r="F10" s="29">
        <v>9000</v>
      </c>
      <c r="G10" s="47">
        <v>12000</v>
      </c>
      <c r="H10" s="69" t="s">
        <v>11</v>
      </c>
      <c r="I10" s="69" t="s">
        <v>11</v>
      </c>
    </row>
    <row r="11" spans="1:9" ht="21" customHeight="1" x14ac:dyDescent="0.15">
      <c r="A11" s="76" t="s">
        <v>209</v>
      </c>
      <c r="B11" s="69" t="s">
        <v>11</v>
      </c>
      <c r="C11" s="69" t="s">
        <v>11</v>
      </c>
      <c r="D11" s="29">
        <v>4900</v>
      </c>
      <c r="E11" s="29">
        <v>6700</v>
      </c>
      <c r="F11" s="29">
        <v>8500</v>
      </c>
      <c r="G11" s="47">
        <v>11000</v>
      </c>
      <c r="H11" s="69" t="s">
        <v>11</v>
      </c>
      <c r="I11" s="69" t="s">
        <v>11</v>
      </c>
    </row>
    <row r="12" spans="1:9" ht="21" customHeight="1" x14ac:dyDescent="0.15">
      <c r="A12" s="76" t="s">
        <v>106</v>
      </c>
      <c r="B12" s="69" t="s">
        <v>11</v>
      </c>
      <c r="C12" s="69" t="s">
        <v>11</v>
      </c>
      <c r="D12" s="29">
        <v>4800</v>
      </c>
      <c r="E12" s="29">
        <v>6600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76" t="s">
        <v>210</v>
      </c>
      <c r="B13" s="69" t="s">
        <v>11</v>
      </c>
      <c r="C13" s="69" t="s">
        <v>11</v>
      </c>
      <c r="D13" s="69" t="s">
        <v>11</v>
      </c>
      <c r="E13" s="29">
        <v>6300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211</v>
      </c>
      <c r="B14" s="69" t="s">
        <v>11</v>
      </c>
      <c r="C14" s="69" t="s">
        <v>11</v>
      </c>
      <c r="D14" s="29">
        <v>4600</v>
      </c>
      <c r="E14" s="29">
        <v>5800</v>
      </c>
      <c r="F14" s="29">
        <v>7600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105</v>
      </c>
      <c r="B15" s="69" t="s">
        <v>11</v>
      </c>
      <c r="C15" s="69" t="s">
        <v>11</v>
      </c>
      <c r="D15" s="29">
        <v>4400</v>
      </c>
      <c r="E15" s="29">
        <v>5600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212</v>
      </c>
      <c r="B16" s="69" t="s">
        <v>11</v>
      </c>
      <c r="C16" s="29">
        <v>3000</v>
      </c>
      <c r="D16" s="29">
        <v>4200</v>
      </c>
      <c r="E16" s="29">
        <v>5400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2000</v>
      </c>
      <c r="C17" s="29">
        <v>2800</v>
      </c>
      <c r="D17" s="29">
        <v>4000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29">
        <v>1750</v>
      </c>
      <c r="C18" s="29">
        <v>2550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213</v>
      </c>
      <c r="B19" s="29">
        <v>1500</v>
      </c>
      <c r="C19" s="29">
        <v>2300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8" t="s">
        <v>214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111</v>
      </c>
      <c r="G1" s="24" t="s">
        <v>112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198</v>
      </c>
      <c r="B2" s="12">
        <v>591</v>
      </c>
    </row>
    <row r="3" spans="1:4" x14ac:dyDescent="0.15">
      <c r="A3" t="s">
        <v>199</v>
      </c>
      <c r="B3" s="134">
        <v>592</v>
      </c>
    </row>
    <row r="4" spans="1:4" x14ac:dyDescent="0.15">
      <c r="A4" t="s">
        <v>200</v>
      </c>
      <c r="B4" s="134">
        <v>593</v>
      </c>
    </row>
    <row r="7" spans="1:4" x14ac:dyDescent="0.15">
      <c r="A7" t="s">
        <v>201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220</v>
      </c>
    </row>
    <row r="13" spans="1:4" x14ac:dyDescent="0.15">
      <c r="B13" t="s">
        <v>224</v>
      </c>
      <c r="C13" t="s">
        <v>225</v>
      </c>
      <c r="D13" t="s">
        <v>226</v>
      </c>
    </row>
    <row r="14" spans="1:4" x14ac:dyDescent="0.15">
      <c r="A14" t="s">
        <v>222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223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221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202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203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204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4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2017-06-06T09:19:18Z</dcterms:modified>
</cp:coreProperties>
</file>