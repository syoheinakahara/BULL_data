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zakihitoshi/BULL_data/master_excel/"/>
    </mc:Choice>
  </mc:AlternateContent>
  <bookViews>
    <workbookView xWindow="2880" yWindow="1220" windowWidth="34560" windowHeight="184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8" l="1"/>
  <c r="D18" i="18"/>
  <c r="C17" i="18"/>
  <c r="D17" i="18"/>
  <c r="C19" i="18"/>
  <c r="D19" i="18"/>
  <c r="C9" i="18"/>
  <c r="D9" i="18"/>
  <c r="C10" i="18"/>
  <c r="D10" i="18"/>
  <c r="C8" i="18"/>
  <c r="D8" i="18"/>
  <c r="C5" i="18"/>
  <c r="D5" i="18"/>
  <c r="C6" i="18"/>
  <c r="D6" i="18"/>
  <c r="C7" i="18"/>
  <c r="D7" i="18"/>
  <c r="C33" i="18"/>
  <c r="D33" i="18"/>
  <c r="C32" i="18"/>
  <c r="D32" i="18"/>
  <c r="C31" i="18"/>
  <c r="D31" i="18"/>
  <c r="C22" i="18"/>
  <c r="D22" i="18"/>
  <c r="C23" i="18"/>
  <c r="D23" i="18"/>
  <c r="C24" i="18"/>
  <c r="D24" i="18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30" i="18"/>
  <c r="D30" i="18"/>
  <c r="C29" i="18"/>
  <c r="D29" i="18"/>
  <c r="C28" i="18"/>
  <c r="D28" i="18"/>
  <c r="C27" i="18"/>
  <c r="D27" i="18"/>
  <c r="C26" i="18"/>
  <c r="D26" i="18"/>
  <c r="C25" i="18"/>
  <c r="D25" i="18"/>
  <c r="C21" i="18"/>
  <c r="D21" i="18"/>
  <c r="C20" i="18"/>
  <c r="D20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4" i="18"/>
  <c r="D4" i="18"/>
  <c r="C3" i="18"/>
  <c r="D3" i="18"/>
  <c r="C2" i="18"/>
  <c r="D2" i="18"/>
  <c r="Y5" i="7"/>
  <c r="W5" i="7"/>
  <c r="U5" i="7"/>
  <c r="R5" i="7"/>
  <c r="Q5" i="7"/>
  <c r="P5" i="7"/>
  <c r="O5" i="7"/>
  <c r="N5" i="7"/>
  <c r="H5" i="7"/>
  <c r="G6" i="2"/>
  <c r="A6" i="2"/>
  <c r="G7" i="2"/>
  <c r="A7" i="2"/>
  <c r="G8" i="2"/>
  <c r="A8" i="2"/>
  <c r="G9" i="2"/>
  <c r="A9" i="2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D13" i="1"/>
  <c r="AF13" i="1"/>
  <c r="AI13" i="1"/>
  <c r="AG13" i="1"/>
  <c r="AE13" i="1"/>
  <c r="E20" i="9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E10" i="9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E6" i="9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E2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H9" i="2"/>
  <c r="E9" i="2"/>
  <c r="D9" i="2"/>
  <c r="H2" i="1"/>
  <c r="H3" i="1"/>
  <c r="H4" i="1"/>
  <c r="H5" i="1"/>
  <c r="H6" i="1"/>
  <c r="H7" i="1"/>
  <c r="B9" i="2"/>
  <c r="H8" i="2"/>
  <c r="E8" i="2"/>
  <c r="D8" i="2"/>
  <c r="B8" i="2"/>
  <c r="H7" i="2"/>
  <c r="E7" i="2"/>
  <c r="D7" i="2"/>
  <c r="B7" i="2"/>
  <c r="H6" i="2"/>
  <c r="E6" i="2"/>
  <c r="D6" i="2"/>
  <c r="B6" i="2"/>
  <c r="AD3" i="10"/>
  <c r="AD4" i="10"/>
  <c r="AD5" i="10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D2" i="10"/>
  <c r="AC2" i="10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O9" i="9"/>
  <c r="N9" i="9"/>
  <c r="M9" i="9"/>
  <c r="L9" i="9"/>
  <c r="K9" i="9"/>
  <c r="J9" i="9"/>
  <c r="I9" i="9"/>
  <c r="H9" i="9"/>
  <c r="G9" i="9"/>
  <c r="E9" i="9"/>
  <c r="D9" i="9"/>
  <c r="A9" i="9"/>
  <c r="J9" i="11"/>
  <c r="J10" i="11"/>
  <c r="M9" i="10"/>
  <c r="T9" i="10"/>
  <c r="W9" i="10"/>
  <c r="V9" i="10"/>
  <c r="X9" i="10"/>
  <c r="U9" i="10"/>
  <c r="Y9" i="10"/>
  <c r="M24" i="10"/>
  <c r="M34" i="10"/>
  <c r="M45" i="10"/>
  <c r="M55" i="10"/>
  <c r="N55" i="10"/>
  <c r="Q55" i="10"/>
  <c r="P55" i="10"/>
  <c r="R55" i="10"/>
  <c r="O55" i="10"/>
  <c r="S55" i="10"/>
  <c r="N45" i="10"/>
  <c r="Q45" i="10"/>
  <c r="P45" i="10"/>
  <c r="R45" i="10"/>
  <c r="O45" i="10"/>
  <c r="S45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9" i="10"/>
  <c r="Q9" i="10"/>
  <c r="P9" i="10"/>
  <c r="R9" i="10"/>
  <c r="O9" i="10"/>
  <c r="S9" i="10"/>
  <c r="G9" i="10"/>
  <c r="J9" i="10"/>
  <c r="I9" i="10"/>
  <c r="K9" i="10"/>
  <c r="H9" i="10"/>
  <c r="L9" i="10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50" i="11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M47" i="10"/>
  <c r="T47" i="10"/>
  <c r="W47" i="10"/>
  <c r="V47" i="10"/>
  <c r="X47" i="10"/>
  <c r="U47" i="10"/>
  <c r="Y47" i="10"/>
  <c r="M59" i="10"/>
  <c r="N59" i="10"/>
  <c r="Q59" i="10"/>
  <c r="P59" i="10"/>
  <c r="R59" i="10"/>
  <c r="O59" i="10"/>
  <c r="S59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22" i="11"/>
  <c r="J21" i="11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28" i="10"/>
  <c r="T28" i="10"/>
  <c r="W28" i="10"/>
  <c r="V28" i="10"/>
  <c r="X28" i="10"/>
  <c r="U28" i="10"/>
  <c r="Y28" i="10"/>
  <c r="M35" i="10"/>
  <c r="N35" i="10"/>
  <c r="Q35" i="10"/>
  <c r="P35" i="10"/>
  <c r="R35" i="10"/>
  <c r="O35" i="10"/>
  <c r="S35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40" i="10"/>
  <c r="T40" i="10"/>
  <c r="W40" i="10"/>
  <c r="V40" i="10"/>
  <c r="X40" i="10"/>
  <c r="U40" i="10"/>
  <c r="Y40" i="10"/>
  <c r="M48" i="10"/>
  <c r="M60" i="10"/>
  <c r="N60" i="10"/>
  <c r="Q60" i="10"/>
  <c r="P60" i="10"/>
  <c r="R60" i="10"/>
  <c r="O60" i="10"/>
  <c r="S60" i="10"/>
  <c r="N48" i="10"/>
  <c r="Q48" i="10"/>
  <c r="P48" i="10"/>
  <c r="R48" i="10"/>
  <c r="O48" i="10"/>
  <c r="S48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43" i="10"/>
  <c r="T43" i="10"/>
  <c r="W43" i="10"/>
  <c r="V43" i="10"/>
  <c r="X43" i="10"/>
  <c r="U43" i="10"/>
  <c r="Y43" i="10"/>
  <c r="M53" i="10"/>
  <c r="N53" i="10"/>
  <c r="Q53" i="10"/>
  <c r="P53" i="10"/>
  <c r="R53" i="10"/>
  <c r="O53" i="10"/>
  <c r="S5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M31" i="10"/>
  <c r="T31" i="10"/>
  <c r="W31" i="10"/>
  <c r="V31" i="10"/>
  <c r="X31" i="10"/>
  <c r="U31" i="10"/>
  <c r="Y31" i="10"/>
  <c r="M41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J45" i="11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M59" i="9"/>
  <c r="N59" i="9"/>
  <c r="G60" i="9"/>
  <c r="H60" i="9"/>
  <c r="I60" i="9"/>
  <c r="J60" i="9"/>
  <c r="K60" i="9"/>
  <c r="L60" i="9"/>
  <c r="M60" i="9"/>
  <c r="N60" i="9"/>
  <c r="J3" i="11"/>
  <c r="J4" i="11"/>
  <c r="J5" i="11"/>
  <c r="J6" i="11"/>
  <c r="J7" i="11"/>
  <c r="J8" i="11"/>
  <c r="J11" i="11"/>
  <c r="J12" i="11"/>
  <c r="J13" i="11"/>
  <c r="J14" i="11"/>
  <c r="J15" i="11"/>
  <c r="J16" i="11"/>
  <c r="J17" i="11"/>
  <c r="J18" i="11"/>
  <c r="J19" i="11"/>
  <c r="J20" i="11"/>
  <c r="J23" i="11"/>
  <c r="J24" i="11"/>
  <c r="J25" i="11"/>
  <c r="J26" i="11"/>
  <c r="J27" i="11"/>
  <c r="J28" i="11"/>
  <c r="J29" i="11"/>
  <c r="J30" i="11"/>
  <c r="J31" i="11"/>
  <c r="J32" i="11"/>
  <c r="J34" i="11"/>
  <c r="J35" i="11"/>
  <c r="J36" i="11"/>
  <c r="J37" i="11"/>
  <c r="J38" i="11"/>
  <c r="J39" i="11"/>
  <c r="J40" i="11"/>
  <c r="J41" i="11"/>
  <c r="J42" i="11"/>
  <c r="J43" i="11"/>
  <c r="J44" i="11"/>
  <c r="J46" i="11"/>
  <c r="J48" i="11"/>
  <c r="J49" i="11"/>
  <c r="J51" i="11"/>
  <c r="J52" i="11"/>
  <c r="J53" i="11"/>
  <c r="J54" i="11"/>
  <c r="J55" i="11"/>
  <c r="J56" i="11"/>
  <c r="J57" i="11"/>
  <c r="J58" i="11"/>
  <c r="J59" i="11"/>
  <c r="J60" i="11"/>
  <c r="O19" i="9"/>
  <c r="E19" i="9"/>
  <c r="D19" i="9"/>
  <c r="A19" i="9"/>
  <c r="O11" i="9"/>
  <c r="E11" i="9"/>
  <c r="D11" i="9"/>
  <c r="A11" i="9"/>
  <c r="O10" i="9"/>
  <c r="D10" i="9"/>
  <c r="A10" i="9"/>
  <c r="O60" i="9"/>
  <c r="E60" i="9"/>
  <c r="D60" i="9"/>
  <c r="A60" i="9"/>
  <c r="O59" i="9"/>
  <c r="E59" i="9"/>
  <c r="D59" i="9"/>
  <c r="A59" i="9"/>
  <c r="O58" i="9"/>
  <c r="E58" i="9"/>
  <c r="D58" i="9"/>
  <c r="A58" i="9"/>
  <c r="O57" i="9"/>
  <c r="E57" i="9"/>
  <c r="D57" i="9"/>
  <c r="A57" i="9"/>
  <c r="O56" i="9"/>
  <c r="E56" i="9"/>
  <c r="D56" i="9"/>
  <c r="A56" i="9"/>
  <c r="O55" i="9"/>
  <c r="E55" i="9"/>
  <c r="D55" i="9"/>
  <c r="A55" i="9"/>
  <c r="O54" i="9"/>
  <c r="E54" i="9"/>
  <c r="D54" i="9"/>
  <c r="A54" i="9"/>
  <c r="O53" i="9"/>
  <c r="E53" i="9"/>
  <c r="D53" i="9"/>
  <c r="A53" i="9"/>
  <c r="O52" i="9"/>
  <c r="E52" i="9"/>
  <c r="D52" i="9"/>
  <c r="A52" i="9"/>
  <c r="O51" i="9"/>
  <c r="E51" i="9"/>
  <c r="D51" i="9"/>
  <c r="A51" i="9"/>
  <c r="O50" i="9"/>
  <c r="E50" i="9"/>
  <c r="D50" i="9"/>
  <c r="A50" i="9"/>
  <c r="O49" i="9"/>
  <c r="E49" i="9"/>
  <c r="D49" i="9"/>
  <c r="A49" i="9"/>
  <c r="O48" i="9"/>
  <c r="E48" i="9"/>
  <c r="D48" i="9"/>
  <c r="A48" i="9"/>
  <c r="O46" i="9"/>
  <c r="E46" i="9"/>
  <c r="D46" i="9"/>
  <c r="A46" i="9"/>
  <c r="O45" i="9"/>
  <c r="E45" i="9"/>
  <c r="D45" i="9"/>
  <c r="A45" i="9"/>
  <c r="O44" i="9"/>
  <c r="E44" i="9"/>
  <c r="D44" i="9"/>
  <c r="A44" i="9"/>
  <c r="O43" i="9"/>
  <c r="E43" i="9"/>
  <c r="D43" i="9"/>
  <c r="A43" i="9"/>
  <c r="O42" i="9"/>
  <c r="E42" i="9"/>
  <c r="D42" i="9"/>
  <c r="A42" i="9"/>
  <c r="O41" i="9"/>
  <c r="E41" i="9"/>
  <c r="D41" i="9"/>
  <c r="A41" i="9"/>
  <c r="O40" i="9"/>
  <c r="E40" i="9"/>
  <c r="D40" i="9"/>
  <c r="A40" i="9"/>
  <c r="O39" i="9"/>
  <c r="E39" i="9"/>
  <c r="D39" i="9"/>
  <c r="A39" i="9"/>
  <c r="O38" i="9"/>
  <c r="E38" i="9"/>
  <c r="D38" i="9"/>
  <c r="A38" i="9"/>
  <c r="O37" i="9"/>
  <c r="E37" i="9"/>
  <c r="D37" i="9"/>
  <c r="A37" i="9"/>
  <c r="O36" i="9"/>
  <c r="E36" i="9"/>
  <c r="D36" i="9"/>
  <c r="A36" i="9"/>
  <c r="O35" i="9"/>
  <c r="E35" i="9"/>
  <c r="D35" i="9"/>
  <c r="A35" i="9"/>
  <c r="O34" i="9"/>
  <c r="E34" i="9"/>
  <c r="D34" i="9"/>
  <c r="A34" i="9"/>
  <c r="O32" i="9"/>
  <c r="E32" i="9"/>
  <c r="D32" i="9"/>
  <c r="A32" i="9"/>
  <c r="O31" i="9"/>
  <c r="E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D20" i="9"/>
  <c r="A20" i="9"/>
  <c r="O18" i="9"/>
  <c r="E18" i="9"/>
  <c r="D18" i="9"/>
  <c r="A18" i="9"/>
  <c r="O17" i="9"/>
  <c r="E17" i="9"/>
  <c r="D17" i="9"/>
  <c r="A17" i="9"/>
  <c r="O16" i="9"/>
  <c r="E16" i="9"/>
  <c r="D16" i="9"/>
  <c r="A16" i="9"/>
  <c r="O15" i="9"/>
  <c r="E15" i="9"/>
  <c r="D15" i="9"/>
  <c r="A15" i="9"/>
  <c r="O14" i="9"/>
  <c r="E14" i="9"/>
  <c r="D14" i="9"/>
  <c r="A14" i="9"/>
  <c r="O13" i="9"/>
  <c r="E13" i="9"/>
  <c r="D13" i="9"/>
  <c r="A13" i="9"/>
  <c r="O12" i="9"/>
  <c r="E12" i="9"/>
  <c r="D12" i="9"/>
  <c r="A12" i="9"/>
  <c r="O8" i="9"/>
  <c r="E8" i="9"/>
  <c r="D8" i="9"/>
  <c r="A8" i="9"/>
  <c r="O7" i="9"/>
  <c r="E7" i="9"/>
  <c r="D7" i="9"/>
  <c r="A7" i="9"/>
  <c r="O6" i="9"/>
  <c r="D6" i="9"/>
  <c r="A6" i="9"/>
  <c r="O5" i="9"/>
  <c r="E5" i="9"/>
  <c r="D5" i="9"/>
  <c r="A5" i="9"/>
  <c r="M20" i="10"/>
  <c r="T20" i="10"/>
  <c r="W20" i="10"/>
  <c r="V20" i="10"/>
  <c r="X20" i="10"/>
  <c r="U20" i="10"/>
  <c r="Y20" i="10"/>
  <c r="M32" i="10"/>
  <c r="N32" i="10"/>
  <c r="Q32" i="10"/>
  <c r="P32" i="10"/>
  <c r="R32" i="10"/>
  <c r="O32" i="10"/>
  <c r="S32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T60" i="10"/>
  <c r="W60" i="10"/>
  <c r="V60" i="10"/>
  <c r="X60" i="10"/>
  <c r="U60" i="10"/>
  <c r="Y60" i="10"/>
  <c r="G60" i="10"/>
  <c r="J60" i="10"/>
  <c r="I60" i="10"/>
  <c r="K60" i="10"/>
  <c r="H60" i="10"/>
  <c r="L60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T45" i="10"/>
  <c r="W45" i="10"/>
  <c r="V45" i="10"/>
  <c r="X45" i="10"/>
  <c r="U45" i="10"/>
  <c r="Y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T32" i="10"/>
  <c r="W32" i="10"/>
  <c r="V32" i="10"/>
  <c r="X32" i="10"/>
  <c r="U32" i="10"/>
  <c r="Y32" i="10"/>
  <c r="G32" i="10"/>
  <c r="J32" i="10"/>
  <c r="I32" i="10"/>
  <c r="K32" i="10"/>
  <c r="H32" i="10"/>
  <c r="L32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4" i="9"/>
  <c r="E4" i="9"/>
  <c r="D4" i="9"/>
  <c r="A4" i="9"/>
  <c r="O3" i="9"/>
  <c r="E3" i="9"/>
  <c r="D3" i="9"/>
  <c r="A3" i="9"/>
  <c r="AD2" i="1"/>
  <c r="AD3" i="1"/>
  <c r="AD4" i="1"/>
  <c r="AD5" i="1"/>
  <c r="AD6" i="1"/>
  <c r="AD7" i="1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<sst xmlns="http://schemas.openxmlformats.org/spreadsheetml/2006/main" count="1003" uniqueCount="414">
  <si>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</si>
  <si>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</si>
  <si>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</si>
  <si>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</si>
  <si>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</si>
  <si>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</si>
  <si>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</si>
  <si>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</si>
  <si>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</si>
  <si>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</si>
  <si>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</si>
  <si>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</si>
  <si>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</si>
  <si>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</si>
  <si>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</si>
  <si>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</si>
  <si>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</si>
  <si>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</si>
  <si>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</si>
  <si>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</si>
  <si>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</si>
  <si>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</si>
  <si>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</si>
  <si>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</si>
  <si>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</si>
  <si>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</si>
  <si>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</si>
  <si>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</si>
  <si>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</si>
  <si>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</si>
  <si>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</si>
  <si>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</si>
  <si>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</si>
  <si>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</si>
  <si>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</si>
  <si>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</si>
  <si>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</si>
  <si>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</si>
  <si>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</si>
  <si>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</si>
  <si>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</si>
  <si>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</si>
  <si>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</si>
  <si>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</si>
  <si>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</si>
  <si>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</si>
  <si>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</si>
  <si>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</si>
  <si>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</si>
  <si>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</si>
  <si>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</si>
  <si>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</si>
  <si>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</si>
  <si>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</si>
  <si>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</si>
  <si>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</si>
  <si>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</si>
  <si>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</si>
  <si>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</si>
  <si>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</si>
  <si>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</si>
  <si>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</si>
  <si>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</si>
  <si>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</si>
  <si>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</si>
  <si>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</si>
  <si>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</si>
  <si>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</si>
  <si>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</si>
  <si>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</si>
  <si>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</si>
  <si>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</si>
  <si>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</si>
  <si>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</si>
  <si>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</si>
  <si>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</si>
  <si>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</si>
  <si>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</si>
  <si>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</si>
  <si>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</si>
  <si>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</si>
  <si>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</si>
  <si>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</si>
  <si>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</si>
  <si>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</si>
  <si>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</si>
  <si>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</si>
  <si>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</si>
  <si>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</si>
  <si>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</si>
  <si>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</si>
  <si>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</si>
  <si>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</si>
  <si>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</si>
  <si>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</si>
  <si>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</si>
  <si>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</si>
  <si>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</si>
  <si>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</si>
  <si>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</si>
  <si>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</si>
  <si>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</si>
  <si>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</si>
  <si>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</si>
  <si>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</si>
  <si>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</si>
  <si>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</si>
  <si>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</si>
  <si>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</si>
  <si>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</si>
  <si>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</si>
  <si>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</si>
  <si>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</si>
  <si>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</si>
  <si>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</si>
  <si>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</si>
  <si>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</si>
  <si>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</si>
  <si>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</si>
  <si>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</si>
  <si>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</si>
  <si>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</si>
  <si>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</si>
  <si>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</si>
  <si>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</si>
  <si>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</si>
  <si>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</si>
  <si>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</si>
  <si>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</si>
  <si>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</si>
  <si>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</si>
  <si>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</si>
  <si>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</si>
  <si>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</si>
  <si>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</si>
  <si>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</si>
  <si>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</si>
  <si>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</si>
  <si>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</si>
  <si>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</si>
  <si>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</si>
  <si>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</si>
  <si>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</si>
  <si>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</si>
  <si>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</si>
  <si>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</si>
  <si>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</si>
  <si>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</si>
  <si>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</si>
  <si>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</si>
  <si>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</si>
  <si>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</si>
  <si>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</si>
  <si>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</si>
  <si>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</si>
  <si>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</si>
  <si>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</si>
  <si>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</si>
  <si>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</si>
  <si>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</si>
  <si>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</si>
  <si>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</si>
  <si>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</si>
  <si>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</si>
  <si>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</si>
  <si>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</si>
  <si>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</si>
  <si>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</si>
  <si>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</si>
  <si>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</si>
  <si>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</si>
  <si>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</si>
  <si>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</si>
  <si>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</si>
  <si>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</si>
  <si>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</si>
  <si>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</si>
  <si>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</si>
  <si>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</si>
  <si>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</si>
  <si>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</si>
  <si>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</si>
  <si>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</si>
  <si>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</si>
  <si>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</si>
  <si>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</si>
  <si>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</si>
  <si>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</si>
  <si>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</si>
  <si>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</si>
  <si>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</si>
  <si>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</si>
  <si>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</si>
  <si>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</si>
  <si>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</si>
  <si>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</si>
  <si>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</si>
  <si>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</si>
  <si>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</si>
  <si>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</si>
  <si>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</si>
  <si>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</si>
  <si>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</si>
  <si>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</si>
  <si>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</si>
  <si>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</si>
  <si>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</si>
  <si>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</si>
  <si>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</si>
  <si>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</si>
  <si>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</si>
  <si>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</si>
  <si>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</si>
  <si>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</si>
  <si>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</si>
  <si>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</si>
  <si>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</si>
  <si>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</si>
  <si>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</si>
  <si>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</si>
  <si>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</si>
  <si>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</si>
  <si>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</si>
  <si>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</si>
  <si>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</si>
  <si>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</si>
  <si>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</si>
  <si>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</si>
  <si>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</si>
  <si>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</si>
  <si>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</si>
  <si>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</si>
  <si>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</si>
  <si>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</si>
  <si>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</si>
  <si>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</si>
  <si>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</si>
  <si>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</si>
  <si>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</si>
  <si>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</si>
  <si>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</si>
  <si>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</si>
  <si>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</si>
  <si>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</si>
  <si>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</si>
  <si>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</si>
  <si>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</si>
  <si>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</si>
  <si>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</si>
  <si>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</si>
  <si>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</si>
  <si>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</si>
  <si>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</si>
  <si>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</si>
  <si>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</si>
  <si>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</si>
  <si>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null</t>
    <phoneticPr fontId="5"/>
  </si>
  <si>
    <t>全体攻撃</t>
    <rPh sb="2" eb="4">
      <t>コウゲキ</t>
    </rPh>
    <phoneticPr fontId="5"/>
  </si>
  <si>
    <t>HPが少なくなるほど強くなる全体攻撃</t>
    <phoneticPr fontId="5"/>
  </si>
  <si>
    <t>カウンター状態のユニットに大ダメージ</t>
    <rPh sb="5" eb="7">
      <t>ジョウタイノ</t>
    </rPh>
    <rPh sb="13" eb="14">
      <t>ダイダメージ</t>
    </rPh>
    <phoneticPr fontId="5"/>
  </si>
  <si>
    <t>3ターンCパネル生成延長(効果特大)</t>
    <rPh sb="8" eb="10">
      <t>セイセイ</t>
    </rPh>
    <rPh sb="10" eb="12">
      <t>エンチョウ</t>
    </rPh>
    <rPh sb="13" eb="15">
      <t>コウカ</t>
    </rPh>
    <rPh sb="15" eb="17">
      <t>トクダイ</t>
    </rPh>
    <phoneticPr fontId="5"/>
  </si>
  <si>
    <t>ランダムに威力の変わる全体攻撃</t>
    <rPh sb="5" eb="7">
      <t>イリョクノ</t>
    </rPh>
    <rPh sb="11" eb="13">
      <t>ゼンタイオウゲキ</t>
    </rPh>
    <rPh sb="13" eb="15">
      <t>コウゲキ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</si>
  <si>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</si>
  <si>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</si>
  <si>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</si>
  <si>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</si>
  <si>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</si>
  <si>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</si>
  <si>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  <phoneticPr fontId="5"/>
  </si>
  <si>
    <t>表示しない</t>
    <rPh sb="0" eb="2">
      <t>ヒョウジシナイ</t>
    </rPh>
    <phoneticPr fontId="5"/>
  </si>
  <si>
    <t>エレクトロ・ウィング</t>
    <phoneticPr fontId="5"/>
  </si>
  <si>
    <t>10個…20個……うんっ！たまごの準備はOK！</t>
    <rPh sb="2" eb="3">
      <t>コ</t>
    </rPh>
    <rPh sb="6" eb="7">
      <t>コ</t>
    </rPh>
    <rPh sb="17" eb="19">
      <t>ジュンビ</t>
    </rPh>
    <phoneticPr fontId="5"/>
  </si>
  <si>
    <t>許さんぞ！</t>
    <rPh sb="0" eb="1">
      <t>ユルサンゾ</t>
    </rPh>
    <phoneticPr fontId="5"/>
  </si>
  <si>
    <t>お賽銭あたっく！</t>
    <phoneticPr fontId="5"/>
  </si>
  <si>
    <t>…っ！危ないっ！</t>
    <rPh sb="3" eb="4">
      <t>アブナイ</t>
    </rPh>
    <phoneticPr fontId="5"/>
  </si>
  <si>
    <t>もう勝ったつもり！？</t>
    <phoneticPr fontId="5"/>
  </si>
  <si>
    <t>切り札はまだあるわ！</t>
    <phoneticPr fontId="5"/>
  </si>
  <si>
    <t>謝るなら今のうちよ！</t>
    <rPh sb="0" eb="1">
      <t>アヤマル</t>
    </rPh>
    <rPh sb="4" eb="5">
      <t>イマノウチヨ</t>
    </rPh>
    <phoneticPr fontId="5"/>
  </si>
  <si>
    <t>…天界からの刺客ね</t>
    <phoneticPr fontId="5"/>
  </si>
  <si>
    <t>奪力の魔眼</t>
    <rPh sb="1" eb="2">
      <t>daturyoku</t>
    </rPh>
    <rPh sb="3" eb="5">
      <t>マガン</t>
    </rPh>
    <phoneticPr fontId="5"/>
  </si>
  <si>
    <t>お賽銭あたっく！</t>
    <phoneticPr fontId="5"/>
  </si>
  <si>
    <t>たまごおみくじ〜♪えいっ！</t>
    <phoneticPr fontId="5"/>
  </si>
  <si>
    <t>たまごおみくじ〜♪えいっ！</t>
    <phoneticPr fontId="5"/>
  </si>
  <si>
    <t>ああぁ！そのたまご！</t>
    <phoneticPr fontId="5"/>
  </si>
  <si>
    <t>よーしっ！みんなに届けに行くよ！</t>
    <phoneticPr fontId="5"/>
  </si>
  <si>
    <t>お賽銭あたっく！</t>
    <phoneticPr fontId="5"/>
  </si>
  <si>
    <t>2回連続攻撃</t>
    <phoneticPr fontId="5"/>
  </si>
  <si>
    <t>え？あたしが落とした？</t>
    <rPh sb="6" eb="7">
      <t>オトシタ</t>
    </rPh>
    <phoneticPr fontId="5"/>
  </si>
  <si>
    <t>ピヨちゃん達！やっちゃって！</t>
    <phoneticPr fontId="5"/>
  </si>
  <si>
    <t>終焉の眼を開く時が来たわ</t>
    <phoneticPr fontId="5"/>
  </si>
  <si>
    <t>泥棒さんにはこれ！たまご爆弾！</t>
    <rPh sb="0" eb="2">
      <t>ドロボウサンニハ</t>
    </rPh>
    <rPh sb="12" eb="14">
      <t>バクダン</t>
    </rPh>
    <phoneticPr fontId="5"/>
  </si>
  <si>
    <t>あれ？袋に穴が…</t>
    <rPh sb="3" eb="4">
      <t>フクロニ</t>
    </rPh>
    <rPh sb="5" eb="6">
      <t>アナガ</t>
    </rPh>
    <phoneticPr fontId="5"/>
  </si>
  <si>
    <t>羽根突き刀技・カガミモチ</t>
    <phoneticPr fontId="5"/>
  </si>
  <si>
    <t>羽根突き奥義・オトシダマ</t>
    <phoneticPr fontId="5"/>
  </si>
  <si>
    <t>さっきのは無し無し！今度こそ、えいっ！</t>
    <rPh sb="5" eb="6">
      <t>ナシナシ</t>
    </rPh>
    <rPh sb="10" eb="12">
      <t>コンドコソ</t>
    </rPh>
    <phoneticPr fontId="5"/>
  </si>
  <si>
    <t>朱雀奥義「焦土」</t>
    <phoneticPr fontId="5"/>
  </si>
  <si>
    <t>貴様らっ！
いきなり何をする！</t>
    <rPh sb="0" eb="2">
      <t>キサマラ</t>
    </rPh>
    <rPh sb="10" eb="11">
      <t>ナニ</t>
    </rPh>
    <phoneticPr fontId="5"/>
  </si>
  <si>
    <t>「出しすぎちゃった…」
【ランダムに威力の変わる全体攻撃】</t>
    <rPh sb="1" eb="2">
      <t>ダシスギ</t>
    </rPh>
    <rPh sb="18" eb="20">
      <t>イリョクノ</t>
    </rPh>
    <rPh sb="24" eb="26">
      <t>ゼンタイオウゲキ</t>
    </rPh>
    <rPh sb="26" eb="28">
      <t>コウゲキ</t>
    </rPh>
    <phoneticPr fontId="5"/>
  </si>
  <si>
    <t>「もっとがんばろ…」
【ランダムに威力の変わる全体攻撃】</t>
    <rPh sb="17" eb="19">
      <t>イリョクノ</t>
    </rPh>
    <rPh sb="23" eb="25">
      <t>ゼンタイオウゲキ</t>
    </rPh>
    <rPh sb="25" eb="27">
      <t>コウゲキ</t>
    </rPh>
    <phoneticPr fontId="5"/>
  </si>
  <si>
    <t>「こんなにたくさん！みんなありがとう！」
【ランダムに威力の変わる全体攻撃】</t>
    <rPh sb="27" eb="29">
      <t>イリョクノ</t>
    </rPh>
    <rPh sb="33" eb="35">
      <t>ゼンタイオウゲキ</t>
    </rPh>
    <rPh sb="35" eb="37">
      <t>コウゲキ</t>
    </rPh>
    <phoneticPr fontId="5"/>
  </si>
  <si>
    <t>「あれ？これだけ…」
【ランダムに威力の変わる全体攻撃】</t>
    <rPh sb="17" eb="19">
      <t>イリョクノ</t>
    </rPh>
    <rPh sb="23" eb="25">
      <t>ゼンタイオウゲキ</t>
    </rPh>
    <rPh sb="25" eb="27">
      <t>コウゲキ</t>
    </rPh>
    <phoneticPr fontId="5"/>
  </si>
  <si>
    <t>「うわぁ！いっぱい入ってた！」
【ランダムに威力の変わる全体攻撃】</t>
    <rPh sb="9" eb="10">
      <t>ハイッテル</t>
    </rPh>
    <rPh sb="22" eb="24">
      <t>イリョクノ</t>
    </rPh>
    <rPh sb="28" eb="30">
      <t>ゼンタイオウゲキ</t>
    </rPh>
    <rPh sb="30" eb="32">
      <t>コウゲキ</t>
    </rPh>
    <phoneticPr fontId="5"/>
  </si>
  <si>
    <t>（…どうしよう…いまさら退けないよ）</t>
    <rPh sb="12" eb="13">
      <t>シリゾク</t>
    </rPh>
    <phoneticPr fontId="5"/>
  </si>
  <si>
    <t>null</t>
    <phoneticPr fontId="5"/>
  </si>
  <si>
    <t>「もう少し欲しいなぁ…」
【ランダムに威力の変わる全体攻撃】</t>
    <rPh sb="5" eb="6">
      <t>ホシイナ</t>
    </rPh>
    <rPh sb="19" eb="21">
      <t>イリョクノ</t>
    </rPh>
    <rPh sb="25" eb="27">
      <t>ゼンタイオウゲキ</t>
    </rPh>
    <rPh sb="27" eb="29">
      <t>コウゲキ</t>
    </rPh>
    <phoneticPr fontId="5"/>
  </si>
  <si>
    <t>スキル名文字数</t>
    <rPh sb="4" eb="7">
      <t>モジスウ</t>
    </rPh>
    <phoneticPr fontId="5"/>
  </si>
  <si>
    <t>スキル文言文字数</t>
    <rPh sb="5" eb="8">
      <t>モジスウ</t>
    </rPh>
    <phoneticPr fontId="5"/>
  </si>
  <si>
    <t>…うん？…ぐはっ！？</t>
    <phoneticPr fontId="5"/>
  </si>
  <si>
    <t>今年のあなたの運勢は〜♪えいっ！</t>
    <phoneticPr fontId="5"/>
  </si>
  <si>
    <t>届けてくれてありがとう♪これでみんなに配れるよ！</t>
    <rPh sb="0" eb="1">
      <t>トドケテクレテ</t>
    </rPh>
    <rPh sb="19" eb="20">
      <t>クバレルヨ</t>
    </rPh>
    <phoneticPr fontId="5"/>
  </si>
  <si>
    <t>………ッ！ギャース！</t>
    <phoneticPr fontId="5"/>
  </si>
  <si>
    <t>「ちょっと！たまご投げたのあなた達？」</t>
    <rPh sb="9" eb="10">
      <t>ナゲタノ</t>
    </rPh>
    <phoneticPr fontId="5"/>
  </si>
  <si>
    <t>「後悔させてあげるわ！」</t>
    <rPh sb="2" eb="3">
      <t>ザンゲ</t>
    </rPh>
    <phoneticPr fontId="5"/>
  </si>
  <si>
    <t>「さてはキミ達お年玉泥棒！？」</t>
    <rPh sb="10" eb="12">
      <t>ドロボウ</t>
    </rPh>
    <phoneticPr fontId="5"/>
  </si>
  <si>
    <t>（もしかして…本当に届けに来てくれたのかな？）</t>
    <rPh sb="7" eb="9">
      <t>ホントウニ</t>
    </rPh>
    <rPh sb="10" eb="11">
      <t>トドケニ</t>
    </rPh>
    <rPh sb="13" eb="14">
      <t>キテクレタ</t>
    </rPh>
    <phoneticPr fontId="5"/>
  </si>
  <si>
    <t>link</t>
  </si>
  <si>
    <t>unit</t>
  </si>
  <si>
    <t>サンダーバードはランダムにパネルを
黄の時限式ダメージパネルに変換します
ボムの爆風やフィーバーで対処しましょう</t>
    <phoneticPr fontId="5"/>
  </si>
  <si>
    <t>ホルスは八咫烏が倒れると自身の
HPを半分消費し行動が速くなります
一気に削り切りましょう</t>
    <phoneticPr fontId="5"/>
  </si>
  <si>
    <t>トトリはランダムに威力の変わる全体攻撃を
使用します
一度受けたからといって油断は禁物です</t>
    <phoneticPr fontId="5"/>
  </si>
  <si>
    <t>トトリは各ゲージに一度だけ
ランダムな種類のパネル変換を使用します
何が出るかはお楽しみです</t>
    <phoneticPr fontId="5"/>
  </si>
  <si>
    <t>トトリは2ゲージ目になると
時限式ダメージパネルをプロテクトして
ドロップします
ボムやフィーバーを上手く利用しましょう</t>
    <phoneticPr fontId="5"/>
  </si>
  <si>
    <t>complete</t>
  </si>
  <si>
    <t>事件の後で</t>
    <phoneticPr fontId="5"/>
  </si>
  <si>
    <t>お年玉を大量にバラ撒いてしまったトトリは
他の十二支アバター達からこっぴどく
叱られてしまったようです</t>
    <phoneticPr fontId="5"/>
  </si>
  <si>
    <t>おとしだま事件！</t>
    <phoneticPr fontId="5"/>
  </si>
  <si>
    <t>十二支アバター</t>
    <phoneticPr fontId="5"/>
  </si>
  <si>
    <t>ALICE内には十二支それぞれの干支を
模したアバターが存在し担当の年の
お正月行事を取り仕切っています</t>
    <phoneticPr fontId="5"/>
  </si>
  <si>
    <t>full_member</t>
    <phoneticPr fontId="5"/>
  </si>
  <si>
    <t>殲滅ティラトーレシェルト</t>
    <phoneticPr fontId="5"/>
  </si>
  <si>
    <t>たまごが落ちてきた！
【サンダーバードに残りHPの10%ダメージ】</t>
    <rPh sb="4" eb="5">
      <t>オチテキタ</t>
    </rPh>
    <rPh sb="20" eb="21">
      <t>ノコリ</t>
    </rPh>
    <phoneticPr fontId="5"/>
  </si>
  <si>
    <t>たまごが落ちてきた！
【朱雀に残りHPの10%ダメージ】</t>
    <rPh sb="4" eb="5">
      <t>otiteki</t>
    </rPh>
    <rPh sb="12" eb="14">
      <t>スザク</t>
    </rPh>
    <rPh sb="15" eb="16">
      <t>ノコリ</t>
    </rPh>
    <phoneticPr fontId="5"/>
  </si>
  <si>
    <t>2ターン全属性ダメージ50%軽減</t>
    <rPh sb="4" eb="7">
      <t>ゼンゾクセイノ</t>
    </rPh>
    <rPh sb="14" eb="16">
      <t>ケイゲン</t>
    </rPh>
    <phoneticPr fontId="5"/>
  </si>
  <si>
    <t>空からたまごが降ってくるという事件は
多くのユーザーからお正月行事の一部として
勘違いされているようです</t>
    <rPh sb="40" eb="42">
      <t>カンチガイ</t>
    </rPh>
    <phoneticPr fontId="5"/>
  </si>
  <si>
    <t>ごめんなさい！勘違いしてたみたい…</t>
    <rPh sb="7" eb="9">
      <t>カンチガイ</t>
    </rPh>
    <phoneticPr fontId="5"/>
  </si>
  <si>
    <t>危ないことは止めなさい</t>
    <rPh sb="0" eb="1">
      <t>アブナイコトハ</t>
    </rPh>
    <rPh sb="6" eb="7">
      <t>ヤメナサイ</t>
    </rPh>
    <phoneticPr fontId="5"/>
  </si>
  <si>
    <t>一気にカタをつけるわよ</t>
    <phoneticPr fontId="5"/>
  </si>
  <si>
    <t>トトリがたまごを落として行った！
【確率でボム&amp;低確率でCパネルがドロップ！】</t>
    <rPh sb="8" eb="9">
      <t>オトシテイッタ</t>
    </rPh>
    <rPh sb="18" eb="20">
      <t>カクリツデ</t>
    </rPh>
    <rPh sb="24" eb="27">
      <t>テイカクリツ</t>
    </rPh>
    <phoneticPr fontId="5"/>
  </si>
  <si>
    <t>[effect:force_change_block, new_block:crash, target:block_all, ignore01:block_positive, ignore02:block_negative, count:10, val:6, animation:change_block],[effect:freq_turn, target:myself, turn:-1, val:1, animation:enemy_freq_turn],[effect:enemy_message, val1:1.3, val2:2.2]</t>
  </si>
  <si>
    <t>[effect:force_change_block, new_block:crash, target:block_all, ignore01:block_positive, ignore02:block_negative, count:5, val:36, animation:change_block],[effect:freq_turn, target:myself, turn:-1, val:1, animation:enemy_freq_turn],[effect:enemy_message, val1:1.3, val2:2.2]</t>
  </si>
  <si>
    <t>[effect:enhance_enemy, target:myself, turn:-1, status:attack, val:0.5, calc:mul, animation:enemy_enhance_attack],[effect:enemy_message, val1:1.2, val2:1.2]</t>
  </si>
  <si>
    <t>[effect:spread, val:0.30],[effect:enemy_message, val1:1.2, val2:1.2]</t>
  </si>
  <si>
    <t>[effect:spread, val:0.2],[effect:enemy_message, val1:1.2, val2:1.8]</t>
  </si>
  <si>
    <t>[effect:spread, val:0.3],[effect:enemy_message, val1:1.2, val2:1.8]</t>
  </si>
  <si>
    <t>[effect:spread, val:0.4],[effect:enemy_message, val1:1.2, val2:1.8]</t>
  </si>
  <si>
    <t>[effect:spread, val:0.5],[effect:enemy_message, val1:1.2, val2:1.8]</t>
  </si>
  <si>
    <t>[effect:drop_block, block_type:crash, color:block_all, val:11, rate:0.04, turn:-1, animation:crash_influence04],[effect:drop_block, block_type:crack_bomb, color:block_all, val:12, rate:0.1, turn:-1, animation:bomb_influence04],[effect:suicide, target:myself, val:1, dead_type:escape],[effect:enemy_message, val1:1.6, val2:3.8]</t>
  </si>
  <si>
    <t>[effect:spread, val:0.30],[effect:enemy_message, val1:1.4, val2:1.2]</t>
  </si>
  <si>
    <t>[effect:enemy_message, val1:1.2, val2:1.9],[effect:fix_speed, target:myself, turn:2]</t>
  </si>
  <si>
    <t>[effect:enemy_message, val1:1.2, val2:1.2],[effect:fix_speed, target:myself, turn:2]</t>
  </si>
  <si>
    <t>[effect:damage_anti_abnormal, target:unit_one, color:green, target_effect01:counter_new, val1:3, val2:0.8],[effect:enemy_message, val1:1.2, val2:1.8]</t>
  </si>
  <si>
    <t>[effect:enemy_message, val1:1.2, val2:1.8],[effect:crash_condition, target:unit_all, turn:3, val:4, animation:enemy_crash_extend]</t>
  </si>
  <si>
    <t>[effect:enemy_message, val1:1.2, val2:1.5],[effect:fix_speed, target:myself, turn:2]</t>
  </si>
  <si>
    <t>[effect:enemy_message, val1:1.2, val2:1.2],[effect:rush, count:2, val:0.6]</t>
  </si>
  <si>
    <t>[effect:rush, count:2, val:0.6],[effect:enemy_message, val1:1.4, val2:1.2]</t>
  </si>
  <si>
    <t>[effect:spread, val:0.01],[effect:enemy_message, val1:1.2, val2:2.7]</t>
  </si>
  <si>
    <t>[effect:enemy_message, val1:1.2, val2:1.5],[effect:spread, val:0.25]</t>
  </si>
  <si>
    <t>[effect:enemy_message, val1:1.2, val2:1.5],[effect:spread, val:0.30]</t>
  </si>
  <si>
    <t>[effect:spread, val:0.35],[effect:enemy_message, val1:1.2, val2:3.2]</t>
  </si>
  <si>
    <t>[effect:spread, val:0.01],[effect:enemy_message, val1:1.2, val2:2.9]</t>
  </si>
  <si>
    <t>[effect:spread, val:0.35],[effect:enemy_message, val1:1.2, val2:2.8]</t>
  </si>
  <si>
    <t>[effect:force_change_block, new_block:crash, target:block_all, ignore01:block_positive, ignore02:block_negative, count:10, val:6, animation:change_block],[effect:freq_turn, target:myself, turn:-1, val:1, animation:enemy_freq_turn],[effect:enemy_message, val1:1.9, val2:2.2]</t>
  </si>
  <si>
    <t>[effect:force_change_block, new_block:crash, target:block_all, ignore01:block_positive, ignore02:block_negative, count:5, val:36, animation:change_block],[effect:freq_turn, target:myself, turn:-1, val:1, animation:enemy_freq_turn],[effect:enemy_message, val1:1.9, val2:2.2]</t>
  </si>
  <si>
    <t>[effect:reduction, target:myself, color:all, turn:2, val:0.5, animation:reduction_one01],[effect:fix_speed, target:myself, turn:2],[effect:enemy_message, val1:2.3, val2:1.6]</t>
  </si>
  <si>
    <t>[effect:spread, val:0.35],[effect:enemy_message, val1:1.2, val2:3.7]</t>
  </si>
  <si>
    <t>[effect:force_change_block, new_block:crash, target:block_all, ignore01:block_positive, ignore02:block_negative, count:10, val:6, animation:change_block],[effect:freq_turn, target:myself, turn:-1, val:1, animation:enemy_freq_turn],[effect:enemy_message, val1:1.6, val2:3.4]</t>
  </si>
  <si>
    <t>[effect:force_change_block, new_block:crash, target:block_all, ignore01:block_positive, ignore02:block_negative, count:5, val:36, animation:change_block],[effect:freq_turn, target:myself, turn:-1, val:1, animation:enemy_freq_turn],[effect:enemy_message, val1:1.6, val2:4.1]</t>
  </si>
  <si>
    <t>[effect:enemy_message, val1:2.2, val2:2.9]</t>
  </si>
  <si>
    <t>[effect:enemy_message, val1:2.3, val2:0.0],[effect:fix_speed, target:myself, turn:1]</t>
  </si>
  <si>
    <t>ランダムで黄の時限式ダメージパネルに最大5個変換+
単体攻撃</t>
    <rPh sb="18" eb="20">
      <t>サイダイ</t>
    </rPh>
    <rPh sb="26" eb="30">
      <t>タンタイコウゲキ</t>
    </rPh>
    <phoneticPr fontId="5"/>
  </si>
  <si>
    <t>ランダムで赤のダメージパネルに最大5個変換+行動頻度UP</t>
    <rPh sb="5" eb="6">
      <t>アカノ</t>
    </rPh>
    <rPh sb="15" eb="17">
      <t>サイダイ</t>
    </rPh>
    <rPh sb="19" eb="21">
      <t>ヘンカン</t>
    </rPh>
    <rPh sb="22" eb="26">
      <t>コウドウヒンド</t>
    </rPh>
    <phoneticPr fontId="5"/>
  </si>
  <si>
    <t>ランダムでお邪魔パネルに最大10個変換+行動頻度UP</t>
    <rPh sb="12" eb="14">
      <t>サイダイ</t>
    </rPh>
    <rPh sb="17" eb="19">
      <t>ヘンカン</t>
    </rPh>
    <phoneticPr fontId="5"/>
  </si>
  <si>
    <t>ランダムでボムパネルに最大10個変換+行動頻度UP</t>
    <rPh sb="11" eb="13">
      <t>サイダイ</t>
    </rPh>
    <rPh sb="16" eb="18">
      <t>ヘンカン</t>
    </rPh>
    <phoneticPr fontId="5"/>
  </si>
  <si>
    <t>ランダムで赤のダメージパネルに最大5個変換+行動頻度UP</t>
    <rPh sb="15" eb="17">
      <t>サイダイ</t>
    </rPh>
    <rPh sb="19" eb="21">
      <t>ヘンカン</t>
    </rPh>
    <phoneticPr fontId="5"/>
  </si>
  <si>
    <t>1ターンユニット1体にスキルバインド+単体攻撃</t>
    <rPh sb="19" eb="23">
      <t>タンタイコウゲキ</t>
    </rPh>
    <phoneticPr fontId="5"/>
  </si>
  <si>
    <t>ランダムで黄の時限式ダメージパネルに最大5個変換+
単体攻撃</t>
    <rPh sb="18" eb="20">
      <t>サイダイ</t>
    </rPh>
    <phoneticPr fontId="5"/>
  </si>
  <si>
    <t>「大凶…うん…なんかごめんなさい…」
【ランダムで赤のダメージパネルに最大5個変換+
　行動頻度UP】</t>
    <rPh sb="1" eb="2">
      <t>dai</t>
    </rPh>
    <rPh sb="2" eb="3">
      <t>ダイキョウ</t>
    </rPh>
    <rPh sb="35" eb="37">
      <t>サイダイ</t>
    </rPh>
    <rPh sb="39" eb="41">
      <t>ヘンカン</t>
    </rPh>
    <phoneticPr fontId="5"/>
  </si>
  <si>
    <t>「凶かぁ…注意してれば大丈夫！」
【ランダムで時限式ダメージパネルに最大10個変換+
　行動頻度UP】</t>
    <rPh sb="1" eb="2">
      <t>キョウ</t>
    </rPh>
    <rPh sb="5" eb="7">
      <t>チュウイ</t>
    </rPh>
    <rPh sb="11" eb="14">
      <t>ダイジョウブ</t>
    </rPh>
    <rPh sb="23" eb="26">
      <t>ジゲンシキ</t>
    </rPh>
    <rPh sb="34" eb="36">
      <t>サイダイ</t>
    </rPh>
    <rPh sb="39" eb="41">
      <t>ヘンカン</t>
    </rPh>
    <phoneticPr fontId="5"/>
  </si>
  <si>
    <t>「小吉！油断は禁物だよ！」
【ランダムでボムパネルに最大10個変換+行動頻度UP】</t>
    <rPh sb="1" eb="3">
      <t>ショウキチ</t>
    </rPh>
    <rPh sb="4" eb="6">
      <t>ユダン</t>
    </rPh>
    <rPh sb="7" eb="9">
      <t>キンモツダヨ</t>
    </rPh>
    <rPh sb="26" eb="28">
      <t>サイダイ</t>
    </rPh>
    <rPh sb="31" eb="33">
      <t>ヘンカン</t>
    </rPh>
    <phoneticPr fontId="5"/>
  </si>
  <si>
    <t>「中吉！なかなか良い感じ」
【ランダムでCBPに最大3個変換+行動頻度UP】</t>
    <rPh sb="1" eb="3">
      <t>チュウキチ</t>
    </rPh>
    <rPh sb="8" eb="9">
      <t>ヨイ</t>
    </rPh>
    <rPh sb="10" eb="11">
      <t>カンジ</t>
    </rPh>
    <rPh sb="24" eb="26">
      <t>サイダイ</t>
    </rPh>
    <rPh sb="28" eb="30">
      <t>ヘンカン</t>
    </rPh>
    <phoneticPr fontId="5"/>
  </si>
  <si>
    <t>ランダムで時限式ダメージパネルに最大10個変換+
行動頻度UP</t>
    <rPh sb="5" eb="8">
      <t>ジゲンシキ</t>
    </rPh>
    <rPh sb="16" eb="18">
      <t>サイダイ</t>
    </rPh>
    <rPh sb="21" eb="23">
      <t>ヘンカン</t>
    </rPh>
    <phoneticPr fontId="5"/>
  </si>
  <si>
    <t>ランダムでCBPに最大3個変換+行動頻度UP</t>
    <rPh sb="9" eb="11">
      <t>サイダイ</t>
    </rPh>
    <rPh sb="13" eb="15">
      <t>ヘンカン</t>
    </rPh>
    <phoneticPr fontId="5"/>
  </si>
  <si>
    <t>ランダムでCPに最大10個変換+行動頻度UP</t>
    <rPh sb="8" eb="10">
      <t>サイダイ</t>
    </rPh>
    <rPh sb="13" eb="15">
      <t>ヘンカン</t>
    </rPh>
    <phoneticPr fontId="5"/>
  </si>
  <si>
    <t>ランダムでSCPに最大5個変換+行動頻度UP</t>
    <rPh sb="9" eb="11">
      <t>サイダイ</t>
    </rPh>
    <rPh sb="13" eb="15">
      <t>ヘンカン</t>
    </rPh>
    <phoneticPr fontId="5"/>
  </si>
  <si>
    <t>「吉！絶好調だね！」
【ランダムでCPに最大10個変換+行動頻度UP】</t>
    <rPh sb="1" eb="2">
      <t>キチ</t>
    </rPh>
    <rPh sb="3" eb="4">
      <t>ゼツ</t>
    </rPh>
    <rPh sb="4" eb="6">
      <t>コウチョウ</t>
    </rPh>
    <rPh sb="20" eb="22">
      <t>サイダイ</t>
    </rPh>
    <rPh sb="25" eb="27">
      <t>ヘンカン</t>
    </rPh>
    <phoneticPr fontId="5"/>
  </si>
  <si>
    <t>「すっすごい！大吉！おめでとー！」
【ランダムでSCPに最大5個変換+行動頻度UP】</t>
    <rPh sb="7" eb="9">
      <t>ダイキチ</t>
    </rPh>
    <rPh sb="28" eb="30">
      <t>サイダイ</t>
    </rPh>
    <rPh sb="32" eb="34">
      <t>ヘンカン</t>
    </rPh>
    <phoneticPr fontId="5"/>
  </si>
  <si>
    <t>「半凶…きっと良い事もあるよ！」
【ランダムでお邪魔パネルに最大10個変換+行動頻度UP】</t>
    <rPh sb="1" eb="3">
      <t>hannkyou</t>
    </rPh>
    <rPh sb="7" eb="8">
      <t>ヨイ</t>
    </rPh>
    <rPh sb="9" eb="10">
      <t>コトモ</t>
    </rPh>
    <rPh sb="30" eb="32">
      <t>サイダイ</t>
    </rPh>
    <rPh sb="35" eb="37">
      <t>ヘンカン</t>
    </rPh>
    <phoneticPr fontId="5"/>
  </si>
  <si>
    <t>残りHPの50%消費+自身の行動頻度UP</t>
    <rPh sb="0" eb="1">
      <t>ノコリ</t>
    </rPh>
    <rPh sb="8" eb="10">
      <t>ショウヒ</t>
    </rPh>
    <rPh sb="11" eb="13">
      <t>ジシンノ</t>
    </rPh>
    <rPh sb="14" eb="18">
      <t>コウドウヒンド</t>
    </rPh>
    <phoneticPr fontId="5"/>
  </si>
  <si>
    <t>お賽銭あたっく！</t>
    <phoneticPr fontId="5"/>
  </si>
  <si>
    <t>[effect:force_change_block, new_block:damage, target:block_all, ignore01:block_positive, ignore02:block_negative,count:5, val:0.14, animation:change_block],[effect:freq_turn, target:myself, turn:-1, val:1, animation:enemy_freq_turn],[effect:enemy_message, val1:1.3, val2:2.8]</t>
  </si>
  <si>
    <t>[effect:force_change_block, new_block:jammer, target:block_all, ignore01:block_positive, ignore02:block_negative, count:10, val:0, animation:change_block],[effect:freq_turn, target:myself, turn:-1, val:1, animation:enemy_freq_turn],[effect:enemy_message, val1:1.3, val2:2.6]</t>
  </si>
  <si>
    <t>[effect:force_change_block, new_block:time_bomb, target:block_all, ignore01:block_positive, ignore02:block_negative, color:block_random, count:10, val:0.2,min_time_count:2, max_time_count:2, animation:change_block],[effect:freq_turn, target:myself, turn:-1, val:1, animation:enemy_freq_turn],[effect:enemy_message, val1:1.3, val2:3.0]</t>
  </si>
  <si>
    <t>[effect:force_change_block, new_block:damage, target:block_all, ignore01:block_positive, ignore02:block_negative, count:5, val:0.14, animation:change_block],[effect:freq_turn, target:myself, turn:-1, val:1, animation:enemy_freq_turn],[effect:enemy_message, val1:1.9, val2:2.8]</t>
  </si>
  <si>
    <t>[effect:force_change_block, new_block:jammer, target:block_all, ignore01:block_positive, ignore02:block_negative, count:10, val:0, animation:change_block],[effect:freq_turn, target:myself, turn:-1, val:1, animation:enemy_freq_turn],[effect:enemy_message, val1:1.9, val2:2.6]</t>
  </si>
  <si>
    <t>[effect:force_change_block, new_block:time_bomb, target:block_all, ignore01:block_positive, ignore02:block_negative, color:block_random, count:10, val:0.2,min_time_count:2, max_time_count:2, animation:change_block],[effect:freq_turn, target:myself, turn:-1, val:1, animation:enemy_freq_turn],[effect:enemy_message, val1:1.9, val2:3.0]</t>
  </si>
  <si>
    <t>[effect:force_change_block, new_block:crack_bomb, target:block_all, ignore01:block_positive, ignore02:block_negative, color:block_random, count:10, val:24, animation:change_block],[effect:freq_turn, target:myself, turn:-1, val:1, animation:enemy_freq_turn],[effect:enemy_message, val1:1.9, val2:2.5]</t>
  </si>
  <si>
    <t>[effect:force_change_block, new_block:color_break, target:block_all, ignore01:block_positive, ignore02:block_negative,color:block_random, count:3, val:0, animation:change_block],[effect:freq_turn, target:myself, turn:-1, val:1, animation:enemy_freq_turn],[effect:enemy_message, val1:1.9, val2:2.2]</t>
  </si>
  <si>
    <t>[effect:enemy_message, val1:1.2, val2:2.3],[effect:damage_abnormal, target:unit_one, val:0.8, status:hungup, turn:1, rate:1, animation:hungup01]</t>
  </si>
  <si>
    <t>[effect:enemy_message, val1:1.8, val2:2.9],[effect:force_change_block, new_block:time_bomb, target:block_all, ignore01:block_positive, ignore02:block_negative,color:block_yellow, count:5, val:0.1, min_time_count:2, max_time_count:2, animation:change_block],[effect:rush, count:1, val:0.8]</t>
  </si>
  <si>
    <t>[effect:enemy_message, val1:1.2, val2:2.9],[effect:force_change_block, new_block:time_bomb, target:block_all, ignore01:block_positive, ignore02:block_negative, color:block_yellow, count:5, val:0.1, min_time_count:2, max_time_count:2, animation:change_block],[effect:rush, count:1, val:0.8]</t>
  </si>
  <si>
    <t>[effect:force_change_block, new_block:damage, target:block_all, ignore01:block_positive, ignore02:block_negative,count:5, val:0.14, animation:change_block],[effect:freq_turn, target:myself, turn:-1, val:1, animation:enemy_freq_turn],[effect:enemy_message, val1:1.6, val2:4.9]</t>
  </si>
  <si>
    <t>[effect:force_change_block, new_block:jammer, target:block_all, ignore01:block_positive, ignore02:block_negative, count:10, val:0, animation:change_block],[effect:freq_turn, target:myself, turn:-1, val:1, animation:enemy_freq_turn],[effect:enemy_message, val1:1.6, val2:4.4]</t>
  </si>
  <si>
    <t>[effect:force_change_block, new_block:time_bomb, target:block_all, ignore01:block_positive, ignore02:block_negative,color:block_random, count:10, val:0.2,min_time_count:2, max_time_count:2, animation:change_block],[effect:freq_turn, target:myself, turn:-1, val:1, animation:enemy_freq_turn],[effect:enemy_message, val1:1.6, val2:4.9]</t>
  </si>
  <si>
    <t>[effect:force_change_block, new_block:crack_bomb, target:block_all, ignore01:block_positive, ignore02:block_negative, color:block_random, count:10, val:24, animation:change_block],[effect:freq_turn, target:myself, turn:-1, val:1, animation:enemy_freq_turn],[effect:enemy_message, val1:1.6, val2:4.0]</t>
  </si>
  <si>
    <t>[effect:force_change_block, new_block:color_break, target:block_all, ignore01:block_positive, ignore02:block_negative, color:block_random, count:3, val:0, animation:change_block],[effect:freq_turn, target:myself, turn:-1, val:1, animation:enemy_freq_turn],[effect:enemy_message, val1:1.6, val2:3.7]</t>
  </si>
  <si>
    <t>[effect:force_change_block, new_block:crack_bomb, target:block_all, ignore01:block_positive, ignore02:block_negative, color:block_random, count:10, val:24, animation:change_block],[effect:freq_turn, target:myself, turn:-1, val:1, animation:enemy_freq_turn],[effect:enemy_message, val1:1.3, val2:2.5]</t>
    <phoneticPr fontId="5"/>
  </si>
  <si>
    <t>[effect:force_change_block, new_block:color_break, target:block_all, ignore01:block_positive, ignore02:block_negative, color:block_random, count:3, val:0, animation:change_block],[effect:freq_turn, target:myself, turn:-1, val:1, animation:enemy_freq_turn],[effect:enemy_message, val1:1.3, val2:2.2]</t>
    <phoneticPr fontId="5"/>
  </si>
  <si>
    <t>自身の攻撃力大UP</t>
    <rPh sb="0" eb="2">
      <t>jisinnno</t>
    </rPh>
    <rPh sb="3" eb="6">
      <t>コウゲキ</t>
    </rPh>
    <rPh sb="6" eb="7">
      <t>ダイ</t>
    </rPh>
    <phoneticPr fontId="5"/>
  </si>
  <si>
    <t>[effect:force_change_block, new_block:time_bomb, target:block_all, ignore01:block_positive, ignore02:block_negative, color:block_yellow, count:5, val:0.2, animation:change_block],[effect:rush, count:1, val:0.8],[effect:enemy_message, val1:1.2, val2:2.9]</t>
    <phoneticPr fontId="5"/>
  </si>
  <si>
    <t>[effect:suicide, val:0.5],[effect:freq_turn, target:myself, turn:-1, val:1, animation:enemy_freq_turn],[effect:enemy_message, val1:1.2, val2:2.0]</t>
    <phoneticPr fontId="5"/>
  </si>
  <si>
    <t>[effect:suicide, val:0.1],[effect:fix_speed, target:myself, turn:2],[effect:enemy_message, val1:1.2, val2:2.7]</t>
    <phoneticPr fontId="5"/>
  </si>
  <si>
    <t>[effect:suicide, val:0.1],[effect:fix_speed, target:myself, turn:2],[effect:enemy_message, val1:1.2, val2:3.2]</t>
    <phoneticPr fontId="5"/>
  </si>
  <si>
    <t>低確率で黄以外の時限式ダメージパネルをドロップ</t>
    <rPh sb="0" eb="1">
      <t>テイ</t>
    </rPh>
    <rPh sb="1" eb="3">
      <t>カクリツデ</t>
    </rPh>
    <rPh sb="4" eb="5">
      <t>キ</t>
    </rPh>
    <rPh sb="5" eb="7">
      <t>イガイノ</t>
    </rPh>
    <rPh sb="8" eb="11">
      <t>ジゲンシ</t>
    </rPh>
    <phoneticPr fontId="5"/>
  </si>
  <si>
    <t>[effect:drop_block, block_type:time_bomb, color:block_all, val:0.2, rate:0.08, turn:-1,min_time_count:2, max_time_count:2,  animation:time_bomb_influence04],[effect:fix_speed, target:myself, turn:2],[effect:enemy_message, val1:1.5, val2:2.3]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</si>
</sst>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  <xf numFmtId="0" fontId="0" fillId="0" borderId="23" xfId="0" applyBorder="1"/>
    <xf numFmtId="0" fontId="0" fillId="0" borderId="24" xfId="0" applyBorder="1"/>
    <xf numFmtId="0" fontId="0" fillId="3" borderId="25" xfId="0" applyFill="1" applyBorder="1"/>
    <xf numFmtId="0" fontId="6" fillId="5" borderId="25" xfId="0" applyFont="1" applyFill="1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10" xfId="0" applyBorder="1"/>
    <xf numFmtId="0" fontId="0" fillId="0" borderId="8" xfId="0" applyBorder="1"/>
    <xf numFmtId="0" fontId="0" fillId="0" borderId="27" xfId="0" applyBorder="1"/>
    <xf numFmtId="0" fontId="0" fillId="3" borderId="28" xfId="0" applyFill="1" applyBorder="1"/>
    <xf numFmtId="0" fontId="6" fillId="5" borderId="28" xfId="0" applyFont="1" applyFill="1" applyBorder="1" applyAlignment="1">
      <alignment vertical="center"/>
    </xf>
    <xf numFmtId="0" fontId="0" fillId="0" borderId="28" xfId="0" applyBorder="1"/>
    <xf numFmtId="0" fontId="0" fillId="0" borderId="29" xfId="0" applyBorder="1"/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16" fillId="33" borderId="7" xfId="0" applyFont="1" applyFill="1" applyBorder="1" applyAlignment="1">
      <alignment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48101</v>
          </cell>
        </row>
        <row r="258">
          <cell r="A258">
            <v>48501</v>
          </cell>
        </row>
        <row r="259">
          <cell r="A259">
            <v>48502</v>
          </cell>
        </row>
        <row r="260">
          <cell r="A260">
            <v>48503</v>
          </cell>
        </row>
        <row r="261">
          <cell r="A261">
            <v>48701</v>
          </cell>
        </row>
        <row r="262">
          <cell r="A262">
            <v>48702</v>
          </cell>
        </row>
        <row r="263">
          <cell r="A263">
            <v>41001</v>
          </cell>
        </row>
        <row r="264">
          <cell r="A264">
            <v>41002</v>
          </cell>
        </row>
        <row r="265">
          <cell r="A265">
            <v>41003</v>
          </cell>
        </row>
        <row r="266">
          <cell r="A266">
            <v>41004</v>
          </cell>
        </row>
        <row r="267">
          <cell r="A267">
            <v>41005</v>
          </cell>
        </row>
        <row r="268">
          <cell r="A268">
            <v>41006</v>
          </cell>
        </row>
        <row r="269">
          <cell r="A269">
            <v>41007</v>
          </cell>
        </row>
        <row r="270">
          <cell r="A270">
            <v>41008</v>
          </cell>
        </row>
        <row r="271">
          <cell r="A271">
            <v>41009</v>
          </cell>
        </row>
        <row r="272">
          <cell r="A272">
            <v>41010</v>
          </cell>
        </row>
        <row r="273">
          <cell r="A273">
            <v>41011</v>
          </cell>
        </row>
        <row r="274">
          <cell r="A274">
            <v>41012</v>
          </cell>
        </row>
        <row r="275">
          <cell r="A275">
            <v>41013</v>
          </cell>
        </row>
        <row r="276">
          <cell r="A276">
            <v>41014</v>
          </cell>
        </row>
        <row r="277">
          <cell r="A277">
            <v>41015</v>
          </cell>
        </row>
        <row r="278">
          <cell r="A278">
            <v>47001</v>
          </cell>
        </row>
        <row r="279">
          <cell r="A279">
            <v>47002</v>
          </cell>
        </row>
        <row r="280">
          <cell r="A280">
            <v>47003</v>
          </cell>
        </row>
        <row r="281">
          <cell r="A281">
            <v>47004</v>
          </cell>
        </row>
        <row r="282">
          <cell r="A282">
            <v>47005</v>
          </cell>
        </row>
        <row r="283">
          <cell r="A283">
            <v>47006</v>
          </cell>
        </row>
        <row r="284">
          <cell r="A284">
            <v>47007</v>
          </cell>
        </row>
        <row r="285">
          <cell r="A285">
            <v>47008</v>
          </cell>
        </row>
        <row r="286">
          <cell r="A286">
            <v>47009</v>
          </cell>
        </row>
        <row r="287">
          <cell r="A287">
            <v>47010</v>
          </cell>
        </row>
        <row r="288">
          <cell r="A288">
            <v>47011</v>
          </cell>
        </row>
        <row r="289">
          <cell r="A289">
            <v>47012</v>
          </cell>
        </row>
        <row r="290">
          <cell r="A290">
            <v>47013</v>
          </cell>
        </row>
        <row r="291">
          <cell r="A291">
            <v>47014</v>
          </cell>
        </row>
        <row r="292">
          <cell r="A292">
            <v>47015</v>
          </cell>
        </row>
        <row r="293">
          <cell r="A293">
            <v>47016</v>
          </cell>
        </row>
        <row r="294">
          <cell r="A294">
            <v>49001</v>
          </cell>
        </row>
        <row r="295">
          <cell r="A295">
            <v>49002</v>
          </cell>
        </row>
        <row r="296">
          <cell r="A296">
            <v>49003</v>
          </cell>
        </row>
        <row r="297">
          <cell r="A297">
            <v>49004</v>
          </cell>
        </row>
        <row r="298">
          <cell r="A298">
            <v>49005</v>
          </cell>
        </row>
        <row r="299">
          <cell r="A299">
            <v>49006</v>
          </cell>
        </row>
        <row r="300">
          <cell r="A300">
            <v>49007</v>
          </cell>
        </row>
        <row r="301">
          <cell r="A301">
            <v>49008</v>
          </cell>
        </row>
        <row r="302">
          <cell r="A302">
            <v>49009</v>
          </cell>
        </row>
        <row r="303">
          <cell r="A303">
            <v>49010</v>
          </cell>
        </row>
        <row r="304">
          <cell r="A304">
            <v>49011</v>
          </cell>
        </row>
        <row r="305">
          <cell r="A305">
            <v>49012</v>
          </cell>
        </row>
        <row r="306">
          <cell r="A306">
            <v>49013</v>
          </cell>
        </row>
        <row r="307">
          <cell r="A307">
            <v>49014</v>
          </cell>
        </row>
        <row r="308">
          <cell r="A308">
            <v>49015</v>
          </cell>
        </row>
        <row r="309">
          <cell r="A309">
            <v>49016</v>
          </cell>
        </row>
        <row r="310">
          <cell r="A310">
            <v>50001</v>
          </cell>
        </row>
        <row r="311">
          <cell r="A311">
            <v>50002</v>
          </cell>
        </row>
        <row r="312">
          <cell r="A312">
            <v>50003</v>
          </cell>
        </row>
        <row r="313">
          <cell r="A313">
            <v>50004</v>
          </cell>
        </row>
        <row r="314">
          <cell r="A314">
            <v>50005</v>
          </cell>
        </row>
        <row r="315">
          <cell r="A315">
            <v>50006</v>
          </cell>
        </row>
        <row r="316">
          <cell r="A316">
            <v>50007</v>
          </cell>
        </row>
        <row r="317">
          <cell r="A317">
            <v>50008</v>
          </cell>
        </row>
        <row r="318">
          <cell r="A318">
            <v>50009</v>
          </cell>
        </row>
        <row r="319">
          <cell r="A319">
            <v>50010</v>
          </cell>
        </row>
        <row r="320">
          <cell r="A320">
            <v>50011</v>
          </cell>
        </row>
        <row r="321">
          <cell r="A321">
            <v>50012</v>
          </cell>
        </row>
        <row r="322">
          <cell r="A322">
            <v>50013</v>
          </cell>
        </row>
        <row r="323">
          <cell r="A323">
            <v>50014</v>
          </cell>
        </row>
        <row r="324">
          <cell r="A324">
            <v>50015</v>
          </cell>
        </row>
        <row r="325">
          <cell r="A325">
            <v>50016</v>
          </cell>
        </row>
        <row r="326">
          <cell r="A326">
            <v>51001</v>
          </cell>
        </row>
        <row r="327">
          <cell r="A327">
            <v>51002</v>
          </cell>
        </row>
        <row r="328">
          <cell r="A328">
            <v>58001</v>
          </cell>
        </row>
        <row r="329">
          <cell r="A329">
            <v>58002</v>
          </cell>
        </row>
        <row r="330">
          <cell r="A330">
            <v>58003</v>
          </cell>
        </row>
        <row r="331">
          <cell r="A331">
            <v>58101</v>
          </cell>
        </row>
        <row r="332">
          <cell r="A332">
            <v>59001</v>
          </cell>
        </row>
        <row r="333">
          <cell r="A333">
            <v>59002</v>
          </cell>
        </row>
        <row r="334">
          <cell r="A334">
            <v>59003</v>
          </cell>
        </row>
        <row r="335">
          <cell r="A335">
            <v>60001</v>
          </cell>
        </row>
        <row r="336">
          <cell r="A336">
            <v>60002</v>
          </cell>
        </row>
        <row r="337">
          <cell r="A337">
            <v>60003</v>
          </cell>
        </row>
        <row r="338">
          <cell r="A338">
            <v>60004</v>
          </cell>
        </row>
        <row r="339">
          <cell r="A339">
            <v>60005</v>
          </cell>
        </row>
        <row r="340">
          <cell r="A340">
            <v>60006</v>
          </cell>
        </row>
        <row r="341">
          <cell r="A341">
            <v>60007</v>
          </cell>
        </row>
        <row r="342">
          <cell r="A342">
            <v>60010</v>
          </cell>
        </row>
        <row r="343">
          <cell r="A343">
            <v>60011</v>
          </cell>
        </row>
        <row r="344">
          <cell r="A344">
            <v>61011</v>
          </cell>
        </row>
        <row r="345">
          <cell r="A345">
            <v>60012</v>
          </cell>
        </row>
        <row r="346">
          <cell r="A346">
            <v>60013</v>
          </cell>
        </row>
        <row r="347">
          <cell r="A347">
            <v>60014</v>
          </cell>
        </row>
        <row r="348">
          <cell r="A348">
            <v>60015</v>
          </cell>
        </row>
        <row r="349">
          <cell r="A349">
            <v>60016</v>
          </cell>
        </row>
        <row r="350">
          <cell r="A350">
            <v>60017</v>
          </cell>
        </row>
        <row r="351">
          <cell r="A351">
            <v>60018</v>
          </cell>
        </row>
        <row r="352">
          <cell r="A352">
            <v>60019</v>
          </cell>
        </row>
        <row r="353">
          <cell r="A353">
            <v>60020</v>
          </cell>
        </row>
        <row r="354">
          <cell r="A354">
            <v>60025</v>
          </cell>
        </row>
        <row r="355">
          <cell r="A355">
            <v>60026</v>
          </cell>
        </row>
        <row r="356">
          <cell r="A356">
            <v>60027</v>
          </cell>
        </row>
        <row r="357">
          <cell r="A357">
            <v>60028</v>
          </cell>
        </row>
        <row r="358">
          <cell r="A358">
            <v>60029</v>
          </cell>
        </row>
        <row r="359">
          <cell r="A359">
            <v>60030</v>
          </cell>
        </row>
        <row r="360">
          <cell r="A360">
            <v>60031</v>
          </cell>
        </row>
        <row r="361">
          <cell r="A361">
            <v>65523</v>
          </cell>
        </row>
        <row r="362">
          <cell r="A362">
            <v>65524</v>
          </cell>
        </row>
        <row r="363">
          <cell r="A363">
            <v>65525</v>
          </cell>
        </row>
        <row r="364">
          <cell r="A364">
            <v>65526</v>
          </cell>
        </row>
        <row r="365">
          <cell r="A365">
            <v>65527</v>
          </cell>
        </row>
        <row r="366">
          <cell r="A366">
            <v>65528</v>
          </cell>
        </row>
        <row r="367">
          <cell r="A367">
            <v>65529</v>
          </cell>
        </row>
        <row r="368">
          <cell r="A368">
            <v>65530</v>
          </cell>
        </row>
        <row r="369">
          <cell r="A369">
            <v>65531</v>
          </cell>
        </row>
        <row r="370">
          <cell r="A370">
            <v>65532</v>
          </cell>
        </row>
        <row r="371">
          <cell r="A371">
            <v>65533</v>
          </cell>
        </row>
        <row r="372">
          <cell r="A372">
            <v>65534</v>
          </cell>
        </row>
        <row r="373">
          <cell r="A373">
            <v>65535</v>
          </cell>
        </row>
        <row r="374">
          <cell r="A374">
            <v>60021</v>
          </cell>
        </row>
        <row r="375">
          <cell r="A375">
            <v>60022</v>
          </cell>
        </row>
        <row r="376">
          <cell r="A376">
            <v>60023</v>
          </cell>
        </row>
        <row r="377">
          <cell r="A37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47015_1</v>
          </cell>
        </row>
        <row r="883">
          <cell r="A883" t="str">
            <v>47015_2</v>
          </cell>
        </row>
        <row r="884">
          <cell r="A884" t="str">
            <v>47015_3</v>
          </cell>
        </row>
        <row r="885">
          <cell r="A885" t="str">
            <v>47016_1</v>
          </cell>
        </row>
        <row r="886">
          <cell r="A886" t="str">
            <v>47016_2</v>
          </cell>
        </row>
        <row r="887">
          <cell r="A887" t="str">
            <v>47016_3</v>
          </cell>
        </row>
        <row r="888">
          <cell r="A888" t="str">
            <v>48001_1</v>
          </cell>
        </row>
        <row r="889">
          <cell r="A889" t="str">
            <v>48002_1</v>
          </cell>
        </row>
        <row r="890">
          <cell r="A890" t="str">
            <v>48002_2</v>
          </cell>
        </row>
        <row r="891">
          <cell r="A891" t="str">
            <v>48002_3</v>
          </cell>
        </row>
        <row r="892">
          <cell r="A892" t="str">
            <v>48003_1</v>
          </cell>
        </row>
        <row r="893">
          <cell r="A893" t="str">
            <v>48003_2</v>
          </cell>
        </row>
        <row r="894">
          <cell r="A894" t="str">
            <v>48004_1</v>
          </cell>
        </row>
        <row r="895">
          <cell r="A895" t="str">
            <v>48004_2</v>
          </cell>
        </row>
        <row r="896">
          <cell r="A896" t="str">
            <v>48005_1</v>
          </cell>
        </row>
        <row r="897">
          <cell r="A897" t="str">
            <v>48005_2</v>
          </cell>
        </row>
        <row r="898">
          <cell r="A898" t="str">
            <v>48006_1</v>
          </cell>
        </row>
        <row r="899">
          <cell r="A899" t="str">
            <v>48006_2</v>
          </cell>
        </row>
        <row r="900">
          <cell r="A900" t="str">
            <v>48007_1</v>
          </cell>
        </row>
        <row r="901">
          <cell r="A901" t="str">
            <v>48007_2</v>
          </cell>
        </row>
        <row r="902">
          <cell r="A902" t="str">
            <v>48008_1</v>
          </cell>
        </row>
        <row r="903">
          <cell r="A903" t="str">
            <v>48008_2</v>
          </cell>
        </row>
        <row r="904">
          <cell r="A904" t="str">
            <v>48009_1</v>
          </cell>
        </row>
        <row r="905">
          <cell r="A905" t="str">
            <v>48009_2</v>
          </cell>
        </row>
        <row r="906">
          <cell r="A906" t="str">
            <v>48010_1</v>
          </cell>
        </row>
        <row r="907">
          <cell r="A907" t="str">
            <v>48011_1</v>
          </cell>
        </row>
        <row r="908">
          <cell r="A908" t="str">
            <v>48011_2</v>
          </cell>
        </row>
        <row r="909">
          <cell r="A909" t="str">
            <v>48012_1</v>
          </cell>
        </row>
        <row r="910">
          <cell r="A910" t="str">
            <v>48012_2</v>
          </cell>
        </row>
        <row r="911">
          <cell r="A911" t="str">
            <v>48013_1</v>
          </cell>
        </row>
        <row r="912">
          <cell r="A912" t="str">
            <v>48013_2</v>
          </cell>
        </row>
        <row r="913">
          <cell r="A913" t="str">
            <v>48014_1</v>
          </cell>
        </row>
        <row r="914">
          <cell r="A914" t="str">
            <v>48014_2</v>
          </cell>
        </row>
        <row r="915">
          <cell r="A915" t="str">
            <v>48101_1</v>
          </cell>
        </row>
        <row r="916">
          <cell r="A916" t="str">
            <v>48101_2</v>
          </cell>
        </row>
        <row r="917">
          <cell r="A917" t="str">
            <v>48501_1</v>
          </cell>
        </row>
        <row r="918">
          <cell r="A918" t="str">
            <v>48501_2</v>
          </cell>
        </row>
        <row r="919">
          <cell r="A919" t="str">
            <v>48502_1</v>
          </cell>
        </row>
        <row r="920">
          <cell r="A920" t="str">
            <v>48502_2</v>
          </cell>
        </row>
        <row r="921">
          <cell r="A921" t="str">
            <v>48503_1</v>
          </cell>
        </row>
        <row r="922">
          <cell r="A922" t="str">
            <v>48503_2</v>
          </cell>
        </row>
        <row r="923">
          <cell r="A923" t="str">
            <v>48701_1</v>
          </cell>
        </row>
        <row r="924">
          <cell r="A924" t="str">
            <v>48701_2</v>
          </cell>
        </row>
        <row r="925">
          <cell r="A925" t="str">
            <v>48702_1</v>
          </cell>
        </row>
        <row r="926">
          <cell r="A926" t="str">
            <v>48702_2</v>
          </cell>
        </row>
        <row r="927">
          <cell r="A927" t="str">
            <v>49001_1</v>
          </cell>
        </row>
        <row r="928">
          <cell r="A928" t="str">
            <v>49002_1</v>
          </cell>
        </row>
        <row r="929">
          <cell r="A929" t="str">
            <v>49002_2</v>
          </cell>
        </row>
        <row r="930">
          <cell r="A930" t="str">
            <v>49003_1</v>
          </cell>
        </row>
        <row r="931">
          <cell r="A931" t="str">
            <v>49003_2</v>
          </cell>
        </row>
        <row r="932">
          <cell r="A932" t="str">
            <v>49004_1</v>
          </cell>
        </row>
        <row r="933">
          <cell r="A933" t="str">
            <v>49004_2</v>
          </cell>
        </row>
        <row r="934">
          <cell r="A934" t="str">
            <v>49004_3</v>
          </cell>
        </row>
        <row r="935">
          <cell r="A935" t="str">
            <v>49005_1</v>
          </cell>
        </row>
        <row r="936">
          <cell r="A936" t="str">
            <v>49006_1</v>
          </cell>
        </row>
        <row r="937">
          <cell r="A937" t="str">
            <v>49006_2</v>
          </cell>
        </row>
        <row r="938">
          <cell r="A938" t="str">
            <v>49007_1</v>
          </cell>
        </row>
        <row r="939">
          <cell r="A939" t="str">
            <v>49007_2</v>
          </cell>
        </row>
        <row r="940">
          <cell r="A940" t="str">
            <v>49007_3</v>
          </cell>
        </row>
        <row r="941">
          <cell r="A941" t="str">
            <v>49008_1</v>
          </cell>
        </row>
        <row r="942">
          <cell r="A942" t="str">
            <v>49009_1</v>
          </cell>
        </row>
        <row r="943">
          <cell r="A943" t="str">
            <v>49010_1</v>
          </cell>
        </row>
        <row r="944">
          <cell r="A944" t="str">
            <v>49011_1</v>
          </cell>
        </row>
        <row r="945">
          <cell r="A945" t="str">
            <v>49012_1</v>
          </cell>
        </row>
        <row r="946">
          <cell r="A946" t="str">
            <v>49013_1</v>
          </cell>
        </row>
        <row r="947">
          <cell r="A947" t="str">
            <v>49014_1</v>
          </cell>
        </row>
        <row r="948">
          <cell r="A948" t="str">
            <v>49014_2</v>
          </cell>
        </row>
        <row r="949">
          <cell r="A949" t="str">
            <v>49015_1</v>
          </cell>
        </row>
        <row r="950">
          <cell r="A950" t="str">
            <v>49015_2</v>
          </cell>
        </row>
        <row r="951">
          <cell r="A951" t="str">
            <v>49015_3</v>
          </cell>
        </row>
        <row r="952">
          <cell r="A952" t="str">
            <v>49016_1</v>
          </cell>
        </row>
        <row r="953">
          <cell r="A953" t="str">
            <v>49016_2</v>
          </cell>
        </row>
        <row r="954">
          <cell r="A954" t="str">
            <v>50001_1</v>
          </cell>
        </row>
        <row r="955">
          <cell r="A955" t="str">
            <v>50002_1</v>
          </cell>
        </row>
        <row r="956">
          <cell r="A956" t="str">
            <v>50003_1</v>
          </cell>
        </row>
        <row r="957">
          <cell r="A957" t="str">
            <v>50004_1</v>
          </cell>
        </row>
        <row r="958">
          <cell r="A958" t="str">
            <v>50005_1</v>
          </cell>
        </row>
        <row r="959">
          <cell r="A959" t="str">
            <v>50006_1</v>
          </cell>
        </row>
        <row r="960">
          <cell r="A960" t="str">
            <v>50007_1</v>
          </cell>
        </row>
        <row r="961">
          <cell r="A961" t="str">
            <v>50008_1</v>
          </cell>
        </row>
        <row r="962">
          <cell r="A962" t="str">
            <v>50009_1</v>
          </cell>
        </row>
        <row r="963">
          <cell r="A963" t="str">
            <v>50010_1</v>
          </cell>
        </row>
        <row r="964">
          <cell r="A964" t="str">
            <v>50011_1</v>
          </cell>
        </row>
        <row r="965">
          <cell r="A965" t="str">
            <v>50012_1</v>
          </cell>
        </row>
        <row r="966">
          <cell r="A966" t="str">
            <v>50013_1</v>
          </cell>
        </row>
        <row r="967">
          <cell r="A967" t="str">
            <v>50014_1</v>
          </cell>
        </row>
        <row r="968">
          <cell r="A968" t="str">
            <v>50015_1</v>
          </cell>
        </row>
        <row r="969">
          <cell r="A969" t="str">
            <v>50016_1</v>
          </cell>
        </row>
        <row r="970">
          <cell r="A970" t="str">
            <v>51001_1</v>
          </cell>
        </row>
        <row r="971">
          <cell r="A971" t="str">
            <v>51002_1</v>
          </cell>
        </row>
        <row r="972">
          <cell r="A972" t="str">
            <v>58001_1</v>
          </cell>
        </row>
        <row r="973">
          <cell r="A973" t="str">
            <v>58002_1</v>
          </cell>
        </row>
        <row r="974">
          <cell r="A974" t="str">
            <v>58003_1</v>
          </cell>
        </row>
        <row r="975">
          <cell r="A975" t="str">
            <v>58101_1</v>
          </cell>
        </row>
        <row r="976">
          <cell r="A976" t="str">
            <v>59001_1</v>
          </cell>
        </row>
        <row r="977">
          <cell r="A977" t="str">
            <v>59002_1</v>
          </cell>
        </row>
        <row r="978">
          <cell r="A978" t="str">
            <v>59003_1</v>
          </cell>
        </row>
        <row r="979">
          <cell r="A979" t="str">
            <v>59003_2</v>
          </cell>
        </row>
        <row r="980">
          <cell r="A980" t="str">
            <v>60001_1</v>
          </cell>
        </row>
        <row r="981">
          <cell r="A981" t="str">
            <v>60002_1</v>
          </cell>
        </row>
        <row r="982">
          <cell r="A982" t="str">
            <v>60002_2</v>
          </cell>
        </row>
        <row r="983">
          <cell r="A983" t="str">
            <v>60003_1</v>
          </cell>
        </row>
        <row r="984">
          <cell r="A984" t="str">
            <v>60003_2</v>
          </cell>
        </row>
        <row r="985">
          <cell r="A985" t="str">
            <v>60003_3</v>
          </cell>
        </row>
        <row r="986">
          <cell r="A986" t="str">
            <v>60004_1</v>
          </cell>
        </row>
        <row r="987">
          <cell r="A987" t="str">
            <v>60005_1</v>
          </cell>
        </row>
        <row r="988">
          <cell r="A988" t="str">
            <v>60006_1</v>
          </cell>
        </row>
        <row r="989">
          <cell r="A989" t="str">
            <v>60006_2</v>
          </cell>
        </row>
        <row r="990">
          <cell r="A990" t="str">
            <v>60006_3</v>
          </cell>
        </row>
        <row r="991">
          <cell r="A991" t="str">
            <v>60007_1</v>
          </cell>
        </row>
        <row r="992">
          <cell r="A992" t="str">
            <v>60007_2</v>
          </cell>
        </row>
        <row r="993">
          <cell r="A993" t="str">
            <v>60007_3</v>
          </cell>
        </row>
        <row r="994">
          <cell r="A994" t="str">
            <v>60010_1</v>
          </cell>
        </row>
        <row r="995">
          <cell r="A995" t="str">
            <v>60011_1</v>
          </cell>
        </row>
        <row r="996">
          <cell r="A996" t="str">
            <v>60011_2</v>
          </cell>
        </row>
        <row r="997">
          <cell r="A997" t="str">
            <v>60012_1</v>
          </cell>
        </row>
        <row r="998">
          <cell r="A998" t="str">
            <v>60013_1</v>
          </cell>
        </row>
        <row r="999">
          <cell r="A999" t="str">
            <v>60013_2</v>
          </cell>
        </row>
        <row r="1000">
          <cell r="A1000" t="str">
            <v>60013_3</v>
          </cell>
        </row>
        <row r="1001">
          <cell r="A1001" t="str">
            <v>60014_1</v>
          </cell>
        </row>
        <row r="1002">
          <cell r="A1002" t="str">
            <v>60015_1</v>
          </cell>
        </row>
        <row r="1003">
          <cell r="A1003" t="str">
            <v>60016_1</v>
          </cell>
        </row>
        <row r="1004">
          <cell r="A1004" t="str">
            <v>60017_1</v>
          </cell>
        </row>
        <row r="1005">
          <cell r="A1005" t="str">
            <v>60018_1</v>
          </cell>
        </row>
        <row r="1006">
          <cell r="A1006" t="str">
            <v>60019_1</v>
          </cell>
        </row>
        <row r="1007">
          <cell r="A1007" t="str">
            <v>60020_1</v>
          </cell>
        </row>
        <row r="1008">
          <cell r="A1008" t="str">
            <v>60021_3</v>
          </cell>
        </row>
        <row r="1009">
          <cell r="A1009" t="str">
            <v>60022_3</v>
          </cell>
        </row>
        <row r="1010">
          <cell r="A1010" t="str">
            <v>60023_3</v>
          </cell>
        </row>
        <row r="1011">
          <cell r="A1011" t="str">
            <v>60024_3</v>
          </cell>
        </row>
        <row r="1012">
          <cell r="A1012" t="str">
            <v>60025_1</v>
          </cell>
        </row>
        <row r="1013">
          <cell r="A1013" t="str">
            <v>60026_1</v>
          </cell>
        </row>
        <row r="1014">
          <cell r="A1014" t="str">
            <v>61011_1</v>
          </cell>
        </row>
        <row r="1015">
          <cell r="A1015" t="str">
            <v>60027_1</v>
          </cell>
        </row>
        <row r="1016">
          <cell r="A1016" t="str">
            <v>60028_1</v>
          </cell>
        </row>
        <row r="1017">
          <cell r="A1017" t="str">
            <v>60029_1</v>
          </cell>
        </row>
        <row r="1018">
          <cell r="A1018" t="str">
            <v>60030_1</v>
          </cell>
        </row>
        <row r="1019">
          <cell r="A1019" t="str">
            <v>60031_1</v>
          </cell>
        </row>
        <row r="1020">
          <cell r="A1020" t="str">
            <v>65523_1</v>
          </cell>
        </row>
        <row r="1021">
          <cell r="A1021" t="str">
            <v>65523_2</v>
          </cell>
        </row>
        <row r="1022">
          <cell r="A1022" t="str">
            <v>65523_3</v>
          </cell>
        </row>
        <row r="1023">
          <cell r="A1023" t="str">
            <v>65524_1</v>
          </cell>
        </row>
        <row r="1024">
          <cell r="A1024" t="str">
            <v>65524_2</v>
          </cell>
        </row>
        <row r="1025">
          <cell r="A1025" t="str">
            <v>65525_1</v>
          </cell>
        </row>
        <row r="1026">
          <cell r="A1026" t="str">
            <v>65526_1</v>
          </cell>
        </row>
        <row r="1027">
          <cell r="A1027" t="str">
            <v>65526_2</v>
          </cell>
        </row>
        <row r="1028">
          <cell r="A1028" t="str">
            <v>65527_1</v>
          </cell>
        </row>
        <row r="1029">
          <cell r="A1029" t="str">
            <v>65528_1</v>
          </cell>
        </row>
        <row r="1030">
          <cell r="A1030" t="str">
            <v>65529_1</v>
          </cell>
        </row>
        <row r="1031">
          <cell r="A1031" t="str">
            <v>65530_1</v>
          </cell>
        </row>
        <row r="1032">
          <cell r="A1032" t="str">
            <v>65531_1</v>
          </cell>
        </row>
        <row r="1033">
          <cell r="A1033" t="str">
            <v>65531_2</v>
          </cell>
        </row>
        <row r="1034">
          <cell r="A1034" t="str">
            <v>65532_1</v>
          </cell>
        </row>
        <row r="1035">
          <cell r="A1035" t="str">
            <v>65532_2</v>
          </cell>
        </row>
        <row r="1036">
          <cell r="A1036" t="str">
            <v>65533_1</v>
          </cell>
        </row>
        <row r="1037">
          <cell r="A1037" t="str">
            <v>65533_2</v>
          </cell>
        </row>
        <row r="1038">
          <cell r="A1038" t="str">
            <v>65534_1</v>
          </cell>
        </row>
        <row r="1039">
          <cell r="A1039" t="str">
            <v>65535_1</v>
          </cell>
        </row>
        <row r="1040">
          <cell r="A1040" t="str">
            <v>65535_2</v>
          </cell>
        </row>
        <row r="1041">
          <cell r="A1041" t="str">
            <v>65535_3</v>
          </cell>
        </row>
        <row r="1042">
          <cell r="A1042" t="str">
            <v>65535_4</v>
          </cell>
        </row>
        <row r="1043">
          <cell r="A1043" t="str">
            <v>65535_5</v>
          </cell>
        </row>
        <row r="1044">
          <cell r="A1044" t="str">
            <v>65535_6</v>
          </cell>
        </row>
        <row r="1045">
          <cell r="A1045" t="str">
            <v>65535_7</v>
          </cell>
        </row>
        <row r="1046">
          <cell r="A1046" t="str">
            <v>65535_8</v>
          </cell>
        </row>
        <row r="1047">
          <cell r="A1047" t="str">
            <v>65535_9</v>
          </cell>
        </row>
        <row r="1048">
          <cell r="A104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6001</v>
          </cell>
        </row>
        <row r="1465">
          <cell r="A1465">
            <v>6002</v>
          </cell>
        </row>
        <row r="1466">
          <cell r="A1466">
            <v>6003</v>
          </cell>
        </row>
        <row r="1467">
          <cell r="A1467">
            <v>6004</v>
          </cell>
        </row>
        <row r="1468">
          <cell r="A1468">
            <v>6005</v>
          </cell>
        </row>
        <row r="1469">
          <cell r="A1469">
            <v>6006</v>
          </cell>
        </row>
        <row r="1470">
          <cell r="A1470">
            <v>6007</v>
          </cell>
        </row>
        <row r="1471">
          <cell r="A1471">
            <v>6008</v>
          </cell>
        </row>
        <row r="1472">
          <cell r="A1472">
            <v>6009</v>
          </cell>
        </row>
        <row r="1473">
          <cell r="A1473">
            <v>6010</v>
          </cell>
        </row>
        <row r="1474">
          <cell r="A1474">
            <v>6011</v>
          </cell>
        </row>
        <row r="1475">
          <cell r="A1475">
            <v>6012</v>
          </cell>
        </row>
        <row r="1476">
          <cell r="A1476">
            <v>6013</v>
          </cell>
        </row>
        <row r="1477">
          <cell r="A1477">
            <v>6014</v>
          </cell>
        </row>
        <row r="1478">
          <cell r="A1478">
            <v>6015</v>
          </cell>
        </row>
        <row r="1479">
          <cell r="A1479">
            <v>6016</v>
          </cell>
        </row>
        <row r="1480">
          <cell r="A1480">
            <v>6017</v>
          </cell>
        </row>
        <row r="1481">
          <cell r="A1481">
            <v>6018</v>
          </cell>
        </row>
        <row r="1482">
          <cell r="A1482">
            <v>6019</v>
          </cell>
        </row>
        <row r="1483">
          <cell r="A1483">
            <v>6020</v>
          </cell>
        </row>
        <row r="1484">
          <cell r="A1484">
            <v>8001</v>
          </cell>
        </row>
        <row r="1485">
          <cell r="A1485">
            <v>8002</v>
          </cell>
        </row>
        <row r="1486">
          <cell r="A1486">
            <v>8003</v>
          </cell>
        </row>
        <row r="1487">
          <cell r="A1487">
            <v>8004</v>
          </cell>
        </row>
        <row r="1488">
          <cell r="A1488">
            <v>8005</v>
          </cell>
        </row>
        <row r="1489">
          <cell r="A1489">
            <v>8006</v>
          </cell>
        </row>
        <row r="1490">
          <cell r="A1490">
            <v>8007</v>
          </cell>
        </row>
        <row r="1491">
          <cell r="A1491">
            <v>8008</v>
          </cell>
        </row>
        <row r="1492">
          <cell r="A1492">
            <v>8009</v>
          </cell>
        </row>
        <row r="1493">
          <cell r="A1493">
            <v>8010</v>
          </cell>
        </row>
        <row r="1494">
          <cell r="A1494">
            <v>8011</v>
          </cell>
        </row>
        <row r="1495">
          <cell r="A1495">
            <v>8012</v>
          </cell>
        </row>
        <row r="1496">
          <cell r="A1496">
            <v>8013</v>
          </cell>
        </row>
        <row r="1497">
          <cell r="A1497">
            <v>8014</v>
          </cell>
        </row>
        <row r="1498">
          <cell r="A1498">
            <v>8015</v>
          </cell>
        </row>
        <row r="1499">
          <cell r="A1499">
            <v>8016</v>
          </cell>
        </row>
        <row r="1500">
          <cell r="A1500">
            <v>8017</v>
          </cell>
        </row>
        <row r="1501">
          <cell r="A1501">
            <v>8018</v>
          </cell>
        </row>
        <row r="1502">
          <cell r="A1502">
            <v>8019</v>
          </cell>
        </row>
        <row r="1503">
          <cell r="A1503">
            <v>8020</v>
          </cell>
        </row>
        <row r="1504">
          <cell r="A1504">
            <v>8021</v>
          </cell>
        </row>
        <row r="1505">
          <cell r="A1505">
            <v>8022</v>
          </cell>
        </row>
        <row r="1506">
          <cell r="A1506">
            <v>8023</v>
          </cell>
        </row>
        <row r="1507">
          <cell r="A1507">
            <v>8024</v>
          </cell>
        </row>
        <row r="1508">
          <cell r="A1508">
            <v>8025</v>
          </cell>
        </row>
        <row r="1509">
          <cell r="A1509">
            <v>8026</v>
          </cell>
        </row>
        <row r="1510">
          <cell r="A1510">
            <v>8027</v>
          </cell>
        </row>
        <row r="1511">
          <cell r="A1511">
            <v>8028</v>
          </cell>
        </row>
        <row r="1512">
          <cell r="A1512">
            <v>8029</v>
          </cell>
        </row>
        <row r="1513">
          <cell r="A1513">
            <v>8030</v>
          </cell>
        </row>
        <row r="1514">
          <cell r="A1514">
            <v>8031</v>
          </cell>
        </row>
        <row r="1515">
          <cell r="A1515">
            <v>8032</v>
          </cell>
        </row>
        <row r="1516">
          <cell r="A1516">
            <v>8033</v>
          </cell>
        </row>
        <row r="1517">
          <cell r="A1517">
            <v>8034</v>
          </cell>
        </row>
        <row r="1518">
          <cell r="A1518">
            <v>8035</v>
          </cell>
        </row>
        <row r="1519">
          <cell r="A1519">
            <v>8036</v>
          </cell>
        </row>
        <row r="1520">
          <cell r="A1520">
            <v>8037</v>
          </cell>
        </row>
        <row r="1521">
          <cell r="A1521">
            <v>8038</v>
          </cell>
        </row>
        <row r="1522">
          <cell r="A1522">
            <v>8039</v>
          </cell>
        </row>
        <row r="1523">
          <cell r="A1523">
            <v>8040</v>
          </cell>
        </row>
        <row r="1524">
          <cell r="A1524">
            <v>8041</v>
          </cell>
        </row>
        <row r="1525">
          <cell r="A1525">
            <v>8042</v>
          </cell>
        </row>
        <row r="1526">
          <cell r="A1526">
            <v>8043</v>
          </cell>
        </row>
        <row r="1527">
          <cell r="A1527">
            <v>8044</v>
          </cell>
        </row>
        <row r="1528">
          <cell r="A1528">
            <v>8045</v>
          </cell>
        </row>
        <row r="1529">
          <cell r="A1529">
            <v>8046</v>
          </cell>
        </row>
        <row r="1530">
          <cell r="A1530">
            <v>8047</v>
          </cell>
        </row>
        <row r="1531">
          <cell r="A1531">
            <v>8048</v>
          </cell>
        </row>
        <row r="1532">
          <cell r="A1532">
            <v>8049</v>
          </cell>
        </row>
        <row r="1533">
          <cell r="A1533">
            <v>8050</v>
          </cell>
        </row>
        <row r="1534">
          <cell r="A1534">
            <v>8051</v>
          </cell>
        </row>
        <row r="1535">
          <cell r="A1535">
            <v>8052</v>
          </cell>
        </row>
        <row r="1536">
          <cell r="A1536">
            <v>8053</v>
          </cell>
        </row>
        <row r="1537">
          <cell r="A1537">
            <v>8054</v>
          </cell>
        </row>
        <row r="1538">
          <cell r="A1538">
            <v>8055</v>
          </cell>
        </row>
        <row r="1539">
          <cell r="A1539">
            <v>8056</v>
          </cell>
        </row>
        <row r="1540">
          <cell r="A1540">
            <v>8057</v>
          </cell>
        </row>
        <row r="1541">
          <cell r="A1541">
            <v>8058</v>
          </cell>
        </row>
        <row r="1542">
          <cell r="A1542">
            <v>8059</v>
          </cell>
        </row>
        <row r="1543">
          <cell r="A1543">
            <v>8060</v>
          </cell>
        </row>
        <row r="1544">
          <cell r="A1544">
            <v>8061</v>
          </cell>
        </row>
        <row r="1545">
          <cell r="A1545">
            <v>8062</v>
          </cell>
        </row>
        <row r="1546">
          <cell r="A1546">
            <v>8063</v>
          </cell>
        </row>
        <row r="1547">
          <cell r="A1547">
            <v>8064</v>
          </cell>
        </row>
        <row r="1548">
          <cell r="A1548">
            <v>8065</v>
          </cell>
        </row>
        <row r="1549">
          <cell r="A1549">
            <v>8066</v>
          </cell>
        </row>
        <row r="1550">
          <cell r="A1550">
            <v>8067</v>
          </cell>
        </row>
        <row r="1551">
          <cell r="A1551">
            <v>8068</v>
          </cell>
        </row>
        <row r="1552">
          <cell r="A1552">
            <v>8069</v>
          </cell>
        </row>
        <row r="1553">
          <cell r="A1553">
            <v>8070</v>
          </cell>
        </row>
        <row r="1554">
          <cell r="A1554">
            <v>8071</v>
          </cell>
        </row>
        <row r="1555">
          <cell r="A1555">
            <v>8072</v>
          </cell>
        </row>
        <row r="1556">
          <cell r="A1556">
            <v>8073</v>
          </cell>
        </row>
        <row r="1557">
          <cell r="A1557">
            <v>8074</v>
          </cell>
        </row>
        <row r="1558">
          <cell r="A1558">
            <v>8077</v>
          </cell>
        </row>
        <row r="1559">
          <cell r="A1559">
            <v>8078</v>
          </cell>
        </row>
        <row r="1560">
          <cell r="A1560">
            <v>8079</v>
          </cell>
        </row>
        <row r="1561">
          <cell r="A1561">
            <v>8080</v>
          </cell>
        </row>
        <row r="1562">
          <cell r="A1562">
            <v>8081</v>
          </cell>
        </row>
        <row r="1563">
          <cell r="A1563">
            <v>8082</v>
          </cell>
        </row>
        <row r="1564">
          <cell r="A1564">
            <v>8083</v>
          </cell>
        </row>
        <row r="1565">
          <cell r="A1565">
            <v>8084</v>
          </cell>
        </row>
        <row r="1566">
          <cell r="A1566">
            <v>8085</v>
          </cell>
        </row>
        <row r="1567">
          <cell r="A1567">
            <v>8086</v>
          </cell>
        </row>
        <row r="1568">
          <cell r="A1568">
            <v>8087</v>
          </cell>
        </row>
        <row r="1569">
          <cell r="A1569">
            <v>8088</v>
          </cell>
        </row>
        <row r="1570">
          <cell r="A1570">
            <v>8089</v>
          </cell>
        </row>
        <row r="1571">
          <cell r="A1571">
            <v>8090</v>
          </cell>
        </row>
        <row r="1572">
          <cell r="A1572">
            <v>8095</v>
          </cell>
        </row>
        <row r="1573">
          <cell r="A1573">
            <v>8096</v>
          </cell>
        </row>
        <row r="1574">
          <cell r="A1574">
            <v>8097</v>
          </cell>
        </row>
        <row r="1575">
          <cell r="A1575">
            <v>8098</v>
          </cell>
        </row>
        <row r="1576">
          <cell r="A1576">
            <v>8099</v>
          </cell>
        </row>
        <row r="1577">
          <cell r="A1577">
            <v>8100</v>
          </cell>
        </row>
        <row r="1578">
          <cell r="A1578">
            <v>8101</v>
          </cell>
        </row>
        <row r="1579">
          <cell r="A1579">
            <v>8102</v>
          </cell>
        </row>
        <row r="1580">
          <cell r="A1580">
            <v>8103</v>
          </cell>
        </row>
        <row r="1581">
          <cell r="A1581">
            <v>8104</v>
          </cell>
        </row>
        <row r="1582">
          <cell r="A1582">
            <v>8105</v>
          </cell>
        </row>
        <row r="1583">
          <cell r="A1583">
            <v>8106</v>
          </cell>
        </row>
        <row r="1584">
          <cell r="A1584">
            <v>8111</v>
          </cell>
        </row>
        <row r="1585">
          <cell r="A1585">
            <v>8112</v>
          </cell>
        </row>
        <row r="1586">
          <cell r="A1586">
            <v>8113</v>
          </cell>
        </row>
        <row r="1587">
          <cell r="A1587">
            <v>8114</v>
          </cell>
        </row>
        <row r="1588">
          <cell r="A1588">
            <v>8115</v>
          </cell>
        </row>
        <row r="1589">
          <cell r="A1589">
            <v>8116</v>
          </cell>
        </row>
        <row r="1590">
          <cell r="A1590">
            <v>8117</v>
          </cell>
        </row>
        <row r="1591">
          <cell r="A1591">
            <v>8118</v>
          </cell>
        </row>
        <row r="1592">
          <cell r="A1592">
            <v>8119</v>
          </cell>
        </row>
        <row r="1593">
          <cell r="A1593">
            <v>8120</v>
          </cell>
        </row>
        <row r="1594">
          <cell r="A1594">
            <v>8121</v>
          </cell>
        </row>
        <row r="1595">
          <cell r="A1595">
            <v>8122</v>
          </cell>
        </row>
        <row r="1596">
          <cell r="A1596">
            <v>8127</v>
          </cell>
        </row>
        <row r="1597">
          <cell r="A1597">
            <v>8128</v>
          </cell>
        </row>
        <row r="1598">
          <cell r="A1598">
            <v>8129</v>
          </cell>
        </row>
        <row r="1599">
          <cell r="A1599">
            <v>8130</v>
          </cell>
        </row>
        <row r="1600">
          <cell r="A1600">
            <v>8131</v>
          </cell>
        </row>
        <row r="1601">
          <cell r="A1601">
            <v>8132</v>
          </cell>
        </row>
        <row r="1602">
          <cell r="A1602">
            <v>8133</v>
          </cell>
        </row>
        <row r="1603">
          <cell r="A1603">
            <v>8134</v>
          </cell>
        </row>
        <row r="1604">
          <cell r="A1604">
            <v>8135</v>
          </cell>
        </row>
        <row r="1605">
          <cell r="A1605">
            <v>8136</v>
          </cell>
        </row>
        <row r="1606">
          <cell r="A1606">
            <v>8137</v>
          </cell>
        </row>
        <row r="1607">
          <cell r="A1607">
            <v>8138</v>
          </cell>
        </row>
        <row r="1608">
          <cell r="A1608">
            <v>9001</v>
          </cell>
        </row>
        <row r="1609">
          <cell r="A1609">
            <v>9002</v>
          </cell>
        </row>
        <row r="1610">
          <cell r="A1610">
            <v>9003</v>
          </cell>
        </row>
        <row r="1611">
          <cell r="A1611">
            <v>9004</v>
          </cell>
        </row>
        <row r="1612">
          <cell r="A1612">
            <v>9005</v>
          </cell>
        </row>
        <row r="1613">
          <cell r="A1613">
            <v>9006</v>
          </cell>
        </row>
        <row r="1614">
          <cell r="A1614">
            <v>9007</v>
          </cell>
        </row>
        <row r="1615">
          <cell r="A1615">
            <v>9008</v>
          </cell>
        </row>
        <row r="1616">
          <cell r="A1616">
            <v>10101</v>
          </cell>
        </row>
        <row r="1617">
          <cell r="A1617">
            <v>10102</v>
          </cell>
        </row>
        <row r="1618">
          <cell r="A1618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24" sqref="C2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268</v>
      </c>
      <c r="B2" s="56" t="s">
        <v>107</v>
      </c>
      <c r="C2" s="62">
        <v>47006</v>
      </c>
      <c r="D2" s="56" t="s">
        <v>108</v>
      </c>
      <c r="E2" s="55" t="str">
        <f>B2&amp;C2&amp;D2</f>
        <v>floors_47006.tmp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268</v>
      </c>
      <c r="B3" s="56" t="s">
        <v>110</v>
      </c>
      <c r="C3" s="62">
        <v>47006</v>
      </c>
      <c r="D3" s="56" t="s">
        <v>108</v>
      </c>
      <c r="E3" s="55" t="str">
        <f>B3&amp;C3&amp;D3</f>
        <v>enemy_habitats_47006.tmp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180</v>
      </c>
    </row>
    <row r="4" spans="1:30" x14ac:dyDescent="0.15">
      <c r="A4" s="60" t="s">
        <v>268</v>
      </c>
      <c r="B4" s="56" t="s">
        <v>112</v>
      </c>
      <c r="C4" s="62">
        <v>47006</v>
      </c>
      <c r="D4" s="56" t="s">
        <v>108</v>
      </c>
      <c r="E4" s="55" t="str">
        <f>B4&amp;C4&amp;D4</f>
        <v>enemy_habitat_S_47006.tmp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268</v>
      </c>
      <c r="B5" s="56" t="s">
        <v>114</v>
      </c>
      <c r="C5" s="62">
        <v>47006</v>
      </c>
      <c r="D5" s="56" t="s">
        <v>108</v>
      </c>
      <c r="E5" s="55" t="str">
        <f>B5&amp;C5&amp;D5</f>
        <v>enemy_skill_sets_47006.tmp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268</v>
      </c>
      <c r="B6" s="56" t="s">
        <v>116</v>
      </c>
      <c r="C6" s="62">
        <v>47006</v>
      </c>
      <c r="D6" s="56" t="s">
        <v>117</v>
      </c>
      <c r="E6" s="55" t="str">
        <f t="shared" ref="E6:E10" si="0">B6&amp;C6&amp;D6</f>
        <v>enemy_skills_tmp_47006.tmp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268</v>
      </c>
      <c r="B7" s="56" t="s">
        <v>118</v>
      </c>
      <c r="C7" s="62">
        <v>47006</v>
      </c>
      <c r="D7" s="56" t="s">
        <v>108</v>
      </c>
      <c r="E7" s="55" t="str">
        <f>B7&amp;C7&amp;D7</f>
        <v>enemy_skills_i18n_47006.tmp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268</v>
      </c>
      <c r="B8" s="56" t="s">
        <v>120</v>
      </c>
      <c r="C8" s="62">
        <v>47006</v>
      </c>
      <c r="D8" s="56" t="s">
        <v>121</v>
      </c>
      <c r="E8" s="55" t="str">
        <f t="shared" si="0"/>
        <v>enemy_skill_triggers_47006.tmp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268</v>
      </c>
      <c r="B9" s="67" t="s">
        <v>179</v>
      </c>
      <c r="C9" s="62">
        <v>47006</v>
      </c>
      <c r="D9" s="67" t="s">
        <v>173</v>
      </c>
      <c r="E9" s="68" t="str">
        <f t="shared" si="0"/>
        <v>stage_bug_bonuses_47006.tmp</v>
      </c>
      <c r="F9" s="67" t="s">
        <v>174</v>
      </c>
      <c r="G9" s="64" t="s">
        <v>151</v>
      </c>
      <c r="H9" s="64" t="s">
        <v>175</v>
      </c>
      <c r="I9" s="64" t="s">
        <v>176</v>
      </c>
      <c r="J9" s="66" t="s">
        <v>177</v>
      </c>
      <c r="K9" s="64" t="s">
        <v>178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6"/>
      <c r="Y9" s="56"/>
      <c r="Z9" s="56"/>
      <c r="AA9" s="56"/>
      <c r="AB9" s="56"/>
      <c r="AC9" s="56"/>
      <c r="AD9" s="56"/>
    </row>
    <row r="10" spans="1:30" s="75" customFormat="1" x14ac:dyDescent="0.15">
      <c r="A10" s="60" t="s">
        <v>268</v>
      </c>
      <c r="B10" s="67" t="s">
        <v>202</v>
      </c>
      <c r="C10" s="62">
        <v>47006</v>
      </c>
      <c r="D10" s="67" t="s">
        <v>182</v>
      </c>
      <c r="E10" s="68" t="str">
        <f t="shared" si="0"/>
        <v>stage_hints_data_c_47006.tmp</v>
      </c>
      <c r="F10" s="67" t="s">
        <v>210</v>
      </c>
      <c r="G10" s="73" t="s">
        <v>183</v>
      </c>
      <c r="H10" s="73" t="s">
        <v>175</v>
      </c>
      <c r="I10" s="74" t="s">
        <v>184</v>
      </c>
      <c r="J10" s="66" t="s">
        <v>185</v>
      </c>
      <c r="K10" s="66" t="s">
        <v>186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0" t="s">
        <v>268</v>
      </c>
      <c r="B11" s="67" t="s">
        <v>203</v>
      </c>
      <c r="C11" s="62">
        <v>47006</v>
      </c>
      <c r="D11" s="67" t="s">
        <v>173</v>
      </c>
      <c r="E11" s="68" t="str">
        <f t="shared" ref="E11:E13" si="1">B11&amp;C11&amp;D11</f>
        <v>stage_hints_data_f_47006.tmp</v>
      </c>
      <c r="F11" s="67" t="s">
        <v>211</v>
      </c>
      <c r="G11" s="73" t="s">
        <v>183</v>
      </c>
      <c r="H11" s="73" t="s">
        <v>175</v>
      </c>
      <c r="I11" s="74" t="s">
        <v>184</v>
      </c>
      <c r="J11" s="66" t="s">
        <v>185</v>
      </c>
      <c r="K11" s="66" t="s">
        <v>186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135" t="s">
        <v>268</v>
      </c>
      <c r="B12" s="67" t="s">
        <v>204</v>
      </c>
      <c r="C12" s="62">
        <v>47006</v>
      </c>
      <c r="D12" s="67" t="s">
        <v>173</v>
      </c>
      <c r="E12" s="68" t="str">
        <f t="shared" si="1"/>
        <v>stage_hints_i18n_47006.tmp</v>
      </c>
      <c r="F12" s="67" t="s">
        <v>212</v>
      </c>
      <c r="G12" s="74" t="s">
        <v>205</v>
      </c>
      <c r="H12" s="93" t="s">
        <v>206</v>
      </c>
      <c r="I12" s="73" t="s">
        <v>207</v>
      </c>
      <c r="J12" s="101" t="s">
        <v>208</v>
      </c>
      <c r="K12" s="66" t="s">
        <v>209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135" t="s">
        <v>268</v>
      </c>
      <c r="B13" s="67" t="s">
        <v>252</v>
      </c>
      <c r="C13" s="62">
        <v>47006</v>
      </c>
      <c r="D13" s="67" t="s">
        <v>233</v>
      </c>
      <c r="E13" s="68" t="str">
        <f t="shared" si="1"/>
        <v>stage_bonuses_47006.tmp</v>
      </c>
      <c r="F13" s="67" t="s">
        <v>232</v>
      </c>
      <c r="G13" s="73" t="s">
        <v>234</v>
      </c>
      <c r="H13" s="73" t="s">
        <v>235</v>
      </c>
      <c r="I13" s="73" t="s">
        <v>236</v>
      </c>
      <c r="J13" s="73" t="s">
        <v>237</v>
      </c>
      <c r="K13" s="73" t="s">
        <v>238</v>
      </c>
      <c r="L13" s="73" t="s">
        <v>239</v>
      </c>
      <c r="M13" s="73" t="s">
        <v>240</v>
      </c>
      <c r="N13" s="73" t="s">
        <v>241</v>
      </c>
      <c r="O13" s="73" t="s">
        <v>242</v>
      </c>
      <c r="P13" s="73" t="s">
        <v>243</v>
      </c>
      <c r="Q13" s="73" t="s">
        <v>244</v>
      </c>
      <c r="R13" s="73" t="s">
        <v>245</v>
      </c>
      <c r="S13" s="73" t="s">
        <v>246</v>
      </c>
      <c r="T13" s="73" t="s">
        <v>247</v>
      </c>
      <c r="U13" s="73" t="s">
        <v>248</v>
      </c>
      <c r="V13" s="73" t="s">
        <v>249</v>
      </c>
      <c r="W13" s="73" t="s">
        <v>250</v>
      </c>
      <c r="X13" s="73" t="s">
        <v>251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F6" sqref="F6:F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47006_1-1</v>
      </c>
      <c r="B2" s="16" t="str">
        <f>IF(COUNTIF(enemy_habitats!$H:$H,A2),"OK","NG")</f>
        <v>OK</v>
      </c>
      <c r="C2" s="7">
        <v>47006</v>
      </c>
      <c r="D2" s="11" t="str">
        <f ca="1">VLOOKUP($C2,OFFSET([2]quests!$A$1,0,0,COUNTA([2]quests!$A:$A),MATCH(D$1,[2]quests!$1:$1,0)-MATCH($C$1,[2]quests!$1:$1,0)+1),MATCH(D$1,[2]quests!$1:$1,0)-MATCH($C$1,[2]quests!$1:$1,0)+1,FALSE)</f>
        <v>酉の初めはたまごから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 t="shared" ref="G2:G9" si="1">C2&amp;"_"&amp;F2</f>
        <v>47006_1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【超絶】酉の初めはたまごから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47006_1-2</v>
      </c>
      <c r="B3" s="16" t="str">
        <f>IF(COUNTIF(enemy_habitats!$H:$H,A3),"OK","NG")</f>
        <v>OK</v>
      </c>
      <c r="C3" s="7">
        <v>47006</v>
      </c>
      <c r="D3" s="11" t="str">
        <f ca="1">VLOOKUP($C3,OFFSET([2]quests!$A$1,0,0,COUNTA([2]quests!$A:$A),MATCH(D$1,[2]quests!$1:$1,0)-MATCH($C$1,[2]quests!$1:$1,0)+1),MATCH(D$1,[2]quests!$1:$1,0)-MATCH($C$1,[2]quests!$1:$1,0)+1,FALSE)</f>
        <v>酉の初めはたまごから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1</v>
      </c>
      <c r="G3" s="23" t="str">
        <f t="shared" si="1"/>
        <v>47006_1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【超絶】酉の初めはたまごから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47006_1-3</v>
      </c>
      <c r="B4" s="16" t="str">
        <f>IF(COUNTIF(enemy_habitats!$H:$H,A4),"OK","NG")</f>
        <v>OK</v>
      </c>
      <c r="C4" s="7">
        <v>47006</v>
      </c>
      <c r="D4" s="11" t="str">
        <f ca="1">VLOOKUP($C4,OFFSET([2]quests!$A$1,0,0,COUNTA([2]quests!$A:$A),MATCH(D$1,[2]quests!$1:$1,0)-MATCH($C$1,[2]quests!$1:$1,0)+1),MATCH(D$1,[2]quests!$1:$1,0)-MATCH($C$1,[2]quests!$1:$1,0)+1,FALSE)</f>
        <v>酉の初めはたまごから</v>
      </c>
      <c r="E4" s="18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21">
        <v>1</v>
      </c>
      <c r="G4" s="23" t="str">
        <f t="shared" si="1"/>
        <v>47006_1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【超絶】酉の初めはたまごから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47006_1-4</v>
      </c>
      <c r="B5" s="16" t="str">
        <f>IF(COUNTIF(enemy_habitats!$H:$H,A5),"OK","NG")</f>
        <v>OK</v>
      </c>
      <c r="C5" s="7">
        <v>47006</v>
      </c>
      <c r="D5" s="11" t="str">
        <f ca="1">VLOOKUP($C5,OFFSET([2]quests!$A$1,0,0,COUNTA([2]quests!$A:$A),MATCH(D$1,[2]quests!$1:$1,0)-MATCH($C$1,[2]quests!$1:$1,0)+1),MATCH(D$1,[2]quests!$1:$1,0)-MATCH($C$1,[2]quests!$1:$1,0)+1,FALSE)</f>
        <v>酉の初めはたまごから</v>
      </c>
      <c r="E5" s="18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21">
        <v>1</v>
      </c>
      <c r="G5" s="23" t="str">
        <f t="shared" si="1"/>
        <v>47006_1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【超絶】酉の初めはたまごから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47006_2-1</v>
      </c>
      <c r="B6" s="16" t="str">
        <f>IF(COUNTIF(enemy_habitats!$H:$H,A6),"OK","NG")</f>
        <v>OK</v>
      </c>
      <c r="C6" s="7">
        <v>47006</v>
      </c>
      <c r="D6" s="11" t="str">
        <f ca="1">VLOOKUP($C6,OFFSET([2]quests!$A$1,0,0,COUNTA([2]quests!$A:$A),MATCH(D$1,[2]quests!$1:$1,0)-MATCH($C$1,[2]quests!$1:$1,0)+1),MATCH(D$1,[2]quests!$1:$1,0)-MATCH($C$1,[2]quests!$1:$1,0)+1,FALSE)</f>
        <v>酉の初めはたまごから</v>
      </c>
      <c r="E6" s="18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21">
        <v>2</v>
      </c>
      <c r="G6" s="23" t="str">
        <f t="shared" si="1"/>
        <v>47006_2</v>
      </c>
      <c r="H6" s="15" t="str">
        <f ca="1">VLOOKUP($G6,OFFSET([2]stages!$A$1,0,0,COUNTA([2]stages!$A:$A),MATCH(H$1,[2]stages!$2:$2,0)-MATCH($G$1,[2]stages!$2:$2,0)+1),MATCH(H$1,[2]stages!$2:$2,0)-MATCH($G$1,[2]stages!$2:$2,0)+1,FALSE)</f>
        <v>【ｳｨｻﾞ】酉の初めはたまごから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47006_2-2</v>
      </c>
      <c r="B7" s="16" t="str">
        <f>IF(COUNTIF(enemy_habitats!$H:$H,A7),"OK","NG")</f>
        <v>OK</v>
      </c>
      <c r="C7" s="7">
        <v>47006</v>
      </c>
      <c r="D7" s="11" t="str">
        <f ca="1">VLOOKUP($C7,OFFSET([2]quests!$A$1,0,0,COUNTA([2]quests!$A:$A),MATCH(D$1,[2]quests!$1:$1,0)-MATCH($C$1,[2]quests!$1:$1,0)+1),MATCH(D$1,[2]quests!$1:$1,0)-MATCH($C$1,[2]quests!$1:$1,0)+1,FALSE)</f>
        <v>酉の初めはたまごから</v>
      </c>
      <c r="E7" s="18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21">
        <v>2</v>
      </c>
      <c r="G7" s="23" t="str">
        <f t="shared" si="1"/>
        <v>47006_2</v>
      </c>
      <c r="H7" s="15" t="str">
        <f ca="1">VLOOKUP($G7,OFFSET([2]stages!$A$1,0,0,COUNTA([2]stages!$A:$A),MATCH(H$1,[2]stages!$2:$2,0)-MATCH($G$1,[2]stages!$2:$2,0)+1),MATCH(H$1,[2]stages!$2:$2,0)-MATCH($G$1,[2]stages!$2:$2,0)+1,FALSE)</f>
        <v>【ｳｨｻﾞ】酉の初めはたまごから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47006_2-3</v>
      </c>
      <c r="B8" s="16" t="str">
        <f>IF(COUNTIF(enemy_habitats!$H:$H,A8),"OK","NG")</f>
        <v>OK</v>
      </c>
      <c r="C8" s="7">
        <v>47006</v>
      </c>
      <c r="D8" s="11" t="str">
        <f ca="1">VLOOKUP($C8,OFFSET([2]quests!$A$1,0,0,COUNTA([2]quests!$A:$A),MATCH(D$1,[2]quests!$1:$1,0)-MATCH($C$1,[2]quests!$1:$1,0)+1),MATCH(D$1,[2]quests!$1:$1,0)-MATCH($C$1,[2]quests!$1:$1,0)+1,FALSE)</f>
        <v>酉の初めはたまごから</v>
      </c>
      <c r="E8" s="18" t="str">
        <f ca="1">VLOOKUP($C8,OFFSET([2]quests!$A$1,0,0,COUNTA([2]quests!$A:$A),MATCH(E$1,[2]quests!$1:$1,0)-MATCH($C$1,[2]quests!$1:$1,0)+1),MATCH(E$1,[2]quests!$1:$1,0)-MATCH($C$1,[2]quests!$1:$1,0)+1,FALSE)</f>
        <v>季節イベント</v>
      </c>
      <c r="F8" s="21">
        <v>2</v>
      </c>
      <c r="G8" s="23" t="str">
        <f t="shared" si="1"/>
        <v>47006_2</v>
      </c>
      <c r="H8" s="15" t="str">
        <f ca="1">VLOOKUP($G8,OFFSET([2]stages!$A$1,0,0,COUNTA([2]stages!$A:$A),MATCH(H$1,[2]stages!$2:$2,0)-MATCH($G$1,[2]stages!$2:$2,0)+1),MATCH(H$1,[2]stages!$2:$2,0)-MATCH($G$1,[2]stages!$2:$2,0)+1,FALSE)</f>
        <v>【ｳｨｻﾞ】酉の初めはたまごから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47006_2-4</v>
      </c>
      <c r="B9" s="16" t="str">
        <f>IF(COUNTIF(enemy_habitats!$H:$H,A9),"OK","NG")</f>
        <v>OK</v>
      </c>
      <c r="C9" s="7">
        <v>47006</v>
      </c>
      <c r="D9" s="11" t="str">
        <f ca="1">VLOOKUP($C9,OFFSET([2]quests!$A$1,0,0,COUNTA([2]quests!$A:$A),MATCH(D$1,[2]quests!$1:$1,0)-MATCH($C$1,[2]quests!$1:$1,0)+1),MATCH(D$1,[2]quests!$1:$1,0)-MATCH($C$1,[2]quests!$1:$1,0)+1,FALSE)</f>
        <v>酉の初めはたまごから</v>
      </c>
      <c r="E9" s="18" t="str">
        <f ca="1">VLOOKUP($C9,OFFSET([2]quests!$A$1,0,0,COUNTA([2]quests!$A:$A),MATCH(E$1,[2]quests!$1:$1,0)-MATCH($C$1,[2]quests!$1:$1,0)+1),MATCH(E$1,[2]quests!$1:$1,0)-MATCH($C$1,[2]quests!$1:$1,0)+1,FALSE)</f>
        <v>季節イベント</v>
      </c>
      <c r="F9" s="21">
        <v>2</v>
      </c>
      <c r="G9" s="23" t="str">
        <f t="shared" si="1"/>
        <v>47006_2</v>
      </c>
      <c r="H9" s="15" t="str">
        <f ca="1">VLOOKUP($G9,OFFSET([2]stages!$A$1,0,0,COUNTA([2]stages!$A:$A),MATCH(H$1,[2]stages!$2:$2,0)-MATCH($G$1,[2]stages!$2:$2,0)+1),MATCH(H$1,[2]stages!$2:$2,0)-MATCH($G$1,[2]stages!$2:$2,0)+1,FALSE)</f>
        <v>【ｳｨｻﾞ】酉の初めはたまごから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zoomScale="75" zoomScaleNormal="75" zoomScalePageLayoutView="75" workbookViewId="0">
      <pane xSplit="17" ySplit="1" topLeftCell="S2" activePane="bottomRight" state="frozen"/>
      <selection pane="topRight" activeCell="N1" sqref="N1"/>
      <selection pane="bottomLeft" activeCell="A2" sqref="A2"/>
      <selection pane="bottomRight" activeCell="AJ8" sqref="AJ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253</v>
      </c>
      <c r="U1" s="26" t="s">
        <v>50</v>
      </c>
      <c r="V1" s="102" t="s">
        <v>254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47006_1-1/1293&lt;lv30&gt;s1</v>
      </c>
      <c r="B2" s="22">
        <v>47006</v>
      </c>
      <c r="C2" s="21">
        <v>1</v>
      </c>
      <c r="D2" s="2" t="str">
        <f t="shared" ref="D2:D7" si="1">B2&amp;"_"&amp;C2</f>
        <v>47006_1</v>
      </c>
      <c r="E2" s="4" t="str">
        <f ca="1">VLOOKUP($B2,OFFSET([2]quests!$A$1,0,0,COUNTA([2]quests!$A:$A),MATCH(E$1,[2]quests!$1:$1,0)-MATCH($B$1,[2]quests!$1:$1,0)+1),MATCH(E$1,[2]quests!$1:$1,0)-MATCH($B$1,[2]quests!$1:$1,0)+1,FALSE)</f>
        <v>酉の初めはたまごから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【超絶】酉の初めはたまごから</v>
      </c>
      <c r="G2" s="21">
        <v>1</v>
      </c>
      <c r="H2" s="15" t="str">
        <f t="shared" ref="H2:H7" si="2">B2&amp;"_"&amp;C2&amp;"-"&amp;G2</f>
        <v>47006_1-1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255</v>
      </c>
      <c r="L2" s="20">
        <v>1293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トトリ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30</v>
      </c>
      <c r="S2" s="25">
        <v>15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755055</v>
      </c>
      <c r="U2" s="25">
        <v>1.7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7854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2" s="61">
        <v>47006000</v>
      </c>
      <c r="Z2" s="6">
        <v>1</v>
      </c>
      <c r="AA2" s="6">
        <v>100</v>
      </c>
      <c r="AB2" s="6">
        <v>1</v>
      </c>
      <c r="AC2" s="17">
        <v>1</v>
      </c>
      <c r="AD2" s="24">
        <f t="shared" ref="AD2:AD7" si="3">L2</f>
        <v>1293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トトリ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t="shared" ref="AI2:AI7" ca="1" si="4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47006_1-2/76&lt;lv30&gt;s2</v>
      </c>
      <c r="B3" s="22">
        <v>47006</v>
      </c>
      <c r="C3" s="21">
        <v>1</v>
      </c>
      <c r="D3" s="2" t="str">
        <f t="shared" si="1"/>
        <v>47006_1</v>
      </c>
      <c r="E3" s="4" t="str">
        <f ca="1">VLOOKUP($B3,OFFSET([2]quests!$A$1,0,0,COUNTA([2]quests!$A:$A),MATCH(E$1,[2]quests!$1:$1,0)-MATCH($B$1,[2]quests!$1:$1,0)+1),MATCH(E$1,[2]quests!$1:$1,0)-MATCH($B$1,[2]quests!$1:$1,0)+1,FALSE)</f>
        <v>酉の初めはたまごから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【超絶】酉の初めはたまごから</v>
      </c>
      <c r="G3" s="21">
        <v>2</v>
      </c>
      <c r="H3" s="15" t="str">
        <f t="shared" si="2"/>
        <v>47006_1-2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76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閃速の伝令者 サンダーバード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30</v>
      </c>
      <c r="S3" s="25">
        <v>2.5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100327.5</v>
      </c>
      <c r="U3" s="25">
        <v>1.2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5664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47006100</v>
      </c>
      <c r="Z3" s="6">
        <v>1</v>
      </c>
      <c r="AA3" s="6">
        <v>100</v>
      </c>
      <c r="AB3" s="6">
        <v>1</v>
      </c>
      <c r="AC3" s="17">
        <v>2</v>
      </c>
      <c r="AD3" s="24">
        <f t="shared" si="3"/>
        <v>76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閃速の伝令者 サンダーバード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47006_1-2/86&lt;lv30&gt;s2</v>
      </c>
      <c r="B4" s="22">
        <v>47006</v>
      </c>
      <c r="C4" s="21">
        <v>1</v>
      </c>
      <c r="D4" s="2" t="str">
        <f t="shared" si="1"/>
        <v>47006_1</v>
      </c>
      <c r="E4" s="4" t="str">
        <f ca="1">VLOOKUP($B4,OFFSET([2]quests!$A$1,0,0,COUNTA([2]quests!$A:$A),MATCH(E$1,[2]quests!$1:$1,0)-MATCH($B$1,[2]quests!$1:$1,0)+1),MATCH(E$1,[2]quests!$1:$1,0)-MATCH($B$1,[2]quests!$1:$1,0)+1,FALSE)</f>
        <v>酉の初めはたまごから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【超絶】酉の初めはたまごから</v>
      </c>
      <c r="G4" s="21">
        <v>2</v>
      </c>
      <c r="H4" s="15" t="str">
        <f t="shared" si="2"/>
        <v>47006_1-2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256</v>
      </c>
      <c r="L4" s="20">
        <v>86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守護者 朱雀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30</v>
      </c>
      <c r="S4" s="25">
        <v>2.5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133087.5</v>
      </c>
      <c r="U4" s="25">
        <v>2.7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7740.9000000000005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たまごが落ちてきた！_x000D_【朱雀に残りHPの10%ダメージ】</v>
      </c>
      <c r="Y4" s="61">
        <v>47006200</v>
      </c>
      <c r="Z4" s="6">
        <v>1</v>
      </c>
      <c r="AA4" s="6">
        <v>100</v>
      </c>
      <c r="AB4" s="6">
        <v>0</v>
      </c>
      <c r="AC4" s="17">
        <v>2</v>
      </c>
      <c r="AD4" s="24">
        <f t="shared" si="3"/>
        <v>86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守護者 朱雀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47006_1-3/188&lt;lv30&gt;s2</v>
      </c>
      <c r="B5" s="22">
        <v>47006</v>
      </c>
      <c r="C5" s="21">
        <v>1</v>
      </c>
      <c r="D5" s="2" t="str">
        <f t="shared" si="1"/>
        <v>47006_1</v>
      </c>
      <c r="E5" s="4" t="str">
        <f ca="1">VLOOKUP($B5,OFFSET([2]quests!$A$1,0,0,COUNTA([2]quests!$A:$A),MATCH(E$1,[2]quests!$1:$1,0)-MATCH($B$1,[2]quests!$1:$1,0)+1),MATCH(E$1,[2]quests!$1:$1,0)-MATCH($B$1,[2]quests!$1:$1,0)+1,FALSE)</f>
        <v>酉の初めはたまごから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【超絶】酉の初めはたまごから</v>
      </c>
      <c r="G5" s="21">
        <v>3</v>
      </c>
      <c r="H5" s="15" t="str">
        <f t="shared" si="2"/>
        <v>47006_1-3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90</v>
      </c>
      <c r="L5" s="20">
        <v>188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猛禽 ホルス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30</v>
      </c>
      <c r="S5" s="25">
        <v>4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160524</v>
      </c>
      <c r="U5" s="25">
        <v>1.5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7080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「ちょっと！たまご投げたのあなた達？」</v>
      </c>
      <c r="Y5" s="4">
        <v>47006300</v>
      </c>
      <c r="Z5" s="6">
        <v>1</v>
      </c>
      <c r="AA5" s="6">
        <v>100</v>
      </c>
      <c r="AB5" s="6">
        <v>1</v>
      </c>
      <c r="AC5" s="17">
        <v>2</v>
      </c>
      <c r="AD5" s="24">
        <f t="shared" si="3"/>
        <v>188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猛禽 ホルス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47006_1-3/403&lt;lv30&gt;s2</v>
      </c>
      <c r="B6" s="22">
        <v>47006</v>
      </c>
      <c r="C6" s="21">
        <v>1</v>
      </c>
      <c r="D6" s="2" t="str">
        <f t="shared" si="1"/>
        <v>47006_1</v>
      </c>
      <c r="E6" s="4" t="str">
        <f ca="1">VLOOKUP($B6,OFFSET([2]quests!$A$1,0,0,COUNTA([2]quests!$A:$A),MATCH(E$1,[2]quests!$1:$1,0)-MATCH($B$1,[2]quests!$1:$1,0)+1),MATCH(E$1,[2]quests!$1:$1,0)-MATCH($B$1,[2]quests!$1:$1,0)+1,FALSE)</f>
        <v>酉の初めはたまごから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【超絶】酉の初めはたまごから</v>
      </c>
      <c r="G6" s="21">
        <v>3</v>
      </c>
      <c r="H6" s="15" t="str">
        <f t="shared" si="2"/>
        <v>47006_1-3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403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静撃の翠眼 八咫烏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30</v>
      </c>
      <c r="S6" s="25">
        <v>4.0999999999999996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171252.9</v>
      </c>
      <c r="U6" s="25">
        <v>1.3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4475.9000000000005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61">
        <v>47006400</v>
      </c>
      <c r="Z6" s="6">
        <v>1</v>
      </c>
      <c r="AA6" s="6">
        <v>100</v>
      </c>
      <c r="AB6" s="6">
        <v>1</v>
      </c>
      <c r="AC6" s="17">
        <v>2</v>
      </c>
      <c r="AD6" s="24">
        <f t="shared" si="3"/>
        <v>403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静撃の翠眼 八咫烏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47006_1-4/1293&lt;lv30&gt;s2</v>
      </c>
      <c r="B7" s="22">
        <v>47006</v>
      </c>
      <c r="C7" s="21">
        <v>1</v>
      </c>
      <c r="D7" s="2" t="str">
        <f t="shared" si="1"/>
        <v>47006_1</v>
      </c>
      <c r="E7" s="4" t="str">
        <f ca="1">VLOOKUP($B7,OFFSET([2]quests!$A$1,0,0,COUNTA([2]quests!$A:$A),MATCH(E$1,[2]quests!$1:$1,0)-MATCH($B$1,[2]quests!$1:$1,0)+1),MATCH(E$1,[2]quests!$1:$1,0)-MATCH($B$1,[2]quests!$1:$1,0)+1,FALSE)</f>
        <v>酉の初めはたまごから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【超絶】酉の初めはたまごから</v>
      </c>
      <c r="G7" s="21">
        <v>4</v>
      </c>
      <c r="H7" s="15" t="str">
        <f t="shared" si="2"/>
        <v>47006_1-4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1293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トトリ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30</v>
      </c>
      <c r="S7" s="25">
        <v>8.3000000000000007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417797.10000000003</v>
      </c>
      <c r="U7" s="25">
        <v>2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9240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「さてはキミ達お年玉泥棒！？」</v>
      </c>
      <c r="Y7" s="4">
        <v>47006500</v>
      </c>
      <c r="Z7" s="6">
        <v>1</v>
      </c>
      <c r="AA7" s="6">
        <v>100</v>
      </c>
      <c r="AB7" s="6">
        <v>1</v>
      </c>
      <c r="AC7" s="17">
        <v>2</v>
      </c>
      <c r="AD7" s="24">
        <f t="shared" si="3"/>
        <v>1293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トトリ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ca="1" si="4"/>
        <v>5</v>
      </c>
      <c r="AJ7" s="8">
        <v>15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ref="A8:A13" si="5">B8&amp;"_"&amp;C8&amp;"-"&amp;G8&amp;"/"&amp;L8&amp;"&lt;lv"&amp;R8&amp;"&gt;s"&amp;AC8</f>
        <v>47006_2-1/1293&lt;lv50&gt;s1</v>
      </c>
      <c r="B8" s="22">
        <v>47006</v>
      </c>
      <c r="C8" s="21">
        <v>2</v>
      </c>
      <c r="D8" s="2" t="str">
        <f t="shared" ref="D8:D13" si="6">B8&amp;"_"&amp;C8</f>
        <v>47006_2</v>
      </c>
      <c r="E8" s="4" t="str">
        <f ca="1">VLOOKUP($B8,OFFSET([2]quests!$A$1,0,0,COUNTA([2]quests!$A:$A),MATCH(E$1,[2]quests!$1:$1,0)-MATCH($B$1,[2]quests!$1:$1,0)+1),MATCH(E$1,[2]quests!$1:$1,0)-MATCH($B$1,[2]quests!$1:$1,0)+1,FALSE)</f>
        <v>酉の初めはたまごから</v>
      </c>
      <c r="F8" s="4" t="str">
        <f ca="1">VLOOKUP($D8,OFFSET([2]stages!$A$1,0,0,COUNTA([2]stages!$A:$A),MATCH(F$1,[2]stages!$2:$2,0)-MATCH($D$1,[2]stages!$2:$2,0)+1),MATCH(F$1,[2]stages!$2:$2,0)-MATCH($D$1,[2]stages!$2:$2,0)+1,FALSE)</f>
        <v>【ｳｨｻﾞ】酉の初めはたまごから</v>
      </c>
      <c r="G8" s="21">
        <v>1</v>
      </c>
      <c r="H8" s="15" t="str">
        <f t="shared" ref="H8:H13" si="7">B8&amp;"_"&amp;C8&amp;"-"&amp;G8</f>
        <v>47006_2-1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1293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トトリ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50</v>
      </c>
      <c r="S8" s="25">
        <v>15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1234455</v>
      </c>
      <c r="U8" s="25">
        <v>1.7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12840.1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表示しない</v>
      </c>
      <c r="Y8" s="61">
        <v>47006000</v>
      </c>
      <c r="Z8" s="6">
        <v>1</v>
      </c>
      <c r="AA8" s="6">
        <v>100</v>
      </c>
      <c r="AB8" s="6">
        <v>1</v>
      </c>
      <c r="AC8" s="17">
        <v>1</v>
      </c>
      <c r="AD8" s="24">
        <f t="shared" ref="AD8:AD13" si="8">L8</f>
        <v>1293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トトリ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7">
        <v>1</v>
      </c>
      <c r="AI8" s="24">
        <f t="shared" ref="AI8:AI13" ca="1" si="9">AF8</f>
        <v>5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5"/>
        <v>47006_2-2/76&lt;lv50&gt;s2</v>
      </c>
      <c r="B9" s="22">
        <v>47006</v>
      </c>
      <c r="C9" s="21">
        <v>2</v>
      </c>
      <c r="D9" s="2" t="str">
        <f t="shared" si="6"/>
        <v>47006_2</v>
      </c>
      <c r="E9" s="4" t="str">
        <f ca="1">VLOOKUP($B9,OFFSET([2]quests!$A$1,0,0,COUNTA([2]quests!$A:$A),MATCH(E$1,[2]quests!$1:$1,0)-MATCH($B$1,[2]quests!$1:$1,0)+1),MATCH(E$1,[2]quests!$1:$1,0)-MATCH($B$1,[2]quests!$1:$1,0)+1,FALSE)</f>
        <v>酉の初めはたまごから</v>
      </c>
      <c r="F9" s="4" t="str">
        <f ca="1">VLOOKUP($D9,OFFSET([2]stages!$A$1,0,0,COUNTA([2]stages!$A:$A),MATCH(F$1,[2]stages!$2:$2,0)-MATCH($D$1,[2]stages!$2:$2,0)+1),MATCH(F$1,[2]stages!$2:$2,0)-MATCH($D$1,[2]stages!$2:$2,0)+1,FALSE)</f>
        <v>【ｳｨｻﾞ】酉の初めはたまごから</v>
      </c>
      <c r="G9" s="21">
        <v>2</v>
      </c>
      <c r="H9" s="15" t="str">
        <f t="shared" si="7"/>
        <v>47006_2-2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76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閃速の伝令者 サンダーバード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50</v>
      </c>
      <c r="S9" s="25">
        <v>2.5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164027.5</v>
      </c>
      <c r="U9" s="25">
        <v>1.2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9259.1999999999989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">
        <v>47006100</v>
      </c>
      <c r="Z9" s="6">
        <v>1</v>
      </c>
      <c r="AA9" s="6">
        <v>100</v>
      </c>
      <c r="AB9" s="6">
        <v>1</v>
      </c>
      <c r="AC9" s="17">
        <v>2</v>
      </c>
      <c r="AD9" s="24">
        <f t="shared" si="8"/>
        <v>76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閃速の伝令者 サンダーバード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ca="1" si="9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5"/>
        <v>47006_2-2/86&lt;lv50&gt;s2</v>
      </c>
      <c r="B10" s="22">
        <v>47006</v>
      </c>
      <c r="C10" s="21">
        <v>2</v>
      </c>
      <c r="D10" s="2" t="str">
        <f t="shared" si="6"/>
        <v>47006_2</v>
      </c>
      <c r="E10" s="4" t="str">
        <f ca="1">VLOOKUP($B10,OFFSET([2]quests!$A$1,0,0,COUNTA([2]quests!$A:$A),MATCH(E$1,[2]quests!$1:$1,0)-MATCH($B$1,[2]quests!$1:$1,0)+1),MATCH(E$1,[2]quests!$1:$1,0)-MATCH($B$1,[2]quests!$1:$1,0)+1,FALSE)</f>
        <v>酉の初めはたまごから</v>
      </c>
      <c r="F10" s="4" t="str">
        <f ca="1">VLOOKUP($D10,OFFSET([2]stages!$A$1,0,0,COUNTA([2]stages!$A:$A),MATCH(F$1,[2]stages!$2:$2,0)-MATCH($D$1,[2]stages!$2:$2,0)+1),MATCH(F$1,[2]stages!$2:$2,0)-MATCH($D$1,[2]stages!$2:$2,0)+1,FALSE)</f>
        <v>【ｳｨｻﾞ】酉の初めはたまごから</v>
      </c>
      <c r="G10" s="21">
        <v>2</v>
      </c>
      <c r="H10" s="15" t="str">
        <f t="shared" si="7"/>
        <v>47006_2-2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86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守護者 朱雀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50</v>
      </c>
      <c r="S10" s="25">
        <v>2.5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217587.5</v>
      </c>
      <c r="U10" s="25">
        <v>2.7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12654.900000000001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たまごが落ちてきた！_x000D_【朱雀に残りHPの10%ダメージ】</v>
      </c>
      <c r="Y10" s="61">
        <v>47006200</v>
      </c>
      <c r="Z10" s="6">
        <v>1</v>
      </c>
      <c r="AA10" s="6">
        <v>100</v>
      </c>
      <c r="AB10" s="6">
        <v>0</v>
      </c>
      <c r="AC10" s="17">
        <v>2</v>
      </c>
      <c r="AD10" s="24">
        <f t="shared" si="8"/>
        <v>86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守護者 朱雀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9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5"/>
        <v>47006_2-3/188&lt;lv50&gt;s2</v>
      </c>
      <c r="B11" s="22">
        <v>47006</v>
      </c>
      <c r="C11" s="21">
        <v>2</v>
      </c>
      <c r="D11" s="2" t="str">
        <f t="shared" si="6"/>
        <v>47006_2</v>
      </c>
      <c r="E11" s="4" t="str">
        <f ca="1">VLOOKUP($B11,OFFSET([2]quests!$A$1,0,0,COUNTA([2]quests!$A:$A),MATCH(E$1,[2]quests!$1:$1,0)-MATCH($B$1,[2]quests!$1:$1,0)+1),MATCH(E$1,[2]quests!$1:$1,0)-MATCH($B$1,[2]quests!$1:$1,0)+1,FALSE)</f>
        <v>酉の初めはたまごから</v>
      </c>
      <c r="F11" s="4" t="str">
        <f ca="1">VLOOKUP($D11,OFFSET([2]stages!$A$1,0,0,COUNTA([2]stages!$A:$A),MATCH(F$1,[2]stages!$2:$2,0)-MATCH($D$1,[2]stages!$2:$2,0)+1),MATCH(F$1,[2]stages!$2:$2,0)-MATCH($D$1,[2]stages!$2:$2,0)+1,FALSE)</f>
        <v>【ｳｨｻﾞ】酉の初めはたまごから</v>
      </c>
      <c r="G11" s="21">
        <v>3</v>
      </c>
      <c r="H11" s="15" t="str">
        <f t="shared" si="7"/>
        <v>47006_2-3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90</v>
      </c>
      <c r="L11" s="20">
        <v>188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猛禽 ホルス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30</v>
      </c>
      <c r="R11" s="5">
        <v>50</v>
      </c>
      <c r="S11" s="25">
        <v>4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262444</v>
      </c>
      <c r="U11" s="25">
        <v>1.5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11574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「ちょっと！たまご投げたのあなた達？」</v>
      </c>
      <c r="Y11" s="4">
        <v>47006300</v>
      </c>
      <c r="Z11" s="6">
        <v>1</v>
      </c>
      <c r="AA11" s="6">
        <v>100</v>
      </c>
      <c r="AB11" s="6">
        <v>1</v>
      </c>
      <c r="AC11" s="17">
        <v>2</v>
      </c>
      <c r="AD11" s="24">
        <f t="shared" si="8"/>
        <v>188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猛禽 ホルス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11" s="7">
        <v>1</v>
      </c>
      <c r="AI11" s="24">
        <f t="shared" ca="1" si="9"/>
        <v>4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5"/>
        <v>47006_2-3/403&lt;lv50&gt;s2</v>
      </c>
      <c r="B12" s="22">
        <v>47006</v>
      </c>
      <c r="C12" s="21">
        <v>2</v>
      </c>
      <c r="D12" s="2" t="str">
        <f t="shared" si="6"/>
        <v>47006_2</v>
      </c>
      <c r="E12" s="4" t="str">
        <f ca="1">VLOOKUP($B12,OFFSET([2]quests!$A$1,0,0,COUNTA([2]quests!$A:$A),MATCH(E$1,[2]quests!$1:$1,0)-MATCH($B$1,[2]quests!$1:$1,0)+1),MATCH(E$1,[2]quests!$1:$1,0)-MATCH($B$1,[2]quests!$1:$1,0)+1,FALSE)</f>
        <v>酉の初めはたまごから</v>
      </c>
      <c r="F12" s="4" t="str">
        <f ca="1">VLOOKUP($D12,OFFSET([2]stages!$A$1,0,0,COUNTA([2]stages!$A:$A),MATCH(F$1,[2]stages!$2:$2,0)-MATCH($D$1,[2]stages!$2:$2,0)+1),MATCH(F$1,[2]stages!$2:$2,0)-MATCH($D$1,[2]stages!$2:$2,0)+1,FALSE)</f>
        <v>【ｳｨｻﾞ】酉の初めはたまごから</v>
      </c>
      <c r="G12" s="21">
        <v>3</v>
      </c>
      <c r="H12" s="15" t="str">
        <f t="shared" si="7"/>
        <v>47006_2-3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403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静撃の翠眼 八咫烏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50</v>
      </c>
      <c r="S12" s="25">
        <v>4.0999999999999996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279984.89999999997</v>
      </c>
      <c r="U12" s="25">
        <v>1.3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7317.7</v>
      </c>
      <c r="W12" s="5">
        <v>0</v>
      </c>
      <c r="X12" s="4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2" s="61">
        <v>47006400</v>
      </c>
      <c r="Z12" s="6">
        <v>1</v>
      </c>
      <c r="AA12" s="6">
        <v>100</v>
      </c>
      <c r="AB12" s="6">
        <v>1</v>
      </c>
      <c r="AC12" s="17">
        <v>2</v>
      </c>
      <c r="AD12" s="24">
        <f t="shared" si="8"/>
        <v>403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静撃の翠眼 八咫烏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2" s="7">
        <v>1</v>
      </c>
      <c r="AI12" s="24">
        <f t="shared" ca="1" si="9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5"/>
        <v>47006_2-4/1293&lt;lv50&gt;s2</v>
      </c>
      <c r="B13" s="22">
        <v>47006</v>
      </c>
      <c r="C13" s="21">
        <v>2</v>
      </c>
      <c r="D13" s="2" t="str">
        <f t="shared" si="6"/>
        <v>47006_2</v>
      </c>
      <c r="E13" s="4" t="str">
        <f ca="1">VLOOKUP($B13,OFFSET([2]quests!$A$1,0,0,COUNTA([2]quests!$A:$A),MATCH(E$1,[2]quests!$1:$1,0)-MATCH($B$1,[2]quests!$1:$1,0)+1),MATCH(E$1,[2]quests!$1:$1,0)-MATCH($B$1,[2]quests!$1:$1,0)+1,FALSE)</f>
        <v>酉の初めはたまごから</v>
      </c>
      <c r="F13" s="4" t="str">
        <f ca="1">VLOOKUP($D13,OFFSET([2]stages!$A$1,0,0,COUNTA([2]stages!$A:$A),MATCH(F$1,[2]stages!$2:$2,0)-MATCH($D$1,[2]stages!$2:$2,0)+1),MATCH(F$1,[2]stages!$2:$2,0)-MATCH($D$1,[2]stages!$2:$2,0)+1,FALSE)</f>
        <v>【ｳｨｻﾞ】酉の初めはたまごから</v>
      </c>
      <c r="G13" s="21">
        <v>4</v>
      </c>
      <c r="H13" s="15" t="str">
        <f t="shared" si="7"/>
        <v>47006_2-4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1</v>
      </c>
      <c r="L13" s="20">
        <v>1293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トトリ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50</v>
      </c>
      <c r="S13" s="25">
        <v>8.3000000000000007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683065.10000000009</v>
      </c>
      <c r="U13" s="25">
        <v>2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15106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「さてはキミ達お年玉泥棒！？」</v>
      </c>
      <c r="Y13" s="4">
        <v>47006500</v>
      </c>
      <c r="Z13" s="6">
        <v>1</v>
      </c>
      <c r="AA13" s="6">
        <v>100</v>
      </c>
      <c r="AB13" s="6">
        <v>1</v>
      </c>
      <c r="AC13" s="17">
        <v>2</v>
      </c>
      <c r="AD13" s="24">
        <f t="shared" si="8"/>
        <v>1293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トトリ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9"/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B2" sqref="B2:B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253</v>
      </c>
      <c r="V1" s="26" t="s">
        <v>50</v>
      </c>
      <c r="W1" s="102" t="s">
        <v>254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47006_1-4/1294&lt;lv30&gt;sq1st2</v>
      </c>
      <c r="B2" s="22">
        <v>47006</v>
      </c>
      <c r="C2" s="21">
        <v>1</v>
      </c>
      <c r="D2" s="2" t="str">
        <f>B2&amp;"_"&amp;C2</f>
        <v>47006_1</v>
      </c>
      <c r="E2" s="4" t="str">
        <f ca="1">VLOOKUP($B2,OFFSET([2]quests!$A$1,0,0,COUNTA([2]quests!$A:$A),MATCH(E$1,[2]quests!$1:$1,0)-MATCH($B$1,[2]quests!$1:$1,0)+1),MATCH(E$1,[2]quests!$1:$1,0)-MATCH($B$1,[2]quests!$1:$1,0)+1,FALSE)</f>
        <v>酉の初めはたまごから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【超絶】酉の初めはたまごから</v>
      </c>
      <c r="G2" s="21">
        <v>4</v>
      </c>
      <c r="H2" s="15" t="str">
        <f>B2&amp;"_"&amp;C2&amp;"-"&amp;G2</f>
        <v>47006_1-4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1294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酉賀なる初飛翔 トトリ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30</v>
      </c>
      <c r="T2" s="25">
        <v>8.9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447999.30000000005</v>
      </c>
      <c r="V2" s="25">
        <v>2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9240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47006600</v>
      </c>
      <c r="AA2" s="70">
        <v>2</v>
      </c>
    </row>
    <row r="3" spans="1:27" ht="21" customHeight="1" x14ac:dyDescent="0.15">
      <c r="A3" s="16" t="str">
        <f>B3&amp;"_"&amp;C3&amp;"-"&amp;G3&amp;"/"&amp;M3&amp;"&lt;lv"&amp;S3&amp;"&gt;sq"&amp;K3&amp;"st"&amp;L3</f>
        <v>47006_1-4/1294&lt;lv30&gt;sq1st3</v>
      </c>
      <c r="B3" s="22">
        <v>47006</v>
      </c>
      <c r="C3" s="21">
        <v>1</v>
      </c>
      <c r="D3" s="2" t="str">
        <f>B3&amp;"_"&amp;C3</f>
        <v>47006_1</v>
      </c>
      <c r="E3" s="4" t="str">
        <f ca="1">VLOOKUP($B3,OFFSET([2]quests!$A$1,0,0,COUNTA([2]quests!$A:$A),MATCH(E$1,[2]quests!$1:$1,0)-MATCH($B$1,[2]quests!$1:$1,0)+1),MATCH(E$1,[2]quests!$1:$1,0)-MATCH($B$1,[2]quests!$1:$1,0)+1,FALSE)</f>
        <v>酉の初めはたまごから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【超絶】酉の初めはたまごから</v>
      </c>
      <c r="G3" s="21">
        <v>4</v>
      </c>
      <c r="H3" s="15" t="str">
        <f>B3&amp;"_"&amp;C3&amp;"-"&amp;G3</f>
        <v>47006_1-4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3</v>
      </c>
      <c r="M3" s="20">
        <v>1294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酉賀なる初飛翔 トトリ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30</v>
      </c>
      <c r="T3" s="25">
        <v>8.9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447999.30000000005</v>
      </c>
      <c r="V3" s="25">
        <v>2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9240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47006700</v>
      </c>
      <c r="AA3" s="70">
        <v>2</v>
      </c>
    </row>
    <row r="4" spans="1:27" ht="21" customHeight="1" x14ac:dyDescent="0.15">
      <c r="A4" s="16" t="str">
        <f>B4&amp;"_"&amp;C4&amp;"-"&amp;G4&amp;"/"&amp;M4&amp;"&lt;lv"&amp;S4&amp;"&gt;sq"&amp;K4&amp;"st"&amp;L4</f>
        <v>47006_2-4/1294&lt;lv50&gt;sq1st2</v>
      </c>
      <c r="B4" s="22">
        <v>47006</v>
      </c>
      <c r="C4" s="21">
        <v>2</v>
      </c>
      <c r="D4" s="2" t="str">
        <f>B4&amp;"_"&amp;C4</f>
        <v>47006_2</v>
      </c>
      <c r="E4" s="4" t="str">
        <f ca="1">VLOOKUP($B4,OFFSET([2]quests!$A$1,0,0,COUNTA([2]quests!$A:$A),MATCH(E$1,[2]quests!$1:$1,0)-MATCH($B$1,[2]quests!$1:$1,0)+1),MATCH(E$1,[2]quests!$1:$1,0)-MATCH($B$1,[2]quests!$1:$1,0)+1,FALSE)</f>
        <v>酉の初めはたまごから</v>
      </c>
      <c r="F4" s="4" t="str">
        <f ca="1">VLOOKUP($D4,OFFSET([2]stages!$A$1,0,0,COUNTA([2]stages!$A:$A),MATCH(F$1,[2]stages!$2:$2,0)-MATCH($D$1,[2]stages!$2:$2,0)+1),MATCH(F$1,[2]stages!$2:$2,0)-MATCH($D$1,[2]stages!$2:$2,0)+1,FALSE)</f>
        <v>【ｳｨｻﾞ】酉の初めはたまごから</v>
      </c>
      <c r="G4" s="21">
        <v>4</v>
      </c>
      <c r="H4" s="15" t="str">
        <f>B4&amp;"_"&amp;C4&amp;"-"&amp;G4</f>
        <v>47006_2-4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1294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酉賀なる初飛翔 トトリ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50</v>
      </c>
      <c r="T4" s="25">
        <v>8.9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732443.3</v>
      </c>
      <c r="V4" s="25">
        <v>2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15106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47006600</v>
      </c>
      <c r="AA4" s="70">
        <v>2</v>
      </c>
    </row>
    <row r="5" spans="1:27" ht="21" customHeight="1" x14ac:dyDescent="0.15">
      <c r="A5" s="16" t="str">
        <f>B5&amp;"_"&amp;C5&amp;"-"&amp;G5&amp;"/"&amp;M5&amp;"&lt;lv"&amp;S5&amp;"&gt;sq"&amp;K5&amp;"st"&amp;L5</f>
        <v>47006_2-4/1294&lt;lv50&gt;sq1st3</v>
      </c>
      <c r="B5" s="22">
        <v>47006</v>
      </c>
      <c r="C5" s="21">
        <v>2</v>
      </c>
      <c r="D5" s="2" t="str">
        <f>B5&amp;"_"&amp;C5</f>
        <v>47006_2</v>
      </c>
      <c r="E5" s="4" t="str">
        <f ca="1">VLOOKUP($B5,OFFSET([2]quests!$A$1,0,0,COUNTA([2]quests!$A:$A),MATCH(E$1,[2]quests!$1:$1,0)-MATCH($B$1,[2]quests!$1:$1,0)+1),MATCH(E$1,[2]quests!$1:$1,0)-MATCH($B$1,[2]quests!$1:$1,0)+1,FALSE)</f>
        <v>酉の初めはたまごから</v>
      </c>
      <c r="F5" s="4" t="str">
        <f ca="1">VLOOKUP($D5,OFFSET([2]stages!$A$1,0,0,COUNTA([2]stages!$A:$A),MATCH(F$1,[2]stages!$2:$2,0)-MATCH($D$1,[2]stages!$2:$2,0)+1),MATCH(F$1,[2]stages!$2:$2,0)-MATCH($D$1,[2]stages!$2:$2,0)+1,FALSE)</f>
        <v>【ｳｨｻﾞ】酉の初めはたまごから</v>
      </c>
      <c r="G5" s="21">
        <v>4</v>
      </c>
      <c r="H5" s="15" t="str">
        <f>B5&amp;"_"&amp;C5&amp;"-"&amp;G5</f>
        <v>47006_2-4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3</v>
      </c>
      <c r="M5" s="20">
        <v>1294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酉賀なる初飛翔 トトリ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50</v>
      </c>
      <c r="T5" s="25">
        <v>8.9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732443.3</v>
      </c>
      <c r="V5" s="25">
        <v>2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15106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">
        <v>47006700</v>
      </c>
      <c r="AA5" s="70">
        <v>2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56" sqref="F56:F6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47006000_47006000</v>
      </c>
      <c r="B2" s="105">
        <v>47006000</v>
      </c>
      <c r="C2" s="105">
        <v>47006000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10個…20個……うんっ！たまごの準備はOK！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2" s="105">
        <v>47006000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" si="1">B3&amp;"_"&amp;C3</f>
        <v>47006000_47006001</v>
      </c>
      <c r="B3" s="105">
        <v>47006000</v>
      </c>
      <c r="C3" s="105">
        <v>47006001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よーしっ！みんなに届けに行くよ！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トトリがたまごを落として行った！_x000D_【確率でボム&amp;低確率でCパネルがドロップ！】</v>
      </c>
      <c r="F3" s="105">
        <v>47006001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47006100_47006100</v>
      </c>
      <c r="B4" s="108">
        <v>47006100</v>
      </c>
      <c r="C4" s="108">
        <v>47006100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………ッ！ギャース！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たまごが落ちてきた！_x000D_【サンダーバードに残りHPの10%ダメージ】</v>
      </c>
      <c r="F4" s="108">
        <v>47006100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47006100_47006101</v>
      </c>
      <c r="B5" s="108">
        <v>47006100</v>
      </c>
      <c r="C5" s="108">
        <v>47006101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エレクトロ・ウィング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ランダムで黄の時限式ダメージパネルに最大5個変換+_x000D_単体攻撃</v>
      </c>
      <c r="F5" s="108">
        <v>47006101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:A13" si="2">B6&amp;"_"&amp;C6</f>
        <v>47006200_47006200</v>
      </c>
      <c r="B6" s="111">
        <v>47006200</v>
      </c>
      <c r="C6" s="111">
        <v>47006200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…うん？…ぐはっ！？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たまごが落ちてきた！_x000D_【朱雀に残りHPの10%ダメージ】</v>
      </c>
      <c r="F6" s="111">
        <v>47006200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47006200_47006201</v>
      </c>
      <c r="B7" s="111">
        <v>47006200</v>
      </c>
      <c r="C7" s="111">
        <v>47006201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許さんぞ！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自身の攻撃力大UP</v>
      </c>
      <c r="F7" s="111">
        <v>47006201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47006200_47006202</v>
      </c>
      <c r="B8" s="111">
        <v>47006200</v>
      </c>
      <c r="C8" s="111">
        <v>47006202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貴様らっ！_x000D_いきなり何をする！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" s="111">
        <v>47006202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3">B9&amp;"_"&amp;C9</f>
        <v>47006200_47006203</v>
      </c>
      <c r="B9" s="111">
        <v>47006200</v>
      </c>
      <c r="C9" s="111">
        <v>47006203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朱雀奥義「焦土」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111">
        <v>47006203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11" si="4">B10&amp;"_"&amp;C10</f>
        <v>47006300_47006300</v>
      </c>
      <c r="B10" s="114">
        <v>47006300</v>
      </c>
      <c r="C10" s="114">
        <v>47006300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…っ！危ないっ！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「ちょっと！たまご投げたのあなた達？」</v>
      </c>
      <c r="F10" s="114">
        <v>47006300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4"/>
        <v>47006300_47006301</v>
      </c>
      <c r="B11" s="114">
        <v>47006300</v>
      </c>
      <c r="C11" s="114">
        <v>47006301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危ないことは止めなさい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HPが少なくなるほど強くなる全体攻撃</v>
      </c>
      <c r="F11" s="114">
        <v>47006301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75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2"/>
        <v>47006300_47006302</v>
      </c>
      <c r="B12" s="114">
        <v>47006300</v>
      </c>
      <c r="C12" s="114">
        <v>47006302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謝るなら今のうちよ！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HPが少なくなるほど強くなる全体攻撃</v>
      </c>
      <c r="F12" s="114">
        <v>47006302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47006300_47006303</v>
      </c>
      <c r="B13" s="114">
        <v>47006300</v>
      </c>
      <c r="C13" s="114">
        <v>47006303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もう勝ったつもり！？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HPが少なくなるほど強くなる全体攻撃</v>
      </c>
      <c r="F13" s="114">
        <v>47006303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:A26" si="5">B14&amp;"_"&amp;C14</f>
        <v>47006300_47006304</v>
      </c>
      <c r="B14" s="114">
        <v>47006300</v>
      </c>
      <c r="C14" s="114">
        <v>47006304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切り札はまだあるわ！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HPが少なくなるほど強くなる全体攻撃</v>
      </c>
      <c r="F14" s="114">
        <v>47006304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5"/>
        <v>47006300_47006305</v>
      </c>
      <c r="B15" s="114">
        <v>47006300</v>
      </c>
      <c r="C15" s="114">
        <v>47006305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一気にカタをつけるわよ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残りHPの50%消費+自身の行動頻度UP</v>
      </c>
      <c r="F15" s="114">
        <v>47006305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403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5"/>
        <v>47006400_47006400</v>
      </c>
      <c r="B16" s="117">
        <v>47006400</v>
      </c>
      <c r="C16" s="117">
        <v>47006400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…天界からの刺客ね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「後悔させてあげるわ！」</v>
      </c>
      <c r="F16" s="117">
        <v>47006400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5"/>
        <v>47006400_47006401</v>
      </c>
      <c r="B17" s="117">
        <v>47006400</v>
      </c>
      <c r="C17" s="117">
        <v>47006401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殲滅ティラトーレシェルト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カウンター状態のユニットに大ダメージ</v>
      </c>
      <c r="F17" s="117">
        <v>47006401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5"/>
        <v>47006400_47006402</v>
      </c>
      <c r="B18" s="117">
        <v>47006400</v>
      </c>
      <c r="C18" s="117">
        <v>47006402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奪力の魔眼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3ターンCパネル生成延長(効果特大)</v>
      </c>
      <c r="F18" s="117">
        <v>47006402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" si="6">B19&amp;"_"&amp;C19</f>
        <v>47006400_47006403</v>
      </c>
      <c r="B19" s="117">
        <v>47006400</v>
      </c>
      <c r="C19" s="117">
        <v>47006403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終焉の眼を開く時が来たわ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自身の攻撃力大UP</v>
      </c>
      <c r="F19" s="117">
        <v>47006403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188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5"/>
        <v>47006500_47006500</v>
      </c>
      <c r="B20" s="105">
        <v>47006500</v>
      </c>
      <c r="C20" s="105">
        <v>47006500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ああぁ！そのたまご！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「さてはキミ達お年玉泥棒！？」</v>
      </c>
      <c r="F20" s="105">
        <v>47006500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5"/>
        <v>47006500_47006501</v>
      </c>
      <c r="B21" s="105">
        <v>47006500</v>
      </c>
      <c r="C21" s="105">
        <v>47006501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え？あたしが落とした？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1" s="105">
        <v>47006501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5"/>
        <v>47006500_47006502</v>
      </c>
      <c r="B22" s="105">
        <v>47006500</v>
      </c>
      <c r="C22" s="105">
        <v>47006502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ピヨちゃん達！やっちゃって！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2" s="105">
        <v>47006502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5"/>
        <v>47006500_47006503</v>
      </c>
      <c r="B23" s="105">
        <v>47006500</v>
      </c>
      <c r="C23" s="105">
        <v>47006503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「あれ？これだけ…」_x000D_【ランダムに威力の変わる全体攻撃】</v>
      </c>
      <c r="F23" s="105">
        <v>47006503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23" s="47"/>
      <c r="Q23" s="47"/>
      <c r="R23" s="47"/>
    </row>
    <row r="24" spans="1:18" ht="21" customHeight="1" x14ac:dyDescent="0.15">
      <c r="A24" s="39" t="str">
        <f t="shared" si="5"/>
        <v>47006500_47006504</v>
      </c>
      <c r="B24" s="105">
        <v>47006500</v>
      </c>
      <c r="C24" s="105">
        <v>47006504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ランダムに威力の変わる全体攻撃</v>
      </c>
      <c r="F24" s="105">
        <v>47006504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4" s="47"/>
      <c r="Q24" s="47"/>
      <c r="R24" s="47"/>
    </row>
    <row r="25" spans="1:18" ht="21" customHeight="1" x14ac:dyDescent="0.15">
      <c r="A25" s="39" t="str">
        <f t="shared" si="5"/>
        <v>47006500_47006505</v>
      </c>
      <c r="B25" s="105">
        <v>47006500</v>
      </c>
      <c r="C25" s="105">
        <v>47006505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ランダムに威力の変わる全体攻撃</v>
      </c>
      <c r="F25" s="105">
        <v>47006505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5" s="47"/>
      <c r="Q25" s="47"/>
      <c r="R25" s="47"/>
    </row>
    <row r="26" spans="1:18" ht="21" customHeight="1" x14ac:dyDescent="0.15">
      <c r="A26" s="39" t="str">
        <f t="shared" si="5"/>
        <v>47006500_47006506</v>
      </c>
      <c r="B26" s="105">
        <v>47006500</v>
      </c>
      <c r="C26" s="105">
        <v>47006506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「うわぁ！いっぱい入ってた！」_x000D_【ランダムに威力の変わる全体攻撃】</v>
      </c>
      <c r="F26" s="105">
        <v>47006506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:A52" si="7">B27&amp;"_"&amp;C27</f>
        <v>47006500_47006507</v>
      </c>
      <c r="B27" s="105">
        <v>47006500</v>
      </c>
      <c r="C27" s="105">
        <v>47006507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たまごおみくじ〜♪えいっ！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ランダムで赤のダメージパネルに最大5個変換+行動頻度UP</v>
      </c>
      <c r="F27" s="105">
        <v>47006507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27" s="47"/>
      <c r="Q27" s="47"/>
      <c r="R27" s="47"/>
    </row>
    <row r="28" spans="1:18" ht="21" customHeight="1" x14ac:dyDescent="0.15">
      <c r="A28" s="39" t="str">
        <f t="shared" si="7"/>
        <v>47006500_47006508</v>
      </c>
      <c r="B28" s="105">
        <v>47006500</v>
      </c>
      <c r="C28" s="105">
        <v>47006508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たまごおみくじ〜♪えいっ！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ランダムでお邪魔パネルに最大10個変換+行動頻度UP</v>
      </c>
      <c r="F28" s="105">
        <v>47006508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18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18</v>
      </c>
      <c r="P28" s="47"/>
      <c r="Q28" s="47"/>
      <c r="R28" s="47"/>
    </row>
    <row r="29" spans="1:18" ht="21" customHeight="1" x14ac:dyDescent="0.15">
      <c r="A29" s="39" t="str">
        <f t="shared" si="7"/>
        <v>47006500_47006509</v>
      </c>
      <c r="B29" s="105">
        <v>47006500</v>
      </c>
      <c r="C29" s="105">
        <v>47006509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たまごおみくじ〜♪えいっ！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ランダムで時限式ダメージパネルに最大10個変換+_x000D_行動頻度UP</v>
      </c>
      <c r="F29" s="105">
        <v>47006509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21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21</v>
      </c>
      <c r="P29" s="47"/>
      <c r="Q29" s="47"/>
      <c r="R29" s="47"/>
    </row>
    <row r="30" spans="1:18" ht="21" customHeight="1" x14ac:dyDescent="0.15">
      <c r="A30" s="39" t="str">
        <f t="shared" si="7"/>
        <v>47006500_47006510</v>
      </c>
      <c r="B30" s="105">
        <v>47006500</v>
      </c>
      <c r="C30" s="105">
        <v>47006510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たまごおみくじ〜♪えいっ！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ランダムでボムパネルに最大10個変換+行動頻度UP</v>
      </c>
      <c r="F30" s="105">
        <v>47006510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27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27</v>
      </c>
      <c r="P30" s="47"/>
      <c r="Q30" s="47"/>
      <c r="R30" s="47"/>
    </row>
    <row r="31" spans="1:18" ht="21" customHeight="1" x14ac:dyDescent="0.15">
      <c r="A31" s="39" t="str">
        <f t="shared" si="7"/>
        <v>47006500_47006511</v>
      </c>
      <c r="B31" s="105">
        <v>47006500</v>
      </c>
      <c r="C31" s="105">
        <v>47006511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たまごおみくじ〜♪えいっ！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ランダムでCBPに最大3個変換+行動頻度UP</v>
      </c>
      <c r="F31" s="105">
        <v>47006511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37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37</v>
      </c>
      <c r="P31" s="47"/>
      <c r="Q31" s="47"/>
      <c r="R31" s="47"/>
    </row>
    <row r="32" spans="1:18" ht="21" customHeight="1" x14ac:dyDescent="0.15">
      <c r="A32" s="39" t="str">
        <f t="shared" si="7"/>
        <v>47006500_47006512</v>
      </c>
      <c r="B32" s="105">
        <v>47006500</v>
      </c>
      <c r="C32" s="105">
        <v>47006512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たまごおみくじ〜♪えいっ！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ランダムでCPに最大10個変換+行動頻度UP</v>
      </c>
      <c r="F32" s="105">
        <v>47006512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2" s="47"/>
      <c r="Q32" s="47"/>
      <c r="R32" s="47"/>
    </row>
    <row r="33" spans="1:18" ht="21" customHeight="1" x14ac:dyDescent="0.15">
      <c r="A33" s="39" t="str">
        <f t="shared" ref="A33" si="8">B33&amp;"_"&amp;C33</f>
        <v>47006500_47006513</v>
      </c>
      <c r="B33" s="105">
        <v>47006500</v>
      </c>
      <c r="C33" s="105">
        <v>47006513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たまごおみくじ〜♪えいっ！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ランダムでSCPに最大5個変換+行動頻度UP</v>
      </c>
      <c r="F33" s="105">
        <v>47006513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7"/>
        <v>47006600_47006600</v>
      </c>
      <c r="B34" s="108">
        <v>47006600</v>
      </c>
      <c r="C34" s="108">
        <v>47006600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泥棒さんにはこれ！たまご爆弾！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低確率で黄以外の時限式ダメージパネルをドロップ</v>
      </c>
      <c r="F34" s="108">
        <v>47006600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7"/>
        <v>47006600_47006601</v>
      </c>
      <c r="B35" s="108">
        <v>47006600</v>
      </c>
      <c r="C35" s="108">
        <v>47006601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「もう少し欲しいなぁ…」_x000D_【ランダムに威力の変わる全体攻撃】</v>
      </c>
      <c r="F35" s="108">
        <v>47006601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35" s="47"/>
      <c r="Q35" s="47"/>
      <c r="R35" s="47"/>
    </row>
    <row r="36" spans="1:18" ht="21" customHeight="1" x14ac:dyDescent="0.15">
      <c r="A36" s="39" t="str">
        <f t="shared" si="7"/>
        <v>47006600_47006602</v>
      </c>
      <c r="B36" s="108">
        <v>47006600</v>
      </c>
      <c r="C36" s="108">
        <v>47006602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ランダムに威力の変わる全体攻撃</v>
      </c>
      <c r="F36" s="108">
        <v>47006602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6" s="47"/>
      <c r="Q36" s="47"/>
      <c r="R36" s="47"/>
    </row>
    <row r="37" spans="1:18" ht="21" customHeight="1" x14ac:dyDescent="0.15">
      <c r="A37" s="39" t="str">
        <f t="shared" si="7"/>
        <v>47006600_47006603</v>
      </c>
      <c r="B37" s="108">
        <v>47006600</v>
      </c>
      <c r="C37" s="108">
        <v>47006603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ランダムに威力の変わる全体攻撃</v>
      </c>
      <c r="F37" s="108">
        <v>47006603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7" s="47"/>
      <c r="Q37" s="47"/>
      <c r="R37" s="47"/>
    </row>
    <row r="38" spans="1:18" ht="21" customHeight="1" x14ac:dyDescent="0.15">
      <c r="A38" s="39" t="str">
        <f t="shared" si="7"/>
        <v>47006600_47006604</v>
      </c>
      <c r="B38" s="108">
        <v>47006600</v>
      </c>
      <c r="C38" s="108">
        <v>47006604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「出しすぎちゃった…」_x000D_【ランダムに威力の変わる全体攻撃】</v>
      </c>
      <c r="F38" s="108">
        <v>47006604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7"/>
        <v>47006600_47006605</v>
      </c>
      <c r="B39" s="108">
        <v>47006600</v>
      </c>
      <c r="C39" s="108">
        <v>47006605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さっきのは無し無し！今度こそ、えいっ！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ランダムで赤のダメージパネルに最大5個変換+行動頻度UP</v>
      </c>
      <c r="F39" s="108">
        <v>47006605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39" s="47"/>
      <c r="Q39" s="47"/>
      <c r="R39" s="47"/>
    </row>
    <row r="40" spans="1:18" ht="21" customHeight="1" x14ac:dyDescent="0.15">
      <c r="A40" s="39" t="str">
        <f t="shared" si="7"/>
        <v>47006600_47006606</v>
      </c>
      <c r="B40" s="108">
        <v>47006600</v>
      </c>
      <c r="C40" s="108">
        <v>47006606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さっきのは無し無し！今度こそ、えいっ！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ランダムでお邪魔パネルに最大10個変換+行動頻度UP</v>
      </c>
      <c r="F40" s="108">
        <v>47006606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18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18</v>
      </c>
      <c r="P40" s="47"/>
      <c r="Q40" s="47"/>
      <c r="R40" s="47"/>
    </row>
    <row r="41" spans="1:18" ht="21" customHeight="1" x14ac:dyDescent="0.15">
      <c r="A41" s="39" t="str">
        <f t="shared" si="7"/>
        <v>47006600_47006607</v>
      </c>
      <c r="B41" s="108">
        <v>47006600</v>
      </c>
      <c r="C41" s="108">
        <v>47006607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さっきのは無し無し！今度こそ、えいっ！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ランダムで時限式ダメージパネルに最大10個変換+_x000D_行動頻度UP</v>
      </c>
      <c r="F41" s="108">
        <v>47006607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21</v>
      </c>
      <c r="J41" s="48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21</v>
      </c>
      <c r="P41" s="47"/>
      <c r="Q41" s="47"/>
      <c r="R41" s="47"/>
    </row>
    <row r="42" spans="1:18" ht="21" customHeight="1" x14ac:dyDescent="0.15">
      <c r="A42" s="39" t="str">
        <f t="shared" si="7"/>
        <v>47006600_47006608</v>
      </c>
      <c r="B42" s="108">
        <v>47006600</v>
      </c>
      <c r="C42" s="108">
        <v>47006608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さっきのは無し無し！今度こそ、えいっ！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ランダムでボムパネルに最大10個変換+行動頻度UP</v>
      </c>
      <c r="F42" s="108">
        <v>47006608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27</v>
      </c>
      <c r="J42" s="48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27</v>
      </c>
      <c r="P42" s="47"/>
      <c r="Q42" s="47"/>
      <c r="R42" s="47"/>
    </row>
    <row r="43" spans="1:18" ht="21" customHeight="1" x14ac:dyDescent="0.15">
      <c r="A43" s="39" t="str">
        <f t="shared" si="7"/>
        <v>47006600_47006609</v>
      </c>
      <c r="B43" s="108">
        <v>47006600</v>
      </c>
      <c r="C43" s="108">
        <v>47006609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さっきのは無し無し！今度こそ、えいっ！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ランダムでCBPに最大3個変換+行動頻度UP</v>
      </c>
      <c r="F43" s="108">
        <v>47006609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37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37</v>
      </c>
      <c r="P43" s="47"/>
      <c r="Q43" s="47"/>
      <c r="R43" s="47"/>
    </row>
    <row r="44" spans="1:18" ht="21" customHeight="1" x14ac:dyDescent="0.15">
      <c r="A44" s="39" t="str">
        <f t="shared" si="7"/>
        <v>47006600_47006610</v>
      </c>
      <c r="B44" s="108">
        <v>47006600</v>
      </c>
      <c r="C44" s="108">
        <v>47006610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さっきのは無し無し！今度こそ、えいっ！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ランダムでCPに最大10個変換+行動頻度UP</v>
      </c>
      <c r="F44" s="108">
        <v>47006610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4" s="47"/>
      <c r="Q44" s="47"/>
      <c r="R44" s="47"/>
    </row>
    <row r="45" spans="1:18" ht="21" customHeight="1" x14ac:dyDescent="0.15">
      <c r="A45" s="39" t="str">
        <f t="shared" si="7"/>
        <v>47006600_47006611</v>
      </c>
      <c r="B45" s="108">
        <v>47006600</v>
      </c>
      <c r="C45" s="108">
        <v>47006611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さっきのは無し無し！今度こそ、えいっ！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ランダムでSCPに最大5個変換+行動頻度UP</v>
      </c>
      <c r="F45" s="108">
        <v>47006611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7"/>
        <v>47006600_47006612</v>
      </c>
      <c r="B46" s="108">
        <v>47006600</v>
      </c>
      <c r="C46" s="108">
        <v>47006612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あれ？袋に穴が…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1ターンユニット1体にスキルバインド+単体攻撃</v>
      </c>
      <c r="F46" s="108">
        <v>47006612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ref="A47" si="9">B47&amp;"_"&amp;C47</f>
        <v>47006600_47006613</v>
      </c>
      <c r="B47" s="108">
        <v>47006600</v>
      </c>
      <c r="C47" s="108">
        <v>47006613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羽根突き刀技・カガミモチ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1ターンユニット1体にスキルバインド+単体攻撃</v>
      </c>
      <c r="F47" s="108">
        <v>47006613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7"/>
        <v>47006700_47006700</v>
      </c>
      <c r="B48" s="111">
        <v>47006700</v>
      </c>
      <c r="C48" s="111">
        <v>47006700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（もしかして…本当に届けに来てくれたのかな？）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2ターン全属性ダメージ50%軽減</v>
      </c>
      <c r="F48" s="111">
        <v>47006700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7"/>
        <v>47006700_47006701</v>
      </c>
      <c r="B49" s="111">
        <v>47006700</v>
      </c>
      <c r="C49" s="111">
        <v>47006701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（…どうしよう…いまさら退けないよ）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ランダムで黄の時限式ダメージパネルに最大5個変換+_x000D_単体攻撃</v>
      </c>
      <c r="F49" s="111">
        <v>47006701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7"/>
        <v>47006700_47006702</v>
      </c>
      <c r="B50" s="111">
        <v>47006700</v>
      </c>
      <c r="C50" s="111">
        <v>47006702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羽根突き奥義・オトシダマ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ランダムで黄の時限式ダメージパネルに最大5個変換+_x000D_単体攻撃</v>
      </c>
      <c r="F50" s="111">
        <v>47006702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7"/>
        <v>47006700_47006703</v>
      </c>
      <c r="B51" s="111">
        <v>47006700</v>
      </c>
      <c r="C51" s="111">
        <v>47006703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「もっとがんばろ…」_x000D_【ランダムに威力の変わる全体攻撃】</v>
      </c>
      <c r="F51" s="111">
        <v>47006703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51" s="47"/>
      <c r="Q51" s="47"/>
      <c r="R51" s="47"/>
    </row>
    <row r="52" spans="1:18" ht="21" customHeight="1" x14ac:dyDescent="0.15">
      <c r="A52" s="39" t="str">
        <f t="shared" si="7"/>
        <v>47006700_47006704</v>
      </c>
      <c r="B52" s="111">
        <v>47006700</v>
      </c>
      <c r="C52" s="111">
        <v>47006704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ランダムに威力の変わる全体攻撃</v>
      </c>
      <c r="F52" s="111">
        <v>47006704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18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2" s="47"/>
      <c r="Q52" s="47"/>
      <c r="R52" s="47"/>
    </row>
    <row r="53" spans="1:18" ht="21" customHeight="1" x14ac:dyDescent="0.15">
      <c r="A53" s="39" t="str">
        <f t="shared" ref="A53:A57" si="10">B53&amp;"_"&amp;C53</f>
        <v>47006700_47006705</v>
      </c>
      <c r="B53" s="111">
        <v>47006700</v>
      </c>
      <c r="C53" s="111">
        <v>47006705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ランダムに威力の変わる全体攻撃</v>
      </c>
      <c r="F53" s="111">
        <v>47006705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16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53" s="47"/>
      <c r="Q53" s="47"/>
      <c r="R53" s="47"/>
    </row>
    <row r="54" spans="1:18" ht="21" customHeight="1" x14ac:dyDescent="0.15">
      <c r="A54" s="39" t="str">
        <f t="shared" si="10"/>
        <v>47006700_47006706</v>
      </c>
      <c r="B54" s="111">
        <v>47006700</v>
      </c>
      <c r="C54" s="111">
        <v>47006706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お賽銭あたっく！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「こんなにたくさん！みんなありがとう！」_x000D_【ランダムに威力の変わる全体攻撃】</v>
      </c>
      <c r="F54" s="111">
        <v>47006706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0"/>
        <v>47006700_47006707</v>
      </c>
      <c r="B55" s="111">
        <v>47006700</v>
      </c>
      <c r="C55" s="111">
        <v>47006707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今年のあなたの運勢は〜♪えいっ！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「大凶…うん…なんかごめんなさい…」_x000D_【ランダムで赤のダメージパネルに最大5個変換+_x000D_　行動頻度UP】</v>
      </c>
      <c r="F55" s="111">
        <v>47006707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55" s="48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55" s="47"/>
      <c r="Q55" s="47"/>
      <c r="R55" s="47"/>
    </row>
    <row r="56" spans="1:18" ht="21" customHeight="1" x14ac:dyDescent="0.15">
      <c r="A56" s="39" t="str">
        <f t="shared" si="10"/>
        <v>47006700_47006708</v>
      </c>
      <c r="B56" s="111">
        <v>47006700</v>
      </c>
      <c r="C56" s="111">
        <v>47006708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今年のあなたの運勢は〜♪えいっ！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「半凶…きっと良い事もあるよ！」_x000D_【ランダムでお邪魔パネルに最大10個変換+行動頻度UP】</v>
      </c>
      <c r="F56" s="111">
        <v>47006708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18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18</v>
      </c>
      <c r="P56" s="47"/>
      <c r="Q56" s="47"/>
      <c r="R56" s="47"/>
    </row>
    <row r="57" spans="1:18" ht="21" customHeight="1" x14ac:dyDescent="0.15">
      <c r="A57" s="39" t="str">
        <f t="shared" si="10"/>
        <v>47006700_47006709</v>
      </c>
      <c r="B57" s="111">
        <v>47006700</v>
      </c>
      <c r="C57" s="111">
        <v>47006709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今年のあなたの運勢は〜♪えいっ！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「凶かぁ…注意してれば大丈夫！」_x000D_【ランダムで時限式ダメージパネルに最大10個変換+_x000D_　行動頻度UP】</v>
      </c>
      <c r="F57" s="111">
        <v>47006709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21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21</v>
      </c>
      <c r="P57" s="47"/>
      <c r="Q57" s="47"/>
      <c r="R57" s="47"/>
    </row>
    <row r="58" spans="1:18" ht="21" customHeight="1" x14ac:dyDescent="0.15">
      <c r="A58" s="39" t="str">
        <f t="shared" ref="A58:A59" si="11">B58&amp;"_"&amp;C58</f>
        <v>47006700_47006710</v>
      </c>
      <c r="B58" s="111">
        <v>47006700</v>
      </c>
      <c r="C58" s="111">
        <v>47006710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今年のあなたの運勢は〜♪えいっ！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「小吉！油断は禁物だよ！」_x000D_【ランダムでボムパネルに最大10個変換+行動頻度UP】</v>
      </c>
      <c r="F58" s="111">
        <v>47006710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27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27</v>
      </c>
      <c r="P58" s="47"/>
      <c r="Q58" s="47"/>
      <c r="R58" s="47"/>
    </row>
    <row r="59" spans="1:18" ht="21" customHeight="1" x14ac:dyDescent="0.15">
      <c r="A59" s="39" t="str">
        <f t="shared" si="11"/>
        <v>47006700_47006711</v>
      </c>
      <c r="B59" s="111">
        <v>47006700</v>
      </c>
      <c r="C59" s="111">
        <v>47006711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今年のあなたの運勢は〜♪えいっ！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「中吉！なかなか良い感じ」_x000D_【ランダムでCBPに最大3個変換+行動頻度UP】</v>
      </c>
      <c r="F59" s="111">
        <v>47006711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37</v>
      </c>
      <c r="J59" s="48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37</v>
      </c>
      <c r="P59" s="47"/>
      <c r="Q59" s="47"/>
      <c r="R59" s="47"/>
    </row>
    <row r="60" spans="1:18" ht="21" customHeight="1" x14ac:dyDescent="0.15">
      <c r="A60" s="39" t="str">
        <f t="shared" ref="A60" si="12">B60&amp;"_"&amp;C60</f>
        <v>47006700_47006712</v>
      </c>
      <c r="B60" s="111">
        <v>47006700</v>
      </c>
      <c r="C60" s="111">
        <v>47006712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今年のあなたの運勢は〜♪えいっ！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「吉！絶好調だね！」_x000D_【ランダムでCPに最大10個変換+行動頻度UP】</v>
      </c>
      <c r="F60" s="111">
        <v>47006712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60" s="47"/>
      <c r="Q60" s="47"/>
      <c r="R60" s="47"/>
    </row>
    <row r="61" spans="1:18" ht="21" customHeight="1" x14ac:dyDescent="0.15">
      <c r="A61" s="39" t="str">
        <f t="shared" ref="A61" si="13">B61&amp;"_"&amp;C61</f>
        <v>47006700_47006713</v>
      </c>
      <c r="B61" s="111">
        <v>47006700</v>
      </c>
      <c r="C61" s="111">
        <v>47006713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今年のあなたの運勢は〜♪えいっ！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「すっすごい！大吉！おめでとー！」_x000D_【ランダムでSCPに最大5個変換+行動頻度UP】</v>
      </c>
      <c r="F61" s="111">
        <v>47006713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ref="A62" si="14">B62&amp;"_"&amp;C62</f>
        <v>47006700_47006714</v>
      </c>
      <c r="B62" s="111">
        <v>47006700</v>
      </c>
      <c r="C62" s="111">
        <v>47006714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ごめんなさい！勘違いしてたみたい…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届けてくれてありがとう♪これでみんなに配れるよ！</v>
      </c>
      <c r="F62" s="111">
        <v>47006714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62"/>
  <sheetViews>
    <sheetView showGridLines="0" tabSelected="1" zoomScaleNormal="75" zoomScalePageLayoutView="75" workbookViewId="0">
      <pane ySplit="1" topLeftCell="A26" activePane="bottomLeft" state="frozenSplit"/>
      <selection pane="bottomLeft" activeCell="C34" sqref="C3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170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17.1640625" style="49" customWidth="1" collapsed="1"/>
    <col min="26" max="26" width="5.83203125" style="49" customWidth="1"/>
    <col min="27" max="27" width="6.83203125" style="49" customWidth="1"/>
    <col min="28" max="28" width="7.33203125" style="49" customWidth="1"/>
    <col min="29" max="29" width="11.33203125" style="49" customWidth="1"/>
    <col min="30" max="30" width="12.33203125" style="49" customWidth="1"/>
    <col min="31" max="16384" width="12.83203125" style="49"/>
  </cols>
  <sheetData>
    <row r="1" spans="1:30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  <c r="AC1" s="49" t="s">
        <v>305</v>
      </c>
      <c r="AD1" s="49" t="s">
        <v>306</v>
      </c>
    </row>
    <row r="2" spans="1:30" ht="34" customHeight="1" x14ac:dyDescent="0.15">
      <c r="A2" s="105">
        <v>47006000</v>
      </c>
      <c r="B2" s="105" t="s">
        <v>368</v>
      </c>
      <c r="C2" s="106">
        <v>3</v>
      </c>
      <c r="D2" s="106" t="s">
        <v>128</v>
      </c>
      <c r="E2" s="107" t="s">
        <v>271</v>
      </c>
      <c r="F2" s="107" t="s">
        <v>269</v>
      </c>
      <c r="G2" s="63" t="str">
        <f t="shared" ref="G2:G49" si="0">IFERROR(LEFT(B2,FIND("],",B2)),B2)</f>
        <v>[effect:enemy_message, val1:2.3, val2:0.0]</v>
      </c>
      <c r="H2" s="63">
        <f t="shared" ref="H2:H61" si="1">FIND("effect:",G2)+7</f>
        <v>9</v>
      </c>
      <c r="I2" s="63">
        <f t="shared" ref="I2:I49" si="2">IFERROR(FIND(",",G2),LEN(G2))</f>
        <v>22</v>
      </c>
      <c r="J2" s="63" t="e">
        <f t="shared" ref="J2:J49" si="3">FIND("target:",G2)+7</f>
        <v>#VALUE!</v>
      </c>
      <c r="K2" s="63">
        <f t="shared" ref="K2:K49" si="4"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 t="shared" ref="M2:M49" si="5">IFERROR(RIGHT(B2,LEN(B2)-FIND("],",B2)-1),"none")</f>
        <v>[effect:fix_speed, target:myself, turn:1]</v>
      </c>
      <c r="N2" s="48" t="str">
        <f>IFERROR(LEFT(M2,FIND("],",M2)+S14),M2)</f>
        <v>[effect:fix_speed, target:myself, turn:1]</v>
      </c>
      <c r="O2" s="63">
        <f t="shared" ref="O2:O61" si="6">FIND("effect:",N2)+7</f>
        <v>9</v>
      </c>
      <c r="P2" s="63">
        <f t="shared" ref="P2:P49" si="7">IFERROR(FIND(",",N2),LEN(N2))</f>
        <v>18</v>
      </c>
      <c r="Q2" s="63">
        <f t="shared" ref="Q2:Q49" si="8">FIND("target:",N2)+7</f>
        <v>27</v>
      </c>
      <c r="R2" s="63">
        <f t="shared" ref="R2:R49" si="9">FIND(",",N2,P2+1)</f>
        <v>33</v>
      </c>
      <c r="S2" s="63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:T49" si="10">IFERROR(RIGHT(M2,LEN(M2)-FIND("],",M2)-1),"none")</f>
        <v>none</v>
      </c>
      <c r="U2" s="63" t="e">
        <f t="shared" ref="U2:U61" si="11">FIND("effect:",T2)+7</f>
        <v>#VALUE!</v>
      </c>
      <c r="V2" s="63">
        <f t="shared" ref="V2:V49" si="12">IFERROR(FIND(",",T2),LEN(T2))</f>
        <v>4</v>
      </c>
      <c r="W2" s="63" t="e">
        <f t="shared" ref="W2:W49" si="13">FIND("target:",T2)+7</f>
        <v>#VALUE!</v>
      </c>
      <c r="X2" s="63" t="e">
        <f t="shared" ref="X2:X49" si="14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  <c r="AC2" s="49">
        <f>LEN(E2)</f>
        <v>23</v>
      </c>
      <c r="AD2" s="49">
        <f>LEN(F2)</f>
        <v>5</v>
      </c>
    </row>
    <row r="3" spans="1:30" ht="70" customHeight="1" x14ac:dyDescent="0.15">
      <c r="A3" s="105">
        <v>47006001</v>
      </c>
      <c r="B3" s="105" t="s">
        <v>346</v>
      </c>
      <c r="C3" s="106">
        <v>3</v>
      </c>
      <c r="D3" s="106" t="s">
        <v>128</v>
      </c>
      <c r="E3" s="107" t="s">
        <v>284</v>
      </c>
      <c r="F3" s="107" t="s">
        <v>337</v>
      </c>
      <c r="G3" s="63" t="str">
        <f t="shared" si="0"/>
        <v>[effect:drop_block, block_type:crash, color:block_all, val:11, rate:0.04, turn:-1, animation:crash_influence04]</v>
      </c>
      <c r="H3" s="63">
        <f t="shared" si="1"/>
        <v>9</v>
      </c>
      <c r="I3" s="63">
        <f t="shared" si="2"/>
        <v>19</v>
      </c>
      <c r="J3" s="63" t="e">
        <f t="shared" si="3"/>
        <v>#VALUE!</v>
      </c>
      <c r="K3" s="63">
        <f t="shared" si="4"/>
        <v>37</v>
      </c>
      <c r="L3" s="63" t="str">
        <f>IFERROR(VLOOKUP(MID(G3,J3,K3-J3),[6]skilldef!$C:$D,2,FALSE),"-") &amp; " / " &amp; IFERROR(VLOOKUP(MID(G3,H3,I3-H3),[6]skilldef!$A:$B,2,FALSE),"-")</f>
        <v>- / 特定ブロックの割合ドロップ</v>
      </c>
      <c r="M3" s="63" t="str">
        <f t="shared" si="5"/>
        <v>[effect:drop_block, block_type:crack_bomb, color:block_all, val:12, rate:0.1, turn:-1, animation:bomb_influence04],[effect:suicide, target:myself, val:1, dead_type:escape],[effect:enemy_message, val1:1.6, val2:3.8]</v>
      </c>
      <c r="N3" s="48" t="str">
        <f>IFERROR(LEFT(M3,FIND("],",M3)+S15),M3)</f>
        <v>[effect:drop_block, block_type:crack_bomb, color:block_all, val:12, rate:0.1, turn:-1, animation:bomb_influence04],[effect:suicide, target:myself, val:1, dead_type:escape],[effect:enemy_message, val1:1.6, val2:3.8]</v>
      </c>
      <c r="O3" s="63">
        <f t="shared" si="6"/>
        <v>9</v>
      </c>
      <c r="P3" s="63">
        <f t="shared" si="7"/>
        <v>19</v>
      </c>
      <c r="Q3" s="63">
        <f t="shared" si="8"/>
        <v>140</v>
      </c>
      <c r="R3" s="63">
        <f t="shared" si="9"/>
        <v>42</v>
      </c>
      <c r="S3" s="63" t="str">
        <f>IFERROR(VLOOKUP(MID(N3,Q3,R3-Q3),[6]skilldef!$C:$D,2,FALSE),"-") &amp; " / " &amp; IFERROR(VLOOKUP(MID(N3,O3,P3-O3),[6]skilldef!$A:$B,2,FALSE),"-")</f>
        <v>- / 特定ブロックの割合ドロップ</v>
      </c>
      <c r="T3" s="48" t="str">
        <f t="shared" si="10"/>
        <v>[effect:suicide, target:myself, val:1, dead_type:escape],[effect:enemy_message, val1:1.6, val2:3.8]</v>
      </c>
      <c r="U3" s="63">
        <f t="shared" si="11"/>
        <v>9</v>
      </c>
      <c r="V3" s="63">
        <f t="shared" si="12"/>
        <v>16</v>
      </c>
      <c r="W3" s="63">
        <f t="shared" si="13"/>
        <v>25</v>
      </c>
      <c r="X3" s="63">
        <f t="shared" si="14"/>
        <v>31</v>
      </c>
      <c r="Y3" s="63" t="str">
        <f>IFERROR(VLOOKUP(MID(T3,W3,X3-W3),[6]skilldef!$C:$D,2,FALSE),"-") &amp; " / " &amp; IFERROR(VLOOKUP(MID(T3,U3,V3-U3),[6]skilldef!$A:$B,2,FALSE),"-")</f>
        <v>自分自身に / -</v>
      </c>
      <c r="Z3" s="50"/>
      <c r="AA3" s="51"/>
      <c r="AB3" s="50"/>
      <c r="AC3" s="49">
        <f t="shared" ref="AC3:AC62" si="15">LEN(E3)</f>
        <v>16</v>
      </c>
      <c r="AD3" s="49">
        <f t="shared" ref="AD3:AD62" si="16">LEN(F3)</f>
        <v>39</v>
      </c>
    </row>
    <row r="4" spans="1:30" ht="40" customHeight="1" x14ac:dyDescent="0.15">
      <c r="A4" s="108">
        <v>47006100</v>
      </c>
      <c r="B4" s="108" t="s">
        <v>411</v>
      </c>
      <c r="C4" s="109">
        <v>3</v>
      </c>
      <c r="D4" s="109" t="s">
        <v>128</v>
      </c>
      <c r="E4" s="110" t="s">
        <v>310</v>
      </c>
      <c r="F4" s="110" t="s">
        <v>330</v>
      </c>
      <c r="G4" s="63" t="str">
        <f t="shared" si="0"/>
        <v>[effect:suicide, val:0.1]</v>
      </c>
      <c r="H4" s="63">
        <f t="shared" si="1"/>
        <v>9</v>
      </c>
      <c r="I4" s="63">
        <f t="shared" si="2"/>
        <v>16</v>
      </c>
      <c r="J4" s="63" t="e">
        <f t="shared" si="3"/>
        <v>#VALUE!</v>
      </c>
      <c r="K4" s="63" t="e">
        <f t="shared" si="4"/>
        <v>#VALUE!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[effect:fix_speed, target:myself, turn:2],[effect:enemy_message, val1:1.2, val2:3.2]</v>
      </c>
      <c r="N4" s="48" t="str">
        <f>IFERROR(LEFT(M4,FIND("],",M4)+S17),M4)</f>
        <v>[effect:fix_speed, target:myself, turn:2],[effect:enemy_message, val1:1.2, val2:3.2]</v>
      </c>
      <c r="O4" s="63">
        <f t="shared" si="6"/>
        <v>9</v>
      </c>
      <c r="P4" s="63">
        <f t="shared" si="7"/>
        <v>18</v>
      </c>
      <c r="Q4" s="63">
        <f t="shared" si="8"/>
        <v>27</v>
      </c>
      <c r="R4" s="63">
        <f t="shared" si="9"/>
        <v>33</v>
      </c>
      <c r="S4" s="63" t="str">
        <f>IFERROR(VLOOKUP(MID(N4,Q4,R4-Q4),[6]skilldef!$C:$D,2,FALSE),"-") &amp; " / " &amp; IFERROR(VLOOKUP(MID(N4,O4,P4-O4),[6]skilldef!$A:$B,2,FALSE),"-")</f>
        <v>自分自身に / 行動値設定</v>
      </c>
      <c r="T4" s="48" t="str">
        <f t="shared" si="10"/>
        <v>[effect:enemy_message, val1:1.2, val2:3.2]</v>
      </c>
      <c r="U4" s="63">
        <f t="shared" si="11"/>
        <v>9</v>
      </c>
      <c r="V4" s="63">
        <f t="shared" si="12"/>
        <v>22</v>
      </c>
      <c r="W4" s="63" t="e">
        <f t="shared" si="13"/>
        <v>#VALUE!</v>
      </c>
      <c r="X4" s="63">
        <f t="shared" si="14"/>
        <v>32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  <c r="AC4" s="49">
        <f t="shared" si="15"/>
        <v>10</v>
      </c>
      <c r="AD4" s="49">
        <f t="shared" si="16"/>
        <v>33</v>
      </c>
    </row>
    <row r="5" spans="1:30" ht="70" customHeight="1" x14ac:dyDescent="0.15">
      <c r="A5" s="108">
        <v>47006101</v>
      </c>
      <c r="B5" s="108" t="s">
        <v>408</v>
      </c>
      <c r="C5" s="109">
        <v>3</v>
      </c>
      <c r="D5" s="109" t="s">
        <v>128</v>
      </c>
      <c r="E5" s="110" t="s">
        <v>270</v>
      </c>
      <c r="F5" s="110" t="s">
        <v>369</v>
      </c>
      <c r="G5" s="63" t="str">
        <f t="shared" si="0"/>
        <v>[effect:force_change_block, new_block:time_bomb, target:block_all, ignore01:block_positive, ignore02:block_negative, color:block_yellow, count:5, val:0.2, animation:change_block]</v>
      </c>
      <c r="H5" s="63">
        <f t="shared" si="1"/>
        <v>9</v>
      </c>
      <c r="I5" s="63">
        <f t="shared" si="2"/>
        <v>27</v>
      </c>
      <c r="J5" s="63">
        <f t="shared" si="3"/>
        <v>57</v>
      </c>
      <c r="K5" s="63">
        <f t="shared" si="4"/>
        <v>48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[effect:rush, count:1, val:0.8],[effect:enemy_message, val1:1.2, val2:2.9]</v>
      </c>
      <c r="N5" s="48" t="str">
        <f>IFERROR(LEFT(M5,FIND("],",M5)+S18),M5)</f>
        <v>[effect:rush, count:1, val:0.8],[effect:enemy_message, val1:1.2, val2:2.9]</v>
      </c>
      <c r="O5" s="63">
        <f t="shared" si="6"/>
        <v>9</v>
      </c>
      <c r="P5" s="63">
        <f t="shared" si="7"/>
        <v>13</v>
      </c>
      <c r="Q5" s="63" t="e">
        <f t="shared" si="8"/>
        <v>#VALUE!</v>
      </c>
      <c r="R5" s="63">
        <f t="shared" si="9"/>
        <v>22</v>
      </c>
      <c r="S5" s="63" t="str">
        <f>IFERROR(VLOOKUP(MID(N5,Q5,R5-Q5),[6]skilldef!$C:$D,2,FALSE),"-") &amp; " / " &amp; IFERROR(VLOOKUP(MID(N5,O5,P5-O5),[6]skilldef!$A:$B,2,FALSE),"-")</f>
        <v>- / 連続攻撃</v>
      </c>
      <c r="T5" s="48" t="str">
        <f t="shared" si="10"/>
        <v>[effect:enemy_message, val1:1.2, val2:2.9]</v>
      </c>
      <c r="U5" s="63">
        <f t="shared" si="11"/>
        <v>9</v>
      </c>
      <c r="V5" s="63">
        <f t="shared" si="12"/>
        <v>22</v>
      </c>
      <c r="W5" s="63" t="e">
        <f t="shared" si="13"/>
        <v>#VALUE!</v>
      </c>
      <c r="X5" s="63">
        <f t="shared" si="14"/>
        <v>32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  <c r="AC5" s="49">
        <f t="shared" si="15"/>
        <v>10</v>
      </c>
      <c r="AD5" s="49">
        <f t="shared" si="16"/>
        <v>30</v>
      </c>
    </row>
    <row r="6" spans="1:30" ht="71" customHeight="1" x14ac:dyDescent="0.15">
      <c r="A6" s="111">
        <v>47006200</v>
      </c>
      <c r="B6" s="111" t="s">
        <v>410</v>
      </c>
      <c r="C6" s="112">
        <v>3</v>
      </c>
      <c r="D6" s="112" t="s">
        <v>128</v>
      </c>
      <c r="E6" s="113" t="s">
        <v>307</v>
      </c>
      <c r="F6" s="113" t="s">
        <v>331</v>
      </c>
      <c r="G6" s="63" t="str">
        <f t="shared" si="0"/>
        <v>[effect:suicide, val:0.1]</v>
      </c>
      <c r="H6" s="63">
        <f t="shared" si="1"/>
        <v>9</v>
      </c>
      <c r="I6" s="63">
        <f t="shared" si="2"/>
        <v>16</v>
      </c>
      <c r="J6" s="63" t="e">
        <f t="shared" si="3"/>
        <v>#VALUE!</v>
      </c>
      <c r="K6" s="63" t="e">
        <f t="shared" si="4"/>
        <v>#VALUE!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5"/>
        <v>[effect:fix_speed, target:myself, turn:2],[effect:enemy_message, val1:1.2, val2:2.7]</v>
      </c>
      <c r="N6" s="48" t="str">
        <f>IFERROR(LEFT(M6,FIND("],",M6)+S19),M6)</f>
        <v>[effect:fix_speed, target:myself, turn:2],[effect:enemy_message, val1:1.2, val2:2.7]</v>
      </c>
      <c r="O6" s="63">
        <f t="shared" si="6"/>
        <v>9</v>
      </c>
      <c r="P6" s="63">
        <f t="shared" si="7"/>
        <v>18</v>
      </c>
      <c r="Q6" s="63">
        <f t="shared" si="8"/>
        <v>27</v>
      </c>
      <c r="R6" s="63">
        <f t="shared" si="9"/>
        <v>33</v>
      </c>
      <c r="S6" s="63" t="str">
        <f>IFERROR(VLOOKUP(MID(N6,Q6,R6-Q6),[6]skilldef!$C:$D,2,FALSE),"-") &amp; " / " &amp; IFERROR(VLOOKUP(MID(N6,O6,P6-O6),[6]skilldef!$A:$B,2,FALSE),"-")</f>
        <v>自分自身に / 行動値設定</v>
      </c>
      <c r="T6" s="48" t="str">
        <f t="shared" si="10"/>
        <v>[effect:enemy_message, val1:1.2, val2:2.7]</v>
      </c>
      <c r="U6" s="63">
        <f t="shared" si="11"/>
        <v>9</v>
      </c>
      <c r="V6" s="63">
        <f t="shared" si="12"/>
        <v>22</v>
      </c>
      <c r="W6" s="63" t="e">
        <f t="shared" si="13"/>
        <v>#VALUE!</v>
      </c>
      <c r="X6" s="63">
        <f t="shared" si="14"/>
        <v>32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  <c r="AC6" s="49">
        <f t="shared" si="15"/>
        <v>10</v>
      </c>
      <c r="AD6" s="49">
        <f t="shared" si="16"/>
        <v>28</v>
      </c>
    </row>
    <row r="7" spans="1:30" ht="21" customHeight="1" x14ac:dyDescent="0.15">
      <c r="A7" s="111">
        <v>47006201</v>
      </c>
      <c r="B7" s="111" t="s">
        <v>340</v>
      </c>
      <c r="C7" s="112">
        <v>3</v>
      </c>
      <c r="D7" s="112" t="s">
        <v>128</v>
      </c>
      <c r="E7" s="113" t="s">
        <v>272</v>
      </c>
      <c r="F7" s="113" t="s">
        <v>407</v>
      </c>
      <c r="G7" s="63" t="str">
        <f t="shared" si="0"/>
        <v>[effect:enhance_enemy, target:myself, turn:-1, status:attack, val:0.5, calc:mul, animation:enemy_enhance_attack]</v>
      </c>
      <c r="H7" s="63">
        <f t="shared" si="1"/>
        <v>9</v>
      </c>
      <c r="I7" s="63">
        <f t="shared" si="2"/>
        <v>22</v>
      </c>
      <c r="J7" s="63">
        <f t="shared" si="3"/>
        <v>31</v>
      </c>
      <c r="K7" s="63">
        <f t="shared" si="4"/>
        <v>37</v>
      </c>
      <c r="L7" s="63" t="str">
        <f>IFERROR(VLOOKUP(MID(G7,J7,K7-J7),[6]skilldef!$C:$D,2,FALSE),"-") &amp; " / " &amp; IFERROR(VLOOKUP(MID(G7,H7,I7-H7),[6]skilldef!$A:$B,2,FALSE),"-")</f>
        <v>自分自身に / ステータス強化</v>
      </c>
      <c r="M7" s="63" t="str">
        <f t="shared" si="5"/>
        <v>[effect:enemy_message, val1:1.2, val2:1.2]</v>
      </c>
      <c r="N7" s="48" t="str">
        <f>IFERROR(LEFT(M7,FIND("],",M7)+S21),M7)</f>
        <v>[effect:enemy_message, val1:1.2, val2:1.2]</v>
      </c>
      <c r="O7" s="63">
        <f t="shared" si="6"/>
        <v>9</v>
      </c>
      <c r="P7" s="63">
        <f t="shared" si="7"/>
        <v>22</v>
      </c>
      <c r="Q7" s="63" t="e">
        <f t="shared" si="8"/>
        <v>#VALUE!</v>
      </c>
      <c r="R7" s="63">
        <f t="shared" si="9"/>
        <v>32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  <c r="AC7" s="49">
        <f t="shared" si="15"/>
        <v>5</v>
      </c>
      <c r="AD7" s="49">
        <f t="shared" si="16"/>
        <v>9</v>
      </c>
    </row>
    <row r="8" spans="1:30" ht="37" customHeight="1" x14ac:dyDescent="0.15">
      <c r="A8" s="111">
        <v>47006202</v>
      </c>
      <c r="B8" s="111" t="s">
        <v>347</v>
      </c>
      <c r="C8" s="112">
        <v>3</v>
      </c>
      <c r="D8" s="112" t="s">
        <v>128</v>
      </c>
      <c r="E8" s="113" t="s">
        <v>296</v>
      </c>
      <c r="F8" s="113" t="s">
        <v>257</v>
      </c>
      <c r="G8" s="63" t="str">
        <f t="shared" si="0"/>
        <v>[effect:spread, val:0.30]</v>
      </c>
      <c r="H8" s="63">
        <f t="shared" si="1"/>
        <v>9</v>
      </c>
      <c r="I8" s="63">
        <f t="shared" si="2"/>
        <v>15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IFERROR(VLOOKUP(MID(G8,J8,K8-J8),[6]skilldef!$C:$D,2,FALSE),"-") &amp; " / " &amp; IFERROR(VLOOKUP(MID(G8,H8,I8-H8),[6]skilldef!$A:$B,2,FALSE),"-")</f>
        <v>- / 全体攻撃</v>
      </c>
      <c r="M8" s="63" t="str">
        <f t="shared" si="5"/>
        <v>[effect:enemy_message, val1:1.4, val2:1.2]</v>
      </c>
      <c r="N8" s="48" t="str">
        <f>IFERROR(LEFT(M8,FIND("],",M8)+S23),M8)</f>
        <v>[effect:enemy_message, val1:1.4, val2:1.2]</v>
      </c>
      <c r="O8" s="63">
        <f t="shared" si="6"/>
        <v>9</v>
      </c>
      <c r="P8" s="63">
        <f t="shared" si="7"/>
        <v>22</v>
      </c>
      <c r="Q8" s="63" t="e">
        <f t="shared" si="8"/>
        <v>#VALUE!</v>
      </c>
      <c r="R8" s="63">
        <f t="shared" si="9"/>
        <v>32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  <c r="AC8" s="49">
        <f t="shared" si="15"/>
        <v>15</v>
      </c>
      <c r="AD8" s="49">
        <f t="shared" si="16"/>
        <v>4</v>
      </c>
    </row>
    <row r="9" spans="1:30" ht="21" customHeight="1" x14ac:dyDescent="0.15">
      <c r="A9" s="111">
        <v>47006203</v>
      </c>
      <c r="B9" s="111" t="s">
        <v>341</v>
      </c>
      <c r="C9" s="112">
        <v>3</v>
      </c>
      <c r="D9" s="112" t="s">
        <v>128</v>
      </c>
      <c r="E9" s="113" t="s">
        <v>295</v>
      </c>
      <c r="F9" s="113" t="s">
        <v>257</v>
      </c>
      <c r="G9" s="63" t="str">
        <f t="shared" ref="G9" si="17">IFERROR(LEFT(B9,FIND("],",B9)),B9)</f>
        <v>[effect:spread, val:0.30]</v>
      </c>
      <c r="H9" s="63">
        <f t="shared" ref="H9" si="18">FIND("effect:",G9)+7</f>
        <v>9</v>
      </c>
      <c r="I9" s="63">
        <f t="shared" ref="I9" si="19">IFERROR(FIND(",",G9),LEN(G9))</f>
        <v>15</v>
      </c>
      <c r="J9" s="63" t="e">
        <f t="shared" ref="J9" si="20">FIND("target:",G9)+7</f>
        <v>#VALUE!</v>
      </c>
      <c r="K9" s="63" t="e">
        <f t="shared" ref="K9" si="21">FIND(",",G9,I9+1)</f>
        <v>#VALUE!</v>
      </c>
      <c r="L9" s="63" t="str">
        <f>IFERROR(VLOOKUP(MID(G9,J9,K9-J9),[6]skilldef!$C:$D,2,FALSE),"-") &amp; " / " &amp; IFERROR(VLOOKUP(MID(G9,H9,I9-H9),[6]skilldef!$A:$B,2,FALSE),"-")</f>
        <v>- / 全体攻撃</v>
      </c>
      <c r="M9" s="63" t="str">
        <f t="shared" ref="M9" si="22">IFERROR(RIGHT(B9,LEN(B9)-FIND("],",B9)-1),"none")</f>
        <v>[effect:enemy_message, val1:1.2, val2:1.2]</v>
      </c>
      <c r="N9" s="48" t="str">
        <f>IFERROR(LEFT(M9,FIND("],",M9)+S24),M9)</f>
        <v>[effect:enemy_message, val1:1.2, val2:1.2]</v>
      </c>
      <c r="O9" s="63">
        <f t="shared" ref="O9" si="23">FIND("effect:",N9)+7</f>
        <v>9</v>
      </c>
      <c r="P9" s="63">
        <f t="shared" ref="P9" si="24">IFERROR(FIND(",",N9),LEN(N9))</f>
        <v>22</v>
      </c>
      <c r="Q9" s="63" t="e">
        <f t="shared" ref="Q9" si="25">FIND("target:",N9)+7</f>
        <v>#VALUE!</v>
      </c>
      <c r="R9" s="63">
        <f t="shared" ref="R9" si="26">FIND(",",N9,P9+1)</f>
        <v>32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ref="T9" si="27">IFERROR(RIGHT(M9,LEN(M9)-FIND("],",M9)-1),"none")</f>
        <v>none</v>
      </c>
      <c r="U9" s="63" t="e">
        <f t="shared" ref="U9" si="28">FIND("effect:",T9)+7</f>
        <v>#VALUE!</v>
      </c>
      <c r="V9" s="63">
        <f t="shared" ref="V9" si="29">IFERROR(FIND(",",T9),LEN(T9))</f>
        <v>4</v>
      </c>
      <c r="W9" s="63" t="e">
        <f t="shared" ref="W9" si="30">FIND("target:",T9)+7</f>
        <v>#VALUE!</v>
      </c>
      <c r="X9" s="63" t="e">
        <f t="shared" ref="X9" si="31">FIND(",",T9,V9+1)</f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  <c r="AC9" s="49">
        <f t="shared" si="15"/>
        <v>8</v>
      </c>
      <c r="AD9" s="49">
        <f t="shared" si="16"/>
        <v>4</v>
      </c>
    </row>
    <row r="10" spans="1:30" ht="21" customHeight="1" x14ac:dyDescent="0.15">
      <c r="A10" s="114">
        <v>47006300</v>
      </c>
      <c r="B10" s="114" t="s">
        <v>348</v>
      </c>
      <c r="C10" s="115">
        <v>3</v>
      </c>
      <c r="D10" s="115" t="s">
        <v>128</v>
      </c>
      <c r="E10" s="116" t="s">
        <v>274</v>
      </c>
      <c r="F10" s="116" t="s">
        <v>311</v>
      </c>
      <c r="G10" s="63"/>
      <c r="H10" s="63"/>
      <c r="I10" s="63"/>
      <c r="J10" s="63"/>
      <c r="K10" s="63"/>
      <c r="L10" s="63"/>
      <c r="M10" s="63"/>
      <c r="N10" s="48"/>
      <c r="O10" s="63"/>
      <c r="P10" s="63"/>
      <c r="Q10" s="63"/>
      <c r="R10" s="63"/>
      <c r="S10" s="63"/>
      <c r="T10" s="48"/>
      <c r="U10" s="63"/>
      <c r="V10" s="63"/>
      <c r="W10" s="63"/>
      <c r="X10" s="63"/>
      <c r="Y10" s="63"/>
      <c r="Z10" s="50"/>
      <c r="AA10" s="51"/>
      <c r="AB10" s="50"/>
      <c r="AC10" s="49">
        <f t="shared" si="15"/>
        <v>8</v>
      </c>
      <c r="AD10" s="49">
        <f t="shared" si="16"/>
        <v>19</v>
      </c>
    </row>
    <row r="11" spans="1:30" ht="44" customHeight="1" x14ac:dyDescent="0.15">
      <c r="A11" s="114">
        <v>47006301</v>
      </c>
      <c r="B11" s="114" t="s">
        <v>342</v>
      </c>
      <c r="C11" s="115">
        <v>3</v>
      </c>
      <c r="D11" s="115" t="s">
        <v>128</v>
      </c>
      <c r="E11" s="116" t="s">
        <v>335</v>
      </c>
      <c r="F11" s="116" t="s">
        <v>258</v>
      </c>
      <c r="G11" s="63" t="str">
        <f t="shared" si="0"/>
        <v>[effect:spread, val:0.2]</v>
      </c>
      <c r="H11" s="63">
        <f t="shared" si="1"/>
        <v>9</v>
      </c>
      <c r="I11" s="63">
        <f t="shared" si="2"/>
        <v>15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全体攻撃</v>
      </c>
      <c r="M11" s="63" t="str">
        <f t="shared" si="5"/>
        <v>[effect:enemy_message, val1:1.2, val2:1.8]</v>
      </c>
      <c r="N11" s="48" t="str">
        <f>IFERROR(LEFT(M11,FIND("],",M11)+S24),M11)</f>
        <v>[effect:enemy_message, val1:1.2, val2:1.8]</v>
      </c>
      <c r="O11" s="63">
        <f t="shared" si="6"/>
        <v>9</v>
      </c>
      <c r="P11" s="63">
        <f t="shared" si="7"/>
        <v>22</v>
      </c>
      <c r="Q11" s="63" t="e">
        <f t="shared" si="8"/>
        <v>#VALUE!</v>
      </c>
      <c r="R11" s="63">
        <f t="shared" si="9"/>
        <v>32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  <c r="AC11" s="49">
        <f t="shared" si="15"/>
        <v>11</v>
      </c>
      <c r="AD11" s="49">
        <f t="shared" si="16"/>
        <v>18</v>
      </c>
    </row>
    <row r="12" spans="1:30" ht="42" customHeight="1" x14ac:dyDescent="0.15">
      <c r="A12" s="114">
        <v>47006302</v>
      </c>
      <c r="B12" s="114" t="s">
        <v>343</v>
      </c>
      <c r="C12" s="115">
        <v>3</v>
      </c>
      <c r="D12" s="115" t="s">
        <v>128</v>
      </c>
      <c r="E12" s="116" t="s">
        <v>277</v>
      </c>
      <c r="F12" s="116" t="s">
        <v>258</v>
      </c>
      <c r="G12" s="63" t="str">
        <f t="shared" si="0"/>
        <v>[effect:spread, val:0.3]</v>
      </c>
      <c r="H12" s="63">
        <f t="shared" si="1"/>
        <v>9</v>
      </c>
      <c r="I12" s="63">
        <f t="shared" si="2"/>
        <v>15</v>
      </c>
      <c r="J12" s="63" t="e">
        <f t="shared" si="3"/>
        <v>#VALUE!</v>
      </c>
      <c r="K12" s="63" t="e">
        <f t="shared" si="4"/>
        <v>#VALUE!</v>
      </c>
      <c r="L12" s="63" t="str">
        <f>IFERROR(VLOOKUP(MID(G12,J12,K12-J12),[6]skilldef!$C:$D,2,FALSE),"-") &amp; " / " &amp; IFERROR(VLOOKUP(MID(G12,H12,I12-H12),[6]skilldef!$A:$B,2,FALSE),"-")</f>
        <v>- / 全体攻撃</v>
      </c>
      <c r="M12" s="63" t="str">
        <f t="shared" si="5"/>
        <v>[effect:enemy_message, val1:1.2, val2:1.8]</v>
      </c>
      <c r="N12" s="48" t="str">
        <f>IFERROR(LEFT(M12,FIND("],",M12)+S25),M12)</f>
        <v>[effect:enemy_message, val1:1.2, val2:1.8]</v>
      </c>
      <c r="O12" s="63">
        <f t="shared" si="6"/>
        <v>9</v>
      </c>
      <c r="P12" s="63">
        <f t="shared" si="7"/>
        <v>22</v>
      </c>
      <c r="Q12" s="63" t="e">
        <f t="shared" si="8"/>
        <v>#VALUE!</v>
      </c>
      <c r="R12" s="63">
        <f t="shared" si="9"/>
        <v>32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1"/>
      <c r="AB12" s="50"/>
      <c r="AC12" s="49">
        <f t="shared" si="15"/>
        <v>10</v>
      </c>
      <c r="AD12" s="49">
        <f t="shared" si="16"/>
        <v>18</v>
      </c>
    </row>
    <row r="13" spans="1:30" ht="21" customHeight="1" x14ac:dyDescent="0.15">
      <c r="A13" s="114">
        <v>47006303</v>
      </c>
      <c r="B13" s="114" t="s">
        <v>344</v>
      </c>
      <c r="C13" s="115">
        <v>3</v>
      </c>
      <c r="D13" s="115" t="s">
        <v>128</v>
      </c>
      <c r="E13" s="116" t="s">
        <v>275</v>
      </c>
      <c r="F13" s="116" t="s">
        <v>258</v>
      </c>
      <c r="G13" s="63" t="str">
        <f t="shared" si="0"/>
        <v>[effect:spread, val:0.4]</v>
      </c>
      <c r="H13" s="63">
        <f t="shared" si="1"/>
        <v>9</v>
      </c>
      <c r="I13" s="63">
        <f t="shared" si="2"/>
        <v>15</v>
      </c>
      <c r="J13" s="63" t="e">
        <f t="shared" si="3"/>
        <v>#VALUE!</v>
      </c>
      <c r="K13" s="63" t="e">
        <f t="shared" si="4"/>
        <v>#VALUE!</v>
      </c>
      <c r="L13" s="63" t="str">
        <f>IFERROR(VLOOKUP(MID(G13,J13,K13-J13),[6]skilldef!$C:$D,2,FALSE),"-") &amp; " / " &amp; IFERROR(VLOOKUP(MID(G13,H13,I13-H13),[6]skilldef!$A:$B,2,FALSE),"-")</f>
        <v>- / 全体攻撃</v>
      </c>
      <c r="M13" s="63" t="str">
        <f t="shared" si="5"/>
        <v>[effect:enemy_message, val1:1.2, val2:1.8]</v>
      </c>
      <c r="N13" s="48" t="str">
        <f>IFERROR(LEFT(M13,FIND("],",M13)+S26),M13)</f>
        <v>[effect:enemy_message, val1:1.2, val2:1.8]</v>
      </c>
      <c r="O13" s="63">
        <f t="shared" si="6"/>
        <v>9</v>
      </c>
      <c r="P13" s="63">
        <f t="shared" si="7"/>
        <v>22</v>
      </c>
      <c r="Q13" s="63" t="e">
        <f t="shared" si="8"/>
        <v>#VALUE!</v>
      </c>
      <c r="R13" s="63">
        <f t="shared" si="9"/>
        <v>32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1"/>
      <c r="AB13" s="50"/>
      <c r="AC13" s="49">
        <f t="shared" si="15"/>
        <v>10</v>
      </c>
      <c r="AD13" s="49">
        <f t="shared" si="16"/>
        <v>18</v>
      </c>
    </row>
    <row r="14" spans="1:30" ht="21" customHeight="1" x14ac:dyDescent="0.15">
      <c r="A14" s="114">
        <v>47006304</v>
      </c>
      <c r="B14" s="114" t="s">
        <v>345</v>
      </c>
      <c r="C14" s="115">
        <v>3</v>
      </c>
      <c r="D14" s="115" t="s">
        <v>128</v>
      </c>
      <c r="E14" s="116" t="s">
        <v>276</v>
      </c>
      <c r="F14" s="116" t="s">
        <v>258</v>
      </c>
      <c r="G14" s="63" t="str">
        <f t="shared" si="0"/>
        <v>[effect:spread, val:0.5]</v>
      </c>
      <c r="H14" s="63">
        <f t="shared" si="1"/>
        <v>9</v>
      </c>
      <c r="I14" s="63">
        <f t="shared" si="2"/>
        <v>15</v>
      </c>
      <c r="J14" s="63" t="e">
        <f t="shared" si="3"/>
        <v>#VALUE!</v>
      </c>
      <c r="K14" s="63" t="e">
        <f t="shared" si="4"/>
        <v>#VALUE!</v>
      </c>
      <c r="L14" s="63" t="str">
        <f>IFERROR(VLOOKUP(MID(G14,J14,K14-J14),[6]skilldef!$C:$D,2,FALSE),"-") &amp; " / " &amp; IFERROR(VLOOKUP(MID(G14,H14,I14-H14),[6]skilldef!$A:$B,2,FALSE),"-")</f>
        <v>- / 全体攻撃</v>
      </c>
      <c r="M14" s="63" t="str">
        <f t="shared" si="5"/>
        <v>[effect:enemy_message, val1:1.2, val2:1.8]</v>
      </c>
      <c r="N14" s="48" t="str">
        <f>IFERROR(LEFT(M14,FIND("],",M14)+#REF!),M14)</f>
        <v>[effect:enemy_message, val1:1.2, val2:1.8]</v>
      </c>
      <c r="O14" s="63">
        <f t="shared" si="6"/>
        <v>9</v>
      </c>
      <c r="P14" s="63">
        <f t="shared" si="7"/>
        <v>22</v>
      </c>
      <c r="Q14" s="63" t="e">
        <f t="shared" si="8"/>
        <v>#VALUE!</v>
      </c>
      <c r="R14" s="63">
        <f t="shared" si="9"/>
        <v>32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  <c r="AC14" s="49">
        <f t="shared" si="15"/>
        <v>10</v>
      </c>
      <c r="AD14" s="49">
        <f t="shared" si="16"/>
        <v>18</v>
      </c>
    </row>
    <row r="15" spans="1:30" ht="21" customHeight="1" x14ac:dyDescent="0.15">
      <c r="A15" s="114">
        <v>47006305</v>
      </c>
      <c r="B15" s="114" t="s">
        <v>409</v>
      </c>
      <c r="C15" s="115">
        <v>3</v>
      </c>
      <c r="D15" s="115" t="s">
        <v>128</v>
      </c>
      <c r="E15" s="116" t="s">
        <v>336</v>
      </c>
      <c r="F15" s="116" t="s">
        <v>387</v>
      </c>
      <c r="G15" s="63" t="str">
        <f t="shared" si="0"/>
        <v>[effect:suicide, val:0.5]</v>
      </c>
      <c r="H15" s="63">
        <f t="shared" si="1"/>
        <v>9</v>
      </c>
      <c r="I15" s="63">
        <f t="shared" si="2"/>
        <v>16</v>
      </c>
      <c r="J15" s="63" t="e">
        <f t="shared" si="3"/>
        <v>#VALUE!</v>
      </c>
      <c r="K15" s="63" t="e">
        <f t="shared" si="4"/>
        <v>#VALUE!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5"/>
        <v>[effect:freq_turn, target:myself, turn:-1, val:1, animation:enemy_freq_turn],[effect:enemy_message, val1:1.2, val2:2.0]</v>
      </c>
      <c r="N15" s="48" t="str">
        <f>IFERROR(LEFT(M15,FIND("],",M15)+S27),M15)</f>
        <v>[effect:freq_turn, target:myself, turn:-1, val:1, animation:enemy_freq_turn],[effect:enemy_message, val1:1.2, val2:2.0]</v>
      </c>
      <c r="O15" s="63">
        <f t="shared" si="6"/>
        <v>9</v>
      </c>
      <c r="P15" s="63">
        <f t="shared" si="7"/>
        <v>18</v>
      </c>
      <c r="Q15" s="63">
        <f t="shared" si="8"/>
        <v>27</v>
      </c>
      <c r="R15" s="63">
        <f t="shared" si="9"/>
        <v>33</v>
      </c>
      <c r="S15" s="63" t="str">
        <f>IFERROR(VLOOKUP(MID(N15,Q15,R15-Q15),[6]skilldef!$C:$D,2,FALSE),"-") &amp; " / " &amp; IFERROR(VLOOKUP(MID(N15,O15,P15-O15),[6]skilldef!$A:$B,2,FALSE),"-")</f>
        <v>自分自身に / 攻撃頻度がUP</v>
      </c>
      <c r="T15" s="48" t="str">
        <f t="shared" si="10"/>
        <v>[effect:enemy_message, val1:1.2, val2:2.0]</v>
      </c>
      <c r="U15" s="63">
        <f t="shared" si="11"/>
        <v>9</v>
      </c>
      <c r="V15" s="63">
        <f t="shared" si="12"/>
        <v>22</v>
      </c>
      <c r="W15" s="63" t="e">
        <f t="shared" si="13"/>
        <v>#VALUE!</v>
      </c>
      <c r="X15" s="63">
        <f t="shared" si="14"/>
        <v>32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  <c r="AC15" s="49">
        <f t="shared" si="15"/>
        <v>11</v>
      </c>
      <c r="AD15" s="49">
        <f t="shared" si="16"/>
        <v>20</v>
      </c>
    </row>
    <row r="16" spans="1:30" ht="21" customHeight="1" x14ac:dyDescent="0.15">
      <c r="A16" s="117">
        <v>47006400</v>
      </c>
      <c r="B16" s="117" t="s">
        <v>349</v>
      </c>
      <c r="C16" s="118">
        <v>3</v>
      </c>
      <c r="D16" s="118" t="s">
        <v>128</v>
      </c>
      <c r="E16" s="119" t="s">
        <v>278</v>
      </c>
      <c r="F16" s="119" t="s">
        <v>312</v>
      </c>
      <c r="G16" s="63"/>
      <c r="H16" s="63"/>
      <c r="I16" s="63"/>
      <c r="J16" s="63"/>
      <c r="K16" s="63"/>
      <c r="L16" s="63"/>
      <c r="M16" s="63"/>
      <c r="N16" s="48"/>
      <c r="O16" s="63"/>
      <c r="P16" s="63"/>
      <c r="Q16" s="63"/>
      <c r="R16" s="63"/>
      <c r="S16" s="63"/>
      <c r="T16" s="48"/>
      <c r="U16" s="63"/>
      <c r="V16" s="63"/>
      <c r="W16" s="63"/>
      <c r="X16" s="63"/>
      <c r="Y16" s="63"/>
      <c r="Z16" s="50"/>
      <c r="AA16" s="51"/>
      <c r="AB16" s="50"/>
      <c r="AC16" s="49">
        <f t="shared" si="15"/>
        <v>9</v>
      </c>
      <c r="AD16" s="49">
        <f t="shared" si="16"/>
        <v>12</v>
      </c>
    </row>
    <row r="17" spans="1:30" ht="21" customHeight="1" x14ac:dyDescent="0.15">
      <c r="A17" s="117">
        <v>47006401</v>
      </c>
      <c r="B17" s="117" t="s">
        <v>350</v>
      </c>
      <c r="C17" s="118">
        <v>3</v>
      </c>
      <c r="D17" s="118" t="s">
        <v>128</v>
      </c>
      <c r="E17" s="119" t="s">
        <v>329</v>
      </c>
      <c r="F17" s="119" t="s">
        <v>259</v>
      </c>
      <c r="G17" s="63" t="str">
        <f t="shared" si="0"/>
        <v>[effect:damage_anti_abnormal, target:unit_one, color:green, target_effect01:counter_new, val1:3, val2:0.8]</v>
      </c>
      <c r="H17" s="63">
        <f t="shared" si="1"/>
        <v>9</v>
      </c>
      <c r="I17" s="63">
        <f t="shared" si="2"/>
        <v>29</v>
      </c>
      <c r="J17" s="63">
        <f t="shared" si="3"/>
        <v>38</v>
      </c>
      <c r="K17" s="63">
        <f t="shared" si="4"/>
        <v>46</v>
      </c>
      <c r="L17" s="63" t="str">
        <f>IFERROR(VLOOKUP(MID(G17,J17,K17-J17),[6]skilldef!$C:$D,2,FALSE),"-") &amp; " / " &amp; IFERROR(VLOOKUP(MID(G17,H17,I17-H17),[6]skilldef!$A:$B,2,FALSE),"-")</f>
        <v>味方単体に / -</v>
      </c>
      <c r="M17" s="63" t="str">
        <f t="shared" si="5"/>
        <v>[effect:enemy_message, val1:1.2, val2:1.8]</v>
      </c>
      <c r="N17" s="48" t="str">
        <f>IFERROR(LEFT(M17,FIND("],",M17)+S29),M17)</f>
        <v>[effect:enemy_message, val1:1.2, val2:1.8]</v>
      </c>
      <c r="O17" s="63">
        <f t="shared" si="6"/>
        <v>9</v>
      </c>
      <c r="P17" s="63">
        <f t="shared" si="7"/>
        <v>22</v>
      </c>
      <c r="Q17" s="63" t="e">
        <f t="shared" si="8"/>
        <v>#VALUE!</v>
      </c>
      <c r="R17" s="63">
        <f t="shared" si="9"/>
        <v>32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1"/>
      <c r="AB17" s="50"/>
      <c r="AC17" s="49">
        <f t="shared" si="15"/>
        <v>12</v>
      </c>
      <c r="AD17" s="49">
        <f t="shared" si="16"/>
        <v>18</v>
      </c>
    </row>
    <row r="18" spans="1:30" ht="21" customHeight="1" x14ac:dyDescent="0.15">
      <c r="A18" s="117">
        <v>47006402</v>
      </c>
      <c r="B18" s="117" t="s">
        <v>351</v>
      </c>
      <c r="C18" s="118">
        <v>3</v>
      </c>
      <c r="D18" s="118" t="s">
        <v>128</v>
      </c>
      <c r="E18" s="119" t="s">
        <v>279</v>
      </c>
      <c r="F18" s="119" t="s">
        <v>260</v>
      </c>
      <c r="G18" s="63" t="str">
        <f t="shared" si="0"/>
        <v>[effect:enemy_message, val1:1.2, val2:1.8]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IFERROR(VLOOKUP(MID(G18,J18,K18-J18),[6]skilldef!$C:$D,2,FALSE),"-") &amp; " / " &amp; IFERROR(VLOOKUP(MID(G18,H18,I18-H18),[6]skilldef!$A:$B,2,FALSE),"-")</f>
        <v>- / -</v>
      </c>
      <c r="M18" s="63" t="str">
        <f t="shared" si="5"/>
        <v>[effect:crash_condition, target:unit_all, turn:3, val:4, animation:enemy_crash_extend]</v>
      </c>
      <c r="N18" s="48" t="str">
        <f>IFERROR(LEFT(M18,FIND("],",M18)+S30),M18)</f>
        <v>[effect:crash_condition, target:unit_all, turn:3, val:4, animation:enemy_crash_extend]</v>
      </c>
      <c r="O18" s="63">
        <f t="shared" si="6"/>
        <v>9</v>
      </c>
      <c r="P18" s="63">
        <f t="shared" si="7"/>
        <v>24</v>
      </c>
      <c r="Q18" s="63">
        <f t="shared" si="8"/>
        <v>33</v>
      </c>
      <c r="R18" s="63">
        <f t="shared" si="9"/>
        <v>41</v>
      </c>
      <c r="S18" s="63" t="str">
        <f>IFERROR(VLOOKUP(MID(N18,Q18,R18-Q18),[6]skilldef!$C:$D,2,FALSE),"-") &amp; " / " &amp; IFERROR(VLOOKUP(MID(N18,O18,P18-O18),[6]skilldef!$A:$B,2,FALSE),"-")</f>
        <v>味方全体に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1"/>
      <c r="AB18" s="50"/>
      <c r="AC18" s="49">
        <f t="shared" si="15"/>
        <v>5</v>
      </c>
      <c r="AD18" s="49">
        <f t="shared" si="16"/>
        <v>18</v>
      </c>
    </row>
    <row r="19" spans="1:30" ht="21" customHeight="1" x14ac:dyDescent="0.15">
      <c r="A19" s="117">
        <v>47006403</v>
      </c>
      <c r="B19" s="117" t="s">
        <v>340</v>
      </c>
      <c r="C19" s="118">
        <v>3</v>
      </c>
      <c r="D19" s="118" t="s">
        <v>128</v>
      </c>
      <c r="E19" s="119" t="s">
        <v>289</v>
      </c>
      <c r="F19" s="119" t="s">
        <v>407</v>
      </c>
      <c r="G19" s="63" t="str">
        <f t="shared" si="0"/>
        <v>[effect:enhance_enemy, target:myself, turn:-1, status:attack, val:0.5, calc:mul, animation:enemy_enhance_attack]</v>
      </c>
      <c r="H19" s="63">
        <f t="shared" si="1"/>
        <v>9</v>
      </c>
      <c r="I19" s="63">
        <f t="shared" si="2"/>
        <v>22</v>
      </c>
      <c r="J19" s="63">
        <f t="shared" si="3"/>
        <v>31</v>
      </c>
      <c r="K19" s="63">
        <f t="shared" si="4"/>
        <v>37</v>
      </c>
      <c r="L19" s="63" t="str">
        <f>IFERROR(VLOOKUP(MID(G19,J19,K19-J19),[6]skilldef!$C:$D,2,FALSE),"-") &amp; " / " &amp; IFERROR(VLOOKUP(MID(G19,H19,I19-H19),[6]skilldef!$A:$B,2,FALSE),"-")</f>
        <v>自分自身に / ステータス強化</v>
      </c>
      <c r="M19" s="63" t="str">
        <f t="shared" si="5"/>
        <v>[effect:enemy_message, val1:1.2, val2:1.2]</v>
      </c>
      <c r="N19" s="48" t="str">
        <f>IFERROR(LEFT(M19,FIND("],",M19)+S32),M19)</f>
        <v>[effect:enemy_message, val1:1.2, val2:1.2]</v>
      </c>
      <c r="O19" s="63">
        <f t="shared" si="6"/>
        <v>9</v>
      </c>
      <c r="P19" s="63">
        <f t="shared" si="7"/>
        <v>22</v>
      </c>
      <c r="Q19" s="63" t="e">
        <f t="shared" si="8"/>
        <v>#VALUE!</v>
      </c>
      <c r="R19" s="63">
        <f t="shared" si="9"/>
        <v>32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  <c r="AC19" s="49">
        <f t="shared" si="15"/>
        <v>12</v>
      </c>
      <c r="AD19" s="49">
        <f t="shared" si="16"/>
        <v>9</v>
      </c>
    </row>
    <row r="20" spans="1:30" ht="21" customHeight="1" x14ac:dyDescent="0.15">
      <c r="A20" s="105">
        <v>47006500</v>
      </c>
      <c r="B20" s="105" t="s">
        <v>352</v>
      </c>
      <c r="C20" s="106">
        <v>3</v>
      </c>
      <c r="D20" s="106" t="s">
        <v>128</v>
      </c>
      <c r="E20" s="107" t="s">
        <v>283</v>
      </c>
      <c r="F20" s="107" t="s">
        <v>313</v>
      </c>
      <c r="G20" s="63" t="str">
        <f t="shared" ref="G20" si="32">IFERROR(LEFT(B20,FIND("],",B20)),B20)</f>
        <v>[effect:enemy_message, val1:1.2, val2:1.5]</v>
      </c>
      <c r="H20" s="63">
        <f t="shared" si="1"/>
        <v>9</v>
      </c>
      <c r="I20" s="63">
        <f t="shared" ref="I20" si="33">IFERROR(FIND(",",G20),LEN(G20))</f>
        <v>22</v>
      </c>
      <c r="J20" s="63" t="e">
        <f t="shared" ref="J20" si="34">FIND("target:",G20)+7</f>
        <v>#VALUE!</v>
      </c>
      <c r="K20" s="63">
        <f t="shared" ref="K20" si="35">FIND(",",G20,I20+1)</f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ref="M20" si="36">IFERROR(RIGHT(B20,LEN(B20)-FIND("],",B20)-1),"none")</f>
        <v>[effect:fix_speed, target:myself, turn:2]</v>
      </c>
      <c r="N20" s="48" t="str">
        <f>IFERROR(LEFT(M20,FIND("],",M20)+S32),M20)</f>
        <v>[effect:fix_speed, target:myself, turn:2]</v>
      </c>
      <c r="O20" s="63">
        <f t="shared" si="6"/>
        <v>9</v>
      </c>
      <c r="P20" s="63">
        <f t="shared" ref="P20" si="37">IFERROR(FIND(",",N20),LEN(N20))</f>
        <v>18</v>
      </c>
      <c r="Q20" s="63">
        <f t="shared" ref="Q20" si="38">FIND("target:",N20)+7</f>
        <v>27</v>
      </c>
      <c r="R20" s="63">
        <f t="shared" ref="R20" si="39">FIND(",",N20,P20+1)</f>
        <v>33</v>
      </c>
      <c r="S20" s="63" t="str">
        <f>IFERROR(VLOOKUP(MID(N20,Q20,R20-Q20),[6]skilldef!$C:$D,2,FALSE),"-") &amp; " / " &amp; IFERROR(VLOOKUP(MID(N20,O20,P20-O20),[6]skilldef!$A:$B,2,FALSE),"-")</f>
        <v>自分自身に / 行動値設定</v>
      </c>
      <c r="T20" s="48" t="str">
        <f t="shared" ref="T20" si="40">IFERROR(RIGHT(M20,LEN(M20)-FIND("],",M20)-1),"none")</f>
        <v>none</v>
      </c>
      <c r="U20" s="63" t="e">
        <f t="shared" si="11"/>
        <v>#VALUE!</v>
      </c>
      <c r="V20" s="63">
        <f t="shared" ref="V20" si="41">IFERROR(FIND(",",T20),LEN(T20))</f>
        <v>4</v>
      </c>
      <c r="W20" s="63" t="e">
        <f t="shared" ref="W20" si="42">FIND("target:",T20)+7</f>
        <v>#VALUE!</v>
      </c>
      <c r="X20" s="63" t="e">
        <f t="shared" ref="X20" si="43">FIND(",",T20,V20+1)</f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  <c r="AC20" s="49">
        <f t="shared" si="15"/>
        <v>10</v>
      </c>
      <c r="AD20" s="49">
        <f t="shared" si="16"/>
        <v>15</v>
      </c>
    </row>
    <row r="21" spans="1:30" ht="21" customHeight="1" x14ac:dyDescent="0.15">
      <c r="A21" s="105">
        <v>47006501</v>
      </c>
      <c r="B21" s="105" t="s">
        <v>353</v>
      </c>
      <c r="C21" s="106">
        <v>3</v>
      </c>
      <c r="D21" s="106" t="s">
        <v>128</v>
      </c>
      <c r="E21" s="107" t="s">
        <v>287</v>
      </c>
      <c r="F21" s="107" t="s">
        <v>286</v>
      </c>
      <c r="G21" s="63" t="str">
        <f t="shared" si="0"/>
        <v>[effect:enemy_message, val1:1.2, val2:1.2]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5"/>
        <v>[effect:rush, count:2, val:0.6]</v>
      </c>
      <c r="N21" s="48" t="str">
        <f>IFERROR(LEFT(M21,FIND("],",M21)+S33),M21)</f>
        <v>[effect:rush, count:2, val:0.6]</v>
      </c>
      <c r="O21" s="63">
        <f t="shared" si="6"/>
        <v>9</v>
      </c>
      <c r="P21" s="63">
        <f t="shared" si="7"/>
        <v>13</v>
      </c>
      <c r="Q21" s="63" t="e">
        <f t="shared" si="8"/>
        <v>#VALUE!</v>
      </c>
      <c r="R21" s="63">
        <f t="shared" si="9"/>
        <v>22</v>
      </c>
      <c r="S21" s="63" t="str">
        <f>IFERROR(VLOOKUP(MID(N21,Q21,R21-Q21),[6]skilldef!$C:$D,2,FALSE),"-") &amp; " / " &amp; IFERROR(VLOOKUP(MID(N21,O21,P21-O21),[6]skilldef!$A:$B,2,FALSE),"-")</f>
        <v>- / 連続攻撃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  <c r="AC21" s="49">
        <f t="shared" si="15"/>
        <v>11</v>
      </c>
      <c r="AD21" s="49">
        <f t="shared" si="16"/>
        <v>6</v>
      </c>
    </row>
    <row r="22" spans="1:30" ht="21" customHeight="1" x14ac:dyDescent="0.15">
      <c r="A22" s="105">
        <v>47006502</v>
      </c>
      <c r="B22" s="105" t="s">
        <v>354</v>
      </c>
      <c r="C22" s="106">
        <v>3</v>
      </c>
      <c r="D22" s="106" t="s">
        <v>128</v>
      </c>
      <c r="E22" s="107" t="s">
        <v>288</v>
      </c>
      <c r="F22" s="107" t="s">
        <v>286</v>
      </c>
      <c r="G22" s="63" t="str">
        <f t="shared" ref="G22" si="44">IFERROR(LEFT(B22,FIND("],",B22)),B22)</f>
        <v>[effect:rush, count:2, val:0.6]</v>
      </c>
      <c r="H22" s="63">
        <f t="shared" ref="H22" si="45">FIND("effect:",G22)+7</f>
        <v>9</v>
      </c>
      <c r="I22" s="63">
        <f t="shared" ref="I22" si="46">IFERROR(FIND(",",G22),LEN(G22))</f>
        <v>13</v>
      </c>
      <c r="J22" s="63" t="e">
        <f t="shared" ref="J22" si="47">FIND("target:",G22)+7</f>
        <v>#VALUE!</v>
      </c>
      <c r="K22" s="63">
        <f t="shared" ref="K22" si="48">FIND(",",G22,I22+1)</f>
        <v>22</v>
      </c>
      <c r="L22" s="63" t="str">
        <f>IFERROR(VLOOKUP(MID(G22,J22,K22-J22),[6]skilldef!$C:$D,2,FALSE),"-") &amp; " / " &amp; IFERROR(VLOOKUP(MID(G22,H22,I22-H22),[6]skilldef!$A:$B,2,FALSE),"-")</f>
        <v>- / 連続攻撃</v>
      </c>
      <c r="M22" s="63" t="str">
        <f t="shared" ref="M22" si="49">IFERROR(RIGHT(B22,LEN(B22)-FIND("],",B22)-1),"none")</f>
        <v>[effect:enemy_message, val1:1.4, val2:1.2]</v>
      </c>
      <c r="N22" s="48" t="str">
        <f>IFERROR(LEFT(M22,FIND("],",M22)+S34),M22)</f>
        <v>[effect:enemy_message, val1:1.4, val2:1.2]</v>
      </c>
      <c r="O22" s="63">
        <f t="shared" ref="O22" si="50">FIND("effect:",N22)+7</f>
        <v>9</v>
      </c>
      <c r="P22" s="63">
        <f t="shared" ref="P22" si="51">IFERROR(FIND(",",N22),LEN(N22))</f>
        <v>22</v>
      </c>
      <c r="Q22" s="63" t="e">
        <f t="shared" ref="Q22" si="52">FIND("target:",N22)+7</f>
        <v>#VALUE!</v>
      </c>
      <c r="R22" s="63">
        <f t="shared" ref="R22" si="53">FIND(",",N22,P22+1)</f>
        <v>32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ref="T22" si="54">IFERROR(RIGHT(M22,LEN(M22)-FIND("],",M22)-1),"none")</f>
        <v>none</v>
      </c>
      <c r="U22" s="63" t="e">
        <f t="shared" ref="U22" si="55">FIND("effect:",T22)+7</f>
        <v>#VALUE!</v>
      </c>
      <c r="V22" s="63">
        <f t="shared" ref="V22" si="56">IFERROR(FIND(",",T22),LEN(T22))</f>
        <v>4</v>
      </c>
      <c r="W22" s="63" t="e">
        <f t="shared" ref="W22" si="57">FIND("target:",T22)+7</f>
        <v>#VALUE!</v>
      </c>
      <c r="X22" s="63" t="e">
        <f t="shared" ref="X22" si="58">FIND(",",T22,V22+1)</f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  <c r="AC22" s="49">
        <f t="shared" si="15"/>
        <v>14</v>
      </c>
      <c r="AD22" s="49">
        <f t="shared" si="16"/>
        <v>6</v>
      </c>
    </row>
    <row r="23" spans="1:30" ht="40" customHeight="1" x14ac:dyDescent="0.15">
      <c r="A23" s="105">
        <v>47006503</v>
      </c>
      <c r="B23" s="105" t="s">
        <v>355</v>
      </c>
      <c r="C23" s="106">
        <v>3</v>
      </c>
      <c r="D23" s="106" t="s">
        <v>128</v>
      </c>
      <c r="E23" s="107" t="s">
        <v>280</v>
      </c>
      <c r="F23" s="107" t="s">
        <v>300</v>
      </c>
      <c r="G23" s="63" t="str">
        <f t="shared" si="0"/>
        <v>[effect:spread, val:0.01]</v>
      </c>
      <c r="H23" s="63">
        <f t="shared" si="1"/>
        <v>9</v>
      </c>
      <c r="I23" s="63">
        <f t="shared" si="2"/>
        <v>15</v>
      </c>
      <c r="J23" s="63" t="e">
        <f t="shared" si="3"/>
        <v>#VALUE!</v>
      </c>
      <c r="K23" s="63" t="e">
        <f t="shared" si="4"/>
        <v>#VALUE!</v>
      </c>
      <c r="L23" s="63" t="str">
        <f>IFERROR(VLOOKUP(MID(G23,J23,K23-J23),[6]skilldef!$C:$D,2,FALSE),"-") &amp; " / " &amp; IFERROR(VLOOKUP(MID(G23,H23,I23-H23),[6]skilldef!$A:$B,2,FALSE),"-")</f>
        <v>- / 全体攻撃</v>
      </c>
      <c r="M23" s="63" t="str">
        <f t="shared" si="5"/>
        <v>[effect:enemy_message, val1:1.2, val2:2.7]</v>
      </c>
      <c r="N23" s="48" t="str">
        <f>IFERROR(LEFT(M23,FIND("],",M23)+#REF!),M23)</f>
        <v>[effect:enemy_message, val1:1.2, val2:2.7]</v>
      </c>
      <c r="O23" s="63">
        <f t="shared" si="6"/>
        <v>9</v>
      </c>
      <c r="P23" s="63">
        <f t="shared" si="7"/>
        <v>22</v>
      </c>
      <c r="Q23" s="63" t="e">
        <f t="shared" si="8"/>
        <v>#VALUE!</v>
      </c>
      <c r="R23" s="63">
        <f t="shared" si="9"/>
        <v>32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  <c r="AC23" s="49">
        <f t="shared" si="15"/>
        <v>8</v>
      </c>
      <c r="AD23" s="49">
        <f t="shared" si="16"/>
        <v>28</v>
      </c>
    </row>
    <row r="24" spans="1:30" ht="36" customHeight="1" x14ac:dyDescent="0.15">
      <c r="A24" s="105">
        <v>47006504</v>
      </c>
      <c r="B24" s="105" t="s">
        <v>356</v>
      </c>
      <c r="C24" s="106">
        <v>3</v>
      </c>
      <c r="D24" s="106" t="s">
        <v>128</v>
      </c>
      <c r="E24" s="107" t="s">
        <v>273</v>
      </c>
      <c r="F24" s="107" t="s">
        <v>261</v>
      </c>
      <c r="G24" s="63" t="str">
        <f t="shared" si="0"/>
        <v>[effect:enemy_message, val1:1.2, val2:1.5]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5"/>
        <v>[effect:spread, val:0.25]</v>
      </c>
      <c r="N24" s="48" t="str">
        <f>IFERROR(LEFT(M24,FIND("],",M24)+S34),M24)</f>
        <v>[effect:spread, val:0.25]</v>
      </c>
      <c r="O24" s="63">
        <f t="shared" si="6"/>
        <v>9</v>
      </c>
      <c r="P24" s="63">
        <f t="shared" si="7"/>
        <v>15</v>
      </c>
      <c r="Q24" s="63" t="e">
        <f t="shared" si="8"/>
        <v>#VALUE!</v>
      </c>
      <c r="R24" s="63" t="e">
        <f t="shared" si="9"/>
        <v>#VALUE!</v>
      </c>
      <c r="S24" s="63" t="str">
        <f>IFERROR(VLOOKUP(MID(N24,Q24,R24-Q24),[6]skilldef!$C:$D,2,FALSE),"-") &amp; " / " &amp; IFERROR(VLOOKUP(MID(N24,O24,P24-O24),[6]skilldef!$A:$B,2,FALSE),"-")</f>
        <v>- / 全体攻撃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  <c r="AC24" s="49">
        <f t="shared" si="15"/>
        <v>8</v>
      </c>
      <c r="AD24" s="49">
        <f t="shared" si="16"/>
        <v>15</v>
      </c>
    </row>
    <row r="25" spans="1:30" ht="58" customHeight="1" x14ac:dyDescent="0.15">
      <c r="A25" s="105">
        <v>47006505</v>
      </c>
      <c r="B25" s="105" t="s">
        <v>357</v>
      </c>
      <c r="C25" s="106">
        <v>3</v>
      </c>
      <c r="D25" s="106" t="s">
        <v>128</v>
      </c>
      <c r="E25" s="107" t="s">
        <v>273</v>
      </c>
      <c r="F25" s="107" t="s">
        <v>261</v>
      </c>
      <c r="G25" s="63" t="str">
        <f t="shared" si="0"/>
        <v>[effect:enemy_message, val1:1.2, val2:1.5]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5"/>
        <v>[effect:spread, val:0.30]</v>
      </c>
      <c r="N25" s="48" t="str">
        <f>IFERROR(LEFT(M25,FIND("],",M25)+S35),M25)</f>
        <v>[effect:spread, val:0.30]</v>
      </c>
      <c r="O25" s="63">
        <f t="shared" si="6"/>
        <v>9</v>
      </c>
      <c r="P25" s="63">
        <f t="shared" si="7"/>
        <v>15</v>
      </c>
      <c r="Q25" s="63" t="e">
        <f t="shared" si="8"/>
        <v>#VALUE!</v>
      </c>
      <c r="R25" s="63" t="e">
        <f t="shared" si="9"/>
        <v>#VALUE!</v>
      </c>
      <c r="S25" s="63" t="str">
        <f>IFERROR(VLOOKUP(MID(N25,Q25,R25-Q25),[6]skilldef!$C:$D,2,FALSE),"-") &amp; " / " &amp; IFERROR(VLOOKUP(MID(N25,O25,P25-O25),[6]skilldef!$A:$B,2,FALSE),"-")</f>
        <v>- / 全体攻撃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  <c r="AC25" s="49">
        <f t="shared" si="15"/>
        <v>8</v>
      </c>
      <c r="AD25" s="49">
        <f t="shared" si="16"/>
        <v>15</v>
      </c>
    </row>
    <row r="26" spans="1:30" ht="48" customHeight="1" x14ac:dyDescent="0.15">
      <c r="A26" s="105">
        <v>47006506</v>
      </c>
      <c r="B26" s="105" t="s">
        <v>358</v>
      </c>
      <c r="C26" s="106">
        <v>3</v>
      </c>
      <c r="D26" s="106" t="s">
        <v>128</v>
      </c>
      <c r="E26" s="107" t="s">
        <v>285</v>
      </c>
      <c r="F26" s="107" t="s">
        <v>301</v>
      </c>
      <c r="G26" s="63" t="str">
        <f t="shared" si="0"/>
        <v>[effect:spread, val:0.35]</v>
      </c>
      <c r="H26" s="63">
        <f t="shared" si="1"/>
        <v>9</v>
      </c>
      <c r="I26" s="63">
        <f t="shared" si="2"/>
        <v>15</v>
      </c>
      <c r="J26" s="63" t="e">
        <f t="shared" si="3"/>
        <v>#VALUE!</v>
      </c>
      <c r="K26" s="63" t="e">
        <f t="shared" si="4"/>
        <v>#VALUE!</v>
      </c>
      <c r="L26" s="63" t="str">
        <f>IFERROR(VLOOKUP(MID(G26,J26,K26-J26),[6]skilldef!$C:$D,2,FALSE),"-") &amp; " / " &amp; IFERROR(VLOOKUP(MID(G26,H26,I26-H26),[6]skilldef!$A:$B,2,FALSE),"-")</f>
        <v>- / 全体攻撃</v>
      </c>
      <c r="M26" s="63" t="str">
        <f t="shared" si="5"/>
        <v>[effect:enemy_message, val1:1.2, val2:3.2]</v>
      </c>
      <c r="N26" s="48" t="str">
        <f>IFERROR(LEFT(M26,FIND("],",M26)+S36),M26)</f>
        <v>[effect:enemy_message, val1:1.2, val2:3.2]</v>
      </c>
      <c r="O26" s="63">
        <f t="shared" si="6"/>
        <v>9</v>
      </c>
      <c r="P26" s="63">
        <f t="shared" si="7"/>
        <v>22</v>
      </c>
      <c r="Q26" s="63" t="e">
        <f t="shared" si="8"/>
        <v>#VALUE!</v>
      </c>
      <c r="R26" s="63">
        <f t="shared" si="9"/>
        <v>32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  <c r="AC26" s="49">
        <f t="shared" si="15"/>
        <v>8</v>
      </c>
      <c r="AD26" s="49">
        <f t="shared" si="16"/>
        <v>33</v>
      </c>
    </row>
    <row r="27" spans="1:30" ht="21" customHeight="1" x14ac:dyDescent="0.15">
      <c r="A27" s="105">
        <v>47006507</v>
      </c>
      <c r="B27" s="105" t="s">
        <v>389</v>
      </c>
      <c r="C27" s="106">
        <v>3</v>
      </c>
      <c r="D27" s="106" t="s">
        <v>128</v>
      </c>
      <c r="E27" s="107" t="s">
        <v>282</v>
      </c>
      <c r="F27" s="107" t="s">
        <v>370</v>
      </c>
      <c r="G27" s="63" t="str">
        <f t="shared" si="0"/>
        <v>[effect:force_change_block, new_block:damage, target:block_all, ignore01:block_positive, ignore02:block_negative,count:5, val:0.14, animation:change_block]</v>
      </c>
      <c r="H27" s="63">
        <f t="shared" si="1"/>
        <v>9</v>
      </c>
      <c r="I27" s="63">
        <f t="shared" si="2"/>
        <v>27</v>
      </c>
      <c r="J27" s="63">
        <f t="shared" si="3"/>
        <v>54</v>
      </c>
      <c r="K27" s="63">
        <f t="shared" si="4"/>
        <v>45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5"/>
        <v>[effect:freq_turn, target:myself, turn:-1, val:1, animation:enemy_freq_turn],[effect:enemy_message, val1:1.3, val2:2.8]</v>
      </c>
      <c r="N27" s="48" t="str">
        <f>IFERROR(LEFT(M27,FIND("],",M27)+S38),M27)</f>
        <v>[effect:freq_turn, target:myself, turn:-1, val:1, animation:enemy_freq_turn],[effect:enemy_message, val1:1.3, val2:2.8]</v>
      </c>
      <c r="O27" s="63">
        <f t="shared" si="6"/>
        <v>9</v>
      </c>
      <c r="P27" s="63">
        <f t="shared" si="7"/>
        <v>18</v>
      </c>
      <c r="Q27" s="63">
        <f t="shared" si="8"/>
        <v>27</v>
      </c>
      <c r="R27" s="63">
        <f t="shared" si="9"/>
        <v>33</v>
      </c>
      <c r="S27" s="63" t="str">
        <f>IFERROR(VLOOKUP(MID(N27,Q27,R27-Q27),[6]skilldef!$C:$D,2,FALSE),"-") &amp; " / " &amp; IFERROR(VLOOKUP(MID(N27,O27,P27-O27),[6]skilldef!$A:$B,2,FALSE),"-")</f>
        <v>自分自身に / 攻撃頻度がUP</v>
      </c>
      <c r="T27" s="48" t="str">
        <f t="shared" si="10"/>
        <v>[effect:enemy_message, val1:1.3, val2:2.8]</v>
      </c>
      <c r="U27" s="63">
        <f t="shared" si="11"/>
        <v>9</v>
      </c>
      <c r="V27" s="63">
        <f t="shared" si="12"/>
        <v>22</v>
      </c>
      <c r="W27" s="63" t="e">
        <f t="shared" si="13"/>
        <v>#VALUE!</v>
      </c>
      <c r="X27" s="63">
        <f t="shared" si="14"/>
        <v>32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  <c r="AC27" s="49">
        <f t="shared" si="15"/>
        <v>13</v>
      </c>
      <c r="AD27" s="49">
        <f t="shared" si="16"/>
        <v>28</v>
      </c>
    </row>
    <row r="28" spans="1:30" ht="21" customHeight="1" x14ac:dyDescent="0.15">
      <c r="A28" s="105">
        <v>47006508</v>
      </c>
      <c r="B28" s="105" t="s">
        <v>390</v>
      </c>
      <c r="C28" s="106">
        <v>3</v>
      </c>
      <c r="D28" s="106" t="s">
        <v>128</v>
      </c>
      <c r="E28" s="107" t="s">
        <v>281</v>
      </c>
      <c r="F28" s="107" t="s">
        <v>371</v>
      </c>
      <c r="G28" s="63" t="str">
        <f>IFERROR(LEFT(B28,FIND("],",B28)),B28)</f>
        <v>[effect:force_change_block, new_block:jammer, target:block_all, ignore01:block_positive, ignore02:block_negative, count:10, val:0, animation:change_block]</v>
      </c>
      <c r="H28" s="63">
        <f>FIND("effect:",G28)+7</f>
        <v>9</v>
      </c>
      <c r="I28" s="63">
        <f>IFERROR(FIND(",",G28),LEN(G28))</f>
        <v>27</v>
      </c>
      <c r="J28" s="63">
        <f>FIND("target:",G28)+7</f>
        <v>54</v>
      </c>
      <c r="K28" s="63">
        <f>FIND(",",G28,I28+1)</f>
        <v>45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>IFERROR(RIGHT(B28,LEN(B28)-FIND("],",B28)-1),"none")</f>
        <v>[effect:freq_turn, target:myself, turn:-1, val:1, animation:enemy_freq_turn],[effect:enemy_message, val1:1.3, val2:2.6]</v>
      </c>
      <c r="N28" s="48" t="str">
        <f>IFERROR(LEFT(M28,FIND("],",M28)+S35),M28)</f>
        <v>[effect:freq_turn, target:myself, turn:-1, val:1, animation:enemy_freq_turn],[effect:enemy_message, val1:1.3, val2:2.6]</v>
      </c>
      <c r="O28" s="63">
        <f>FIND("effect:",N28)+7</f>
        <v>9</v>
      </c>
      <c r="P28" s="63">
        <f>IFERROR(FIND(",",N28),LEN(N28))</f>
        <v>18</v>
      </c>
      <c r="Q28" s="63">
        <f>FIND("target:",N28)+7</f>
        <v>27</v>
      </c>
      <c r="R28" s="63">
        <f>FIND(",",N28,P28+1)</f>
        <v>33</v>
      </c>
      <c r="S28" s="63" t="str">
        <f>IFERROR(VLOOKUP(MID(N28,Q28,R28-Q28),[6]skilldef!$C:$D,2,FALSE),"-") &amp; " / " &amp; IFERROR(VLOOKUP(MID(N28,O28,P28-O28),[6]skilldef!$A:$B,2,FALSE),"-")</f>
        <v>自分自身に / 攻撃頻度がUP</v>
      </c>
      <c r="T28" s="48" t="str">
        <f>IFERROR(RIGHT(M28,LEN(M28)-FIND("],",M28)-1),"none")</f>
        <v>[effect:enemy_message, val1:1.3, val2:2.6]</v>
      </c>
      <c r="U28" s="63">
        <f>FIND("effect:",T28)+7</f>
        <v>9</v>
      </c>
      <c r="V28" s="63">
        <f>IFERROR(FIND(",",T28),LEN(T28))</f>
        <v>22</v>
      </c>
      <c r="W28" s="63" t="e">
        <f>FIND("target:",T28)+7</f>
        <v>#VALUE!</v>
      </c>
      <c r="X28" s="63">
        <f>FIND(",",T28,V28+1)</f>
        <v>32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  <c r="AC28" s="49">
        <f t="shared" si="15"/>
        <v>13</v>
      </c>
      <c r="AD28" s="49">
        <f t="shared" si="16"/>
        <v>26</v>
      </c>
    </row>
    <row r="29" spans="1:30" ht="21" customHeight="1" x14ac:dyDescent="0.15">
      <c r="A29" s="105">
        <v>47006509</v>
      </c>
      <c r="B29" s="105" t="s">
        <v>391</v>
      </c>
      <c r="C29" s="106">
        <v>3</v>
      </c>
      <c r="D29" s="106" t="s">
        <v>128</v>
      </c>
      <c r="E29" s="107" t="s">
        <v>281</v>
      </c>
      <c r="F29" s="107" t="s">
        <v>380</v>
      </c>
      <c r="G29" s="63" t="str">
        <f t="shared" si="0"/>
        <v>[effect:force_change_block, new_block:time_bomb, target:block_all, ignore01:block_positive, ignore02:block_negative, color:block_random, count:10, val:0.2,min_time_count:2, max_time_count:2, animation:change_block]</v>
      </c>
      <c r="H29" s="63">
        <f t="shared" si="1"/>
        <v>9</v>
      </c>
      <c r="I29" s="63">
        <f t="shared" si="2"/>
        <v>27</v>
      </c>
      <c r="J29" s="63">
        <f t="shared" si="3"/>
        <v>57</v>
      </c>
      <c r="K29" s="63">
        <f t="shared" si="4"/>
        <v>48</v>
      </c>
      <c r="L29" s="63" t="str">
        <f>IFERROR(VLOOKUP(MID(G29,J29,K29-J29),[6]skilldef!$C:$D,2,FALSE),"-") &amp; " / " &amp; IFERROR(VLOOKUP(MID(G29,H29,I29-H29),[6]skilldef!$A:$B,2,FALSE),"-")</f>
        <v>- / -</v>
      </c>
      <c r="M29" s="63" t="str">
        <f t="shared" si="5"/>
        <v>[effect:freq_turn, target:myself, turn:-1, val:1, animation:enemy_freq_turn],[effect:enemy_message, val1:1.3, val2:3.0]</v>
      </c>
      <c r="N29" s="48" t="str">
        <f>IFERROR(LEFT(M29,FIND("],",M29)+#REF!),M29)</f>
        <v>[effect:freq_turn, target:myself, turn:-1, val:1, animation:enemy_freq_turn],[effect:enemy_message, val1:1.3, val2:3.0]</v>
      </c>
      <c r="O29" s="63">
        <f t="shared" si="6"/>
        <v>9</v>
      </c>
      <c r="P29" s="63">
        <f t="shared" si="7"/>
        <v>18</v>
      </c>
      <c r="Q29" s="63">
        <f t="shared" si="8"/>
        <v>27</v>
      </c>
      <c r="R29" s="63">
        <f t="shared" si="9"/>
        <v>33</v>
      </c>
      <c r="S29" s="63" t="str">
        <f>IFERROR(VLOOKUP(MID(N29,Q29,R29-Q29),[6]skilldef!$C:$D,2,FALSE),"-") &amp; " / " &amp; IFERROR(VLOOKUP(MID(N29,O29,P29-O29),[6]skilldef!$A:$B,2,FALSE),"-")</f>
        <v>自分自身に / 攻撃頻度がUP</v>
      </c>
      <c r="T29" s="48" t="str">
        <f t="shared" si="10"/>
        <v>[effect:enemy_message, val1:1.3, val2:3.0]</v>
      </c>
      <c r="U29" s="63">
        <f t="shared" si="11"/>
        <v>9</v>
      </c>
      <c r="V29" s="63">
        <f t="shared" si="12"/>
        <v>22</v>
      </c>
      <c r="W29" s="63" t="e">
        <f t="shared" si="13"/>
        <v>#VALUE!</v>
      </c>
      <c r="X29" s="63">
        <f t="shared" si="14"/>
        <v>32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1"/>
      <c r="AB29" s="50"/>
      <c r="AC29" s="49">
        <f t="shared" si="15"/>
        <v>13</v>
      </c>
      <c r="AD29" s="49">
        <f t="shared" si="16"/>
        <v>31</v>
      </c>
    </row>
    <row r="30" spans="1:30" ht="21" customHeight="1" x14ac:dyDescent="0.15">
      <c r="A30" s="105">
        <v>47006510</v>
      </c>
      <c r="B30" s="105" t="s">
        <v>405</v>
      </c>
      <c r="C30" s="106">
        <v>3</v>
      </c>
      <c r="D30" s="106" t="s">
        <v>128</v>
      </c>
      <c r="E30" s="107" t="s">
        <v>281</v>
      </c>
      <c r="F30" s="107" t="s">
        <v>372</v>
      </c>
      <c r="G30" s="63" t="str">
        <f t="shared" si="0"/>
        <v>[effect:force_change_block, new_block:crack_bomb, target:block_all, ignore01:block_positive, ignore02:block_negative, color:block_random, count:10, val:24, animation:change_block]</v>
      </c>
      <c r="H30" s="63">
        <f t="shared" si="1"/>
        <v>9</v>
      </c>
      <c r="I30" s="63">
        <f t="shared" si="2"/>
        <v>27</v>
      </c>
      <c r="J30" s="63">
        <f t="shared" si="3"/>
        <v>58</v>
      </c>
      <c r="K30" s="63">
        <f t="shared" si="4"/>
        <v>49</v>
      </c>
      <c r="L30" s="63" t="str">
        <f>IFERROR(VLOOKUP(MID(G30,J30,K30-J30),[6]skilldef!$C:$D,2,FALSE),"-") &amp; " / " &amp; IFERROR(VLOOKUP(MID(G30,H30,I30-H30),[6]skilldef!$A:$B,2,FALSE),"-")</f>
        <v>- / -</v>
      </c>
      <c r="M30" s="63" t="str">
        <f t="shared" si="5"/>
        <v>[effect:freq_turn, target:myself, turn:-1, val:1, animation:enemy_freq_turn],[effect:enemy_message, val1:1.3, val2:2.5]</v>
      </c>
      <c r="N30" s="48" t="str">
        <f>IFERROR(LEFT(M30,FIND("],",M30)+S39),M30)</f>
        <v>[effect:freq_turn, target:myself, turn:-1, val:1, animation:enemy_freq_turn],[effect:enemy_message, val1:1.3, val2:2.5]</v>
      </c>
      <c r="O30" s="63">
        <f t="shared" si="6"/>
        <v>9</v>
      </c>
      <c r="P30" s="63">
        <f t="shared" si="7"/>
        <v>18</v>
      </c>
      <c r="Q30" s="63">
        <f t="shared" si="8"/>
        <v>27</v>
      </c>
      <c r="R30" s="63">
        <f t="shared" si="9"/>
        <v>33</v>
      </c>
      <c r="S30" s="63" t="str">
        <f>IFERROR(VLOOKUP(MID(N30,Q30,R30-Q30),[6]skilldef!$C:$D,2,FALSE),"-") &amp; " / " &amp; IFERROR(VLOOKUP(MID(N30,O30,P30-O30),[6]skilldef!$A:$B,2,FALSE),"-")</f>
        <v>自分自身に / 攻撃頻度がUP</v>
      </c>
      <c r="T30" s="48" t="str">
        <f t="shared" si="10"/>
        <v>[effect:enemy_message, val1:1.3, val2:2.5]</v>
      </c>
      <c r="U30" s="63">
        <f t="shared" si="11"/>
        <v>9</v>
      </c>
      <c r="V30" s="63">
        <f t="shared" si="12"/>
        <v>22</v>
      </c>
      <c r="W30" s="63" t="e">
        <f t="shared" si="13"/>
        <v>#VALUE!</v>
      </c>
      <c r="X30" s="63">
        <f t="shared" si="14"/>
        <v>32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1"/>
      <c r="AB30" s="50"/>
      <c r="AC30" s="49">
        <f t="shared" si="15"/>
        <v>13</v>
      </c>
      <c r="AD30" s="49">
        <f t="shared" si="16"/>
        <v>25</v>
      </c>
    </row>
    <row r="31" spans="1:30" ht="21" customHeight="1" x14ac:dyDescent="0.15">
      <c r="A31" s="105">
        <v>47006511</v>
      </c>
      <c r="B31" s="105" t="s">
        <v>406</v>
      </c>
      <c r="C31" s="106">
        <v>3</v>
      </c>
      <c r="D31" s="106" t="s">
        <v>128</v>
      </c>
      <c r="E31" s="107" t="s">
        <v>281</v>
      </c>
      <c r="F31" s="107" t="s">
        <v>381</v>
      </c>
      <c r="G31" s="63" t="str">
        <f t="shared" ref="G31" si="59">IFERROR(LEFT(B31,FIND("],",B31)),B31)</f>
        <v>[effect:force_change_block, new_block:color_break, target:block_all, ignore01:block_positive, ignore02:block_negative, color:block_random, count:3, val:0, animation:change_block]</v>
      </c>
      <c r="H31" s="63">
        <f t="shared" ref="H31" si="60">FIND("effect:",G31)+7</f>
        <v>9</v>
      </c>
      <c r="I31" s="63">
        <f t="shared" ref="I31" si="61">IFERROR(FIND(",",G31),LEN(G31))</f>
        <v>27</v>
      </c>
      <c r="J31" s="63">
        <f t="shared" ref="J31" si="62">FIND("target:",G31)+7</f>
        <v>59</v>
      </c>
      <c r="K31" s="63">
        <f t="shared" ref="K31" si="63">FIND(",",G31,I31+1)</f>
        <v>50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ref="M31" si="64">IFERROR(RIGHT(B31,LEN(B31)-FIND("],",B31)-1),"none")</f>
        <v>[effect:freq_turn, target:myself, turn:-1, val:1, animation:enemy_freq_turn],[effect:enemy_message, val1:1.3, val2:2.2]</v>
      </c>
      <c r="N31" s="48" t="str">
        <f>IFERROR(LEFT(M31,FIND("],",M31)+S41),M31)</f>
        <v>[effect:freq_turn, target:myself, turn:-1, val:1, animation:enemy_freq_turn],[effect:enemy_message, val1:1.3, val2:2.2]</v>
      </c>
      <c r="O31" s="63">
        <f t="shared" ref="O31" si="65">FIND("effect:",N31)+7</f>
        <v>9</v>
      </c>
      <c r="P31" s="63">
        <f t="shared" ref="P31" si="66">IFERROR(FIND(",",N31),LEN(N31))</f>
        <v>18</v>
      </c>
      <c r="Q31" s="63">
        <f t="shared" ref="Q31" si="67">FIND("target:",N31)+7</f>
        <v>27</v>
      </c>
      <c r="R31" s="63">
        <f t="shared" ref="R31" si="68">FIND(",",N31,P31+1)</f>
        <v>33</v>
      </c>
      <c r="S31" s="63" t="str">
        <f>IFERROR(VLOOKUP(MID(N31,Q31,R31-Q31),[6]skilldef!$C:$D,2,FALSE),"-") &amp; " / " &amp; IFERROR(VLOOKUP(MID(N31,O31,P31-O31),[6]skilldef!$A:$B,2,FALSE),"-")</f>
        <v>自分自身に / 攻撃頻度がUP</v>
      </c>
      <c r="T31" s="48" t="str">
        <f t="shared" ref="T31" si="69">IFERROR(RIGHT(M31,LEN(M31)-FIND("],",M31)-1),"none")</f>
        <v>[effect:enemy_message, val1:1.3, val2:2.2]</v>
      </c>
      <c r="U31" s="63">
        <f t="shared" ref="U31" si="70">FIND("effect:",T31)+7</f>
        <v>9</v>
      </c>
      <c r="V31" s="63">
        <f t="shared" ref="V31" si="71">IFERROR(FIND(",",T31),LEN(T31))</f>
        <v>22</v>
      </c>
      <c r="W31" s="63" t="e">
        <f t="shared" ref="W31" si="72">FIND("target:",T31)+7</f>
        <v>#VALUE!</v>
      </c>
      <c r="X31" s="63">
        <f t="shared" ref="X31" si="73">FIND(",",T31,V31+1)</f>
        <v>32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  <c r="AC31" s="49">
        <f t="shared" si="15"/>
        <v>13</v>
      </c>
      <c r="AD31" s="49">
        <f t="shared" si="16"/>
        <v>22</v>
      </c>
    </row>
    <row r="32" spans="1:30" ht="21" customHeight="1" x14ac:dyDescent="0.15">
      <c r="A32" s="105">
        <v>47006512</v>
      </c>
      <c r="B32" s="105" t="s">
        <v>338</v>
      </c>
      <c r="C32" s="106">
        <v>3</v>
      </c>
      <c r="D32" s="106" t="s">
        <v>128</v>
      </c>
      <c r="E32" s="107" t="s">
        <v>281</v>
      </c>
      <c r="F32" s="107" t="s">
        <v>382</v>
      </c>
      <c r="G32" s="63" t="str">
        <f t="shared" si="0"/>
        <v>[effect:force_change_block, new_block:crash, target:block_all, ignore01:block_positive, ignore02:block_negative, count:10, val:6, animation:change_block]</v>
      </c>
      <c r="H32" s="63">
        <f t="shared" si="1"/>
        <v>9</v>
      </c>
      <c r="I32" s="63">
        <f t="shared" si="2"/>
        <v>27</v>
      </c>
      <c r="J32" s="63">
        <f t="shared" si="3"/>
        <v>53</v>
      </c>
      <c r="K32" s="63">
        <f t="shared" si="4"/>
        <v>44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5"/>
        <v>[effect:freq_turn, target:myself, turn:-1, val:1, animation:enemy_freq_turn],[effect:enemy_message, val1:1.3, val2:2.2]</v>
      </c>
      <c r="N32" s="48" t="str">
        <f>IFERROR(LEFT(M32,FIND("],",M32)+S41),M32)</f>
        <v>[effect:freq_turn, target:myself, turn:-1, val:1, animation:enemy_freq_turn],[effect:enemy_message, val1:1.3, val2:2.2]</v>
      </c>
      <c r="O32" s="63">
        <f t="shared" si="6"/>
        <v>9</v>
      </c>
      <c r="P32" s="63">
        <f t="shared" si="7"/>
        <v>18</v>
      </c>
      <c r="Q32" s="63">
        <f t="shared" si="8"/>
        <v>27</v>
      </c>
      <c r="R32" s="63">
        <f t="shared" si="9"/>
        <v>33</v>
      </c>
      <c r="S32" s="63" t="str">
        <f>IFERROR(VLOOKUP(MID(N32,Q32,R32-Q32),[6]skilldef!$C:$D,2,FALSE),"-") &amp; " / " &amp; IFERROR(VLOOKUP(MID(N32,O32,P32-O32),[6]skilldef!$A:$B,2,FALSE),"-")</f>
        <v>自分自身に / 攻撃頻度がUP</v>
      </c>
      <c r="T32" s="48" t="str">
        <f t="shared" si="10"/>
        <v>[effect:enemy_message, val1:1.3, val2:2.2]</v>
      </c>
      <c r="U32" s="63">
        <f t="shared" si="11"/>
        <v>9</v>
      </c>
      <c r="V32" s="63">
        <f t="shared" si="12"/>
        <v>22</v>
      </c>
      <c r="W32" s="63" t="e">
        <f t="shared" si="13"/>
        <v>#VALUE!</v>
      </c>
      <c r="X32" s="63">
        <f t="shared" si="14"/>
        <v>32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1"/>
      <c r="AB32" s="50"/>
      <c r="AC32" s="49">
        <f t="shared" si="15"/>
        <v>13</v>
      </c>
      <c r="AD32" s="49">
        <f t="shared" si="16"/>
        <v>22</v>
      </c>
    </row>
    <row r="33" spans="1:30" ht="21" customHeight="1" x14ac:dyDescent="0.15">
      <c r="A33" s="105">
        <v>47006513</v>
      </c>
      <c r="B33" s="105" t="s">
        <v>339</v>
      </c>
      <c r="C33" s="106">
        <v>3</v>
      </c>
      <c r="D33" s="106" t="s">
        <v>128</v>
      </c>
      <c r="E33" s="107" t="s">
        <v>281</v>
      </c>
      <c r="F33" s="107" t="s">
        <v>383</v>
      </c>
      <c r="G33" s="63" t="str">
        <f t="shared" si="0"/>
        <v>[effect:force_change_block, new_block:crash, target:block_all, ignore01:block_positive, ignore02:block_negative, count:5, val:36, animation:change_block]</v>
      </c>
      <c r="H33" s="63">
        <f t="shared" si="1"/>
        <v>9</v>
      </c>
      <c r="I33" s="63">
        <f t="shared" si="2"/>
        <v>27</v>
      </c>
      <c r="J33" s="63">
        <f t="shared" si="3"/>
        <v>53</v>
      </c>
      <c r="K33" s="63">
        <f t="shared" si="4"/>
        <v>44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5"/>
        <v>[effect:freq_turn, target:myself, turn:-1, val:1, animation:enemy_freq_turn],[effect:enemy_message, val1:1.3, val2:2.2]</v>
      </c>
      <c r="N33" s="48" t="str">
        <f>IFERROR(LEFT(M33,FIND("],",M33)+S42),M33)</f>
        <v>[effect:freq_turn, target:myself, turn:-1, val:1, animation:enemy_freq_turn],[effect:enemy_message, val1:1.3, val2:2.2]</v>
      </c>
      <c r="O33" s="63">
        <f t="shared" si="6"/>
        <v>9</v>
      </c>
      <c r="P33" s="63">
        <f t="shared" si="7"/>
        <v>18</v>
      </c>
      <c r="Q33" s="63">
        <f t="shared" si="8"/>
        <v>27</v>
      </c>
      <c r="R33" s="63">
        <f t="shared" si="9"/>
        <v>33</v>
      </c>
      <c r="S33" s="63" t="str">
        <f>IFERROR(VLOOKUP(MID(N33,Q33,R33-Q33),[6]skilldef!$C:$D,2,FALSE),"-") &amp; " / " &amp; IFERROR(VLOOKUP(MID(N33,O33,P33-O33),[6]skilldef!$A:$B,2,FALSE),"-")</f>
        <v>自分自身に / 攻撃頻度がUP</v>
      </c>
      <c r="T33" s="48" t="str">
        <f t="shared" si="10"/>
        <v>[effect:enemy_message, val1:1.3, val2:2.2]</v>
      </c>
      <c r="U33" s="63">
        <f t="shared" si="11"/>
        <v>9</v>
      </c>
      <c r="V33" s="63">
        <f t="shared" si="12"/>
        <v>22</v>
      </c>
      <c r="W33" s="63" t="e">
        <f t="shared" si="13"/>
        <v>#VALUE!</v>
      </c>
      <c r="X33" s="63">
        <f t="shared" si="14"/>
        <v>32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  <c r="AC33" s="49">
        <f t="shared" si="15"/>
        <v>13</v>
      </c>
      <c r="AD33" s="49">
        <f t="shared" si="16"/>
        <v>22</v>
      </c>
    </row>
    <row r="34" spans="1:30" ht="47" customHeight="1" x14ac:dyDescent="0.15">
      <c r="A34" s="108">
        <v>47006600</v>
      </c>
      <c r="B34" s="136" t="s">
        <v>413</v>
      </c>
      <c r="C34" s="109">
        <v>3</v>
      </c>
      <c r="D34" s="109" t="s">
        <v>128</v>
      </c>
      <c r="E34" s="110" t="s">
        <v>290</v>
      </c>
      <c r="F34" s="110" t="s">
        <v>412</v>
      </c>
      <c r="G34" s="63" t="str">
        <f t="shared" si="0"/>
        <v>[effect:drop_block, block_type:time_bomb, color:block_all, val:0.2, rate:0.08, turn:-1,min_time_count:2, max_time_count:2,  animation:time_bomb_influence04]</v>
      </c>
      <c r="H34" s="63">
        <f t="shared" si="1"/>
        <v>9</v>
      </c>
      <c r="I34" s="63">
        <f t="shared" si="2"/>
        <v>19</v>
      </c>
      <c r="J34" s="63" t="e">
        <f t="shared" si="3"/>
        <v>#VALUE!</v>
      </c>
      <c r="K34" s="63">
        <f t="shared" si="4"/>
        <v>41</v>
      </c>
      <c r="L34" s="63" t="str">
        <f>IFERROR(VLOOKUP(MID(G34,J34,K34-J34),[6]skilldef!$C:$D,2,FALSE),"-") &amp; " / " &amp; IFERROR(VLOOKUP(MID(G34,H34,I34-H34),[6]skilldef!$A:$B,2,FALSE),"-")</f>
        <v>- / 特定ブロックの割合ドロップ</v>
      </c>
      <c r="M34" s="63" t="str">
        <f t="shared" si="5"/>
        <v>[effect:fix_speed, target:myself, turn:2],[effect:enemy_message, val1:1.5, val2:2.3]</v>
      </c>
      <c r="N34" s="48" t="str">
        <f>IFERROR(LEFT(M34,FIND("],",M34)+S45),M34)</f>
        <v>[effect:fix_speed, target:myself, turn:2],[effect:enemy_message, val1:1.5, val2:2.3]</v>
      </c>
      <c r="O34" s="63">
        <f t="shared" si="6"/>
        <v>9</v>
      </c>
      <c r="P34" s="63">
        <f t="shared" si="7"/>
        <v>18</v>
      </c>
      <c r="Q34" s="63">
        <f t="shared" si="8"/>
        <v>27</v>
      </c>
      <c r="R34" s="63">
        <f t="shared" si="9"/>
        <v>33</v>
      </c>
      <c r="S34" s="63" t="str">
        <f>IFERROR(VLOOKUP(MID(N34,Q34,R34-Q34),[6]skilldef!$C:$D,2,FALSE),"-") &amp; " / " &amp; IFERROR(VLOOKUP(MID(N34,O34,P34-O34),[6]skilldef!$A:$B,2,FALSE),"-")</f>
        <v>自分自身に / 行動値設定</v>
      </c>
      <c r="T34" s="48" t="str">
        <f t="shared" si="10"/>
        <v>[effect:enemy_message, val1:1.5, val2:2.3]</v>
      </c>
      <c r="U34" s="63">
        <f t="shared" si="11"/>
        <v>9</v>
      </c>
      <c r="V34" s="63">
        <f t="shared" si="12"/>
        <v>22</v>
      </c>
      <c r="W34" s="63" t="e">
        <f t="shared" si="13"/>
        <v>#VALUE!</v>
      </c>
      <c r="X34" s="63">
        <f t="shared" si="14"/>
        <v>32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1"/>
      <c r="AB34" s="50"/>
      <c r="AC34" s="49">
        <f t="shared" si="15"/>
        <v>15</v>
      </c>
      <c r="AD34" s="49">
        <f t="shared" si="16"/>
        <v>23</v>
      </c>
    </row>
    <row r="35" spans="1:30" ht="39" customHeight="1" x14ac:dyDescent="0.15">
      <c r="A35" s="108">
        <v>47006601</v>
      </c>
      <c r="B35" s="108" t="s">
        <v>359</v>
      </c>
      <c r="C35" s="109">
        <v>3</v>
      </c>
      <c r="D35" s="109" t="s">
        <v>128</v>
      </c>
      <c r="E35" s="110" t="s">
        <v>280</v>
      </c>
      <c r="F35" s="110" t="s">
        <v>304</v>
      </c>
      <c r="G35" s="63" t="str">
        <f t="shared" si="0"/>
        <v>[effect:spread, val:0.01]</v>
      </c>
      <c r="H35" s="63">
        <f t="shared" si="1"/>
        <v>9</v>
      </c>
      <c r="I35" s="63">
        <f t="shared" si="2"/>
        <v>15</v>
      </c>
      <c r="J35" s="63" t="e">
        <f t="shared" si="3"/>
        <v>#VALUE!</v>
      </c>
      <c r="K35" s="63" t="e">
        <f t="shared" si="4"/>
        <v>#VALUE!</v>
      </c>
      <c r="L35" s="63" t="str">
        <f>IFERROR(VLOOKUP(MID(G35,J35,K35-J35),[6]skilldef!$C:$D,2,FALSE),"-") &amp; " / " &amp; IFERROR(VLOOKUP(MID(G35,H35,I35-H35),[6]skilldef!$A:$B,2,FALSE),"-")</f>
        <v>- / 全体攻撃</v>
      </c>
      <c r="M35" s="63" t="str">
        <f t="shared" si="5"/>
        <v>[effect:enemy_message, val1:1.2, val2:2.9]</v>
      </c>
      <c r="N35" s="48" t="str">
        <f>IFERROR(LEFT(M35,FIND("],",M35)+#REF!),M35)</f>
        <v>[effect:enemy_message, val1:1.2, val2:2.9]</v>
      </c>
      <c r="O35" s="63">
        <f t="shared" si="6"/>
        <v>9</v>
      </c>
      <c r="P35" s="63">
        <f t="shared" si="7"/>
        <v>22</v>
      </c>
      <c r="Q35" s="63" t="e">
        <f t="shared" si="8"/>
        <v>#VALUE!</v>
      </c>
      <c r="R35" s="63">
        <f t="shared" si="9"/>
        <v>32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0"/>
        <v>none</v>
      </c>
      <c r="U35" s="63" t="e">
        <f t="shared" si="11"/>
        <v>#VALUE!</v>
      </c>
      <c r="V35" s="63">
        <f t="shared" si="12"/>
        <v>4</v>
      </c>
      <c r="W35" s="63" t="e">
        <f t="shared" si="13"/>
        <v>#VALUE!</v>
      </c>
      <c r="X35" s="63" t="e">
        <f t="shared" si="14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1"/>
      <c r="AB35" s="50"/>
      <c r="AC35" s="49">
        <f t="shared" si="15"/>
        <v>8</v>
      </c>
      <c r="AD35" s="49">
        <f t="shared" si="16"/>
        <v>30</v>
      </c>
    </row>
    <row r="36" spans="1:30" ht="21" customHeight="1" x14ac:dyDescent="0.15">
      <c r="A36" s="108">
        <v>47006602</v>
      </c>
      <c r="B36" s="108" t="s">
        <v>356</v>
      </c>
      <c r="C36" s="109">
        <v>3</v>
      </c>
      <c r="D36" s="109" t="s">
        <v>128</v>
      </c>
      <c r="E36" s="110" t="s">
        <v>280</v>
      </c>
      <c r="F36" s="110" t="s">
        <v>261</v>
      </c>
      <c r="G36" s="63" t="str">
        <f t="shared" si="0"/>
        <v>[effect:enemy_message, val1:1.2, val2:1.5]</v>
      </c>
      <c r="H36" s="63">
        <f t="shared" si="1"/>
        <v>9</v>
      </c>
      <c r="I36" s="63">
        <f t="shared" si="2"/>
        <v>22</v>
      </c>
      <c r="J36" s="63" t="e">
        <f t="shared" si="3"/>
        <v>#VALUE!</v>
      </c>
      <c r="K36" s="63">
        <f t="shared" si="4"/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si="5"/>
        <v>[effect:spread, val:0.25]</v>
      </c>
      <c r="N36" s="48" t="str">
        <f>IFERROR(LEFT(M36,FIND("],",M36)+S46),M36)</f>
        <v>[effect:spread, val:0.25]</v>
      </c>
      <c r="O36" s="63">
        <f t="shared" si="6"/>
        <v>9</v>
      </c>
      <c r="P36" s="63">
        <f t="shared" si="7"/>
        <v>15</v>
      </c>
      <c r="Q36" s="63" t="e">
        <f t="shared" si="8"/>
        <v>#VALUE!</v>
      </c>
      <c r="R36" s="63" t="e">
        <f t="shared" si="9"/>
        <v>#VALUE!</v>
      </c>
      <c r="S36" s="63" t="str">
        <f>IFERROR(VLOOKUP(MID(N36,Q36,R36-Q36),[6]skilldef!$C:$D,2,FALSE),"-") &amp; " / " &amp; IFERROR(VLOOKUP(MID(N36,O36,P36-O36),[6]skilldef!$A:$B,2,FALSE),"-")</f>
        <v>- / 全体攻撃</v>
      </c>
      <c r="T36" s="48" t="str">
        <f t="shared" si="10"/>
        <v>none</v>
      </c>
      <c r="U36" s="63" t="e">
        <f t="shared" si="11"/>
        <v>#VALUE!</v>
      </c>
      <c r="V36" s="63">
        <f t="shared" si="12"/>
        <v>4</v>
      </c>
      <c r="W36" s="63" t="e">
        <f t="shared" si="13"/>
        <v>#VALUE!</v>
      </c>
      <c r="X36" s="63" t="e">
        <f t="shared" si="14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1"/>
      <c r="AB36" s="50"/>
      <c r="AC36" s="49">
        <f t="shared" si="15"/>
        <v>8</v>
      </c>
      <c r="AD36" s="49">
        <f t="shared" si="16"/>
        <v>15</v>
      </c>
    </row>
    <row r="37" spans="1:30" ht="21" customHeight="1" x14ac:dyDescent="0.15">
      <c r="A37" s="108">
        <v>47006603</v>
      </c>
      <c r="B37" s="108" t="s">
        <v>357</v>
      </c>
      <c r="C37" s="109">
        <v>3</v>
      </c>
      <c r="D37" s="109" t="s">
        <v>128</v>
      </c>
      <c r="E37" s="110" t="s">
        <v>280</v>
      </c>
      <c r="F37" s="110" t="s">
        <v>261</v>
      </c>
      <c r="G37" s="63" t="str">
        <f t="shared" si="0"/>
        <v>[effect:enemy_message, val1:1.2, val2:1.5]</v>
      </c>
      <c r="H37" s="63">
        <f t="shared" si="1"/>
        <v>9</v>
      </c>
      <c r="I37" s="63">
        <f t="shared" si="2"/>
        <v>22</v>
      </c>
      <c r="J37" s="63" t="e">
        <f t="shared" si="3"/>
        <v>#VALUE!</v>
      </c>
      <c r="K37" s="63">
        <f t="shared" si="4"/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5"/>
        <v>[effect:spread, val:0.30]</v>
      </c>
      <c r="N37" s="48" t="str">
        <f>IFERROR(LEFT(M37,FIND("],",M37)+S48),M37)</f>
        <v>[effect:spread, val:0.30]</v>
      </c>
      <c r="O37" s="63">
        <f t="shared" si="6"/>
        <v>9</v>
      </c>
      <c r="P37" s="63">
        <f t="shared" si="7"/>
        <v>15</v>
      </c>
      <c r="Q37" s="63" t="e">
        <f t="shared" si="8"/>
        <v>#VALUE!</v>
      </c>
      <c r="R37" s="63" t="e">
        <f t="shared" si="9"/>
        <v>#VALUE!</v>
      </c>
      <c r="S37" s="63" t="str">
        <f>IFERROR(VLOOKUP(MID(N37,Q37,R37-Q37),[6]skilldef!$C:$D,2,FALSE),"-") &amp; " / " &amp; IFERROR(VLOOKUP(MID(N37,O37,P37-O37),[6]skilldef!$A:$B,2,FALSE),"-")</f>
        <v>- / 全体攻撃</v>
      </c>
      <c r="T37" s="48" t="str">
        <f t="shared" si="10"/>
        <v>none</v>
      </c>
      <c r="U37" s="63" t="e">
        <f t="shared" si="11"/>
        <v>#VALUE!</v>
      </c>
      <c r="V37" s="63">
        <f t="shared" si="12"/>
        <v>4</v>
      </c>
      <c r="W37" s="63" t="e">
        <f t="shared" si="13"/>
        <v>#VALUE!</v>
      </c>
      <c r="X37" s="63" t="e">
        <f t="shared" si="14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  <c r="AC37" s="49">
        <f t="shared" si="15"/>
        <v>8</v>
      </c>
      <c r="AD37" s="49">
        <f t="shared" si="16"/>
        <v>15</v>
      </c>
    </row>
    <row r="38" spans="1:30" ht="50" customHeight="1" x14ac:dyDescent="0.15">
      <c r="A38" s="108">
        <v>47006604</v>
      </c>
      <c r="B38" s="108" t="s">
        <v>360</v>
      </c>
      <c r="C38" s="109">
        <v>3</v>
      </c>
      <c r="D38" s="109" t="s">
        <v>128</v>
      </c>
      <c r="E38" s="110" t="s">
        <v>280</v>
      </c>
      <c r="F38" s="110" t="s">
        <v>297</v>
      </c>
      <c r="G38" s="63" t="str">
        <f t="shared" si="0"/>
        <v>[effect:spread, val:0.35]</v>
      </c>
      <c r="H38" s="63">
        <f t="shared" si="1"/>
        <v>9</v>
      </c>
      <c r="I38" s="63">
        <f t="shared" si="2"/>
        <v>15</v>
      </c>
      <c r="J38" s="63" t="e">
        <f t="shared" si="3"/>
        <v>#VALUE!</v>
      </c>
      <c r="K38" s="63" t="e">
        <f t="shared" si="4"/>
        <v>#VALUE!</v>
      </c>
      <c r="L38" s="63" t="str">
        <f>IFERROR(VLOOKUP(MID(G38,J38,K38-J38),[6]skilldef!$C:$D,2,FALSE),"-") &amp; " / " &amp; IFERROR(VLOOKUP(MID(G38,H38,I38-H38),[6]skilldef!$A:$B,2,FALSE),"-")</f>
        <v>- / 全体攻撃</v>
      </c>
      <c r="M38" s="63" t="str">
        <f t="shared" si="5"/>
        <v>[effect:enemy_message, val1:1.2, val2:2.8]</v>
      </c>
      <c r="N38" s="48" t="str">
        <f>IFERROR(LEFT(M38,FIND("],",M38)+S49),M38)</f>
        <v>[effect:enemy_message, val1:1.2, val2:2.8]</v>
      </c>
      <c r="O38" s="63">
        <f t="shared" si="6"/>
        <v>9</v>
      </c>
      <c r="P38" s="63">
        <f t="shared" si="7"/>
        <v>22</v>
      </c>
      <c r="Q38" s="63" t="e">
        <f t="shared" si="8"/>
        <v>#VALUE!</v>
      </c>
      <c r="R38" s="63">
        <f t="shared" si="9"/>
        <v>32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10"/>
        <v>none</v>
      </c>
      <c r="U38" s="63" t="e">
        <f t="shared" si="11"/>
        <v>#VALUE!</v>
      </c>
      <c r="V38" s="63">
        <f t="shared" si="12"/>
        <v>4</v>
      </c>
      <c r="W38" s="63" t="e">
        <f t="shared" si="13"/>
        <v>#VALUE!</v>
      </c>
      <c r="X38" s="63" t="e">
        <f t="shared" si="14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  <c r="AC38" s="49">
        <f t="shared" si="15"/>
        <v>8</v>
      </c>
      <c r="AD38" s="49">
        <f t="shared" si="16"/>
        <v>29</v>
      </c>
    </row>
    <row r="39" spans="1:30" ht="29" customHeight="1" x14ac:dyDescent="0.15">
      <c r="A39" s="108">
        <v>47006605</v>
      </c>
      <c r="B39" s="108" t="s">
        <v>392</v>
      </c>
      <c r="C39" s="109">
        <v>3</v>
      </c>
      <c r="D39" s="109" t="s">
        <v>128</v>
      </c>
      <c r="E39" s="110" t="s">
        <v>294</v>
      </c>
      <c r="F39" s="110" t="s">
        <v>373</v>
      </c>
      <c r="G39" s="63" t="str">
        <f t="shared" si="0"/>
        <v>[effect:force_change_block, new_block:damage, target:block_all, ignore01:block_positive, ignore02:block_negative, count:5, val:0.14, animation:change_block]</v>
      </c>
      <c r="H39" s="63">
        <f t="shared" si="1"/>
        <v>9</v>
      </c>
      <c r="I39" s="63">
        <f t="shared" si="2"/>
        <v>27</v>
      </c>
      <c r="J39" s="63">
        <f t="shared" si="3"/>
        <v>54</v>
      </c>
      <c r="K39" s="63">
        <f t="shared" si="4"/>
        <v>45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si="5"/>
        <v>[effect:freq_turn, target:myself, turn:-1, val:1, animation:enemy_freq_turn],[effect:enemy_message, val1:1.9, val2:2.8]</v>
      </c>
      <c r="N39" s="48" t="str">
        <f>IFERROR(LEFT(M39,FIND("],",M39)+S52),M39)</f>
        <v>[effect:freq_turn, target:myself, turn:-1, val:1, animation:enemy_freq_turn],[effect:enemy_message, val1:1.9, val2:2.8]</v>
      </c>
      <c r="O39" s="63">
        <f t="shared" si="6"/>
        <v>9</v>
      </c>
      <c r="P39" s="63">
        <f t="shared" si="7"/>
        <v>18</v>
      </c>
      <c r="Q39" s="63">
        <f t="shared" si="8"/>
        <v>27</v>
      </c>
      <c r="R39" s="63">
        <f t="shared" si="9"/>
        <v>33</v>
      </c>
      <c r="S39" s="63" t="str">
        <f>IFERROR(VLOOKUP(MID(N39,Q39,R39-Q39),[6]skilldef!$C:$D,2,FALSE),"-") &amp; " / " &amp; IFERROR(VLOOKUP(MID(N39,O39,P39-O39),[6]skilldef!$A:$B,2,FALSE),"-")</f>
        <v>自分自身に / 攻撃頻度がUP</v>
      </c>
      <c r="T39" s="48" t="str">
        <f t="shared" si="10"/>
        <v>[effect:enemy_message, val1:1.9, val2:2.8]</v>
      </c>
      <c r="U39" s="63">
        <f t="shared" si="11"/>
        <v>9</v>
      </c>
      <c r="V39" s="63">
        <f t="shared" si="12"/>
        <v>22</v>
      </c>
      <c r="W39" s="63" t="e">
        <f t="shared" si="13"/>
        <v>#VALUE!</v>
      </c>
      <c r="X39" s="63">
        <f t="shared" si="14"/>
        <v>32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  <c r="AC39" s="49">
        <f t="shared" si="15"/>
        <v>19</v>
      </c>
      <c r="AD39" s="49">
        <f t="shared" si="16"/>
        <v>28</v>
      </c>
    </row>
    <row r="40" spans="1:30" ht="30" customHeight="1" x14ac:dyDescent="0.15">
      <c r="A40" s="108">
        <v>47006606</v>
      </c>
      <c r="B40" s="108" t="s">
        <v>393</v>
      </c>
      <c r="C40" s="109">
        <v>3</v>
      </c>
      <c r="D40" s="109" t="s">
        <v>128</v>
      </c>
      <c r="E40" s="110" t="s">
        <v>294</v>
      </c>
      <c r="F40" s="110" t="s">
        <v>371</v>
      </c>
      <c r="G40" s="63" t="str">
        <f>IFERROR(LEFT(B40,FIND("],",B40)),B40)</f>
        <v>[effect:force_change_block, new_block:jammer, target:block_all, ignore01:block_positive, ignore02:block_negative, count:10, val:0, animation:change_block]</v>
      </c>
      <c r="H40" s="63">
        <f>FIND("effect:",G40)+7</f>
        <v>9</v>
      </c>
      <c r="I40" s="63">
        <f>IFERROR(FIND(",",G40),LEN(G40))</f>
        <v>27</v>
      </c>
      <c r="J40" s="63">
        <f>FIND("target:",G40)+7</f>
        <v>54</v>
      </c>
      <c r="K40" s="63">
        <f>FIND(",",G40,I40+1)</f>
        <v>45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>IFERROR(RIGHT(B40,LEN(B40)-FIND("],",B40)-1),"none")</f>
        <v>[effect:freq_turn, target:myself, turn:-1, val:1, animation:enemy_freq_turn],[effect:enemy_message, val1:1.9, val2:2.6]</v>
      </c>
      <c r="N40" s="48" t="str">
        <f>IFERROR(LEFT(M40,FIND("],",M40)+S48),M40)</f>
        <v>[effect:freq_turn, target:myself, turn:-1, val:1, animation:enemy_freq_turn],[effect:enemy_message, val1:1.9, val2:2.6]</v>
      </c>
      <c r="O40" s="63">
        <f>FIND("effect:",N40)+7</f>
        <v>9</v>
      </c>
      <c r="P40" s="63">
        <f>IFERROR(FIND(",",N40),LEN(N40))</f>
        <v>18</v>
      </c>
      <c r="Q40" s="63">
        <f>FIND("target:",N40)+7</f>
        <v>27</v>
      </c>
      <c r="R40" s="63">
        <f>FIND(",",N40,P40+1)</f>
        <v>33</v>
      </c>
      <c r="S40" s="63" t="str">
        <f>IFERROR(VLOOKUP(MID(N40,Q40,R40-Q40),[6]skilldef!$C:$D,2,FALSE),"-") &amp; " / " &amp; IFERROR(VLOOKUP(MID(N40,O40,P40-O40),[6]skilldef!$A:$B,2,FALSE),"-")</f>
        <v>自分自身に / 攻撃頻度がUP</v>
      </c>
      <c r="T40" s="48" t="str">
        <f>IFERROR(RIGHT(M40,LEN(M40)-FIND("],",M40)-1),"none")</f>
        <v>[effect:enemy_message, val1:1.9, val2:2.6]</v>
      </c>
      <c r="U40" s="63">
        <f>FIND("effect:",T40)+7</f>
        <v>9</v>
      </c>
      <c r="V40" s="63">
        <f>IFERROR(FIND(",",T40),LEN(T40))</f>
        <v>22</v>
      </c>
      <c r="W40" s="63" t="e">
        <f>FIND("target:",T40)+7</f>
        <v>#VALUE!</v>
      </c>
      <c r="X40" s="63">
        <f>FIND(",",T40,V40+1)</f>
        <v>32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  <c r="AC40" s="49">
        <f t="shared" si="15"/>
        <v>19</v>
      </c>
      <c r="AD40" s="49">
        <f t="shared" si="16"/>
        <v>26</v>
      </c>
    </row>
    <row r="41" spans="1:30" ht="21" customHeight="1" x14ac:dyDescent="0.15">
      <c r="A41" s="108">
        <v>47006607</v>
      </c>
      <c r="B41" s="108" t="s">
        <v>394</v>
      </c>
      <c r="C41" s="109">
        <v>3</v>
      </c>
      <c r="D41" s="109" t="s">
        <v>128</v>
      </c>
      <c r="E41" s="110" t="s">
        <v>294</v>
      </c>
      <c r="F41" s="110" t="s">
        <v>380</v>
      </c>
      <c r="G41" s="63" t="str">
        <f t="shared" si="0"/>
        <v>[effect:force_change_block, new_block:time_bomb, target:block_all, ignore01:block_positive, ignore02:block_negative, color:block_random, count:10, val:0.2,min_time_count:2, max_time_count:2, animation:change_block]</v>
      </c>
      <c r="H41" s="63">
        <f t="shared" si="1"/>
        <v>9</v>
      </c>
      <c r="I41" s="63">
        <f t="shared" si="2"/>
        <v>27</v>
      </c>
      <c r="J41" s="63">
        <f t="shared" si="3"/>
        <v>57</v>
      </c>
      <c r="K41" s="63">
        <f t="shared" si="4"/>
        <v>48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5"/>
        <v>[effect:freq_turn, target:myself, turn:-1, val:1, animation:enemy_freq_turn],[effect:enemy_message, val1:1.9, val2:3.0]</v>
      </c>
      <c r="N41" s="48" t="str">
        <f>IFERROR(LEFT(M41,FIND("],",M41)+S53),M41)</f>
        <v>[effect:freq_turn, target:myself, turn:-1, val:1, animation:enemy_freq_turn],[effect:enemy_message, val1:1.9, val2:3.0]</v>
      </c>
      <c r="O41" s="63">
        <f t="shared" si="6"/>
        <v>9</v>
      </c>
      <c r="P41" s="63">
        <f t="shared" si="7"/>
        <v>18</v>
      </c>
      <c r="Q41" s="63">
        <f t="shared" si="8"/>
        <v>27</v>
      </c>
      <c r="R41" s="63">
        <f t="shared" si="9"/>
        <v>33</v>
      </c>
      <c r="S41" s="63" t="str">
        <f>IFERROR(VLOOKUP(MID(N41,Q41,R41-Q41),[6]skilldef!$C:$D,2,FALSE),"-") &amp; " / " &amp; IFERROR(VLOOKUP(MID(N41,O41,P41-O41),[6]skilldef!$A:$B,2,FALSE),"-")</f>
        <v>自分自身に / 攻撃頻度がUP</v>
      </c>
      <c r="T41" s="48" t="str">
        <f t="shared" si="10"/>
        <v>[effect:enemy_message, val1:1.9, val2:3.0]</v>
      </c>
      <c r="U41" s="63">
        <f t="shared" si="11"/>
        <v>9</v>
      </c>
      <c r="V41" s="63">
        <f t="shared" si="12"/>
        <v>22</v>
      </c>
      <c r="W41" s="63" t="e">
        <f t="shared" si="13"/>
        <v>#VALUE!</v>
      </c>
      <c r="X41" s="63">
        <f t="shared" si="14"/>
        <v>32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  <c r="AC41" s="49">
        <f t="shared" si="15"/>
        <v>19</v>
      </c>
      <c r="AD41" s="49">
        <f t="shared" si="16"/>
        <v>31</v>
      </c>
    </row>
    <row r="42" spans="1:30" ht="21" customHeight="1" x14ac:dyDescent="0.15">
      <c r="A42" s="108">
        <v>47006608</v>
      </c>
      <c r="B42" s="108" t="s">
        <v>395</v>
      </c>
      <c r="C42" s="109">
        <v>3</v>
      </c>
      <c r="D42" s="109" t="s">
        <v>128</v>
      </c>
      <c r="E42" s="110" t="s">
        <v>294</v>
      </c>
      <c r="F42" s="110" t="s">
        <v>372</v>
      </c>
      <c r="G42" s="63" t="str">
        <f t="shared" si="0"/>
        <v>[effect:force_change_block, new_block:crack_bomb, target:block_all, ignore01:block_positive, ignore02:block_negative, color:block_random, count:10, val:24, animation:change_block]</v>
      </c>
      <c r="H42" s="63">
        <f t="shared" si="1"/>
        <v>9</v>
      </c>
      <c r="I42" s="63">
        <f t="shared" si="2"/>
        <v>27</v>
      </c>
      <c r="J42" s="63">
        <f t="shared" si="3"/>
        <v>58</v>
      </c>
      <c r="K42" s="63">
        <f t="shared" si="4"/>
        <v>49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5"/>
        <v>[effect:freq_turn, target:myself, turn:-1, val:1, animation:enemy_freq_turn],[effect:enemy_message, val1:1.9, val2:2.5]</v>
      </c>
      <c r="N42" s="48" t="str">
        <f>IFERROR(LEFT(M42,FIND("],",M42)+S54),M42)</f>
        <v>[effect:freq_turn, target:myself, turn:-1, val:1, animation:enemy_freq_turn],[effect:enemy_message, val1:1.9, val2:2.5]</v>
      </c>
      <c r="O42" s="63">
        <f t="shared" si="6"/>
        <v>9</v>
      </c>
      <c r="P42" s="63">
        <f t="shared" si="7"/>
        <v>18</v>
      </c>
      <c r="Q42" s="63">
        <f t="shared" si="8"/>
        <v>27</v>
      </c>
      <c r="R42" s="63">
        <f t="shared" si="9"/>
        <v>33</v>
      </c>
      <c r="S42" s="63" t="str">
        <f>IFERROR(VLOOKUP(MID(N42,Q42,R42-Q42),[6]skilldef!$C:$D,2,FALSE),"-") &amp; " / " &amp; IFERROR(VLOOKUP(MID(N42,O42,P42-O42),[6]skilldef!$A:$B,2,FALSE),"-")</f>
        <v>自分自身に / 攻撃頻度がUP</v>
      </c>
      <c r="T42" s="48" t="str">
        <f t="shared" si="10"/>
        <v>[effect:enemy_message, val1:1.9, val2:2.5]</v>
      </c>
      <c r="U42" s="63">
        <f t="shared" si="11"/>
        <v>9</v>
      </c>
      <c r="V42" s="63">
        <f t="shared" si="12"/>
        <v>22</v>
      </c>
      <c r="W42" s="63" t="e">
        <f t="shared" si="13"/>
        <v>#VALUE!</v>
      </c>
      <c r="X42" s="63">
        <f t="shared" si="14"/>
        <v>32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  <c r="AC42" s="49">
        <f t="shared" si="15"/>
        <v>19</v>
      </c>
      <c r="AD42" s="49">
        <f t="shared" si="16"/>
        <v>25</v>
      </c>
    </row>
    <row r="43" spans="1:30" ht="21" customHeight="1" x14ac:dyDescent="0.15">
      <c r="A43" s="108">
        <v>47006609</v>
      </c>
      <c r="B43" s="108" t="s">
        <v>396</v>
      </c>
      <c r="C43" s="109">
        <v>3</v>
      </c>
      <c r="D43" s="109" t="s">
        <v>128</v>
      </c>
      <c r="E43" s="110" t="s">
        <v>294</v>
      </c>
      <c r="F43" s="110" t="s">
        <v>381</v>
      </c>
      <c r="G43" s="63" t="str">
        <f t="shared" ref="G43" si="74">IFERROR(LEFT(B43,FIND("],",B43)),B43)</f>
        <v>[effect:force_change_block, new_block:color_break, target:block_all, ignore01:block_positive, ignore02:block_negative,color:block_random, count:3, val:0, animation:change_block]</v>
      </c>
      <c r="H43" s="63">
        <f t="shared" ref="H43" si="75">FIND("effect:",G43)+7</f>
        <v>9</v>
      </c>
      <c r="I43" s="63">
        <f t="shared" ref="I43" si="76">IFERROR(FIND(",",G43),LEN(G43))</f>
        <v>27</v>
      </c>
      <c r="J43" s="63">
        <f t="shared" ref="J43" si="77">FIND("target:",G43)+7</f>
        <v>59</v>
      </c>
      <c r="K43" s="63">
        <f t="shared" ref="K43" si="78">FIND(",",G43,I43+1)</f>
        <v>50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ref="M43" si="79">IFERROR(RIGHT(B43,LEN(B43)-FIND("],",B43)-1),"none")</f>
        <v>[effect:freq_turn, target:myself, turn:-1, val:1, animation:enemy_freq_turn],[effect:enemy_message, val1:1.9, val2:2.2]</v>
      </c>
      <c r="N43" s="48" t="str">
        <f>IFERROR(LEFT(M43,FIND("],",M43)+S53),M43)</f>
        <v>[effect:freq_turn, target:myself, turn:-1, val:1, animation:enemy_freq_turn],[effect:enemy_message, val1:1.9, val2:2.2]</v>
      </c>
      <c r="O43" s="63">
        <f t="shared" ref="O43" si="80">FIND("effect:",N43)+7</f>
        <v>9</v>
      </c>
      <c r="P43" s="63">
        <f t="shared" ref="P43" si="81">IFERROR(FIND(",",N43),LEN(N43))</f>
        <v>18</v>
      </c>
      <c r="Q43" s="63">
        <f t="shared" ref="Q43" si="82">FIND("target:",N43)+7</f>
        <v>27</v>
      </c>
      <c r="R43" s="63">
        <f t="shared" ref="R43" si="83">FIND(",",N43,P43+1)</f>
        <v>33</v>
      </c>
      <c r="S43" s="63" t="str">
        <f>IFERROR(VLOOKUP(MID(N43,Q43,R43-Q43),[6]skilldef!$C:$D,2,FALSE),"-") &amp; " / " &amp; IFERROR(VLOOKUP(MID(N43,O43,P43-O43),[6]skilldef!$A:$B,2,FALSE),"-")</f>
        <v>自分自身に / 攻撃頻度がUP</v>
      </c>
      <c r="T43" s="48" t="str">
        <f t="shared" ref="T43" si="84">IFERROR(RIGHT(M43,LEN(M43)-FIND("],",M43)-1),"none")</f>
        <v>[effect:enemy_message, val1:1.9, val2:2.2]</v>
      </c>
      <c r="U43" s="63">
        <f t="shared" ref="U43" si="85">FIND("effect:",T43)+7</f>
        <v>9</v>
      </c>
      <c r="V43" s="63">
        <f t="shared" ref="V43" si="86">IFERROR(FIND(",",T43),LEN(T43))</f>
        <v>22</v>
      </c>
      <c r="W43" s="63" t="e">
        <f t="shared" ref="W43" si="87">FIND("target:",T43)+7</f>
        <v>#VALUE!</v>
      </c>
      <c r="X43" s="63">
        <f t="shared" ref="X43" si="88">FIND(",",T43,V43+1)</f>
        <v>32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  <c r="AC43" s="49">
        <f t="shared" si="15"/>
        <v>19</v>
      </c>
      <c r="AD43" s="49">
        <f t="shared" si="16"/>
        <v>22</v>
      </c>
    </row>
    <row r="44" spans="1:30" ht="21" customHeight="1" x14ac:dyDescent="0.15">
      <c r="A44" s="108">
        <v>47006610</v>
      </c>
      <c r="B44" s="108" t="s">
        <v>361</v>
      </c>
      <c r="C44" s="109">
        <v>3</v>
      </c>
      <c r="D44" s="109" t="s">
        <v>128</v>
      </c>
      <c r="E44" s="110" t="s">
        <v>294</v>
      </c>
      <c r="F44" s="110" t="s">
        <v>382</v>
      </c>
      <c r="G44" s="63" t="str">
        <f t="shared" si="0"/>
        <v>[effect:force_change_block, new_block:crash, target:block_all, ignore01:block_positive, ignore02:block_negative, count:10, val:6, animation:change_block]</v>
      </c>
      <c r="H44" s="63">
        <f t="shared" si="1"/>
        <v>9</v>
      </c>
      <c r="I44" s="63">
        <f t="shared" si="2"/>
        <v>27</v>
      </c>
      <c r="J44" s="63">
        <f t="shared" si="3"/>
        <v>53</v>
      </c>
      <c r="K44" s="63">
        <f t="shared" si="4"/>
        <v>44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5"/>
        <v>[effect:freq_turn, target:myself, turn:-1, val:1, animation:enemy_freq_turn],[effect:enemy_message, val1:1.9, val2:2.2]</v>
      </c>
      <c r="N44" s="48" t="str">
        <f>IFERROR(LEFT(M44,FIND("],",M44)+#REF!),M44)</f>
        <v>[effect:freq_turn, target:myself, turn:-1, val:1, animation:enemy_freq_turn],[effect:enemy_message, val1:1.9, val2:2.2]</v>
      </c>
      <c r="O44" s="63">
        <f t="shared" si="6"/>
        <v>9</v>
      </c>
      <c r="P44" s="63">
        <f t="shared" si="7"/>
        <v>18</v>
      </c>
      <c r="Q44" s="63">
        <f t="shared" si="8"/>
        <v>27</v>
      </c>
      <c r="R44" s="63">
        <f t="shared" si="9"/>
        <v>33</v>
      </c>
      <c r="S44" s="63" t="str">
        <f>IFERROR(VLOOKUP(MID(N44,Q44,R44-Q44),[6]skilldef!$C:$D,2,FALSE),"-") &amp; " / " &amp; IFERROR(VLOOKUP(MID(N44,O44,P44-O44),[6]skilldef!$A:$B,2,FALSE),"-")</f>
        <v>自分自身に / 攻撃頻度がUP</v>
      </c>
      <c r="T44" s="48" t="str">
        <f t="shared" si="10"/>
        <v>[effect:enemy_message, val1:1.9, val2:2.2]</v>
      </c>
      <c r="U44" s="63">
        <f t="shared" si="11"/>
        <v>9</v>
      </c>
      <c r="V44" s="63">
        <f t="shared" si="12"/>
        <v>22</v>
      </c>
      <c r="W44" s="63" t="e">
        <f t="shared" si="13"/>
        <v>#VALUE!</v>
      </c>
      <c r="X44" s="63">
        <f t="shared" si="14"/>
        <v>32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1"/>
      <c r="AB44" s="50"/>
      <c r="AC44" s="49">
        <f t="shared" si="15"/>
        <v>19</v>
      </c>
      <c r="AD44" s="49">
        <f t="shared" si="16"/>
        <v>22</v>
      </c>
    </row>
    <row r="45" spans="1:30" ht="21" customHeight="1" x14ac:dyDescent="0.15">
      <c r="A45" s="108">
        <v>47006611</v>
      </c>
      <c r="B45" s="108" t="s">
        <v>362</v>
      </c>
      <c r="C45" s="109">
        <v>3</v>
      </c>
      <c r="D45" s="109" t="s">
        <v>128</v>
      </c>
      <c r="E45" s="110" t="s">
        <v>294</v>
      </c>
      <c r="F45" s="110" t="s">
        <v>383</v>
      </c>
      <c r="G45" s="63" t="str">
        <f t="shared" si="0"/>
        <v>[effect:force_change_block, new_block:crash, target:block_all, ignore01:block_positive, ignore02:block_negative, count:5, val:36, animation:change_block]</v>
      </c>
      <c r="H45" s="63">
        <f t="shared" si="1"/>
        <v>9</v>
      </c>
      <c r="I45" s="63">
        <f t="shared" si="2"/>
        <v>27</v>
      </c>
      <c r="J45" s="63">
        <f t="shared" si="3"/>
        <v>53</v>
      </c>
      <c r="K45" s="63">
        <f t="shared" si="4"/>
        <v>44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5"/>
        <v>[effect:freq_turn, target:myself, turn:-1, val:1, animation:enemy_freq_turn],[effect:enemy_message, val1:1.9, val2:2.2]</v>
      </c>
      <c r="N45" s="48" t="str">
        <f>IFERROR(LEFT(M45,FIND("],",M45)+S55),M45)</f>
        <v>[effect:freq_turn, target:myself, turn:-1, val:1, animation:enemy_freq_turn],[effect:enemy_message, val1:1.9, val2:2.2]</v>
      </c>
      <c r="O45" s="63">
        <f t="shared" si="6"/>
        <v>9</v>
      </c>
      <c r="P45" s="63">
        <f t="shared" si="7"/>
        <v>18</v>
      </c>
      <c r="Q45" s="63">
        <f t="shared" si="8"/>
        <v>27</v>
      </c>
      <c r="R45" s="63">
        <f t="shared" si="9"/>
        <v>33</v>
      </c>
      <c r="S45" s="63" t="str">
        <f>IFERROR(VLOOKUP(MID(N45,Q45,R45-Q45),[6]skilldef!$C:$D,2,FALSE),"-") &amp; " / " &amp; IFERROR(VLOOKUP(MID(N45,O45,P45-O45),[6]skilldef!$A:$B,2,FALSE),"-")</f>
        <v>自分自身に / 攻撃頻度がUP</v>
      </c>
      <c r="T45" s="48" t="str">
        <f t="shared" si="10"/>
        <v>[effect:enemy_message, val1:1.9, val2:2.2]</v>
      </c>
      <c r="U45" s="63">
        <f t="shared" si="11"/>
        <v>9</v>
      </c>
      <c r="V45" s="63">
        <f t="shared" si="12"/>
        <v>22</v>
      </c>
      <c r="W45" s="63" t="e">
        <f t="shared" si="13"/>
        <v>#VALUE!</v>
      </c>
      <c r="X45" s="63">
        <f t="shared" si="14"/>
        <v>32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1"/>
      <c r="AB45" s="50"/>
      <c r="AC45" s="49">
        <f t="shared" si="15"/>
        <v>19</v>
      </c>
      <c r="AD45" s="49">
        <f t="shared" si="16"/>
        <v>22</v>
      </c>
    </row>
    <row r="46" spans="1:30" ht="21" customHeight="1" x14ac:dyDescent="0.15">
      <c r="A46" s="108">
        <v>47006612</v>
      </c>
      <c r="B46" s="108" t="s">
        <v>397</v>
      </c>
      <c r="C46" s="109">
        <v>3</v>
      </c>
      <c r="D46" s="109" t="s">
        <v>128</v>
      </c>
      <c r="E46" s="110" t="s">
        <v>291</v>
      </c>
      <c r="F46" s="110" t="s">
        <v>374</v>
      </c>
      <c r="G46" s="63" t="str">
        <f t="shared" si="0"/>
        <v>[effect:enemy_message, val1:1.2, val2:2.3]</v>
      </c>
      <c r="H46" s="63">
        <f t="shared" si="1"/>
        <v>9</v>
      </c>
      <c r="I46" s="63">
        <f t="shared" si="2"/>
        <v>22</v>
      </c>
      <c r="J46" s="63" t="e">
        <f t="shared" si="3"/>
        <v>#VALUE!</v>
      </c>
      <c r="K46" s="63">
        <f t="shared" si="4"/>
        <v>32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si="5"/>
        <v>[effect:damage_abnormal, target:unit_one, val:0.8, status:hungup, turn:1, rate:1, animation:hungup01]</v>
      </c>
      <c r="N46" s="48" t="str">
        <f>IFERROR(LEFT(M46,FIND("],",M46)+S58),M46)</f>
        <v>[effect:damage_abnormal, target:unit_one, val:0.8, status:hungup, turn:1, rate:1, animation:hungup01]</v>
      </c>
      <c r="O46" s="63">
        <f t="shared" si="6"/>
        <v>9</v>
      </c>
      <c r="P46" s="63">
        <f t="shared" si="7"/>
        <v>24</v>
      </c>
      <c r="Q46" s="63">
        <f t="shared" si="8"/>
        <v>33</v>
      </c>
      <c r="R46" s="63">
        <f t="shared" si="9"/>
        <v>41</v>
      </c>
      <c r="S46" s="63" t="str">
        <f>IFERROR(VLOOKUP(MID(N46,Q46,R46-Q46),[6]skilldef!$C:$D,2,FALSE),"-") &amp; " / " &amp; IFERROR(VLOOKUP(MID(N46,O46,P46-O46),[6]skilldef!$A:$B,2,FALSE),"-")</f>
        <v>味方単体に / -</v>
      </c>
      <c r="T46" s="48" t="str">
        <f t="shared" si="10"/>
        <v>none</v>
      </c>
      <c r="U46" s="63" t="e">
        <f t="shared" si="11"/>
        <v>#VALUE!</v>
      </c>
      <c r="V46" s="63">
        <f t="shared" si="12"/>
        <v>4</v>
      </c>
      <c r="W46" s="63" t="e">
        <f t="shared" si="13"/>
        <v>#VALUE!</v>
      </c>
      <c r="X46" s="63" t="e">
        <f t="shared" si="14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1"/>
      <c r="AB46" s="50"/>
      <c r="AC46" s="49">
        <f t="shared" si="15"/>
        <v>8</v>
      </c>
      <c r="AD46" s="49">
        <f t="shared" si="16"/>
        <v>23</v>
      </c>
    </row>
    <row r="47" spans="1:30" ht="21" customHeight="1" x14ac:dyDescent="0.15">
      <c r="A47" s="108">
        <v>47006613</v>
      </c>
      <c r="B47" s="108" t="s">
        <v>397</v>
      </c>
      <c r="C47" s="109">
        <v>3</v>
      </c>
      <c r="D47" s="109" t="s">
        <v>128</v>
      </c>
      <c r="E47" s="110" t="s">
        <v>292</v>
      </c>
      <c r="F47" s="110" t="s">
        <v>374</v>
      </c>
      <c r="G47" s="63" t="str">
        <f t="shared" ref="G47" si="89">IFERROR(LEFT(B47,FIND("],",B47)),B47)</f>
        <v>[effect:enemy_message, val1:1.2, val2:2.3]</v>
      </c>
      <c r="H47" s="63">
        <f t="shared" ref="H47" si="90">FIND("effect:",G47)+7</f>
        <v>9</v>
      </c>
      <c r="I47" s="63">
        <f t="shared" ref="I47" si="91">IFERROR(FIND(",",G47),LEN(G47))</f>
        <v>22</v>
      </c>
      <c r="J47" s="63" t="e">
        <f t="shared" ref="J47" si="92">FIND("target:",G47)+7</f>
        <v>#VALUE!</v>
      </c>
      <c r="K47" s="63">
        <f t="shared" ref="K47" si="93">FIND(",",G47,I47+1)</f>
        <v>32</v>
      </c>
      <c r="L47" s="63" t="str">
        <f>IFERROR(VLOOKUP(MID(G47,J47,K47-J47),[6]skilldef!$C:$D,2,FALSE),"-") &amp; " / " &amp; IFERROR(VLOOKUP(MID(G47,H47,I47-H47),[6]skilldef!$A:$B,2,FALSE),"-")</f>
        <v>- / -</v>
      </c>
      <c r="M47" s="63" t="str">
        <f t="shared" ref="M47" si="94">IFERROR(RIGHT(B47,LEN(B47)-FIND("],",B47)-1),"none")</f>
        <v>[effect:damage_abnormal, target:unit_one, val:0.8, status:hungup, turn:1, rate:1, animation:hungup01]</v>
      </c>
      <c r="N47" s="48" t="str">
        <f>IFERROR(LEFT(M47,FIND("],",M47)+S59),M47)</f>
        <v>[effect:damage_abnormal, target:unit_one, val:0.8, status:hungup, turn:1, rate:1, animation:hungup01]</v>
      </c>
      <c r="O47" s="63">
        <f t="shared" ref="O47" si="95">FIND("effect:",N47)+7</f>
        <v>9</v>
      </c>
      <c r="P47" s="63">
        <f t="shared" ref="P47" si="96">IFERROR(FIND(",",N47),LEN(N47))</f>
        <v>24</v>
      </c>
      <c r="Q47" s="63">
        <f t="shared" ref="Q47" si="97">FIND("target:",N47)+7</f>
        <v>33</v>
      </c>
      <c r="R47" s="63">
        <f t="shared" ref="R47" si="98">FIND(",",N47,P47+1)</f>
        <v>41</v>
      </c>
      <c r="S47" s="63" t="str">
        <f>IFERROR(VLOOKUP(MID(N47,Q47,R47-Q47),[6]skilldef!$C:$D,2,FALSE),"-") &amp; " / " &amp; IFERROR(VLOOKUP(MID(N47,O47,P47-O47),[6]skilldef!$A:$B,2,FALSE),"-")</f>
        <v>味方単体に / -</v>
      </c>
      <c r="T47" s="48" t="str">
        <f t="shared" ref="T47" si="99">IFERROR(RIGHT(M47,LEN(M47)-FIND("],",M47)-1),"none")</f>
        <v>none</v>
      </c>
      <c r="U47" s="63" t="e">
        <f t="shared" ref="U47" si="100">FIND("effect:",T47)+7</f>
        <v>#VALUE!</v>
      </c>
      <c r="V47" s="63">
        <f t="shared" ref="V47" si="101">IFERROR(FIND(",",T47),LEN(T47))</f>
        <v>4</v>
      </c>
      <c r="W47" s="63" t="e">
        <f t="shared" ref="W47" si="102">FIND("target:",T47)+7</f>
        <v>#VALUE!</v>
      </c>
      <c r="X47" s="63" t="e">
        <f t="shared" ref="X47" si="103">FIND(",",T47,V47+1)</f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1"/>
      <c r="AB47" s="50"/>
      <c r="AC47" s="49">
        <f t="shared" si="15"/>
        <v>12</v>
      </c>
      <c r="AD47" s="49">
        <f t="shared" si="16"/>
        <v>23</v>
      </c>
    </row>
    <row r="48" spans="1:30" ht="44" customHeight="1" x14ac:dyDescent="0.15">
      <c r="A48" s="111">
        <v>47006700</v>
      </c>
      <c r="B48" s="111" t="s">
        <v>363</v>
      </c>
      <c r="C48" s="112">
        <v>3</v>
      </c>
      <c r="D48" s="112" t="s">
        <v>128</v>
      </c>
      <c r="E48" s="113" t="s">
        <v>314</v>
      </c>
      <c r="F48" s="113" t="s">
        <v>332</v>
      </c>
      <c r="G48" s="63" t="str">
        <f t="shared" si="0"/>
        <v>[effect:reduction, target:myself, color:all, turn:2, val:0.5, animation:reduction_one01]</v>
      </c>
      <c r="H48" s="63">
        <f t="shared" si="1"/>
        <v>9</v>
      </c>
      <c r="I48" s="63">
        <f t="shared" si="2"/>
        <v>18</v>
      </c>
      <c r="J48" s="63">
        <f t="shared" si="3"/>
        <v>27</v>
      </c>
      <c r="K48" s="63">
        <f t="shared" si="4"/>
        <v>33</v>
      </c>
      <c r="L48" s="63" t="str">
        <f>IFERROR(VLOOKUP(MID(G48,J48,K48-J48),[6]skilldef!$C:$D,2,FALSE),"-") &amp; " / " &amp; IFERROR(VLOOKUP(MID(G48,H48,I48-H48),[6]skilldef!$A:$B,2,FALSE),"-")</f>
        <v>自分自身に / -</v>
      </c>
      <c r="M48" s="63" t="str">
        <f t="shared" si="5"/>
        <v>[effect:fix_speed, target:myself, turn:2],[effect:enemy_message, val1:2.3, val2:1.6]</v>
      </c>
      <c r="N48" s="48" t="str">
        <f>IFERROR(LEFT(M48,FIND("],",M48)+S60),M48)</f>
        <v>[effect:fix_speed, target:myself, turn:2],[effect:enemy_message, val1:2.3, val2:1.6]</v>
      </c>
      <c r="O48" s="63">
        <f t="shared" si="6"/>
        <v>9</v>
      </c>
      <c r="P48" s="63">
        <f t="shared" si="7"/>
        <v>18</v>
      </c>
      <c r="Q48" s="63">
        <f t="shared" si="8"/>
        <v>27</v>
      </c>
      <c r="R48" s="63">
        <f t="shared" si="9"/>
        <v>33</v>
      </c>
      <c r="S48" s="63" t="str">
        <f>IFERROR(VLOOKUP(MID(N48,Q48,R48-Q48),[6]skilldef!$C:$D,2,FALSE),"-") &amp; " / " &amp; IFERROR(VLOOKUP(MID(N48,O48,P48-O48),[6]skilldef!$A:$B,2,FALSE),"-")</f>
        <v>自分自身に / 行動値設定</v>
      </c>
      <c r="T48" s="48" t="str">
        <f t="shared" si="10"/>
        <v>[effect:enemy_message, val1:2.3, val2:1.6]</v>
      </c>
      <c r="U48" s="63">
        <f t="shared" si="11"/>
        <v>9</v>
      </c>
      <c r="V48" s="63">
        <f t="shared" si="12"/>
        <v>22</v>
      </c>
      <c r="W48" s="63" t="e">
        <f t="shared" si="13"/>
        <v>#VALUE!</v>
      </c>
      <c r="X48" s="63">
        <f t="shared" si="14"/>
        <v>32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1"/>
      <c r="AB48" s="50"/>
      <c r="AC48" s="49">
        <f t="shared" si="15"/>
        <v>23</v>
      </c>
      <c r="AD48" s="49">
        <f t="shared" si="16"/>
        <v>16</v>
      </c>
    </row>
    <row r="49" spans="1:30" ht="57" customHeight="1" x14ac:dyDescent="0.15">
      <c r="A49" s="111">
        <v>47006701</v>
      </c>
      <c r="B49" s="111" t="s">
        <v>398</v>
      </c>
      <c r="C49" s="112">
        <v>3</v>
      </c>
      <c r="D49" s="112" t="s">
        <v>128</v>
      </c>
      <c r="E49" s="113" t="s">
        <v>302</v>
      </c>
      <c r="F49" s="113" t="s">
        <v>375</v>
      </c>
      <c r="G49" s="63" t="str">
        <f t="shared" si="0"/>
        <v>[effect:enemy_message, val1:1.8, val2:2.9]</v>
      </c>
      <c r="H49" s="63">
        <f t="shared" si="1"/>
        <v>9</v>
      </c>
      <c r="I49" s="63">
        <f t="shared" si="2"/>
        <v>22</v>
      </c>
      <c r="J49" s="63" t="e">
        <f t="shared" si="3"/>
        <v>#VALUE!</v>
      </c>
      <c r="K49" s="63">
        <f t="shared" si="4"/>
        <v>32</v>
      </c>
      <c r="L49" s="63" t="str">
        <f>IFERROR(VLOOKUP(MID(G49,J49,K49-J49),[6]skilldef!$C:$D,2,FALSE),"-") &amp; " / " &amp; IFERROR(VLOOKUP(MID(G49,H49,I49-H49),[6]skilldef!$A:$B,2,FALSE),"-")</f>
        <v>- / -</v>
      </c>
      <c r="M49" s="63" t="str">
        <f t="shared" si="5"/>
        <v>[effect:force_change_block, new_block:time_bomb, target:block_all, ignore01:block_positive, ignore02:block_negative,color:block_yellow, count:5, val:0.1, min_time_count:2, max_time_count:2, animation:change_block],[effect:rush, count:1, val:0.8]</v>
      </c>
      <c r="N49" s="48" t="str">
        <f>IFERROR(LEFT(M49,FIND("],",M49)+S61),M49)</f>
        <v>[effect:force_change_block, new_block:time_bomb, target:block_all, ignore01:block_positive, ignore02:block_negative,color:block_yellow, count:5, val:0.1, min_time_count:2, max_time_count:2, animation:change_block],[effect:rush, count:1, val:0.8]</v>
      </c>
      <c r="O49" s="63">
        <f t="shared" si="6"/>
        <v>9</v>
      </c>
      <c r="P49" s="63">
        <f t="shared" si="7"/>
        <v>27</v>
      </c>
      <c r="Q49" s="63">
        <f t="shared" si="8"/>
        <v>57</v>
      </c>
      <c r="R49" s="63">
        <f t="shared" si="9"/>
        <v>48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10"/>
        <v>[effect:rush, count:1, val:0.8]</v>
      </c>
      <c r="U49" s="63">
        <f t="shared" si="11"/>
        <v>9</v>
      </c>
      <c r="V49" s="63">
        <f t="shared" si="12"/>
        <v>13</v>
      </c>
      <c r="W49" s="63" t="e">
        <f t="shared" si="13"/>
        <v>#VALUE!</v>
      </c>
      <c r="X49" s="63">
        <f t="shared" si="14"/>
        <v>22</v>
      </c>
      <c r="Y49" s="63" t="str">
        <f>IFERROR(VLOOKUP(MID(T49,W49,X49-W49),[6]skilldef!$C:$D,2,FALSE),"-") &amp; " / " &amp; IFERROR(VLOOKUP(MID(T49,U49,V49-U49),[6]skilldef!$A:$B,2,FALSE),"-")</f>
        <v>- / 連続攻撃</v>
      </c>
      <c r="Z49" s="50"/>
      <c r="AA49" s="51"/>
      <c r="AB49" s="50"/>
      <c r="AC49" s="49">
        <f t="shared" si="15"/>
        <v>18</v>
      </c>
      <c r="AD49" s="49">
        <f t="shared" si="16"/>
        <v>30</v>
      </c>
    </row>
    <row r="50" spans="1:30" ht="57" customHeight="1" x14ac:dyDescent="0.15">
      <c r="A50" s="111">
        <v>47006702</v>
      </c>
      <c r="B50" s="111" t="s">
        <v>399</v>
      </c>
      <c r="C50" s="112">
        <v>3</v>
      </c>
      <c r="D50" s="112" t="s">
        <v>128</v>
      </c>
      <c r="E50" s="113" t="s">
        <v>293</v>
      </c>
      <c r="F50" s="113" t="s">
        <v>375</v>
      </c>
      <c r="G50" s="63" t="str">
        <f t="shared" ref="G50" si="104">IFERROR(LEFT(B50,FIND("],",B50)),B50)</f>
        <v>[effect:enemy_message, val1:1.2, val2:2.9]</v>
      </c>
      <c r="H50" s="63">
        <f t="shared" ref="H50" si="105">FIND("effect:",G50)+7</f>
        <v>9</v>
      </c>
      <c r="I50" s="63">
        <f t="shared" ref="I50" si="106">IFERROR(FIND(",",G50),LEN(G50))</f>
        <v>22</v>
      </c>
      <c r="J50" s="63" t="e">
        <f t="shared" ref="J50" si="107">FIND("target:",G50)+7</f>
        <v>#VALUE!</v>
      </c>
      <c r="K50" s="63">
        <f t="shared" ref="K50" si="108">FIND(",",G50,I50+1)</f>
        <v>32</v>
      </c>
      <c r="L50" s="63" t="str">
        <f>IFERROR(VLOOKUP(MID(G50,J50,K50-J50),[6]skilldef!$C:$D,2,FALSE),"-") &amp; " / " &amp; IFERROR(VLOOKUP(MID(G50,H50,I50-H50),[6]skilldef!$A:$B,2,FALSE),"-")</f>
        <v>- / -</v>
      </c>
      <c r="M50" s="63" t="str">
        <f t="shared" ref="M50" si="109">IFERROR(RIGHT(B50,LEN(B50)-FIND("],",B50)-1),"none")</f>
        <v>[effect:force_change_block, new_block:time_bomb, target:block_all, ignore01:block_positive, ignore02:block_negative, color:block_yellow, count:5, val:0.1, min_time_count:2, max_time_count:2, animation:change_block],[effect:rush, count:1, val:0.8]</v>
      </c>
      <c r="N50" s="48" t="str">
        <f>IFERROR(LEFT(M50,FIND("],",M50)+S62),M50)</f>
        <v>[effect:force_change_block, new_block:time_bomb, target:block_all, ignore01:block_positive, ignore02:block_negative, color:block_yellow, count:5, val:0.1, min_time_count:2, max_time_count:2, animation:change_block],[effect:rush, count:1, val:0.8]</v>
      </c>
      <c r="O50" s="63">
        <f t="shared" ref="O50" si="110">FIND("effect:",N50)+7</f>
        <v>9</v>
      </c>
      <c r="P50" s="63">
        <f t="shared" ref="P50" si="111">IFERROR(FIND(",",N50),LEN(N50))</f>
        <v>27</v>
      </c>
      <c r="Q50" s="63">
        <f t="shared" ref="Q50" si="112">FIND("target:",N50)+7</f>
        <v>57</v>
      </c>
      <c r="R50" s="63">
        <f t="shared" ref="R50" si="113">FIND(",",N50,P50+1)</f>
        <v>48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ref="T50" si="114">IFERROR(RIGHT(M50,LEN(M50)-FIND("],",M50)-1),"none")</f>
        <v>[effect:rush, count:1, val:0.8]</v>
      </c>
      <c r="U50" s="63">
        <f t="shared" ref="U50" si="115">FIND("effect:",T50)+7</f>
        <v>9</v>
      </c>
      <c r="V50" s="63">
        <f t="shared" ref="V50" si="116">IFERROR(FIND(",",T50),LEN(T50))</f>
        <v>13</v>
      </c>
      <c r="W50" s="63" t="e">
        <f t="shared" ref="W50" si="117">FIND("target:",T50)+7</f>
        <v>#VALUE!</v>
      </c>
      <c r="X50" s="63">
        <f t="shared" ref="X50" si="118">FIND(",",T50,V50+1)</f>
        <v>22</v>
      </c>
      <c r="Y50" s="63" t="str">
        <f>IFERROR(VLOOKUP(MID(T50,W50,X50-W50),[6]skilldef!$C:$D,2,FALSE),"-") &amp; " / " &amp; IFERROR(VLOOKUP(MID(T50,U50,V50-U50),[6]skilldef!$A:$B,2,FALSE),"-")</f>
        <v>- / 連続攻撃</v>
      </c>
      <c r="Z50" s="50"/>
      <c r="AA50" s="51"/>
      <c r="AB50" s="50"/>
      <c r="AC50" s="49">
        <f t="shared" si="15"/>
        <v>12</v>
      </c>
      <c r="AD50" s="49">
        <f t="shared" si="16"/>
        <v>30</v>
      </c>
    </row>
    <row r="51" spans="1:30" ht="35" customHeight="1" x14ac:dyDescent="0.15">
      <c r="A51" s="111">
        <v>47006703</v>
      </c>
      <c r="B51" s="111" t="s">
        <v>355</v>
      </c>
      <c r="C51" s="112">
        <v>3</v>
      </c>
      <c r="D51" s="112" t="s">
        <v>128</v>
      </c>
      <c r="E51" s="113" t="s">
        <v>388</v>
      </c>
      <c r="F51" s="113" t="s">
        <v>298</v>
      </c>
      <c r="G51" s="63" t="str">
        <f t="shared" ref="G51:G62" si="119">IFERROR(LEFT(B51,FIND("],",B51)),B51)</f>
        <v>[effect:spread, val:0.01]</v>
      </c>
      <c r="H51" s="63">
        <f t="shared" si="1"/>
        <v>9</v>
      </c>
      <c r="I51" s="63">
        <f t="shared" ref="I51:I62" si="120">IFERROR(FIND(",",G51),LEN(G51))</f>
        <v>15</v>
      </c>
      <c r="J51" s="63" t="e">
        <f t="shared" ref="J51:J62" si="121">FIND("target:",G51)+7</f>
        <v>#VALUE!</v>
      </c>
      <c r="K51" s="63" t="e">
        <f t="shared" ref="K51:K62" si="122">FIND(",",G51,I51+1)</f>
        <v>#VALUE!</v>
      </c>
      <c r="L51" s="63" t="str">
        <f>IFERROR(VLOOKUP(MID(G51,J51,K51-J51),[6]skilldef!$C:$D,2,FALSE),"-") &amp; " / " &amp; IFERROR(VLOOKUP(MID(G51,H51,I51-H51),[6]skilldef!$A:$B,2,FALSE),"-")</f>
        <v>- / 全体攻撃</v>
      </c>
      <c r="M51" s="63" t="str">
        <f t="shared" ref="M51:M62" si="123">IFERROR(RIGHT(B51,LEN(B51)-FIND("],",B51)-1),"none")</f>
        <v>[effect:enemy_message, val1:1.2, val2:2.7]</v>
      </c>
      <c r="N51" s="48" t="str">
        <f>IFERROR(LEFT(M51,FIND("],",M51)+#REF!),M51)</f>
        <v>[effect:enemy_message, val1:1.2, val2:2.7]</v>
      </c>
      <c r="O51" s="63">
        <f t="shared" si="6"/>
        <v>9</v>
      </c>
      <c r="P51" s="63">
        <f t="shared" ref="P51:P62" si="124">IFERROR(FIND(",",N51),LEN(N51))</f>
        <v>22</v>
      </c>
      <c r="Q51" s="63" t="e">
        <f t="shared" ref="Q51:Q62" si="125">FIND("target:",N51)+7</f>
        <v>#VALUE!</v>
      </c>
      <c r="R51" s="63">
        <f t="shared" ref="R51:R62" si="126">FIND(",",N51,P51+1)</f>
        <v>32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ref="T51:T62" si="127">IFERROR(RIGHT(M51,LEN(M51)-FIND("],",M51)-1),"none")</f>
        <v>none</v>
      </c>
      <c r="U51" s="63" t="e">
        <f t="shared" si="11"/>
        <v>#VALUE!</v>
      </c>
      <c r="V51" s="63">
        <f t="shared" ref="V51:V62" si="128">IFERROR(FIND(",",T51),LEN(T51))</f>
        <v>4</v>
      </c>
      <c r="W51" s="63" t="e">
        <f t="shared" ref="W51:W62" si="129">FIND("target:",T51)+7</f>
        <v>#VALUE!</v>
      </c>
      <c r="X51" s="63" t="e">
        <f t="shared" ref="X51:X62" si="130">FIND(",",T51,V51+1)</f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1"/>
      <c r="AB51" s="50"/>
      <c r="AC51" s="49">
        <f t="shared" si="15"/>
        <v>8</v>
      </c>
      <c r="AD51" s="49">
        <f t="shared" si="16"/>
        <v>28</v>
      </c>
    </row>
    <row r="52" spans="1:30" ht="21" customHeight="1" x14ac:dyDescent="0.15">
      <c r="A52" s="111">
        <v>47006704</v>
      </c>
      <c r="B52" s="111" t="s">
        <v>356</v>
      </c>
      <c r="C52" s="112">
        <v>3</v>
      </c>
      <c r="D52" s="112" t="s">
        <v>128</v>
      </c>
      <c r="E52" s="113" t="s">
        <v>273</v>
      </c>
      <c r="F52" s="113" t="s">
        <v>261</v>
      </c>
      <c r="G52" s="63" t="str">
        <f t="shared" si="119"/>
        <v>[effect:enemy_message, val1:1.2, val2:1.5]</v>
      </c>
      <c r="H52" s="63">
        <f t="shared" si="1"/>
        <v>9</v>
      </c>
      <c r="I52" s="63">
        <f t="shared" si="120"/>
        <v>22</v>
      </c>
      <c r="J52" s="63" t="e">
        <f t="shared" si="121"/>
        <v>#VALUE!</v>
      </c>
      <c r="K52" s="63">
        <f t="shared" si="122"/>
        <v>32</v>
      </c>
      <c r="L52" s="63" t="str">
        <f>IFERROR(VLOOKUP(MID(G52,J52,K52-J52),[6]skilldef!$C:$D,2,FALSE),"-") &amp; " / " &amp; IFERROR(VLOOKUP(MID(G52,H52,I52-H52),[6]skilldef!$A:$B,2,FALSE),"-")</f>
        <v>- / -</v>
      </c>
      <c r="M52" s="63" t="str">
        <f t="shared" si="123"/>
        <v>[effect:spread, val:0.25]</v>
      </c>
      <c r="N52" s="48" t="str">
        <f>IFERROR(LEFT(M52,FIND("],",M52)+S62),M52)</f>
        <v>[effect:spread, val:0.25]</v>
      </c>
      <c r="O52" s="63">
        <f t="shared" si="6"/>
        <v>9</v>
      </c>
      <c r="P52" s="63">
        <f t="shared" si="124"/>
        <v>15</v>
      </c>
      <c r="Q52" s="63" t="e">
        <f t="shared" si="125"/>
        <v>#VALUE!</v>
      </c>
      <c r="R52" s="63" t="e">
        <f t="shared" si="126"/>
        <v>#VALUE!</v>
      </c>
      <c r="S52" s="63" t="str">
        <f>IFERROR(VLOOKUP(MID(N52,Q52,R52-Q52),[6]skilldef!$C:$D,2,FALSE),"-") &amp; " / " &amp; IFERROR(VLOOKUP(MID(N52,O52,P52-O52),[6]skilldef!$A:$B,2,FALSE),"-")</f>
        <v>- / 全体攻撃</v>
      </c>
      <c r="T52" s="48" t="str">
        <f t="shared" si="127"/>
        <v>none</v>
      </c>
      <c r="U52" s="63" t="e">
        <f t="shared" si="11"/>
        <v>#VALUE!</v>
      </c>
      <c r="V52" s="63">
        <f t="shared" si="128"/>
        <v>4</v>
      </c>
      <c r="W52" s="63" t="e">
        <f t="shared" si="129"/>
        <v>#VALUE!</v>
      </c>
      <c r="X52" s="63" t="e">
        <f t="shared" si="130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1"/>
      <c r="AB52" s="50"/>
      <c r="AC52" s="49">
        <f t="shared" si="15"/>
        <v>8</v>
      </c>
      <c r="AD52" s="49">
        <f t="shared" si="16"/>
        <v>15</v>
      </c>
    </row>
    <row r="53" spans="1:30" ht="21" customHeight="1" x14ac:dyDescent="0.15">
      <c r="A53" s="111">
        <v>47006705</v>
      </c>
      <c r="B53" s="111" t="s">
        <v>357</v>
      </c>
      <c r="C53" s="112">
        <v>3</v>
      </c>
      <c r="D53" s="112" t="s">
        <v>128</v>
      </c>
      <c r="E53" s="113" t="s">
        <v>273</v>
      </c>
      <c r="F53" s="113" t="s">
        <v>261</v>
      </c>
      <c r="G53" s="63" t="str">
        <f t="shared" si="119"/>
        <v>[effect:enemy_message, val1:1.2, val2:1.5]</v>
      </c>
      <c r="H53" s="63">
        <f t="shared" si="1"/>
        <v>9</v>
      </c>
      <c r="I53" s="63">
        <f t="shared" si="120"/>
        <v>22</v>
      </c>
      <c r="J53" s="63" t="e">
        <f t="shared" si="121"/>
        <v>#VALUE!</v>
      </c>
      <c r="K53" s="63">
        <f t="shared" si="122"/>
        <v>32</v>
      </c>
      <c r="L53" s="63" t="str">
        <f>IFERROR(VLOOKUP(MID(G53,J53,K53-J53),[6]skilldef!$C:$D,2,FALSE),"-") &amp; " / " &amp; IFERROR(VLOOKUP(MID(G53,H53,I53-H53),[6]skilldef!$A:$B,2,FALSE),"-")</f>
        <v>- / -</v>
      </c>
      <c r="M53" s="63" t="str">
        <f t="shared" si="123"/>
        <v>[effect:spread, val:0.30]</v>
      </c>
      <c r="N53" s="48" t="str">
        <f>IFERROR(LEFT(M53,FIND("],",M53)+S63),M53)</f>
        <v>[effect:spread, val:0.30]</v>
      </c>
      <c r="O53" s="63">
        <f t="shared" si="6"/>
        <v>9</v>
      </c>
      <c r="P53" s="63">
        <f t="shared" si="124"/>
        <v>15</v>
      </c>
      <c r="Q53" s="63" t="e">
        <f t="shared" si="125"/>
        <v>#VALUE!</v>
      </c>
      <c r="R53" s="63" t="e">
        <f t="shared" si="126"/>
        <v>#VALUE!</v>
      </c>
      <c r="S53" s="63" t="str">
        <f>IFERROR(VLOOKUP(MID(N53,Q53,R53-Q53),[6]skilldef!$C:$D,2,FALSE),"-") &amp; " / " &amp; IFERROR(VLOOKUP(MID(N53,O53,P53-O53),[6]skilldef!$A:$B,2,FALSE),"-")</f>
        <v>- / 全体攻撃</v>
      </c>
      <c r="T53" s="48" t="str">
        <f t="shared" si="127"/>
        <v>none</v>
      </c>
      <c r="U53" s="63" t="e">
        <f t="shared" si="11"/>
        <v>#VALUE!</v>
      </c>
      <c r="V53" s="63">
        <f t="shared" si="128"/>
        <v>4</v>
      </c>
      <c r="W53" s="63" t="e">
        <f t="shared" si="129"/>
        <v>#VALUE!</v>
      </c>
      <c r="X53" s="63" t="e">
        <f t="shared" si="130"/>
        <v>#VALUE!</v>
      </c>
      <c r="Y53" s="63" t="str">
        <f>IFERROR(VLOOKUP(MID(T53,W53,X53-W53),[6]skilldef!$C:$D,2,FALSE),"-") &amp; " / " &amp; IFERROR(VLOOKUP(MID(T53,U53,V53-U53),[6]skilldef!$A:$B,2,FALSE),"-")</f>
        <v>- / -</v>
      </c>
      <c r="Z53" s="50"/>
      <c r="AA53" s="51"/>
      <c r="AB53" s="50"/>
      <c r="AC53" s="49">
        <f t="shared" si="15"/>
        <v>8</v>
      </c>
      <c r="AD53" s="49">
        <f t="shared" si="16"/>
        <v>15</v>
      </c>
    </row>
    <row r="54" spans="1:30" ht="52" customHeight="1" x14ac:dyDescent="0.15">
      <c r="A54" s="111">
        <v>47006706</v>
      </c>
      <c r="B54" s="111" t="s">
        <v>364</v>
      </c>
      <c r="C54" s="112">
        <v>3</v>
      </c>
      <c r="D54" s="112" t="s">
        <v>128</v>
      </c>
      <c r="E54" s="113" t="s">
        <v>273</v>
      </c>
      <c r="F54" s="113" t="s">
        <v>299</v>
      </c>
      <c r="G54" s="63" t="str">
        <f t="shared" si="119"/>
        <v>[effect:spread, val:0.35]</v>
      </c>
      <c r="H54" s="63">
        <f t="shared" si="1"/>
        <v>9</v>
      </c>
      <c r="I54" s="63">
        <f t="shared" si="120"/>
        <v>15</v>
      </c>
      <c r="J54" s="63" t="e">
        <f t="shared" si="121"/>
        <v>#VALUE!</v>
      </c>
      <c r="K54" s="63" t="e">
        <f t="shared" si="122"/>
        <v>#VALUE!</v>
      </c>
      <c r="L54" s="63" t="str">
        <f>IFERROR(VLOOKUP(MID(G54,J54,K54-J54),[6]skilldef!$C:$D,2,FALSE),"-") &amp; " / " &amp; IFERROR(VLOOKUP(MID(G54,H54,I54-H54),[6]skilldef!$A:$B,2,FALSE),"-")</f>
        <v>- / 全体攻撃</v>
      </c>
      <c r="M54" s="63" t="str">
        <f t="shared" si="123"/>
        <v>[effect:enemy_message, val1:1.2, val2:3.7]</v>
      </c>
      <c r="N54" s="48" t="str">
        <f>IFERROR(LEFT(M54,FIND("],",M54)+S64),M54)</f>
        <v>[effect:enemy_message, val1:1.2, val2:3.7]</v>
      </c>
      <c r="O54" s="63">
        <f t="shared" si="6"/>
        <v>9</v>
      </c>
      <c r="P54" s="63">
        <f t="shared" si="124"/>
        <v>22</v>
      </c>
      <c r="Q54" s="63" t="e">
        <f t="shared" si="125"/>
        <v>#VALUE!</v>
      </c>
      <c r="R54" s="63">
        <f t="shared" si="126"/>
        <v>32</v>
      </c>
      <c r="S54" s="63" t="str">
        <f>IFERROR(VLOOKUP(MID(N54,Q54,R54-Q54),[6]skilldef!$C:$D,2,FALSE),"-") &amp; " / " &amp; IFERROR(VLOOKUP(MID(N54,O54,P54-O54),[6]skilldef!$A:$B,2,FALSE),"-")</f>
        <v>- / -</v>
      </c>
      <c r="T54" s="48" t="str">
        <f t="shared" si="127"/>
        <v>none</v>
      </c>
      <c r="U54" s="63" t="e">
        <f t="shared" si="11"/>
        <v>#VALUE!</v>
      </c>
      <c r="V54" s="63">
        <f t="shared" si="128"/>
        <v>4</v>
      </c>
      <c r="W54" s="63" t="e">
        <f t="shared" si="129"/>
        <v>#VALUE!</v>
      </c>
      <c r="X54" s="63" t="e">
        <f t="shared" si="130"/>
        <v>#VALUE!</v>
      </c>
      <c r="Y54" s="63" t="str">
        <f>IFERROR(VLOOKUP(MID(T54,W54,X54-W54),[6]skilldef!$C:$D,2,FALSE),"-") &amp; " / " &amp; IFERROR(VLOOKUP(MID(T54,U54,V54-U54),[6]skilldef!$A:$B,2,FALSE),"-")</f>
        <v>- / -</v>
      </c>
      <c r="Z54" s="50"/>
      <c r="AA54" s="51"/>
      <c r="AB54" s="50"/>
      <c r="AC54" s="49">
        <f t="shared" si="15"/>
        <v>8</v>
      </c>
      <c r="AD54" s="49">
        <f t="shared" si="16"/>
        <v>38</v>
      </c>
    </row>
    <row r="55" spans="1:30" ht="39" customHeight="1" x14ac:dyDescent="0.15">
      <c r="A55" s="111">
        <v>47006707</v>
      </c>
      <c r="B55" s="111" t="s">
        <v>400</v>
      </c>
      <c r="C55" s="112">
        <v>3</v>
      </c>
      <c r="D55" s="112" t="s">
        <v>128</v>
      </c>
      <c r="E55" s="113" t="s">
        <v>308</v>
      </c>
      <c r="F55" s="113" t="s">
        <v>376</v>
      </c>
      <c r="G55" s="63" t="str">
        <f t="shared" si="119"/>
        <v>[effect:force_change_block, new_block:damage, target:block_all, ignore01:block_positive, ignore02:block_negative,count:5, val:0.14, animation:change_block]</v>
      </c>
      <c r="H55" s="63">
        <f t="shared" si="1"/>
        <v>9</v>
      </c>
      <c r="I55" s="63">
        <f t="shared" si="120"/>
        <v>27</v>
      </c>
      <c r="J55" s="63">
        <f t="shared" si="121"/>
        <v>54</v>
      </c>
      <c r="K55" s="63">
        <f t="shared" si="122"/>
        <v>45</v>
      </c>
      <c r="L55" s="63" t="str">
        <f>IFERROR(VLOOKUP(MID(G55,J55,K55-J55),[6]skilldef!$C:$D,2,FALSE),"-") &amp; " / " &amp; IFERROR(VLOOKUP(MID(G55,H55,I55-H55),[6]skilldef!$A:$B,2,FALSE),"-")</f>
        <v>- / -</v>
      </c>
      <c r="M55" s="63" t="str">
        <f t="shared" si="123"/>
        <v>[effect:freq_turn, target:myself, turn:-1, val:1, animation:enemy_freq_turn],[effect:enemy_message, val1:1.6, val2:4.9]</v>
      </c>
      <c r="N55" s="48" t="str">
        <f>IFERROR(LEFT(M55,FIND("],",M55)+S66),M55)</f>
        <v>[effect:freq_turn, target:myself, turn:-1, val:1, animation:enemy_freq_turn]</v>
      </c>
      <c r="O55" s="63">
        <f t="shared" si="6"/>
        <v>9</v>
      </c>
      <c r="P55" s="63">
        <f t="shared" si="124"/>
        <v>18</v>
      </c>
      <c r="Q55" s="63">
        <f t="shared" si="125"/>
        <v>27</v>
      </c>
      <c r="R55" s="63">
        <f t="shared" si="126"/>
        <v>33</v>
      </c>
      <c r="S55" s="63" t="str">
        <f>IFERROR(VLOOKUP(MID(N55,Q55,R55-Q55),[6]skilldef!$C:$D,2,FALSE),"-") &amp; " / " &amp; IFERROR(VLOOKUP(MID(N55,O55,P55-O55),[6]skilldef!$A:$B,2,FALSE),"-")</f>
        <v>自分自身に / 攻撃頻度がUP</v>
      </c>
      <c r="T55" s="48" t="str">
        <f t="shared" si="127"/>
        <v>[effect:enemy_message, val1:1.6, val2:4.9]</v>
      </c>
      <c r="U55" s="63">
        <f t="shared" si="11"/>
        <v>9</v>
      </c>
      <c r="V55" s="63">
        <f t="shared" si="128"/>
        <v>22</v>
      </c>
      <c r="W55" s="63" t="e">
        <f t="shared" si="129"/>
        <v>#VALUE!</v>
      </c>
      <c r="X55" s="63">
        <f t="shared" si="130"/>
        <v>32</v>
      </c>
      <c r="Y55" s="63" t="str">
        <f>IFERROR(VLOOKUP(MID(T55,W55,X55-W55),[6]skilldef!$C:$D,2,FALSE),"-") &amp; " / " &amp; IFERROR(VLOOKUP(MID(T55,U55,V55-U55),[6]skilldef!$A:$B,2,FALSE),"-")</f>
        <v>- / -</v>
      </c>
      <c r="Z55" s="50"/>
      <c r="AA55" s="51"/>
      <c r="AB55" s="50"/>
      <c r="AC55" s="49">
        <f t="shared" si="15"/>
        <v>16</v>
      </c>
      <c r="AD55" s="49">
        <f t="shared" si="16"/>
        <v>51</v>
      </c>
    </row>
    <row r="56" spans="1:30" ht="43" customHeight="1" x14ac:dyDescent="0.15">
      <c r="A56" s="111">
        <v>47006708</v>
      </c>
      <c r="B56" s="111" t="s">
        <v>401</v>
      </c>
      <c r="C56" s="112">
        <v>3</v>
      </c>
      <c r="D56" s="112" t="s">
        <v>128</v>
      </c>
      <c r="E56" s="113" t="s">
        <v>308</v>
      </c>
      <c r="F56" s="113" t="s">
        <v>386</v>
      </c>
      <c r="G56" s="63" t="str">
        <f>IFERROR(LEFT(B56,FIND("],",B56)),B56)</f>
        <v>[effect:force_change_block, new_block:jammer, target:block_all, ignore01:block_positive, ignore02:block_negative, count:10, val:0, animation:change_block]</v>
      </c>
      <c r="H56" s="63">
        <f>FIND("effect:",G56)+7</f>
        <v>9</v>
      </c>
      <c r="I56" s="63">
        <f>IFERROR(FIND(",",G56),LEN(G56))</f>
        <v>27</v>
      </c>
      <c r="J56" s="63">
        <f>FIND("target:",G56)+7</f>
        <v>54</v>
      </c>
      <c r="K56" s="63">
        <f>FIND(",",G56,I56+1)</f>
        <v>45</v>
      </c>
      <c r="L56" s="63" t="str">
        <f>IFERROR(VLOOKUP(MID(G56,J56,K56-J56),[6]skilldef!$C:$D,2,FALSE),"-") &amp; " / " &amp; IFERROR(VLOOKUP(MID(G56,H56,I56-H56),[6]skilldef!$A:$B,2,FALSE),"-")</f>
        <v>- / -</v>
      </c>
      <c r="M56" s="63" t="str">
        <f>IFERROR(RIGHT(B56,LEN(B56)-FIND("],",B56)-1),"none")</f>
        <v>[effect:freq_turn, target:myself, turn:-1, val:1, animation:enemy_freq_turn],[effect:enemy_message, val1:1.6, val2:4.4]</v>
      </c>
      <c r="N56" s="48" t="str">
        <f>IFERROR(LEFT(M56,FIND("],",M56)+S63),M56)</f>
        <v>[effect:freq_turn, target:myself, turn:-1, val:1, animation:enemy_freq_turn]</v>
      </c>
      <c r="O56" s="63">
        <f>FIND("effect:",N56)+7</f>
        <v>9</v>
      </c>
      <c r="P56" s="63">
        <f>IFERROR(FIND(",",N56),LEN(N56))</f>
        <v>18</v>
      </c>
      <c r="Q56" s="63">
        <f>FIND("target:",N56)+7</f>
        <v>27</v>
      </c>
      <c r="R56" s="63">
        <f>FIND(",",N56,P56+1)</f>
        <v>33</v>
      </c>
      <c r="S56" s="63" t="str">
        <f>IFERROR(VLOOKUP(MID(N56,Q56,R56-Q56),[6]skilldef!$C:$D,2,FALSE),"-") &amp; " / " &amp; IFERROR(VLOOKUP(MID(N56,O56,P56-O56),[6]skilldef!$A:$B,2,FALSE),"-")</f>
        <v>自分自身に / 攻撃頻度がUP</v>
      </c>
      <c r="T56" s="48" t="str">
        <f>IFERROR(RIGHT(M56,LEN(M56)-FIND("],",M56)-1),"none")</f>
        <v>[effect:enemy_message, val1:1.6, val2:4.4]</v>
      </c>
      <c r="U56" s="63">
        <f>FIND("effect:",T56)+7</f>
        <v>9</v>
      </c>
      <c r="V56" s="63">
        <f>IFERROR(FIND(",",T56),LEN(T56))</f>
        <v>22</v>
      </c>
      <c r="W56" s="63" t="e">
        <f>FIND("target:",T56)+7</f>
        <v>#VALUE!</v>
      </c>
      <c r="X56" s="63">
        <f>FIND(",",T56,V56+1)</f>
        <v>32</v>
      </c>
      <c r="Y56" s="63" t="str">
        <f>IFERROR(VLOOKUP(MID(T56,W56,X56-W56),[6]skilldef!$C:$D,2,FALSE),"-") &amp; " / " &amp; IFERROR(VLOOKUP(MID(T56,U56,V56-U56),[6]skilldef!$A:$B,2,FALSE),"-")</f>
        <v>- / -</v>
      </c>
      <c r="Z56" s="50"/>
      <c r="AA56" s="51"/>
      <c r="AB56" s="50"/>
      <c r="AC56" s="49">
        <f t="shared" si="15"/>
        <v>16</v>
      </c>
      <c r="AD56" s="49">
        <f t="shared" si="16"/>
        <v>45</v>
      </c>
    </row>
    <row r="57" spans="1:30" ht="60" customHeight="1" x14ac:dyDescent="0.15">
      <c r="A57" s="111">
        <v>47006709</v>
      </c>
      <c r="B57" s="111" t="s">
        <v>402</v>
      </c>
      <c r="C57" s="112">
        <v>3</v>
      </c>
      <c r="D57" s="112" t="s">
        <v>128</v>
      </c>
      <c r="E57" s="113" t="s">
        <v>308</v>
      </c>
      <c r="F57" s="113" t="s">
        <v>377</v>
      </c>
      <c r="G57" s="63" t="str">
        <f t="shared" si="119"/>
        <v>[effect:force_change_block, new_block:time_bomb, target:block_all, ignore01:block_positive, ignore02:block_negative,color:block_random, count:10, val:0.2,min_time_count:2, max_time_count:2, animation:change_block]</v>
      </c>
      <c r="H57" s="63">
        <f t="shared" si="1"/>
        <v>9</v>
      </c>
      <c r="I57" s="63">
        <f t="shared" si="120"/>
        <v>27</v>
      </c>
      <c r="J57" s="63">
        <f t="shared" si="121"/>
        <v>57</v>
      </c>
      <c r="K57" s="63">
        <f t="shared" si="122"/>
        <v>48</v>
      </c>
      <c r="L57" s="63" t="str">
        <f>IFERROR(VLOOKUP(MID(G57,J57,K57-J57),[6]skilldef!$C:$D,2,FALSE),"-") &amp; " / " &amp; IFERROR(VLOOKUP(MID(G57,H57,I57-H57),[6]skilldef!$A:$B,2,FALSE),"-")</f>
        <v>- / -</v>
      </c>
      <c r="M57" s="63" t="str">
        <f t="shared" si="123"/>
        <v>[effect:freq_turn, target:myself, turn:-1, val:1, animation:enemy_freq_turn],[effect:enemy_message, val1:1.6, val2:4.9]</v>
      </c>
      <c r="N57" s="48" t="str">
        <f>IFERROR(LEFT(M57,FIND("],",M57)+S67),M57)</f>
        <v>[effect:freq_turn, target:myself, turn:-1, val:1, animation:enemy_freq_turn]</v>
      </c>
      <c r="O57" s="63">
        <f t="shared" si="6"/>
        <v>9</v>
      </c>
      <c r="P57" s="63">
        <f t="shared" si="124"/>
        <v>18</v>
      </c>
      <c r="Q57" s="63">
        <f t="shared" si="125"/>
        <v>27</v>
      </c>
      <c r="R57" s="63">
        <f t="shared" si="126"/>
        <v>33</v>
      </c>
      <c r="S57" s="63" t="str">
        <f>IFERROR(VLOOKUP(MID(N57,Q57,R57-Q57),[6]skilldef!$C:$D,2,FALSE),"-") &amp; " / " &amp; IFERROR(VLOOKUP(MID(N57,O57,P57-O57),[6]skilldef!$A:$B,2,FALSE),"-")</f>
        <v>自分自身に / 攻撃頻度がUP</v>
      </c>
      <c r="T57" s="48" t="str">
        <f t="shared" si="127"/>
        <v>[effect:enemy_message, val1:1.6, val2:4.9]</v>
      </c>
      <c r="U57" s="63">
        <f t="shared" si="11"/>
        <v>9</v>
      </c>
      <c r="V57" s="63">
        <f t="shared" si="128"/>
        <v>22</v>
      </c>
      <c r="W57" s="63" t="e">
        <f t="shared" si="129"/>
        <v>#VALUE!</v>
      </c>
      <c r="X57" s="63">
        <f t="shared" si="130"/>
        <v>32</v>
      </c>
      <c r="Y57" s="63" t="str">
        <f>IFERROR(VLOOKUP(MID(T57,W57,X57-W57),[6]skilldef!$C:$D,2,FALSE),"-") &amp; " / " &amp; IFERROR(VLOOKUP(MID(T57,U57,V57-U57),[6]skilldef!$A:$B,2,FALSE),"-")</f>
        <v>- / -</v>
      </c>
      <c r="Z57" s="50"/>
      <c r="AA57" s="51"/>
      <c r="AB57" s="50"/>
      <c r="AC57" s="49">
        <f t="shared" si="15"/>
        <v>16</v>
      </c>
      <c r="AD57" s="49">
        <f t="shared" si="16"/>
        <v>51</v>
      </c>
    </row>
    <row r="58" spans="1:30" ht="31" customHeight="1" x14ac:dyDescent="0.15">
      <c r="A58" s="111">
        <v>47006710</v>
      </c>
      <c r="B58" s="111" t="s">
        <v>403</v>
      </c>
      <c r="C58" s="112">
        <v>3</v>
      </c>
      <c r="D58" s="112" t="s">
        <v>128</v>
      </c>
      <c r="E58" s="113" t="s">
        <v>308</v>
      </c>
      <c r="F58" s="113" t="s">
        <v>378</v>
      </c>
      <c r="G58" s="63" t="str">
        <f t="shared" si="119"/>
        <v>[effect:force_change_block, new_block:crack_bomb, target:block_all, ignore01:block_positive, ignore02:block_negative, color:block_random, count:10, val:24, animation:change_block]</v>
      </c>
      <c r="H58" s="63">
        <f t="shared" si="1"/>
        <v>9</v>
      </c>
      <c r="I58" s="63">
        <f t="shared" si="120"/>
        <v>27</v>
      </c>
      <c r="J58" s="63">
        <f t="shared" si="121"/>
        <v>58</v>
      </c>
      <c r="K58" s="63">
        <f t="shared" si="122"/>
        <v>49</v>
      </c>
      <c r="L58" s="63" t="str">
        <f>IFERROR(VLOOKUP(MID(G58,J58,K58-J58),[6]skilldef!$C:$D,2,FALSE),"-") &amp; " / " &amp; IFERROR(VLOOKUP(MID(G58,H58,I58-H58),[6]skilldef!$A:$B,2,FALSE),"-")</f>
        <v>- / -</v>
      </c>
      <c r="M58" s="63" t="str">
        <f t="shared" si="123"/>
        <v>[effect:freq_turn, target:myself, turn:-1, val:1, animation:enemy_freq_turn],[effect:enemy_message, val1:1.6, val2:4.0]</v>
      </c>
      <c r="N58" s="48" t="str">
        <f>IFERROR(LEFT(M58,FIND("],",M58)+S68),M58)</f>
        <v>[effect:freq_turn, target:myself, turn:-1, val:1, animation:enemy_freq_turn]</v>
      </c>
      <c r="O58" s="63">
        <f t="shared" si="6"/>
        <v>9</v>
      </c>
      <c r="P58" s="63">
        <f t="shared" si="124"/>
        <v>18</v>
      </c>
      <c r="Q58" s="63">
        <f t="shared" si="125"/>
        <v>27</v>
      </c>
      <c r="R58" s="63">
        <f t="shared" si="126"/>
        <v>33</v>
      </c>
      <c r="S58" s="63" t="str">
        <f>IFERROR(VLOOKUP(MID(N58,Q58,R58-Q58),[6]skilldef!$C:$D,2,FALSE),"-") &amp; " / " &amp; IFERROR(VLOOKUP(MID(N58,O58,P58-O58),[6]skilldef!$A:$B,2,FALSE),"-")</f>
        <v>自分自身に / 攻撃頻度がUP</v>
      </c>
      <c r="T58" s="48" t="str">
        <f t="shared" si="127"/>
        <v>[effect:enemy_message, val1:1.6, val2:4.0]</v>
      </c>
      <c r="U58" s="63">
        <f t="shared" si="11"/>
        <v>9</v>
      </c>
      <c r="V58" s="63">
        <f t="shared" si="128"/>
        <v>22</v>
      </c>
      <c r="W58" s="63" t="e">
        <f t="shared" si="129"/>
        <v>#VALUE!</v>
      </c>
      <c r="X58" s="63">
        <f t="shared" si="130"/>
        <v>32</v>
      </c>
      <c r="Y58" s="63" t="str">
        <f>IFERROR(VLOOKUP(MID(T58,W58,X58-W58),[6]skilldef!$C:$D,2,FALSE),"-") &amp; " / " &amp; IFERROR(VLOOKUP(MID(T58,U58,V58-U58),[6]skilldef!$A:$B,2,FALSE),"-")</f>
        <v>- / -</v>
      </c>
      <c r="Z58" s="50"/>
      <c r="AA58" s="51"/>
      <c r="AB58" s="50"/>
      <c r="AC58" s="49">
        <f t="shared" si="15"/>
        <v>16</v>
      </c>
      <c r="AD58" s="49">
        <f t="shared" si="16"/>
        <v>41</v>
      </c>
    </row>
    <row r="59" spans="1:30" ht="34" customHeight="1" x14ac:dyDescent="0.15">
      <c r="A59" s="111">
        <v>47006711</v>
      </c>
      <c r="B59" s="111" t="s">
        <v>404</v>
      </c>
      <c r="C59" s="112">
        <v>3</v>
      </c>
      <c r="D59" s="112" t="s">
        <v>128</v>
      </c>
      <c r="E59" s="113" t="s">
        <v>308</v>
      </c>
      <c r="F59" s="113" t="s">
        <v>379</v>
      </c>
      <c r="G59" s="63" t="str">
        <f t="shared" ref="G59" si="131">IFERROR(LEFT(B59,FIND("],",B59)),B59)</f>
        <v>[effect:force_change_block, new_block:color_break, target:block_all, ignore01:block_positive, ignore02:block_negative, color:block_random, count:3, val:0, animation:change_block]</v>
      </c>
      <c r="H59" s="63">
        <f t="shared" ref="H59" si="132">FIND("effect:",G59)+7</f>
        <v>9</v>
      </c>
      <c r="I59" s="63">
        <f t="shared" ref="I59" si="133">IFERROR(FIND(",",G59),LEN(G59))</f>
        <v>27</v>
      </c>
      <c r="J59" s="63">
        <f t="shared" ref="J59" si="134">FIND("target:",G59)+7</f>
        <v>59</v>
      </c>
      <c r="K59" s="63">
        <f t="shared" ref="K59" si="135">FIND(",",G59,I59+1)</f>
        <v>50</v>
      </c>
      <c r="L59" s="63" t="str">
        <f>IFERROR(VLOOKUP(MID(G59,J59,K59-J59),[6]skilldef!$C:$D,2,FALSE),"-") &amp; " / " &amp; IFERROR(VLOOKUP(MID(G59,H59,I59-H59),[6]skilldef!$A:$B,2,FALSE),"-")</f>
        <v>- / -</v>
      </c>
      <c r="M59" s="63" t="str">
        <f t="shared" ref="M59" si="136">IFERROR(RIGHT(B59,LEN(B59)-FIND("],",B59)-1),"none")</f>
        <v>[effect:freq_turn, target:myself, turn:-1, val:1, animation:enemy_freq_turn],[effect:enemy_message, val1:1.6, val2:3.7]</v>
      </c>
      <c r="N59" s="48" t="str">
        <f>IFERROR(LEFT(M59,FIND("],",M59)+S68),M59)</f>
        <v>[effect:freq_turn, target:myself, turn:-1, val:1, animation:enemy_freq_turn]</v>
      </c>
      <c r="O59" s="63">
        <f t="shared" ref="O59" si="137">FIND("effect:",N59)+7</f>
        <v>9</v>
      </c>
      <c r="P59" s="63">
        <f t="shared" ref="P59" si="138">IFERROR(FIND(",",N59),LEN(N59))</f>
        <v>18</v>
      </c>
      <c r="Q59" s="63">
        <f t="shared" ref="Q59" si="139">FIND("target:",N59)+7</f>
        <v>27</v>
      </c>
      <c r="R59" s="63">
        <f t="shared" ref="R59" si="140">FIND(",",N59,P59+1)</f>
        <v>33</v>
      </c>
      <c r="S59" s="63" t="str">
        <f>IFERROR(VLOOKUP(MID(N59,Q59,R59-Q59),[6]skilldef!$C:$D,2,FALSE),"-") &amp; " / " &amp; IFERROR(VLOOKUP(MID(N59,O59,P59-O59),[6]skilldef!$A:$B,2,FALSE),"-")</f>
        <v>自分自身に / 攻撃頻度がUP</v>
      </c>
      <c r="T59" s="48" t="str">
        <f t="shared" ref="T59" si="141">IFERROR(RIGHT(M59,LEN(M59)-FIND("],",M59)-1),"none")</f>
        <v>[effect:enemy_message, val1:1.6, val2:3.7]</v>
      </c>
      <c r="U59" s="63">
        <f t="shared" ref="U59" si="142">FIND("effect:",T59)+7</f>
        <v>9</v>
      </c>
      <c r="V59" s="63">
        <f t="shared" ref="V59" si="143">IFERROR(FIND(",",T59),LEN(T59))</f>
        <v>22</v>
      </c>
      <c r="W59" s="63" t="e">
        <f t="shared" ref="W59" si="144">FIND("target:",T59)+7</f>
        <v>#VALUE!</v>
      </c>
      <c r="X59" s="63">
        <f t="shared" ref="X59" si="145">FIND(",",T59,V59+1)</f>
        <v>32</v>
      </c>
      <c r="Y59" s="63" t="str">
        <f>IFERROR(VLOOKUP(MID(T59,W59,X59-W59),[6]skilldef!$C:$D,2,FALSE),"-") &amp; " / " &amp; IFERROR(VLOOKUP(MID(T59,U59,V59-U59),[6]skilldef!$A:$B,2,FALSE),"-")</f>
        <v>- / -</v>
      </c>
      <c r="Z59" s="50"/>
      <c r="AA59" s="51"/>
      <c r="AB59" s="50"/>
      <c r="AC59" s="49">
        <f t="shared" si="15"/>
        <v>16</v>
      </c>
      <c r="AD59" s="49">
        <f t="shared" si="16"/>
        <v>38</v>
      </c>
    </row>
    <row r="60" spans="1:30" ht="34" customHeight="1" x14ac:dyDescent="0.15">
      <c r="A60" s="111">
        <v>47006712</v>
      </c>
      <c r="B60" s="111" t="s">
        <v>365</v>
      </c>
      <c r="C60" s="112">
        <v>3</v>
      </c>
      <c r="D60" s="112" t="s">
        <v>128</v>
      </c>
      <c r="E60" s="113" t="s">
        <v>308</v>
      </c>
      <c r="F60" s="113" t="s">
        <v>384</v>
      </c>
      <c r="G60" s="63" t="str">
        <f t="shared" si="119"/>
        <v>[effect:force_change_block, new_block:crash, target:block_all, ignore01:block_positive, ignore02:block_negative, count:10, val:6, animation:change_block]</v>
      </c>
      <c r="H60" s="63">
        <f t="shared" si="1"/>
        <v>9</v>
      </c>
      <c r="I60" s="63">
        <f t="shared" si="120"/>
        <v>27</v>
      </c>
      <c r="J60" s="63">
        <f t="shared" si="121"/>
        <v>53</v>
      </c>
      <c r="K60" s="63">
        <f t="shared" si="122"/>
        <v>44</v>
      </c>
      <c r="L60" s="63" t="str">
        <f>IFERROR(VLOOKUP(MID(G60,J60,K60-J60),[6]skilldef!$C:$D,2,FALSE),"-") &amp; " / " &amp; IFERROR(VLOOKUP(MID(G60,H60,I60-H60),[6]skilldef!$A:$B,2,FALSE),"-")</f>
        <v>- / -</v>
      </c>
      <c r="M60" s="63" t="str">
        <f t="shared" si="123"/>
        <v>[effect:freq_turn, target:myself, turn:-1, val:1, animation:enemy_freq_turn],[effect:enemy_message, val1:1.6, val2:3.4]</v>
      </c>
      <c r="N60" s="48" t="str">
        <f>IFERROR(LEFT(M60,FIND("],",M60)+S69),M60)</f>
        <v>[effect:freq_turn, target:myself, turn:-1, val:1, animation:enemy_freq_turn]</v>
      </c>
      <c r="O60" s="63">
        <f t="shared" si="6"/>
        <v>9</v>
      </c>
      <c r="P60" s="63">
        <f t="shared" si="124"/>
        <v>18</v>
      </c>
      <c r="Q60" s="63">
        <f t="shared" si="125"/>
        <v>27</v>
      </c>
      <c r="R60" s="63">
        <f t="shared" si="126"/>
        <v>33</v>
      </c>
      <c r="S60" s="63" t="str">
        <f>IFERROR(VLOOKUP(MID(N60,Q60,R60-Q60),[6]skilldef!$C:$D,2,FALSE),"-") &amp; " / " &amp; IFERROR(VLOOKUP(MID(N60,O60,P60-O60),[6]skilldef!$A:$B,2,FALSE),"-")</f>
        <v>自分自身に / 攻撃頻度がUP</v>
      </c>
      <c r="T60" s="48" t="str">
        <f t="shared" si="127"/>
        <v>[effect:enemy_message, val1:1.6, val2:3.4]</v>
      </c>
      <c r="U60" s="63">
        <f t="shared" si="11"/>
        <v>9</v>
      </c>
      <c r="V60" s="63">
        <f t="shared" si="128"/>
        <v>22</v>
      </c>
      <c r="W60" s="63" t="e">
        <f t="shared" si="129"/>
        <v>#VALUE!</v>
      </c>
      <c r="X60" s="63">
        <f t="shared" si="130"/>
        <v>32</v>
      </c>
      <c r="Y60" s="63" t="str">
        <f>IFERROR(VLOOKUP(MID(T60,W60,X60-W60),[6]skilldef!$C:$D,2,FALSE),"-") &amp; " / " &amp; IFERROR(VLOOKUP(MID(T60,U60,V60-U60),[6]skilldef!$A:$B,2,FALSE),"-")</f>
        <v>- / -</v>
      </c>
      <c r="Z60" s="50"/>
      <c r="AA60" s="51"/>
      <c r="AB60" s="50"/>
      <c r="AC60" s="49">
        <f t="shared" si="15"/>
        <v>16</v>
      </c>
      <c r="AD60" s="49">
        <f t="shared" si="16"/>
        <v>35</v>
      </c>
    </row>
    <row r="61" spans="1:30" ht="42" customHeight="1" x14ac:dyDescent="0.15">
      <c r="A61" s="111">
        <v>47006713</v>
      </c>
      <c r="B61" s="111" t="s">
        <v>366</v>
      </c>
      <c r="C61" s="112">
        <v>3</v>
      </c>
      <c r="D61" s="112" t="s">
        <v>128</v>
      </c>
      <c r="E61" s="113" t="s">
        <v>308</v>
      </c>
      <c r="F61" s="113" t="s">
        <v>385</v>
      </c>
      <c r="G61" s="63" t="str">
        <f t="shared" si="119"/>
        <v>[effect:force_change_block, new_block:crash, target:block_all, ignore01:block_positive, ignore02:block_negative, count:5, val:36, animation:change_block]</v>
      </c>
      <c r="H61" s="63">
        <f t="shared" si="1"/>
        <v>9</v>
      </c>
      <c r="I61" s="63">
        <f t="shared" si="120"/>
        <v>27</v>
      </c>
      <c r="J61" s="63">
        <f t="shared" si="121"/>
        <v>53</v>
      </c>
      <c r="K61" s="63">
        <f t="shared" si="122"/>
        <v>44</v>
      </c>
      <c r="L61" s="63" t="str">
        <f>IFERROR(VLOOKUP(MID(G61,J61,K61-J61),[6]skilldef!$C:$D,2,FALSE),"-") &amp; " / " &amp; IFERROR(VLOOKUP(MID(G61,H61,I61-H61),[6]skilldef!$A:$B,2,FALSE),"-")</f>
        <v>- / -</v>
      </c>
      <c r="M61" s="63" t="str">
        <f t="shared" si="123"/>
        <v>[effect:freq_turn, target:myself, turn:-1, val:1, animation:enemy_freq_turn],[effect:enemy_message, val1:1.6, val2:4.1]</v>
      </c>
      <c r="N61" s="48" t="str">
        <f>IFERROR(LEFT(M61,FIND("],",M61)+S70),M61)</f>
        <v>[effect:freq_turn, target:myself, turn:-1, val:1, animation:enemy_freq_turn]</v>
      </c>
      <c r="O61" s="63">
        <f t="shared" si="6"/>
        <v>9</v>
      </c>
      <c r="P61" s="63">
        <f t="shared" si="124"/>
        <v>18</v>
      </c>
      <c r="Q61" s="63">
        <f t="shared" si="125"/>
        <v>27</v>
      </c>
      <c r="R61" s="63">
        <f t="shared" si="126"/>
        <v>33</v>
      </c>
      <c r="S61" s="63" t="str">
        <f>IFERROR(VLOOKUP(MID(N61,Q61,R61-Q61),[6]skilldef!$C:$D,2,FALSE),"-") &amp; " / " &amp; IFERROR(VLOOKUP(MID(N61,O61,P61-O61),[6]skilldef!$A:$B,2,FALSE),"-")</f>
        <v>自分自身に / 攻撃頻度がUP</v>
      </c>
      <c r="T61" s="48" t="str">
        <f t="shared" si="127"/>
        <v>[effect:enemy_message, val1:1.6, val2:4.1]</v>
      </c>
      <c r="U61" s="63">
        <f t="shared" si="11"/>
        <v>9</v>
      </c>
      <c r="V61" s="63">
        <f t="shared" si="128"/>
        <v>22</v>
      </c>
      <c r="W61" s="63" t="e">
        <f t="shared" si="129"/>
        <v>#VALUE!</v>
      </c>
      <c r="X61" s="63">
        <f t="shared" si="130"/>
        <v>32</v>
      </c>
      <c r="Y61" s="63" t="str">
        <f>IFERROR(VLOOKUP(MID(T61,W61,X61-W61),[6]skilldef!$C:$D,2,FALSE),"-") &amp; " / " &amp; IFERROR(VLOOKUP(MID(T61,U61,V61-U61),[6]skilldef!$A:$B,2,FALSE),"-")</f>
        <v>- / -</v>
      </c>
      <c r="Z61" s="50"/>
      <c r="AA61" s="51"/>
      <c r="AB61" s="50"/>
      <c r="AC61" s="49">
        <f t="shared" si="15"/>
        <v>16</v>
      </c>
      <c r="AD61" s="49">
        <f t="shared" si="16"/>
        <v>42</v>
      </c>
    </row>
    <row r="62" spans="1:30" ht="37" customHeight="1" x14ac:dyDescent="0.15">
      <c r="A62" s="111">
        <v>47006714</v>
      </c>
      <c r="B62" s="111" t="s">
        <v>367</v>
      </c>
      <c r="C62" s="112">
        <v>3</v>
      </c>
      <c r="D62" s="112" t="s">
        <v>128</v>
      </c>
      <c r="E62" s="113" t="s">
        <v>334</v>
      </c>
      <c r="F62" s="113" t="s">
        <v>309</v>
      </c>
      <c r="G62" s="63" t="str">
        <f t="shared" si="119"/>
        <v>[effect:enemy_message, val1:2.2, val2:2.9]</v>
      </c>
      <c r="H62" s="63">
        <f t="shared" ref="H62" si="146">FIND("effect:",G62)+7</f>
        <v>9</v>
      </c>
      <c r="I62" s="63">
        <f t="shared" si="120"/>
        <v>22</v>
      </c>
      <c r="J62" s="63" t="e">
        <f t="shared" si="121"/>
        <v>#VALUE!</v>
      </c>
      <c r="K62" s="63">
        <f t="shared" si="122"/>
        <v>32</v>
      </c>
      <c r="L62" s="63" t="str">
        <f>IFERROR(VLOOKUP(MID(G62,J62,K62-J62),[6]skilldef!$C:$D,2,FALSE),"-") &amp; " / " &amp; IFERROR(VLOOKUP(MID(G62,H62,I62-H62),[6]skilldef!$A:$B,2,FALSE),"-")</f>
        <v>- / -</v>
      </c>
      <c r="M62" s="63" t="str">
        <f t="shared" si="123"/>
        <v>none</v>
      </c>
      <c r="N62" s="48" t="str">
        <f>IFERROR(LEFT(M62,FIND("],",M62)+S74),M62)</f>
        <v>none</v>
      </c>
      <c r="O62" s="63" t="e">
        <f t="shared" ref="O62" si="147">FIND("effect:",N62)+7</f>
        <v>#VALUE!</v>
      </c>
      <c r="P62" s="63">
        <f t="shared" si="124"/>
        <v>4</v>
      </c>
      <c r="Q62" s="63" t="e">
        <f t="shared" si="125"/>
        <v>#VALUE!</v>
      </c>
      <c r="R62" s="63" t="e">
        <f t="shared" si="126"/>
        <v>#VALUE!</v>
      </c>
      <c r="S62" s="63" t="str">
        <f>IFERROR(VLOOKUP(MID(N62,Q62,R62-Q62),[6]skilldef!$C:$D,2,FALSE),"-") &amp; " / " &amp; IFERROR(VLOOKUP(MID(N62,O62,P62-O62),[6]skilldef!$A:$B,2,FALSE),"-")</f>
        <v>- / -</v>
      </c>
      <c r="T62" s="48" t="str">
        <f t="shared" si="127"/>
        <v>none</v>
      </c>
      <c r="U62" s="63" t="e">
        <f t="shared" ref="U62" si="148">FIND("effect:",T62)+7</f>
        <v>#VALUE!</v>
      </c>
      <c r="V62" s="63">
        <f t="shared" si="128"/>
        <v>4</v>
      </c>
      <c r="W62" s="63" t="e">
        <f t="shared" si="129"/>
        <v>#VALUE!</v>
      </c>
      <c r="X62" s="63" t="e">
        <f t="shared" si="130"/>
        <v>#VALUE!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1"/>
      <c r="AB62" s="50"/>
      <c r="AC62" s="49">
        <f t="shared" si="15"/>
        <v>17</v>
      </c>
      <c r="AD62" s="49">
        <f t="shared" si="16"/>
        <v>24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2"/>
  <sheetViews>
    <sheetView showGridLines="0" zoomScale="75" zoomScaleNormal="75" zoomScalePageLayoutView="75" workbookViewId="0">
      <pane ySplit="1" topLeftCell="A30" activePane="bottomLeft" state="frozenSplit"/>
      <selection pane="bottomLeft" activeCell="C63" sqref="C6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105">
        <v>47006000</v>
      </c>
      <c r="B2" s="47">
        <v>1</v>
      </c>
      <c r="C2" s="47" t="s">
        <v>89</v>
      </c>
      <c r="D2" s="47">
        <v>100</v>
      </c>
      <c r="E2" s="47" t="s">
        <v>89</v>
      </c>
      <c r="F2" s="47" t="s">
        <v>90</v>
      </c>
      <c r="G2" s="47">
        <v>1</v>
      </c>
      <c r="H2" s="47">
        <v>1</v>
      </c>
      <c r="I2" s="47" t="s">
        <v>90</v>
      </c>
      <c r="J2" s="48">
        <f t="shared" ref="J2:J61" si="0">D2</f>
        <v>100</v>
      </c>
    </row>
    <row r="3" spans="1:11" ht="21" customHeight="1" x14ac:dyDescent="0.15">
      <c r="A3" s="105">
        <v>47006001</v>
      </c>
      <c r="B3" s="120">
        <v>0</v>
      </c>
      <c r="C3" s="120" t="s">
        <v>262</v>
      </c>
      <c r="D3" s="120">
        <v>100</v>
      </c>
      <c r="E3" s="120" t="s">
        <v>263</v>
      </c>
      <c r="F3" s="120" t="s">
        <v>264</v>
      </c>
      <c r="G3" s="120" t="s">
        <v>265</v>
      </c>
      <c r="H3" s="120">
        <v>1</v>
      </c>
      <c r="I3" s="120" t="s">
        <v>89</v>
      </c>
      <c r="J3" s="48">
        <f t="shared" si="0"/>
        <v>100</v>
      </c>
    </row>
    <row r="4" spans="1:11" ht="21" customHeight="1" x14ac:dyDescent="0.15">
      <c r="A4" s="108">
        <v>47006100</v>
      </c>
      <c r="B4" s="120">
        <v>1</v>
      </c>
      <c r="C4" s="120" t="s">
        <v>89</v>
      </c>
      <c r="D4" s="120">
        <v>100</v>
      </c>
      <c r="E4" s="120" t="s">
        <v>266</v>
      </c>
      <c r="F4" s="120" t="s">
        <v>267</v>
      </c>
      <c r="G4" s="120">
        <v>1</v>
      </c>
      <c r="H4" s="120">
        <v>1</v>
      </c>
      <c r="I4" s="120" t="s">
        <v>89</v>
      </c>
      <c r="J4" s="48">
        <f t="shared" si="0"/>
        <v>100</v>
      </c>
    </row>
    <row r="5" spans="1:11" ht="21" customHeight="1" x14ac:dyDescent="0.15">
      <c r="A5" s="108">
        <v>47006101</v>
      </c>
      <c r="B5" s="120">
        <v>0</v>
      </c>
      <c r="C5" s="120" t="s">
        <v>262</v>
      </c>
      <c r="D5" s="120">
        <v>100</v>
      </c>
      <c r="E5" s="120" t="s">
        <v>263</v>
      </c>
      <c r="F5" s="120" t="s">
        <v>264</v>
      </c>
      <c r="G5" s="120" t="s">
        <v>265</v>
      </c>
      <c r="H5" s="120">
        <v>2</v>
      </c>
      <c r="I5" s="120" t="s">
        <v>89</v>
      </c>
      <c r="J5" s="48">
        <f t="shared" si="0"/>
        <v>100</v>
      </c>
    </row>
    <row r="6" spans="1:11" ht="21" customHeight="1" x14ac:dyDescent="0.15">
      <c r="A6" s="111">
        <v>47006200</v>
      </c>
      <c r="B6" s="120">
        <v>1</v>
      </c>
      <c r="C6" s="120" t="s">
        <v>262</v>
      </c>
      <c r="D6" s="120">
        <v>100</v>
      </c>
      <c r="E6" s="120" t="s">
        <v>263</v>
      </c>
      <c r="F6" s="120" t="s">
        <v>264</v>
      </c>
      <c r="G6" s="120">
        <v>1</v>
      </c>
      <c r="H6" s="120">
        <v>1</v>
      </c>
      <c r="I6" s="120" t="s">
        <v>89</v>
      </c>
      <c r="J6" s="48">
        <f t="shared" si="0"/>
        <v>100</v>
      </c>
    </row>
    <row r="7" spans="1:11" ht="21" customHeight="1" x14ac:dyDescent="0.15">
      <c r="A7" s="111">
        <v>47006201</v>
      </c>
      <c r="B7" s="120">
        <v>0</v>
      </c>
      <c r="C7" s="120">
        <v>20</v>
      </c>
      <c r="D7" s="120">
        <v>100</v>
      </c>
      <c r="E7" s="120">
        <v>50</v>
      </c>
      <c r="F7" s="120" t="s">
        <v>264</v>
      </c>
      <c r="G7" s="120">
        <v>1</v>
      </c>
      <c r="H7" s="120">
        <v>1</v>
      </c>
      <c r="I7" s="120" t="s">
        <v>89</v>
      </c>
      <c r="J7" s="48">
        <f t="shared" si="0"/>
        <v>100</v>
      </c>
    </row>
    <row r="8" spans="1:11" ht="21" customHeight="1" x14ac:dyDescent="0.15">
      <c r="A8" s="111">
        <v>47006202</v>
      </c>
      <c r="B8" s="120">
        <v>0</v>
      </c>
      <c r="C8" s="120">
        <v>11</v>
      </c>
      <c r="D8" s="120">
        <v>100</v>
      </c>
      <c r="E8" s="120" t="s">
        <v>263</v>
      </c>
      <c r="F8" s="120" t="s">
        <v>264</v>
      </c>
      <c r="G8" s="120">
        <v>1</v>
      </c>
      <c r="H8" s="120">
        <v>2</v>
      </c>
      <c r="I8" s="120" t="s">
        <v>89</v>
      </c>
      <c r="J8" s="48">
        <f t="shared" si="0"/>
        <v>100</v>
      </c>
    </row>
    <row r="9" spans="1:11" ht="21" customHeight="1" x14ac:dyDescent="0.15">
      <c r="A9" s="111">
        <v>47006203</v>
      </c>
      <c r="B9" s="120">
        <v>0</v>
      </c>
      <c r="C9" s="120">
        <v>10</v>
      </c>
      <c r="D9" s="120">
        <v>100</v>
      </c>
      <c r="E9" s="120" t="s">
        <v>90</v>
      </c>
      <c r="F9" s="120" t="s">
        <v>264</v>
      </c>
      <c r="G9" s="120" t="s">
        <v>90</v>
      </c>
      <c r="H9" s="120">
        <v>2</v>
      </c>
      <c r="I9" s="120" t="s">
        <v>89</v>
      </c>
      <c r="J9" s="48">
        <f t="shared" ref="J9" si="1">D9</f>
        <v>100</v>
      </c>
    </row>
    <row r="10" spans="1:11" ht="21" customHeight="1" x14ac:dyDescent="0.15">
      <c r="A10" s="114">
        <v>47006300</v>
      </c>
      <c r="B10" s="120">
        <v>1</v>
      </c>
      <c r="C10" s="120" t="s">
        <v>262</v>
      </c>
      <c r="D10" s="120">
        <v>100</v>
      </c>
      <c r="E10" s="120" t="s">
        <v>263</v>
      </c>
      <c r="F10" s="120" t="s">
        <v>264</v>
      </c>
      <c r="G10" s="120">
        <v>1</v>
      </c>
      <c r="H10" s="120">
        <v>1</v>
      </c>
      <c r="I10" s="120" t="s">
        <v>89</v>
      </c>
      <c r="J10" s="48">
        <f t="shared" si="0"/>
        <v>100</v>
      </c>
    </row>
    <row r="11" spans="1:11" ht="21" customHeight="1" x14ac:dyDescent="0.15">
      <c r="A11" s="114">
        <v>47006301</v>
      </c>
      <c r="B11" s="120">
        <v>0</v>
      </c>
      <c r="C11" s="120">
        <v>10</v>
      </c>
      <c r="D11" s="120">
        <v>100</v>
      </c>
      <c r="E11" s="120" t="s">
        <v>263</v>
      </c>
      <c r="F11" s="120">
        <v>75</v>
      </c>
      <c r="G11" s="120" t="s">
        <v>265</v>
      </c>
      <c r="H11" s="120">
        <v>1</v>
      </c>
      <c r="I11" s="120" t="s">
        <v>89</v>
      </c>
      <c r="J11" s="48">
        <f t="shared" si="0"/>
        <v>100</v>
      </c>
    </row>
    <row r="12" spans="1:11" ht="21" customHeight="1" x14ac:dyDescent="0.15">
      <c r="A12" s="114">
        <v>47006302</v>
      </c>
      <c r="B12" s="120">
        <v>0</v>
      </c>
      <c r="C12" s="120">
        <v>20</v>
      </c>
      <c r="D12" s="120">
        <v>100</v>
      </c>
      <c r="E12" s="120">
        <v>75</v>
      </c>
      <c r="F12" s="120" t="s">
        <v>264</v>
      </c>
      <c r="G12" s="120" t="s">
        <v>265</v>
      </c>
      <c r="H12" s="120">
        <v>1</v>
      </c>
      <c r="I12" s="120" t="s">
        <v>89</v>
      </c>
      <c r="J12" s="48">
        <f t="shared" si="0"/>
        <v>100</v>
      </c>
    </row>
    <row r="13" spans="1:11" ht="21" customHeight="1" x14ac:dyDescent="0.15">
      <c r="A13" s="114">
        <v>47006303</v>
      </c>
      <c r="B13" s="120">
        <v>0</v>
      </c>
      <c r="C13" s="120">
        <v>30</v>
      </c>
      <c r="D13" s="120">
        <v>100</v>
      </c>
      <c r="E13" s="120">
        <v>50</v>
      </c>
      <c r="F13" s="120" t="s">
        <v>264</v>
      </c>
      <c r="G13" s="120" t="s">
        <v>265</v>
      </c>
      <c r="H13" s="120">
        <v>1</v>
      </c>
      <c r="I13" s="120" t="s">
        <v>89</v>
      </c>
      <c r="J13" s="48">
        <f t="shared" si="0"/>
        <v>100</v>
      </c>
    </row>
    <row r="14" spans="1:11" ht="21" customHeight="1" x14ac:dyDescent="0.15">
      <c r="A14" s="114">
        <v>47006304</v>
      </c>
      <c r="B14" s="120">
        <v>0</v>
      </c>
      <c r="C14" s="120">
        <v>40</v>
      </c>
      <c r="D14" s="120">
        <v>100</v>
      </c>
      <c r="E14" s="120">
        <v>25</v>
      </c>
      <c r="F14" s="120" t="s">
        <v>264</v>
      </c>
      <c r="G14" s="120" t="s">
        <v>265</v>
      </c>
      <c r="H14" s="120">
        <v>1</v>
      </c>
      <c r="I14" s="120" t="s">
        <v>89</v>
      </c>
      <c r="J14" s="48">
        <f t="shared" si="0"/>
        <v>100</v>
      </c>
    </row>
    <row r="15" spans="1:11" ht="21" customHeight="1" x14ac:dyDescent="0.15">
      <c r="A15" s="114">
        <v>47006305</v>
      </c>
      <c r="B15" s="120">
        <v>0</v>
      </c>
      <c r="C15" s="120">
        <v>50</v>
      </c>
      <c r="D15" s="120">
        <v>100</v>
      </c>
      <c r="E15" s="120" t="s">
        <v>263</v>
      </c>
      <c r="F15" s="120" t="s">
        <v>264</v>
      </c>
      <c r="G15" s="120" t="s">
        <v>265</v>
      </c>
      <c r="H15" s="120">
        <v>1</v>
      </c>
      <c r="I15" s="120">
        <v>403</v>
      </c>
      <c r="J15" s="48">
        <f t="shared" si="0"/>
        <v>100</v>
      </c>
    </row>
    <row r="16" spans="1:11" ht="21" customHeight="1" x14ac:dyDescent="0.15">
      <c r="A16" s="117">
        <v>47006400</v>
      </c>
      <c r="B16" s="120">
        <v>1</v>
      </c>
      <c r="C16" s="120" t="s">
        <v>262</v>
      </c>
      <c r="D16" s="120">
        <v>100</v>
      </c>
      <c r="E16" s="120" t="s">
        <v>263</v>
      </c>
      <c r="F16" s="120" t="s">
        <v>264</v>
      </c>
      <c r="G16" s="120">
        <v>1</v>
      </c>
      <c r="H16" s="120">
        <v>1</v>
      </c>
      <c r="I16" s="120" t="s">
        <v>89</v>
      </c>
      <c r="J16" s="48">
        <f t="shared" si="0"/>
        <v>100</v>
      </c>
    </row>
    <row r="17" spans="1:10" ht="21" customHeight="1" x14ac:dyDescent="0.15">
      <c r="A17" s="117">
        <v>47006401</v>
      </c>
      <c r="B17" s="120">
        <v>0</v>
      </c>
      <c r="C17" s="120" t="s">
        <v>262</v>
      </c>
      <c r="D17" s="120">
        <v>100</v>
      </c>
      <c r="E17" s="120" t="s">
        <v>263</v>
      </c>
      <c r="F17" s="120" t="s">
        <v>264</v>
      </c>
      <c r="G17" s="120" t="s">
        <v>265</v>
      </c>
      <c r="H17" s="120">
        <v>2</v>
      </c>
      <c r="I17" s="120" t="s">
        <v>89</v>
      </c>
      <c r="J17" s="48">
        <f t="shared" si="0"/>
        <v>100</v>
      </c>
    </row>
    <row r="18" spans="1:10" ht="21" customHeight="1" x14ac:dyDescent="0.15">
      <c r="A18" s="117">
        <v>47006402</v>
      </c>
      <c r="B18" s="120">
        <v>0</v>
      </c>
      <c r="C18" s="120" t="s">
        <v>262</v>
      </c>
      <c r="D18" s="120">
        <v>100</v>
      </c>
      <c r="E18" s="120">
        <v>50</v>
      </c>
      <c r="F18" s="120" t="s">
        <v>264</v>
      </c>
      <c r="G18" s="120" t="s">
        <v>265</v>
      </c>
      <c r="H18" s="120">
        <v>1</v>
      </c>
      <c r="I18" s="120" t="s">
        <v>89</v>
      </c>
      <c r="J18" s="48">
        <f t="shared" si="0"/>
        <v>100</v>
      </c>
    </row>
    <row r="19" spans="1:10" ht="21" customHeight="1" x14ac:dyDescent="0.15">
      <c r="A19" s="117">
        <v>47006403</v>
      </c>
      <c r="B19" s="120">
        <v>0</v>
      </c>
      <c r="C19" s="120" t="s">
        <v>262</v>
      </c>
      <c r="D19" s="120">
        <v>100</v>
      </c>
      <c r="E19" s="120" t="s">
        <v>263</v>
      </c>
      <c r="F19" s="120" t="s">
        <v>264</v>
      </c>
      <c r="G19" s="120" t="s">
        <v>265</v>
      </c>
      <c r="H19" s="120">
        <v>1</v>
      </c>
      <c r="I19" s="120">
        <v>188</v>
      </c>
      <c r="J19" s="48">
        <f t="shared" si="0"/>
        <v>100</v>
      </c>
    </row>
    <row r="20" spans="1:10" ht="21" customHeight="1" x14ac:dyDescent="0.15">
      <c r="A20" s="105">
        <v>47006500</v>
      </c>
      <c r="B20" s="120">
        <v>1</v>
      </c>
      <c r="C20" s="120" t="s">
        <v>262</v>
      </c>
      <c r="D20" s="120">
        <v>100</v>
      </c>
      <c r="E20" s="120" t="s">
        <v>263</v>
      </c>
      <c r="F20" s="120" t="s">
        <v>264</v>
      </c>
      <c r="G20" s="120">
        <v>1</v>
      </c>
      <c r="H20" s="120">
        <v>1</v>
      </c>
      <c r="I20" s="120" t="s">
        <v>89</v>
      </c>
      <c r="J20" s="48">
        <f t="shared" si="0"/>
        <v>100</v>
      </c>
    </row>
    <row r="21" spans="1:10" ht="21" customHeight="1" x14ac:dyDescent="0.15">
      <c r="A21" s="105">
        <v>47006501</v>
      </c>
      <c r="B21" s="120">
        <v>0</v>
      </c>
      <c r="C21" s="120">
        <v>11</v>
      </c>
      <c r="D21" s="120">
        <v>100</v>
      </c>
      <c r="E21" s="120" t="s">
        <v>90</v>
      </c>
      <c r="F21" s="120" t="s">
        <v>264</v>
      </c>
      <c r="G21" s="120">
        <v>1</v>
      </c>
      <c r="H21" s="120">
        <v>1</v>
      </c>
      <c r="I21" s="120" t="s">
        <v>89</v>
      </c>
      <c r="J21" s="48">
        <f t="shared" ref="J21" si="2">D21</f>
        <v>100</v>
      </c>
    </row>
    <row r="22" spans="1:10" ht="21" customHeight="1" x14ac:dyDescent="0.15">
      <c r="A22" s="105">
        <v>47006502</v>
      </c>
      <c r="B22" s="120">
        <v>0</v>
      </c>
      <c r="C22" s="120">
        <v>10</v>
      </c>
      <c r="D22" s="120">
        <v>100</v>
      </c>
      <c r="E22" s="120" t="s">
        <v>90</v>
      </c>
      <c r="F22" s="120" t="s">
        <v>264</v>
      </c>
      <c r="G22" s="120" t="s">
        <v>90</v>
      </c>
      <c r="H22" s="120">
        <v>1</v>
      </c>
      <c r="I22" s="120" t="s">
        <v>89</v>
      </c>
      <c r="J22" s="48">
        <f t="shared" ref="J22" si="3">D22</f>
        <v>100</v>
      </c>
    </row>
    <row r="23" spans="1:10" ht="21" customHeight="1" x14ac:dyDescent="0.15">
      <c r="A23" s="105">
        <v>47006503</v>
      </c>
      <c r="B23" s="120">
        <v>0</v>
      </c>
      <c r="C23" s="120">
        <v>20</v>
      </c>
      <c r="D23" s="120">
        <v>10</v>
      </c>
      <c r="E23" s="120" t="s">
        <v>263</v>
      </c>
      <c r="F23" s="120" t="s">
        <v>264</v>
      </c>
      <c r="G23" s="120" t="s">
        <v>265</v>
      </c>
      <c r="H23" s="120">
        <v>2</v>
      </c>
      <c r="I23" s="120" t="s">
        <v>89</v>
      </c>
      <c r="J23" s="48">
        <f t="shared" si="0"/>
        <v>10</v>
      </c>
    </row>
    <row r="24" spans="1:10" ht="21" customHeight="1" x14ac:dyDescent="0.15">
      <c r="A24" s="105">
        <v>47006504</v>
      </c>
      <c r="B24" s="120">
        <v>0</v>
      </c>
      <c r="C24" s="120">
        <v>18</v>
      </c>
      <c r="D24" s="120">
        <v>40</v>
      </c>
      <c r="E24" s="120" t="s">
        <v>263</v>
      </c>
      <c r="F24" s="120" t="s">
        <v>264</v>
      </c>
      <c r="G24" s="120" t="s">
        <v>265</v>
      </c>
      <c r="H24" s="120">
        <v>2</v>
      </c>
      <c r="I24" s="120" t="s">
        <v>89</v>
      </c>
      <c r="J24" s="48">
        <f t="shared" si="0"/>
        <v>40</v>
      </c>
    </row>
    <row r="25" spans="1:10" ht="21" customHeight="1" x14ac:dyDescent="0.15">
      <c r="A25" s="105">
        <v>47006505</v>
      </c>
      <c r="B25" s="120">
        <v>0</v>
      </c>
      <c r="C25" s="120">
        <v>16</v>
      </c>
      <c r="D25" s="120">
        <v>70</v>
      </c>
      <c r="E25" s="120" t="s">
        <v>263</v>
      </c>
      <c r="F25" s="120" t="s">
        <v>264</v>
      </c>
      <c r="G25" s="120" t="s">
        <v>265</v>
      </c>
      <c r="H25" s="120">
        <v>2</v>
      </c>
      <c r="I25" s="120" t="s">
        <v>89</v>
      </c>
      <c r="J25" s="48">
        <f t="shared" si="0"/>
        <v>70</v>
      </c>
    </row>
    <row r="26" spans="1:10" ht="21" customHeight="1" x14ac:dyDescent="0.15">
      <c r="A26" s="105">
        <v>47006506</v>
      </c>
      <c r="B26" s="120">
        <v>0</v>
      </c>
      <c r="C26" s="120">
        <v>14</v>
      </c>
      <c r="D26" s="120">
        <v>100</v>
      </c>
      <c r="E26" s="120" t="s">
        <v>263</v>
      </c>
      <c r="F26" s="120" t="s">
        <v>264</v>
      </c>
      <c r="G26" s="120">
        <v>1</v>
      </c>
      <c r="H26" s="120">
        <v>2</v>
      </c>
      <c r="I26" s="120" t="s">
        <v>89</v>
      </c>
      <c r="J26" s="48">
        <f t="shared" si="0"/>
        <v>100</v>
      </c>
    </row>
    <row r="27" spans="1:10" ht="21" customHeight="1" x14ac:dyDescent="0.15">
      <c r="A27" s="105">
        <v>47006507</v>
      </c>
      <c r="B27" s="120">
        <v>0</v>
      </c>
      <c r="C27" s="120">
        <v>100</v>
      </c>
      <c r="D27" s="120">
        <v>15</v>
      </c>
      <c r="E27" s="120">
        <v>50</v>
      </c>
      <c r="F27" s="120" t="s">
        <v>264</v>
      </c>
      <c r="G27" s="120">
        <v>1</v>
      </c>
      <c r="H27" s="120">
        <v>1</v>
      </c>
      <c r="I27" s="120" t="s">
        <v>89</v>
      </c>
      <c r="J27" s="48">
        <f t="shared" si="0"/>
        <v>15</v>
      </c>
    </row>
    <row r="28" spans="1:10" ht="21" customHeight="1" x14ac:dyDescent="0.15">
      <c r="A28" s="105">
        <v>47006508</v>
      </c>
      <c r="B28" s="120">
        <v>0</v>
      </c>
      <c r="C28" s="120">
        <v>90</v>
      </c>
      <c r="D28" s="120">
        <v>18</v>
      </c>
      <c r="E28" s="120">
        <v>50</v>
      </c>
      <c r="F28" s="120" t="s">
        <v>264</v>
      </c>
      <c r="G28" s="120">
        <v>1</v>
      </c>
      <c r="H28" s="120">
        <v>1</v>
      </c>
      <c r="I28" s="120" t="s">
        <v>89</v>
      </c>
      <c r="J28" s="48">
        <f t="shared" si="0"/>
        <v>18</v>
      </c>
    </row>
    <row r="29" spans="1:10" ht="21" customHeight="1" x14ac:dyDescent="0.15">
      <c r="A29" s="105">
        <v>47006509</v>
      </c>
      <c r="B29" s="120">
        <v>0</v>
      </c>
      <c r="C29" s="120">
        <v>80</v>
      </c>
      <c r="D29" s="120">
        <v>21</v>
      </c>
      <c r="E29" s="120">
        <v>50</v>
      </c>
      <c r="F29" s="120" t="s">
        <v>264</v>
      </c>
      <c r="G29" s="120">
        <v>1</v>
      </c>
      <c r="H29" s="120">
        <v>1</v>
      </c>
      <c r="I29" s="120" t="s">
        <v>89</v>
      </c>
      <c r="J29" s="48">
        <f t="shared" si="0"/>
        <v>21</v>
      </c>
    </row>
    <row r="30" spans="1:10" ht="21" customHeight="1" x14ac:dyDescent="0.15">
      <c r="A30" s="105">
        <v>47006510</v>
      </c>
      <c r="B30" s="120">
        <v>0</v>
      </c>
      <c r="C30" s="120">
        <v>70</v>
      </c>
      <c r="D30" s="120">
        <v>27</v>
      </c>
      <c r="E30" s="120">
        <v>50</v>
      </c>
      <c r="F30" s="120" t="s">
        <v>264</v>
      </c>
      <c r="G30" s="120">
        <v>1</v>
      </c>
      <c r="H30" s="120">
        <v>1</v>
      </c>
      <c r="I30" s="120" t="s">
        <v>89</v>
      </c>
      <c r="J30" s="48">
        <f t="shared" si="0"/>
        <v>27</v>
      </c>
    </row>
    <row r="31" spans="1:10" ht="21" customHeight="1" x14ac:dyDescent="0.15">
      <c r="A31" s="105">
        <v>47006511</v>
      </c>
      <c r="B31" s="120">
        <v>0</v>
      </c>
      <c r="C31" s="120">
        <v>60</v>
      </c>
      <c r="D31" s="120">
        <v>37</v>
      </c>
      <c r="E31" s="120">
        <v>50</v>
      </c>
      <c r="F31" s="120" t="s">
        <v>264</v>
      </c>
      <c r="G31" s="120">
        <v>1</v>
      </c>
      <c r="H31" s="120">
        <v>1</v>
      </c>
      <c r="I31" s="120" t="s">
        <v>89</v>
      </c>
      <c r="J31" s="48">
        <f t="shared" si="0"/>
        <v>37</v>
      </c>
    </row>
    <row r="32" spans="1:10" ht="21" customHeight="1" x14ac:dyDescent="0.15">
      <c r="A32" s="105">
        <v>47006512</v>
      </c>
      <c r="B32" s="120">
        <v>0</v>
      </c>
      <c r="C32" s="120">
        <v>50</v>
      </c>
      <c r="D32" s="120">
        <v>60</v>
      </c>
      <c r="E32" s="120">
        <v>50</v>
      </c>
      <c r="F32" s="120" t="s">
        <v>264</v>
      </c>
      <c r="G32" s="120">
        <v>1</v>
      </c>
      <c r="H32" s="120">
        <v>1</v>
      </c>
      <c r="I32" s="120" t="s">
        <v>89</v>
      </c>
      <c r="J32" s="48">
        <f t="shared" si="0"/>
        <v>60</v>
      </c>
    </row>
    <row r="33" spans="1:10" ht="21" customHeight="1" x14ac:dyDescent="0.15">
      <c r="A33" s="105">
        <v>47006513</v>
      </c>
      <c r="B33" s="120">
        <v>0</v>
      </c>
      <c r="C33" s="120">
        <v>40</v>
      </c>
      <c r="D33" s="120">
        <v>100</v>
      </c>
      <c r="E33" s="120">
        <v>50</v>
      </c>
      <c r="F33" s="120" t="s">
        <v>264</v>
      </c>
      <c r="G33" s="120">
        <v>1</v>
      </c>
      <c r="H33" s="120">
        <v>1</v>
      </c>
      <c r="I33" s="120" t="s">
        <v>89</v>
      </c>
      <c r="J33" s="48">
        <f t="shared" si="0"/>
        <v>100</v>
      </c>
    </row>
    <row r="34" spans="1:10" ht="21" customHeight="1" x14ac:dyDescent="0.15">
      <c r="A34" s="108">
        <v>47006600</v>
      </c>
      <c r="B34" s="120">
        <v>1</v>
      </c>
      <c r="C34" s="120">
        <v>30</v>
      </c>
      <c r="D34" s="120">
        <v>100</v>
      </c>
      <c r="E34" s="120" t="s">
        <v>263</v>
      </c>
      <c r="F34" s="120" t="s">
        <v>264</v>
      </c>
      <c r="G34" s="120">
        <v>1</v>
      </c>
      <c r="H34" s="120">
        <v>1</v>
      </c>
      <c r="I34" s="120" t="s">
        <v>89</v>
      </c>
      <c r="J34" s="48">
        <f t="shared" si="0"/>
        <v>100</v>
      </c>
    </row>
    <row r="35" spans="1:10" ht="21" customHeight="1" x14ac:dyDescent="0.15">
      <c r="A35" s="108">
        <v>47006601</v>
      </c>
      <c r="B35" s="120">
        <v>0</v>
      </c>
      <c r="C35" s="120">
        <v>20</v>
      </c>
      <c r="D35" s="120">
        <v>10</v>
      </c>
      <c r="E35" s="120" t="s">
        <v>263</v>
      </c>
      <c r="F35" s="120" t="s">
        <v>264</v>
      </c>
      <c r="G35" s="120" t="s">
        <v>265</v>
      </c>
      <c r="H35" s="120">
        <v>2</v>
      </c>
      <c r="I35" s="120" t="s">
        <v>89</v>
      </c>
      <c r="J35" s="48">
        <f t="shared" si="0"/>
        <v>10</v>
      </c>
    </row>
    <row r="36" spans="1:10" ht="21" customHeight="1" x14ac:dyDescent="0.15">
      <c r="A36" s="108">
        <v>47006602</v>
      </c>
      <c r="B36" s="120">
        <v>0</v>
      </c>
      <c r="C36" s="120">
        <v>18</v>
      </c>
      <c r="D36" s="120">
        <v>40</v>
      </c>
      <c r="E36" s="120" t="s">
        <v>263</v>
      </c>
      <c r="F36" s="120" t="s">
        <v>264</v>
      </c>
      <c r="G36" s="120" t="s">
        <v>265</v>
      </c>
      <c r="H36" s="120">
        <v>2</v>
      </c>
      <c r="I36" s="120" t="s">
        <v>89</v>
      </c>
      <c r="J36" s="48">
        <f t="shared" si="0"/>
        <v>40</v>
      </c>
    </row>
    <row r="37" spans="1:10" ht="21" customHeight="1" x14ac:dyDescent="0.15">
      <c r="A37" s="108">
        <v>47006603</v>
      </c>
      <c r="B37" s="120">
        <v>0</v>
      </c>
      <c r="C37" s="120">
        <v>16</v>
      </c>
      <c r="D37" s="120">
        <v>70</v>
      </c>
      <c r="E37" s="120" t="s">
        <v>263</v>
      </c>
      <c r="F37" s="120" t="s">
        <v>264</v>
      </c>
      <c r="G37" s="120" t="s">
        <v>265</v>
      </c>
      <c r="H37" s="120">
        <v>2</v>
      </c>
      <c r="I37" s="120" t="s">
        <v>89</v>
      </c>
      <c r="J37" s="48">
        <f t="shared" si="0"/>
        <v>70</v>
      </c>
    </row>
    <row r="38" spans="1:10" ht="21" customHeight="1" x14ac:dyDescent="0.15">
      <c r="A38" s="108">
        <v>47006604</v>
      </c>
      <c r="B38" s="120">
        <v>0</v>
      </c>
      <c r="C38" s="120">
        <v>14</v>
      </c>
      <c r="D38" s="120">
        <v>100</v>
      </c>
      <c r="E38" s="120" t="s">
        <v>263</v>
      </c>
      <c r="F38" s="120" t="s">
        <v>264</v>
      </c>
      <c r="G38" s="120">
        <v>1</v>
      </c>
      <c r="H38" s="120">
        <v>2</v>
      </c>
      <c r="I38" s="120" t="s">
        <v>89</v>
      </c>
      <c r="J38" s="48">
        <f t="shared" si="0"/>
        <v>100</v>
      </c>
    </row>
    <row r="39" spans="1:10" ht="21" customHeight="1" x14ac:dyDescent="0.15">
      <c r="A39" s="108">
        <v>47006605</v>
      </c>
      <c r="B39" s="120">
        <v>0</v>
      </c>
      <c r="C39" s="120">
        <v>100</v>
      </c>
      <c r="D39" s="120">
        <v>15</v>
      </c>
      <c r="E39" s="120">
        <v>70</v>
      </c>
      <c r="F39" s="120" t="s">
        <v>264</v>
      </c>
      <c r="G39" s="120">
        <v>1</v>
      </c>
      <c r="H39" s="120">
        <v>1</v>
      </c>
      <c r="I39" s="120" t="s">
        <v>89</v>
      </c>
      <c r="J39" s="48">
        <f t="shared" si="0"/>
        <v>15</v>
      </c>
    </row>
    <row r="40" spans="1:10" ht="21" customHeight="1" x14ac:dyDescent="0.15">
      <c r="A40" s="108">
        <v>47006606</v>
      </c>
      <c r="B40" s="120">
        <v>0</v>
      </c>
      <c r="C40" s="120">
        <v>90</v>
      </c>
      <c r="D40" s="120">
        <v>18</v>
      </c>
      <c r="E40" s="120">
        <v>70</v>
      </c>
      <c r="F40" s="120" t="s">
        <v>264</v>
      </c>
      <c r="G40" s="120">
        <v>1</v>
      </c>
      <c r="H40" s="120">
        <v>1</v>
      </c>
      <c r="I40" s="120" t="s">
        <v>89</v>
      </c>
      <c r="J40" s="48">
        <f t="shared" si="0"/>
        <v>18</v>
      </c>
    </row>
    <row r="41" spans="1:10" ht="21" customHeight="1" x14ac:dyDescent="0.15">
      <c r="A41" s="108">
        <v>47006607</v>
      </c>
      <c r="B41" s="120">
        <v>0</v>
      </c>
      <c r="C41" s="120">
        <v>80</v>
      </c>
      <c r="D41" s="120">
        <v>21</v>
      </c>
      <c r="E41" s="120">
        <v>70</v>
      </c>
      <c r="F41" s="120" t="s">
        <v>264</v>
      </c>
      <c r="G41" s="120">
        <v>1</v>
      </c>
      <c r="H41" s="120">
        <v>1</v>
      </c>
      <c r="I41" s="120" t="s">
        <v>89</v>
      </c>
      <c r="J41" s="48">
        <f t="shared" si="0"/>
        <v>21</v>
      </c>
    </row>
    <row r="42" spans="1:10" ht="21" customHeight="1" x14ac:dyDescent="0.15">
      <c r="A42" s="108">
        <v>47006608</v>
      </c>
      <c r="B42" s="120">
        <v>0</v>
      </c>
      <c r="C42" s="120">
        <v>70</v>
      </c>
      <c r="D42" s="120">
        <v>27</v>
      </c>
      <c r="E42" s="120">
        <v>70</v>
      </c>
      <c r="F42" s="120" t="s">
        <v>264</v>
      </c>
      <c r="G42" s="120">
        <v>1</v>
      </c>
      <c r="H42" s="120">
        <v>1</v>
      </c>
      <c r="I42" s="120" t="s">
        <v>89</v>
      </c>
      <c r="J42" s="48">
        <f t="shared" si="0"/>
        <v>27</v>
      </c>
    </row>
    <row r="43" spans="1:10" ht="21" customHeight="1" x14ac:dyDescent="0.15">
      <c r="A43" s="108">
        <v>47006609</v>
      </c>
      <c r="B43" s="120">
        <v>0</v>
      </c>
      <c r="C43" s="120">
        <v>60</v>
      </c>
      <c r="D43" s="120">
        <v>37</v>
      </c>
      <c r="E43" s="120">
        <v>70</v>
      </c>
      <c r="F43" s="120" t="s">
        <v>264</v>
      </c>
      <c r="G43" s="120">
        <v>1</v>
      </c>
      <c r="H43" s="120">
        <v>1</v>
      </c>
      <c r="I43" s="120" t="s">
        <v>89</v>
      </c>
      <c r="J43" s="48">
        <f t="shared" si="0"/>
        <v>37</v>
      </c>
    </row>
    <row r="44" spans="1:10" ht="21" customHeight="1" x14ac:dyDescent="0.15">
      <c r="A44" s="108">
        <v>47006610</v>
      </c>
      <c r="B44" s="120">
        <v>0</v>
      </c>
      <c r="C44" s="120">
        <v>50</v>
      </c>
      <c r="D44" s="120">
        <v>60</v>
      </c>
      <c r="E44" s="120">
        <v>70</v>
      </c>
      <c r="F44" s="120" t="s">
        <v>264</v>
      </c>
      <c r="G44" s="120">
        <v>1</v>
      </c>
      <c r="H44" s="120">
        <v>1</v>
      </c>
      <c r="I44" s="120" t="s">
        <v>89</v>
      </c>
      <c r="J44" s="48">
        <f t="shared" si="0"/>
        <v>60</v>
      </c>
    </row>
    <row r="45" spans="1:10" ht="21" customHeight="1" x14ac:dyDescent="0.15">
      <c r="A45" s="108">
        <v>47006611</v>
      </c>
      <c r="B45" s="120">
        <v>0</v>
      </c>
      <c r="C45" s="120">
        <v>40</v>
      </c>
      <c r="D45" s="120">
        <v>100</v>
      </c>
      <c r="E45" s="120">
        <v>70</v>
      </c>
      <c r="F45" s="120" t="s">
        <v>264</v>
      </c>
      <c r="G45" s="120">
        <v>1</v>
      </c>
      <c r="H45" s="120">
        <v>1</v>
      </c>
      <c r="I45" s="120" t="s">
        <v>89</v>
      </c>
      <c r="J45" s="48">
        <f t="shared" si="0"/>
        <v>100</v>
      </c>
    </row>
    <row r="46" spans="1:10" ht="21" customHeight="1" x14ac:dyDescent="0.15">
      <c r="A46" s="108">
        <v>47006612</v>
      </c>
      <c r="B46" s="120">
        <v>0</v>
      </c>
      <c r="C46" s="120">
        <v>11</v>
      </c>
      <c r="D46" s="120">
        <v>100</v>
      </c>
      <c r="E46" s="120" t="s">
        <v>263</v>
      </c>
      <c r="F46" s="120" t="s">
        <v>264</v>
      </c>
      <c r="G46" s="120">
        <v>1</v>
      </c>
      <c r="H46" s="120">
        <v>1</v>
      </c>
      <c r="I46" s="120" t="s">
        <v>89</v>
      </c>
      <c r="J46" s="48">
        <f t="shared" si="0"/>
        <v>100</v>
      </c>
    </row>
    <row r="47" spans="1:10" ht="21" customHeight="1" x14ac:dyDescent="0.15">
      <c r="A47" s="108">
        <v>47006613</v>
      </c>
      <c r="B47" s="120">
        <v>0</v>
      </c>
      <c r="C47" s="120">
        <v>10</v>
      </c>
      <c r="D47" s="120">
        <v>100</v>
      </c>
      <c r="E47" s="120" t="s">
        <v>90</v>
      </c>
      <c r="F47" s="120" t="s">
        <v>264</v>
      </c>
      <c r="G47" s="120" t="s">
        <v>90</v>
      </c>
      <c r="H47" s="120">
        <v>1</v>
      </c>
      <c r="I47" s="120" t="s">
        <v>89</v>
      </c>
      <c r="J47" s="48">
        <f t="shared" ref="J47" si="4">D47</f>
        <v>100</v>
      </c>
    </row>
    <row r="48" spans="1:10" ht="21" customHeight="1" x14ac:dyDescent="0.15">
      <c r="A48" s="111">
        <v>47006700</v>
      </c>
      <c r="B48" s="120">
        <v>1</v>
      </c>
      <c r="C48" s="120">
        <v>30</v>
      </c>
      <c r="D48" s="120">
        <v>100</v>
      </c>
      <c r="E48" s="120" t="s">
        <v>263</v>
      </c>
      <c r="F48" s="120" t="s">
        <v>264</v>
      </c>
      <c r="G48" s="120">
        <v>1</v>
      </c>
      <c r="H48" s="120">
        <v>1</v>
      </c>
      <c r="I48" s="120" t="s">
        <v>89</v>
      </c>
      <c r="J48" s="48">
        <f t="shared" si="0"/>
        <v>100</v>
      </c>
    </row>
    <row r="49" spans="1:10" ht="21" customHeight="1" x14ac:dyDescent="0.15">
      <c r="A49" s="111">
        <v>47006701</v>
      </c>
      <c r="B49" s="120">
        <v>0</v>
      </c>
      <c r="C49" s="120">
        <v>11</v>
      </c>
      <c r="D49" s="120">
        <v>100</v>
      </c>
      <c r="E49" s="120" t="s">
        <v>263</v>
      </c>
      <c r="F49" s="120" t="s">
        <v>264</v>
      </c>
      <c r="G49" s="120">
        <v>1</v>
      </c>
      <c r="H49" s="120">
        <v>1</v>
      </c>
      <c r="I49" s="120" t="s">
        <v>89</v>
      </c>
      <c r="J49" s="48">
        <f t="shared" si="0"/>
        <v>100</v>
      </c>
    </row>
    <row r="50" spans="1:10" ht="21" customHeight="1" x14ac:dyDescent="0.15">
      <c r="A50" s="111">
        <v>47006702</v>
      </c>
      <c r="B50" s="120">
        <v>0</v>
      </c>
      <c r="C50" s="120">
        <v>10</v>
      </c>
      <c r="D50" s="120">
        <v>100</v>
      </c>
      <c r="E50" s="120" t="s">
        <v>90</v>
      </c>
      <c r="F50" s="120" t="s">
        <v>264</v>
      </c>
      <c r="G50" s="120" t="s">
        <v>90</v>
      </c>
      <c r="H50" s="120">
        <v>1</v>
      </c>
      <c r="I50" s="120" t="s">
        <v>89</v>
      </c>
      <c r="J50" s="48">
        <f t="shared" ref="J50" si="5">D50</f>
        <v>100</v>
      </c>
    </row>
    <row r="51" spans="1:10" ht="21" customHeight="1" x14ac:dyDescent="0.15">
      <c r="A51" s="111">
        <v>47006703</v>
      </c>
      <c r="B51" s="120">
        <v>0</v>
      </c>
      <c r="C51" s="120">
        <v>20</v>
      </c>
      <c r="D51" s="120">
        <v>10</v>
      </c>
      <c r="E51" s="120" t="s">
        <v>263</v>
      </c>
      <c r="F51" s="120" t="s">
        <v>264</v>
      </c>
      <c r="G51" s="120" t="s">
        <v>265</v>
      </c>
      <c r="H51" s="120">
        <v>2</v>
      </c>
      <c r="I51" s="120" t="s">
        <v>89</v>
      </c>
      <c r="J51" s="48">
        <f t="shared" si="0"/>
        <v>10</v>
      </c>
    </row>
    <row r="52" spans="1:10" ht="21" customHeight="1" x14ac:dyDescent="0.15">
      <c r="A52" s="111">
        <v>47006704</v>
      </c>
      <c r="B52" s="120">
        <v>0</v>
      </c>
      <c r="C52" s="120">
        <v>18</v>
      </c>
      <c r="D52" s="120">
        <v>40</v>
      </c>
      <c r="E52" s="120" t="s">
        <v>263</v>
      </c>
      <c r="F52" s="120" t="s">
        <v>264</v>
      </c>
      <c r="G52" s="120" t="s">
        <v>265</v>
      </c>
      <c r="H52" s="120">
        <v>2</v>
      </c>
      <c r="I52" s="120" t="s">
        <v>89</v>
      </c>
      <c r="J52" s="48">
        <f t="shared" si="0"/>
        <v>40</v>
      </c>
    </row>
    <row r="53" spans="1:10" ht="21" customHeight="1" x14ac:dyDescent="0.15">
      <c r="A53" s="111">
        <v>47006705</v>
      </c>
      <c r="B53" s="120">
        <v>0</v>
      </c>
      <c r="C53" s="120">
        <v>16</v>
      </c>
      <c r="D53" s="120">
        <v>70</v>
      </c>
      <c r="E53" s="120" t="s">
        <v>263</v>
      </c>
      <c r="F53" s="120" t="s">
        <v>264</v>
      </c>
      <c r="G53" s="120" t="s">
        <v>265</v>
      </c>
      <c r="H53" s="120">
        <v>2</v>
      </c>
      <c r="I53" s="120" t="s">
        <v>89</v>
      </c>
      <c r="J53" s="48">
        <f t="shared" si="0"/>
        <v>70</v>
      </c>
    </row>
    <row r="54" spans="1:10" ht="21" customHeight="1" x14ac:dyDescent="0.15">
      <c r="A54" s="111">
        <v>47006706</v>
      </c>
      <c r="B54" s="120">
        <v>0</v>
      </c>
      <c r="C54" s="120">
        <v>14</v>
      </c>
      <c r="D54" s="120">
        <v>100</v>
      </c>
      <c r="E54" s="120" t="s">
        <v>263</v>
      </c>
      <c r="F54" s="120" t="s">
        <v>264</v>
      </c>
      <c r="G54" s="120">
        <v>1</v>
      </c>
      <c r="H54" s="120">
        <v>2</v>
      </c>
      <c r="I54" s="120" t="s">
        <v>89</v>
      </c>
      <c r="J54" s="48">
        <f t="shared" si="0"/>
        <v>100</v>
      </c>
    </row>
    <row r="55" spans="1:10" ht="21" customHeight="1" x14ac:dyDescent="0.15">
      <c r="A55" s="111">
        <v>47006707</v>
      </c>
      <c r="B55" s="120">
        <v>0</v>
      </c>
      <c r="C55" s="120">
        <v>100</v>
      </c>
      <c r="D55" s="120">
        <v>15</v>
      </c>
      <c r="E55" s="120">
        <v>70</v>
      </c>
      <c r="F55" s="120" t="s">
        <v>264</v>
      </c>
      <c r="G55" s="120">
        <v>1</v>
      </c>
      <c r="H55" s="120">
        <v>1</v>
      </c>
      <c r="I55" s="120" t="s">
        <v>89</v>
      </c>
      <c r="J55" s="48">
        <f t="shared" si="0"/>
        <v>15</v>
      </c>
    </row>
    <row r="56" spans="1:10" ht="21" customHeight="1" x14ac:dyDescent="0.15">
      <c r="A56" s="111">
        <v>47006708</v>
      </c>
      <c r="B56" s="120">
        <v>0</v>
      </c>
      <c r="C56" s="120">
        <v>90</v>
      </c>
      <c r="D56" s="120">
        <v>18</v>
      </c>
      <c r="E56" s="120">
        <v>70</v>
      </c>
      <c r="F56" s="120" t="s">
        <v>264</v>
      </c>
      <c r="G56" s="120">
        <v>1</v>
      </c>
      <c r="H56" s="120">
        <v>1</v>
      </c>
      <c r="I56" s="120" t="s">
        <v>89</v>
      </c>
      <c r="J56" s="48">
        <f t="shared" si="0"/>
        <v>18</v>
      </c>
    </row>
    <row r="57" spans="1:10" ht="21" customHeight="1" x14ac:dyDescent="0.15">
      <c r="A57" s="111">
        <v>47006709</v>
      </c>
      <c r="B57" s="120">
        <v>0</v>
      </c>
      <c r="C57" s="120">
        <v>80</v>
      </c>
      <c r="D57" s="120">
        <v>21</v>
      </c>
      <c r="E57" s="120">
        <v>70</v>
      </c>
      <c r="F57" s="120" t="s">
        <v>264</v>
      </c>
      <c r="G57" s="120">
        <v>1</v>
      </c>
      <c r="H57" s="120">
        <v>1</v>
      </c>
      <c r="I57" s="120" t="s">
        <v>89</v>
      </c>
      <c r="J57" s="48">
        <f t="shared" si="0"/>
        <v>21</v>
      </c>
    </row>
    <row r="58" spans="1:10" ht="21" customHeight="1" x14ac:dyDescent="0.15">
      <c r="A58" s="111">
        <v>47006710</v>
      </c>
      <c r="B58" s="120">
        <v>0</v>
      </c>
      <c r="C58" s="120">
        <v>70</v>
      </c>
      <c r="D58" s="120">
        <v>27</v>
      </c>
      <c r="E58" s="120">
        <v>70</v>
      </c>
      <c r="F58" s="120" t="s">
        <v>264</v>
      </c>
      <c r="G58" s="120">
        <v>1</v>
      </c>
      <c r="H58" s="120">
        <v>1</v>
      </c>
      <c r="I58" s="120" t="s">
        <v>89</v>
      </c>
      <c r="J58" s="48">
        <f t="shared" si="0"/>
        <v>27</v>
      </c>
    </row>
    <row r="59" spans="1:10" ht="21" customHeight="1" x14ac:dyDescent="0.15">
      <c r="A59" s="111">
        <v>47006711</v>
      </c>
      <c r="B59" s="120">
        <v>0</v>
      </c>
      <c r="C59" s="120">
        <v>60</v>
      </c>
      <c r="D59" s="120">
        <v>37</v>
      </c>
      <c r="E59" s="120">
        <v>70</v>
      </c>
      <c r="F59" s="120" t="s">
        <v>264</v>
      </c>
      <c r="G59" s="120">
        <v>1</v>
      </c>
      <c r="H59" s="120">
        <v>1</v>
      </c>
      <c r="I59" s="120" t="s">
        <v>89</v>
      </c>
      <c r="J59" s="48">
        <f t="shared" si="0"/>
        <v>37</v>
      </c>
    </row>
    <row r="60" spans="1:10" ht="21" customHeight="1" x14ac:dyDescent="0.15">
      <c r="A60" s="111">
        <v>47006712</v>
      </c>
      <c r="B60" s="120">
        <v>0</v>
      </c>
      <c r="C60" s="120">
        <v>50</v>
      </c>
      <c r="D60" s="120">
        <v>60</v>
      </c>
      <c r="E60" s="120">
        <v>70</v>
      </c>
      <c r="F60" s="120" t="s">
        <v>264</v>
      </c>
      <c r="G60" s="120">
        <v>1</v>
      </c>
      <c r="H60" s="120">
        <v>1</v>
      </c>
      <c r="I60" s="120" t="s">
        <v>89</v>
      </c>
      <c r="J60" s="48">
        <f t="shared" si="0"/>
        <v>60</v>
      </c>
    </row>
    <row r="61" spans="1:10" ht="21" customHeight="1" x14ac:dyDescent="0.15">
      <c r="A61" s="111">
        <v>47006713</v>
      </c>
      <c r="B61" s="120">
        <v>0</v>
      </c>
      <c r="C61" s="120">
        <v>40</v>
      </c>
      <c r="D61" s="120">
        <v>100</v>
      </c>
      <c r="E61" s="120">
        <v>70</v>
      </c>
      <c r="F61" s="120" t="s">
        <v>264</v>
      </c>
      <c r="G61" s="120">
        <v>1</v>
      </c>
      <c r="H61" s="120">
        <v>1</v>
      </c>
      <c r="I61" s="120" t="s">
        <v>89</v>
      </c>
      <c r="J61" s="48">
        <f t="shared" si="0"/>
        <v>100</v>
      </c>
    </row>
    <row r="62" spans="1:10" ht="21" customHeight="1" x14ac:dyDescent="0.15">
      <c r="A62" s="111">
        <v>47006714</v>
      </c>
      <c r="B62" s="120">
        <v>0</v>
      </c>
      <c r="C62" s="120">
        <v>100</v>
      </c>
      <c r="D62" s="120">
        <v>100</v>
      </c>
      <c r="E62" s="120" t="s">
        <v>303</v>
      </c>
      <c r="F62" s="120" t="s">
        <v>264</v>
      </c>
      <c r="G62" s="120">
        <v>0</v>
      </c>
      <c r="H62" s="120">
        <v>1</v>
      </c>
      <c r="I62" s="120">
        <v>0</v>
      </c>
      <c r="J62" s="48">
        <f t="shared" ref="J62" si="6">D62</f>
        <v>100</v>
      </c>
    </row>
  </sheetData>
  <autoFilter ref="A1:G1"/>
  <phoneticPr fontId="5"/>
  <conditionalFormatting sqref="K23:K46 K1:K8 K48:K49 K51:K61 K10:K20 K63:K1048576">
    <cfRule type="duplicateValues" dxfId="6" priority="7"/>
  </conditionalFormatting>
  <conditionalFormatting sqref="K21">
    <cfRule type="duplicateValues" dxfId="5" priority="6"/>
  </conditionalFormatting>
  <conditionalFormatting sqref="K22">
    <cfRule type="duplicateValues" dxfId="4" priority="5"/>
  </conditionalFormatting>
  <conditionalFormatting sqref="K47">
    <cfRule type="duplicateValues" dxfId="3" priority="4"/>
  </conditionalFormatting>
  <conditionalFormatting sqref="K50">
    <cfRule type="duplicateValues" dxfId="2" priority="3"/>
  </conditionalFormatting>
  <conditionalFormatting sqref="K9">
    <cfRule type="duplicateValues" dxfId="1" priority="2"/>
  </conditionalFormatting>
  <conditionalFormatting sqref="K6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opLeftCell="E1" workbookViewId="0">
      <selection activeCell="P17" sqref="P17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ht="16" thickBot="1" x14ac:dyDescent="0.2">
      <c r="A2" s="121">
        <v>47006</v>
      </c>
      <c r="B2" s="122">
        <v>1</v>
      </c>
      <c r="C2" s="123" t="str">
        <f>A2&amp; "_"&amp;B2</f>
        <v>47006_1</v>
      </c>
      <c r="D2" s="124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25">
        <v>1</v>
      </c>
      <c r="F2" s="125" t="s">
        <v>169</v>
      </c>
      <c r="G2" s="125">
        <v>40000</v>
      </c>
      <c r="H2" s="125" t="s">
        <v>170</v>
      </c>
      <c r="I2" s="125">
        <v>1</v>
      </c>
      <c r="J2" s="125">
        <v>1</v>
      </c>
      <c r="K2" s="125">
        <v>0</v>
      </c>
      <c r="L2" s="125">
        <v>0</v>
      </c>
      <c r="M2" s="125">
        <v>0</v>
      </c>
      <c r="N2" s="125">
        <v>0</v>
      </c>
      <c r="O2" s="125">
        <v>1</v>
      </c>
      <c r="P2" s="125">
        <v>1500</v>
      </c>
      <c r="Q2" s="125" t="s">
        <v>171</v>
      </c>
      <c r="R2" s="126" t="s">
        <v>172</v>
      </c>
    </row>
    <row r="3" spans="1:18" ht="16" thickBot="1" x14ac:dyDescent="0.2">
      <c r="A3" s="121">
        <v>47006</v>
      </c>
      <c r="B3" s="127">
        <v>1</v>
      </c>
      <c r="C3" s="71" t="str">
        <f t="shared" ref="C3:C30" si="0">A3&amp; "_"&amp;B3</f>
        <v>47006_1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315</v>
      </c>
      <c r="G3" s="56">
        <v>30</v>
      </c>
      <c r="H3" s="56" t="s">
        <v>170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1500</v>
      </c>
      <c r="Q3" s="56" t="s">
        <v>171</v>
      </c>
      <c r="R3" s="128" t="s">
        <v>172</v>
      </c>
    </row>
    <row r="4" spans="1:18" ht="16" thickBot="1" x14ac:dyDescent="0.2">
      <c r="A4" s="121">
        <v>47006</v>
      </c>
      <c r="B4" s="127">
        <v>1</v>
      </c>
      <c r="C4" s="71" t="str">
        <f t="shared" si="0"/>
        <v>47006_1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316</v>
      </c>
      <c r="G4" s="56">
        <v>333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70</v>
      </c>
      <c r="Q4" s="56" t="s">
        <v>171</v>
      </c>
      <c r="R4" s="128" t="s">
        <v>172</v>
      </c>
    </row>
    <row r="5" spans="1:18" ht="16" thickBot="1" x14ac:dyDescent="0.2">
      <c r="A5" s="121">
        <v>47006</v>
      </c>
      <c r="B5" s="127">
        <v>1</v>
      </c>
      <c r="C5" s="71" t="str">
        <f t="shared" ref="C5" si="1">A5&amp; "_"&amp;B5</f>
        <v>47006_1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125">
        <v>4</v>
      </c>
      <c r="F5" s="56" t="s">
        <v>316</v>
      </c>
      <c r="G5" s="56">
        <v>337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70</v>
      </c>
      <c r="Q5" s="56" t="s">
        <v>171</v>
      </c>
      <c r="R5" s="128" t="s">
        <v>172</v>
      </c>
    </row>
    <row r="6" spans="1:18" ht="16" thickBot="1" x14ac:dyDescent="0.2">
      <c r="A6" s="121">
        <v>47006</v>
      </c>
      <c r="B6" s="127">
        <v>1</v>
      </c>
      <c r="C6" s="71" t="str">
        <f t="shared" si="0"/>
        <v>47006_1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316</v>
      </c>
      <c r="G6" s="56">
        <v>341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70</v>
      </c>
      <c r="Q6" s="56" t="s">
        <v>171</v>
      </c>
      <c r="R6" s="128" t="s">
        <v>172</v>
      </c>
    </row>
    <row r="7" spans="1:18" ht="16" thickBot="1" x14ac:dyDescent="0.2">
      <c r="A7" s="121">
        <v>47006</v>
      </c>
      <c r="B7" s="127">
        <v>1</v>
      </c>
      <c r="C7" s="71" t="str">
        <f t="shared" ref="C7:C9" si="2">A7&amp; "_"&amp;B7</f>
        <v>47006_1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316</v>
      </c>
      <c r="G7" s="56">
        <v>345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70</v>
      </c>
      <c r="Q7" s="56" t="s">
        <v>171</v>
      </c>
      <c r="R7" s="128" t="s">
        <v>172</v>
      </c>
    </row>
    <row r="8" spans="1:18" ht="16" thickBot="1" x14ac:dyDescent="0.2">
      <c r="A8" s="121">
        <v>47006</v>
      </c>
      <c r="B8" s="127">
        <v>1</v>
      </c>
      <c r="C8" s="71" t="str">
        <f t="shared" si="2"/>
        <v>47006_1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125">
        <v>7</v>
      </c>
      <c r="F8" s="56" t="s">
        <v>316</v>
      </c>
      <c r="G8" s="56">
        <v>334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280</v>
      </c>
      <c r="Q8" s="56" t="s">
        <v>171</v>
      </c>
      <c r="R8" s="128" t="s">
        <v>172</v>
      </c>
    </row>
    <row r="9" spans="1:18" ht="16" thickBot="1" x14ac:dyDescent="0.2">
      <c r="A9" s="121">
        <v>47006</v>
      </c>
      <c r="B9" s="127">
        <v>1</v>
      </c>
      <c r="C9" s="71" t="str">
        <f t="shared" si="2"/>
        <v>47006_1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316</v>
      </c>
      <c r="G9" s="56">
        <v>338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280</v>
      </c>
      <c r="Q9" s="56" t="s">
        <v>171</v>
      </c>
      <c r="R9" s="128" t="s">
        <v>172</v>
      </c>
    </row>
    <row r="10" spans="1:18" ht="16" thickBot="1" x14ac:dyDescent="0.2">
      <c r="A10" s="121">
        <v>47006</v>
      </c>
      <c r="B10" s="127">
        <v>1</v>
      </c>
      <c r="C10" s="71" t="str">
        <f t="shared" ref="C10" si="3">A10&amp; "_"&amp;B10</f>
        <v>47006_1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316</v>
      </c>
      <c r="G10" s="56">
        <v>342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280</v>
      </c>
      <c r="Q10" s="56" t="s">
        <v>171</v>
      </c>
      <c r="R10" s="128" t="s">
        <v>172</v>
      </c>
    </row>
    <row r="11" spans="1:18" ht="16" thickBot="1" x14ac:dyDescent="0.2">
      <c r="A11" s="121">
        <v>47006</v>
      </c>
      <c r="B11" s="127">
        <v>1</v>
      </c>
      <c r="C11" s="71" t="str">
        <f t="shared" si="0"/>
        <v>47006_1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25">
        <v>10</v>
      </c>
      <c r="F11" s="56" t="s">
        <v>316</v>
      </c>
      <c r="G11" s="56">
        <v>346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280</v>
      </c>
      <c r="Q11" s="56" t="s">
        <v>171</v>
      </c>
      <c r="R11" s="128" t="s">
        <v>172</v>
      </c>
    </row>
    <row r="12" spans="1:18" ht="16" thickBot="1" x14ac:dyDescent="0.2">
      <c r="A12" s="121">
        <v>47006</v>
      </c>
      <c r="B12" s="127">
        <v>1</v>
      </c>
      <c r="C12" s="71" t="str">
        <f t="shared" si="0"/>
        <v>47006_1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11</v>
      </c>
      <c r="F12" s="56" t="s">
        <v>316</v>
      </c>
      <c r="G12" s="56">
        <v>121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1000</v>
      </c>
      <c r="Q12" s="56" t="s">
        <v>171</v>
      </c>
      <c r="R12" s="128" t="s">
        <v>172</v>
      </c>
    </row>
    <row r="13" spans="1:18" ht="16" thickBot="1" x14ac:dyDescent="0.2">
      <c r="A13" s="121">
        <v>47006</v>
      </c>
      <c r="B13" s="127">
        <v>1</v>
      </c>
      <c r="C13" s="71" t="str">
        <f t="shared" si="0"/>
        <v>47006_1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316</v>
      </c>
      <c r="G13" s="56">
        <v>122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1000</v>
      </c>
      <c r="Q13" s="56" t="s">
        <v>171</v>
      </c>
      <c r="R13" s="128" t="s">
        <v>172</v>
      </c>
    </row>
    <row r="14" spans="1:18" ht="16" thickBot="1" x14ac:dyDescent="0.2">
      <c r="A14" s="121">
        <v>47006</v>
      </c>
      <c r="B14" s="127">
        <v>1</v>
      </c>
      <c r="C14" s="71" t="str">
        <f t="shared" si="0"/>
        <v>47006_1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25">
        <v>13</v>
      </c>
      <c r="F14" s="56" t="s">
        <v>316</v>
      </c>
      <c r="G14" s="56">
        <v>123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1000</v>
      </c>
      <c r="Q14" s="56" t="s">
        <v>171</v>
      </c>
      <c r="R14" s="128" t="s">
        <v>172</v>
      </c>
    </row>
    <row r="15" spans="1:18" ht="16" thickBot="1" x14ac:dyDescent="0.2">
      <c r="A15" s="121">
        <v>47006</v>
      </c>
      <c r="B15" s="127">
        <v>1</v>
      </c>
      <c r="C15" s="71" t="str">
        <f t="shared" si="0"/>
        <v>47006_1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316</v>
      </c>
      <c r="G15" s="56">
        <v>125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100</v>
      </c>
      <c r="Q15" s="56" t="s">
        <v>171</v>
      </c>
      <c r="R15" s="128" t="s">
        <v>172</v>
      </c>
    </row>
    <row r="16" spans="1:18" ht="16" thickBot="1" x14ac:dyDescent="0.2">
      <c r="A16" s="121">
        <v>47006</v>
      </c>
      <c r="B16" s="127">
        <v>1</v>
      </c>
      <c r="C16" s="71" t="str">
        <f t="shared" si="0"/>
        <v>47006_1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15</v>
      </c>
      <c r="F16" s="56" t="s">
        <v>316</v>
      </c>
      <c r="G16" s="56">
        <v>348</v>
      </c>
      <c r="H16" s="56">
        <v>1</v>
      </c>
      <c r="I16" s="56">
        <v>10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375</v>
      </c>
      <c r="Q16" s="56" t="s">
        <v>171</v>
      </c>
      <c r="R16" s="128" t="s">
        <v>172</v>
      </c>
    </row>
    <row r="17" spans="1:18" ht="16" thickBot="1" x14ac:dyDescent="0.2">
      <c r="A17" s="121">
        <v>47006</v>
      </c>
      <c r="B17" s="127">
        <v>1</v>
      </c>
      <c r="C17" s="71" t="str">
        <f t="shared" si="0"/>
        <v>47006_1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16</v>
      </c>
      <c r="F17" s="56" t="s">
        <v>316</v>
      </c>
      <c r="G17" s="56">
        <v>350</v>
      </c>
      <c r="H17" s="56">
        <v>1</v>
      </c>
      <c r="I17" s="56">
        <v>10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375</v>
      </c>
      <c r="Q17" s="56" t="s">
        <v>171</v>
      </c>
      <c r="R17" s="128" t="s">
        <v>172</v>
      </c>
    </row>
    <row r="18" spans="1:18" ht="16" thickBot="1" x14ac:dyDescent="0.2">
      <c r="A18" s="121">
        <v>47006</v>
      </c>
      <c r="B18" s="127">
        <v>1</v>
      </c>
      <c r="C18" s="71" t="str">
        <f t="shared" ref="C18" si="4">A18&amp; "_"&amp;B18</f>
        <v>47006_1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25">
        <v>17</v>
      </c>
      <c r="F18" s="56" t="s">
        <v>316</v>
      </c>
      <c r="G18" s="56">
        <v>352</v>
      </c>
      <c r="H18" s="56">
        <v>1</v>
      </c>
      <c r="I18" s="56">
        <v>10</v>
      </c>
      <c r="J18" s="56">
        <v>1</v>
      </c>
      <c r="K18" s="56">
        <v>0</v>
      </c>
      <c r="L18" s="56">
        <v>0</v>
      </c>
      <c r="M18" s="56">
        <v>0</v>
      </c>
      <c r="N18" s="56">
        <v>0</v>
      </c>
      <c r="O18" s="56">
        <v>1</v>
      </c>
      <c r="P18" s="56">
        <v>375</v>
      </c>
      <c r="Q18" s="56" t="s">
        <v>171</v>
      </c>
      <c r="R18" s="128" t="s">
        <v>172</v>
      </c>
    </row>
    <row r="19" spans="1:18" ht="16" thickBot="1" x14ac:dyDescent="0.2">
      <c r="A19" s="121">
        <v>47006</v>
      </c>
      <c r="B19" s="127">
        <v>1</v>
      </c>
      <c r="C19" s="71" t="str">
        <f t="shared" ref="C19" si="5">A19&amp; "_"&amp;B19</f>
        <v>47006_1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6">
        <v>18</v>
      </c>
      <c r="F19" s="56" t="s">
        <v>316</v>
      </c>
      <c r="G19" s="56">
        <v>354</v>
      </c>
      <c r="H19" s="56">
        <v>1</v>
      </c>
      <c r="I19" s="56">
        <v>10</v>
      </c>
      <c r="J19" s="56">
        <v>1</v>
      </c>
      <c r="K19" s="56">
        <v>0</v>
      </c>
      <c r="L19" s="56">
        <v>0</v>
      </c>
      <c r="M19" s="56">
        <v>0</v>
      </c>
      <c r="N19" s="56">
        <v>0</v>
      </c>
      <c r="O19" s="56">
        <v>1</v>
      </c>
      <c r="P19" s="56">
        <v>375</v>
      </c>
      <c r="Q19" s="56" t="s">
        <v>171</v>
      </c>
      <c r="R19" s="128" t="s">
        <v>172</v>
      </c>
    </row>
    <row r="20" spans="1:18" ht="16" thickBot="1" x14ac:dyDescent="0.2">
      <c r="A20" s="121">
        <v>47006</v>
      </c>
      <c r="B20" s="129">
        <v>1</v>
      </c>
      <c r="C20" s="130" t="str">
        <f t="shared" si="0"/>
        <v>47006_1</v>
      </c>
      <c r="D20" s="13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6">
        <v>19</v>
      </c>
      <c r="F20" s="132" t="s">
        <v>316</v>
      </c>
      <c r="G20" s="132">
        <v>1293</v>
      </c>
      <c r="H20" s="132">
        <v>1</v>
      </c>
      <c r="I20" s="132">
        <v>1</v>
      </c>
      <c r="J20" s="132">
        <v>1</v>
      </c>
      <c r="K20" s="132">
        <v>0</v>
      </c>
      <c r="L20" s="132">
        <v>0</v>
      </c>
      <c r="M20" s="132">
        <v>0</v>
      </c>
      <c r="N20" s="132">
        <v>0</v>
      </c>
      <c r="O20" s="132">
        <v>1</v>
      </c>
      <c r="P20" s="132">
        <v>1000</v>
      </c>
      <c r="Q20" s="132" t="s">
        <v>171</v>
      </c>
      <c r="R20" s="133" t="s">
        <v>172</v>
      </c>
    </row>
    <row r="21" spans="1:18" ht="16" thickBot="1" x14ac:dyDescent="0.2">
      <c r="A21" s="121">
        <v>47006</v>
      </c>
      <c r="B21" s="122">
        <v>2</v>
      </c>
      <c r="C21" s="123" t="str">
        <f t="shared" si="0"/>
        <v>47006_2</v>
      </c>
      <c r="D21" s="124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25">
        <v>1</v>
      </c>
      <c r="F21" s="125" t="s">
        <v>316</v>
      </c>
      <c r="G21" s="125">
        <v>334</v>
      </c>
      <c r="H21" s="125">
        <v>1</v>
      </c>
      <c r="I21" s="125">
        <v>1</v>
      </c>
      <c r="J21" s="125">
        <v>1</v>
      </c>
      <c r="K21" s="125">
        <v>0</v>
      </c>
      <c r="L21" s="125">
        <v>0</v>
      </c>
      <c r="M21" s="125">
        <v>0</v>
      </c>
      <c r="N21" s="125">
        <v>0</v>
      </c>
      <c r="O21" s="125">
        <v>1</v>
      </c>
      <c r="P21" s="125">
        <v>225</v>
      </c>
      <c r="Q21" s="125" t="s">
        <v>171</v>
      </c>
      <c r="R21" s="126" t="s">
        <v>172</v>
      </c>
    </row>
    <row r="22" spans="1:18" ht="16" thickBot="1" x14ac:dyDescent="0.2">
      <c r="A22" s="121">
        <v>47006</v>
      </c>
      <c r="B22" s="122">
        <v>2</v>
      </c>
      <c r="C22" s="123" t="str">
        <f t="shared" si="0"/>
        <v>47006_2</v>
      </c>
      <c r="D22" s="124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25">
        <v>2</v>
      </c>
      <c r="F22" s="125" t="s">
        <v>316</v>
      </c>
      <c r="G22" s="125">
        <v>338</v>
      </c>
      <c r="H22" s="125">
        <v>1</v>
      </c>
      <c r="I22" s="125">
        <v>1</v>
      </c>
      <c r="J22" s="125">
        <v>1</v>
      </c>
      <c r="K22" s="125">
        <v>0</v>
      </c>
      <c r="L22" s="125">
        <v>0</v>
      </c>
      <c r="M22" s="125">
        <v>0</v>
      </c>
      <c r="N22" s="125">
        <v>0</v>
      </c>
      <c r="O22" s="125">
        <v>1</v>
      </c>
      <c r="P22" s="125">
        <v>225</v>
      </c>
      <c r="Q22" s="125" t="s">
        <v>171</v>
      </c>
      <c r="R22" s="126" t="s">
        <v>172</v>
      </c>
    </row>
    <row r="23" spans="1:18" ht="16" thickBot="1" x14ac:dyDescent="0.2">
      <c r="A23" s="121">
        <v>47006</v>
      </c>
      <c r="B23" s="122">
        <v>2</v>
      </c>
      <c r="C23" s="123" t="str">
        <f t="shared" ref="C23" si="6">A23&amp; "_"&amp;B23</f>
        <v>47006_2</v>
      </c>
      <c r="D23" s="124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25">
        <v>3</v>
      </c>
      <c r="F23" s="125" t="s">
        <v>316</v>
      </c>
      <c r="G23" s="125">
        <v>342</v>
      </c>
      <c r="H23" s="125">
        <v>1</v>
      </c>
      <c r="I23" s="125">
        <v>1</v>
      </c>
      <c r="J23" s="125">
        <v>1</v>
      </c>
      <c r="K23" s="125">
        <v>0</v>
      </c>
      <c r="L23" s="125">
        <v>0</v>
      </c>
      <c r="M23" s="125">
        <v>0</v>
      </c>
      <c r="N23" s="125">
        <v>0</v>
      </c>
      <c r="O23" s="125">
        <v>1</v>
      </c>
      <c r="P23" s="125">
        <v>225</v>
      </c>
      <c r="Q23" s="125" t="s">
        <v>171</v>
      </c>
      <c r="R23" s="126" t="s">
        <v>172</v>
      </c>
    </row>
    <row r="24" spans="1:18" ht="16" thickBot="1" x14ac:dyDescent="0.2">
      <c r="A24" s="121">
        <v>47006</v>
      </c>
      <c r="B24" s="122">
        <v>2</v>
      </c>
      <c r="C24" s="123" t="str">
        <f t="shared" ref="C24" si="7">A24&amp; "_"&amp;B24</f>
        <v>47006_2</v>
      </c>
      <c r="D24" s="124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25">
        <v>4</v>
      </c>
      <c r="F24" s="125" t="s">
        <v>316</v>
      </c>
      <c r="G24" s="125">
        <v>346</v>
      </c>
      <c r="H24" s="125">
        <v>1</v>
      </c>
      <c r="I24" s="125">
        <v>1</v>
      </c>
      <c r="J24" s="125">
        <v>1</v>
      </c>
      <c r="K24" s="125">
        <v>0</v>
      </c>
      <c r="L24" s="125">
        <v>0</v>
      </c>
      <c r="M24" s="125">
        <v>0</v>
      </c>
      <c r="N24" s="125">
        <v>0</v>
      </c>
      <c r="O24" s="125">
        <v>1</v>
      </c>
      <c r="P24" s="125">
        <v>225</v>
      </c>
      <c r="Q24" s="125" t="s">
        <v>171</v>
      </c>
      <c r="R24" s="126" t="s">
        <v>172</v>
      </c>
    </row>
    <row r="25" spans="1:18" ht="16" thickBot="1" x14ac:dyDescent="0.2">
      <c r="A25" s="121">
        <v>47006</v>
      </c>
      <c r="B25" s="127">
        <v>2</v>
      </c>
      <c r="C25" s="71" t="str">
        <f t="shared" si="0"/>
        <v>47006_2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25">
        <v>5</v>
      </c>
      <c r="F25" s="56" t="s">
        <v>316</v>
      </c>
      <c r="G25" s="56">
        <v>607</v>
      </c>
      <c r="H25" s="56">
        <v>1</v>
      </c>
      <c r="I25" s="56">
        <v>1</v>
      </c>
      <c r="J25" s="56">
        <v>1</v>
      </c>
      <c r="K25" s="56">
        <v>0</v>
      </c>
      <c r="L25" s="56">
        <v>0</v>
      </c>
      <c r="M25" s="56">
        <v>0</v>
      </c>
      <c r="N25" s="56">
        <v>0</v>
      </c>
      <c r="O25" s="56">
        <v>1</v>
      </c>
      <c r="P25" s="56">
        <v>1000</v>
      </c>
      <c r="Q25" s="56" t="s">
        <v>171</v>
      </c>
      <c r="R25" s="128" t="s">
        <v>172</v>
      </c>
    </row>
    <row r="26" spans="1:18" ht="16" thickBot="1" x14ac:dyDescent="0.2">
      <c r="A26" s="121">
        <v>47006</v>
      </c>
      <c r="B26" s="127">
        <v>2</v>
      </c>
      <c r="C26" s="71" t="str">
        <f t="shared" si="0"/>
        <v>47006_2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25">
        <v>6</v>
      </c>
      <c r="F26" s="56" t="s">
        <v>316</v>
      </c>
      <c r="G26" s="56">
        <v>608</v>
      </c>
      <c r="H26" s="56">
        <v>1</v>
      </c>
      <c r="I26" s="56">
        <v>1</v>
      </c>
      <c r="J26" s="56">
        <v>1</v>
      </c>
      <c r="K26" s="56">
        <v>0</v>
      </c>
      <c r="L26" s="56">
        <v>0</v>
      </c>
      <c r="M26" s="56">
        <v>0</v>
      </c>
      <c r="N26" s="56">
        <v>0</v>
      </c>
      <c r="O26" s="56">
        <v>1</v>
      </c>
      <c r="P26" s="56">
        <v>1000</v>
      </c>
      <c r="Q26" s="56" t="s">
        <v>171</v>
      </c>
      <c r="R26" s="128" t="s">
        <v>172</v>
      </c>
    </row>
    <row r="27" spans="1:18" ht="16" thickBot="1" x14ac:dyDescent="0.2">
      <c r="A27" s="121">
        <v>47006</v>
      </c>
      <c r="B27" s="127">
        <v>2</v>
      </c>
      <c r="C27" s="71" t="str">
        <f t="shared" si="0"/>
        <v>47006_2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125">
        <v>7</v>
      </c>
      <c r="F27" s="56" t="s">
        <v>316</v>
      </c>
      <c r="G27" s="56">
        <v>609</v>
      </c>
      <c r="H27" s="56">
        <v>1</v>
      </c>
      <c r="I27" s="56">
        <v>1</v>
      </c>
      <c r="J27" s="56">
        <v>1</v>
      </c>
      <c r="K27" s="56">
        <v>0</v>
      </c>
      <c r="L27" s="56">
        <v>0</v>
      </c>
      <c r="M27" s="56">
        <v>0</v>
      </c>
      <c r="N27" s="56">
        <v>0</v>
      </c>
      <c r="O27" s="56">
        <v>1</v>
      </c>
      <c r="P27" s="56">
        <v>1000</v>
      </c>
      <c r="Q27" s="56" t="s">
        <v>171</v>
      </c>
      <c r="R27" s="128" t="s">
        <v>172</v>
      </c>
    </row>
    <row r="28" spans="1:18" ht="16" thickBot="1" x14ac:dyDescent="0.2">
      <c r="A28" s="121">
        <v>47006</v>
      </c>
      <c r="B28" s="127">
        <v>2</v>
      </c>
      <c r="C28" s="71" t="str">
        <f t="shared" si="0"/>
        <v>47006_2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125">
        <v>8</v>
      </c>
      <c r="F28" s="56" t="s">
        <v>316</v>
      </c>
      <c r="G28" s="56">
        <v>125</v>
      </c>
      <c r="H28" s="56">
        <v>1</v>
      </c>
      <c r="I28" s="56">
        <v>1</v>
      </c>
      <c r="J28" s="56">
        <v>1</v>
      </c>
      <c r="K28" s="56">
        <v>0</v>
      </c>
      <c r="L28" s="56">
        <v>0</v>
      </c>
      <c r="M28" s="56">
        <v>0</v>
      </c>
      <c r="N28" s="56">
        <v>0</v>
      </c>
      <c r="O28" s="56">
        <v>1</v>
      </c>
      <c r="P28" s="56">
        <v>300</v>
      </c>
      <c r="Q28" s="56" t="s">
        <v>171</v>
      </c>
      <c r="R28" s="128" t="s">
        <v>172</v>
      </c>
    </row>
    <row r="29" spans="1:18" ht="16" thickBot="1" x14ac:dyDescent="0.2">
      <c r="A29" s="121">
        <v>47006</v>
      </c>
      <c r="B29" s="127">
        <v>2</v>
      </c>
      <c r="C29" s="71" t="str">
        <f t="shared" si="0"/>
        <v>47006_2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125">
        <v>9</v>
      </c>
      <c r="F29" s="56" t="s">
        <v>316</v>
      </c>
      <c r="G29" s="56">
        <v>1293</v>
      </c>
      <c r="H29" s="56">
        <v>1</v>
      </c>
      <c r="I29" s="56">
        <v>1</v>
      </c>
      <c r="J29" s="56">
        <v>1</v>
      </c>
      <c r="K29" s="56">
        <v>0</v>
      </c>
      <c r="L29" s="56">
        <v>0</v>
      </c>
      <c r="M29" s="56">
        <v>0</v>
      </c>
      <c r="N29" s="56">
        <v>0</v>
      </c>
      <c r="O29" s="56">
        <v>1</v>
      </c>
      <c r="P29" s="56">
        <v>5000</v>
      </c>
      <c r="Q29" s="56" t="s">
        <v>171</v>
      </c>
      <c r="R29" s="128" t="s">
        <v>172</v>
      </c>
    </row>
    <row r="30" spans="1:18" ht="16" thickBot="1" x14ac:dyDescent="0.2">
      <c r="A30" s="121">
        <v>47006</v>
      </c>
      <c r="B30" s="129">
        <v>2</v>
      </c>
      <c r="C30" s="130" t="str">
        <f t="shared" si="0"/>
        <v>47006_2</v>
      </c>
      <c r="D30" s="13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125">
        <v>10</v>
      </c>
      <c r="F30" s="132" t="s">
        <v>316</v>
      </c>
      <c r="G30" s="132">
        <v>348</v>
      </c>
      <c r="H30" s="132">
        <v>1</v>
      </c>
      <c r="I30" s="132">
        <v>10</v>
      </c>
      <c r="J30" s="132">
        <v>1</v>
      </c>
      <c r="K30" s="132">
        <v>0</v>
      </c>
      <c r="L30" s="132">
        <v>0</v>
      </c>
      <c r="M30" s="132">
        <v>0</v>
      </c>
      <c r="N30" s="132">
        <v>0</v>
      </c>
      <c r="O30" s="132">
        <v>1</v>
      </c>
      <c r="P30" s="132">
        <v>200</v>
      </c>
      <c r="Q30" s="132" t="s">
        <v>171</v>
      </c>
      <c r="R30" s="133" t="s">
        <v>172</v>
      </c>
    </row>
    <row r="31" spans="1:18" ht="16" thickBot="1" x14ac:dyDescent="0.2">
      <c r="A31" s="121">
        <v>47006</v>
      </c>
      <c r="B31" s="129">
        <v>2</v>
      </c>
      <c r="C31" s="130" t="str">
        <f t="shared" ref="C31:C33" si="8">A31&amp; "_"&amp;B31</f>
        <v>47006_2</v>
      </c>
      <c r="D31" s="13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125">
        <v>11</v>
      </c>
      <c r="F31" s="132" t="s">
        <v>316</v>
      </c>
      <c r="G31" s="132">
        <v>350</v>
      </c>
      <c r="H31" s="132">
        <v>1</v>
      </c>
      <c r="I31" s="132">
        <v>10</v>
      </c>
      <c r="J31" s="132">
        <v>1</v>
      </c>
      <c r="K31" s="132">
        <v>0</v>
      </c>
      <c r="L31" s="132">
        <v>0</v>
      </c>
      <c r="M31" s="132">
        <v>0</v>
      </c>
      <c r="N31" s="132">
        <v>0</v>
      </c>
      <c r="O31" s="132">
        <v>1</v>
      </c>
      <c r="P31" s="132">
        <v>200</v>
      </c>
      <c r="Q31" s="132" t="s">
        <v>171</v>
      </c>
      <c r="R31" s="133" t="s">
        <v>172</v>
      </c>
    </row>
    <row r="32" spans="1:18" ht="16" thickBot="1" x14ac:dyDescent="0.2">
      <c r="A32" s="121">
        <v>47006</v>
      </c>
      <c r="B32" s="129">
        <v>2</v>
      </c>
      <c r="C32" s="130" t="str">
        <f t="shared" si="8"/>
        <v>47006_2</v>
      </c>
      <c r="D32" s="13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25">
        <v>12</v>
      </c>
      <c r="F32" s="132" t="s">
        <v>316</v>
      </c>
      <c r="G32" s="132">
        <v>352</v>
      </c>
      <c r="H32" s="132">
        <v>1</v>
      </c>
      <c r="I32" s="132">
        <v>10</v>
      </c>
      <c r="J32" s="132">
        <v>1</v>
      </c>
      <c r="K32" s="132">
        <v>0</v>
      </c>
      <c r="L32" s="132">
        <v>0</v>
      </c>
      <c r="M32" s="132">
        <v>0</v>
      </c>
      <c r="N32" s="132">
        <v>0</v>
      </c>
      <c r="O32" s="132">
        <v>1</v>
      </c>
      <c r="P32" s="132">
        <v>200</v>
      </c>
      <c r="Q32" s="132" t="s">
        <v>171</v>
      </c>
      <c r="R32" s="133" t="s">
        <v>172</v>
      </c>
    </row>
    <row r="33" spans="1:18" ht="16" thickBot="1" x14ac:dyDescent="0.2">
      <c r="A33" s="121">
        <v>47006</v>
      </c>
      <c r="B33" s="129">
        <v>2</v>
      </c>
      <c r="C33" s="130" t="str">
        <f t="shared" si="8"/>
        <v>47006_2</v>
      </c>
      <c r="D33" s="13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25">
        <v>13</v>
      </c>
      <c r="F33" s="132" t="s">
        <v>316</v>
      </c>
      <c r="G33" s="132">
        <v>354</v>
      </c>
      <c r="H33" s="132">
        <v>1</v>
      </c>
      <c r="I33" s="132">
        <v>10</v>
      </c>
      <c r="J33" s="132">
        <v>1</v>
      </c>
      <c r="K33" s="132">
        <v>0</v>
      </c>
      <c r="L33" s="132">
        <v>0</v>
      </c>
      <c r="M33" s="132">
        <v>0</v>
      </c>
      <c r="N33" s="132">
        <v>0</v>
      </c>
      <c r="O33" s="132">
        <v>1</v>
      </c>
      <c r="P33" s="132">
        <v>200</v>
      </c>
      <c r="Q33" s="132" t="s">
        <v>171</v>
      </c>
      <c r="R33" s="133" t="s">
        <v>172</v>
      </c>
    </row>
  </sheetData>
  <phoneticPr fontId="5"/>
  <dataValidations disablePrompts="1"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E27" sqref="E27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1" t="s">
        <v>196</v>
      </c>
      <c r="J1" s="79" t="s">
        <v>127</v>
      </c>
      <c r="K1" s="78" t="s">
        <v>188</v>
      </c>
      <c r="L1" s="92" t="s">
        <v>187</v>
      </c>
      <c r="M1" s="80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7"/>
  <sheetViews>
    <sheetView showGridLines="0" workbookViewId="0">
      <pane ySplit="1" topLeftCell="A2" activePane="bottomLeft" state="frozen"/>
      <selection pane="bottomLeft" activeCell="M17" sqref="M17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189</v>
      </c>
      <c r="B1" s="73" t="s">
        <v>151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9" t="s">
        <v>195</v>
      </c>
      <c r="J1" s="91" t="s">
        <v>196</v>
      </c>
      <c r="K1" s="79" t="s">
        <v>127</v>
      </c>
      <c r="L1" s="78" t="s">
        <v>188</v>
      </c>
      <c r="M1" s="92" t="s">
        <v>187</v>
      </c>
      <c r="N1" s="80" t="s">
        <v>197</v>
      </c>
    </row>
    <row r="2" spans="1:14" ht="56" x14ac:dyDescent="0.15">
      <c r="A2" s="81" t="s">
        <v>198</v>
      </c>
      <c r="B2" s="82">
        <f>floors!$C$2</f>
        <v>47006</v>
      </c>
      <c r="C2" s="83" t="str">
        <f ca="1">VLOOKUP($B2,OFFSET([2]quests!$A$1,0,0,COUNTA([2]quests!$A:$A),MATCH(C$1,[2]quests!$1:$1,0)-MATCH($B$1,[2]quests!$1:$1,0)+1),MATCH(C$1,[2]quests!$1:$1,0)-MATCH($B$1,[2]quests!$1:$1,0)+1,FALSE)</f>
        <v>酉の初めはたまごから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【超絶】酉の初めはたまごから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5">
        <v>2</v>
      </c>
      <c r="I2" s="90">
        <f t="shared" ref="I2:I17" si="0">ROW()-1</f>
        <v>1</v>
      </c>
      <c r="J2" s="86" t="str">
        <f t="shared" ref="J2:J17" si="1">B2&amp;TEXT(I2,"00")</f>
        <v>4700601</v>
      </c>
      <c r="K2" s="84" t="s">
        <v>199</v>
      </c>
      <c r="L2" s="87" t="s">
        <v>200</v>
      </c>
      <c r="M2" s="134" t="s">
        <v>317</v>
      </c>
      <c r="N2" s="56" t="s">
        <v>201</v>
      </c>
    </row>
    <row r="3" spans="1:14" ht="56" x14ac:dyDescent="0.15">
      <c r="A3" s="81" t="s">
        <v>198</v>
      </c>
      <c r="B3" s="82">
        <f>floors!$C$2</f>
        <v>47006</v>
      </c>
      <c r="C3" s="83" t="str">
        <f ca="1">VLOOKUP($B3,OFFSET([2]quests!$A$1,0,0,COUNTA([2]quests!$A:$A),MATCH(C$1,[2]quests!$1:$1,0)-MATCH($B$1,[2]quests!$1:$1,0)+1),MATCH(C$1,[2]quests!$1:$1,0)-MATCH($B$1,[2]quests!$1:$1,0)+1,FALSE)</f>
        <v>酉の初めはたまごから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【超絶】酉の初めはたまごから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5">
        <v>3</v>
      </c>
      <c r="I3" s="90">
        <f t="shared" si="0"/>
        <v>2</v>
      </c>
      <c r="J3" s="86" t="str">
        <f t="shared" si="1"/>
        <v>4700602</v>
      </c>
      <c r="K3" s="84" t="s">
        <v>128</v>
      </c>
      <c r="L3" s="87" t="s">
        <v>200</v>
      </c>
      <c r="M3" s="134" t="s">
        <v>318</v>
      </c>
      <c r="N3" s="56" t="s">
        <v>201</v>
      </c>
    </row>
    <row r="4" spans="1:14" ht="56" x14ac:dyDescent="0.15">
      <c r="A4" s="81" t="s">
        <v>198</v>
      </c>
      <c r="B4" s="82">
        <f>floors!$C$2</f>
        <v>47006</v>
      </c>
      <c r="C4" s="83" t="str">
        <f ca="1">VLOOKUP($B4,OFFSET([2]quests!$A$1,0,0,COUNTA([2]quests!$A:$A),MATCH(C$1,[2]quests!$1:$1,0)-MATCH($B$1,[2]quests!$1:$1,0)+1),MATCH(C$1,[2]quests!$1:$1,0)-MATCH($B$1,[2]quests!$1:$1,0)+1,FALSE)</f>
        <v>酉の初めはたまごから</v>
      </c>
      <c r="D4" s="83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【超絶】酉の初めはたまごから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5">
        <v>4</v>
      </c>
      <c r="I4" s="90">
        <f t="shared" si="0"/>
        <v>3</v>
      </c>
      <c r="J4" s="86" t="str">
        <f t="shared" si="1"/>
        <v>4700603</v>
      </c>
      <c r="K4" s="84" t="s">
        <v>128</v>
      </c>
      <c r="L4" s="87" t="s">
        <v>200</v>
      </c>
      <c r="M4" s="134" t="s">
        <v>319</v>
      </c>
      <c r="N4" s="56" t="s">
        <v>201</v>
      </c>
    </row>
    <row r="5" spans="1:14" ht="56" x14ac:dyDescent="0.15">
      <c r="A5" s="81" t="s">
        <v>198</v>
      </c>
      <c r="B5" s="82">
        <f>floors!$C$2</f>
        <v>47006</v>
      </c>
      <c r="C5" s="83" t="str">
        <f ca="1">VLOOKUP($B5,OFFSET([2]quests!$A$1,0,0,COUNTA([2]quests!$A:$A),MATCH(C$1,[2]quests!$1:$1,0)-MATCH($B$1,[2]quests!$1:$1,0)+1),MATCH(C$1,[2]quests!$1:$1,0)-MATCH($B$1,[2]quests!$1:$1,0)+1,FALSE)</f>
        <v>酉の初めはたまごから</v>
      </c>
      <c r="D5" s="83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【超絶】酉の初めはたまごから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5">
        <v>4</v>
      </c>
      <c r="I5" s="90">
        <f t="shared" si="0"/>
        <v>4</v>
      </c>
      <c r="J5" s="86" t="str">
        <f t="shared" si="1"/>
        <v>4700604</v>
      </c>
      <c r="K5" s="84" t="s">
        <v>128</v>
      </c>
      <c r="L5" s="87" t="s">
        <v>200</v>
      </c>
      <c r="M5" s="134" t="s">
        <v>320</v>
      </c>
      <c r="N5" s="56" t="s">
        <v>201</v>
      </c>
    </row>
    <row r="6" spans="1:14" ht="70" x14ac:dyDescent="0.15">
      <c r="A6" s="81" t="s">
        <v>198</v>
      </c>
      <c r="B6" s="82">
        <f>floors!$C$2</f>
        <v>47006</v>
      </c>
      <c r="C6" s="83" t="str">
        <f ca="1">VLOOKUP($B6,OFFSET([2]quests!$A$1,0,0,COUNTA([2]quests!$A:$A),MATCH(C$1,[2]quests!$1:$1,0)-MATCH($B$1,[2]quests!$1:$1,0)+1),MATCH(C$1,[2]quests!$1:$1,0)-MATCH($B$1,[2]quests!$1:$1,0)+1,FALSE)</f>
        <v>酉の初めはたまごから</v>
      </c>
      <c r="D6" s="83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【超絶】酉の初めはたまごから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5">
        <v>4</v>
      </c>
      <c r="I6" s="90">
        <f t="shared" si="0"/>
        <v>5</v>
      </c>
      <c r="J6" s="86" t="str">
        <f t="shared" si="1"/>
        <v>4700605</v>
      </c>
      <c r="K6" s="84" t="s">
        <v>128</v>
      </c>
      <c r="L6" s="87" t="s">
        <v>200</v>
      </c>
      <c r="M6" s="134" t="s">
        <v>321</v>
      </c>
      <c r="N6" s="56" t="s">
        <v>201</v>
      </c>
    </row>
    <row r="7" spans="1:14" ht="42" x14ac:dyDescent="0.15">
      <c r="A7" s="81" t="s">
        <v>322</v>
      </c>
      <c r="B7" s="82">
        <f>floors!$C$2</f>
        <v>47006</v>
      </c>
      <c r="C7" s="83" t="str">
        <f ca="1">VLOOKUP($B7,OFFSET([2]quests!$A$1,0,0,COUNTA([2]quests!$A:$A),MATCH(C$1,[2]quests!$1:$1,0)-MATCH($B$1,[2]quests!$1:$1,0)+1),MATCH(C$1,[2]quests!$1:$1,0)-MATCH($B$1,[2]quests!$1:$1,0)+1,FALSE)</f>
        <v>酉の初めはたまごから</v>
      </c>
      <c r="D7" s="83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【超絶】酉の初めはたまごから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5">
        <v>0</v>
      </c>
      <c r="I7" s="90">
        <f t="shared" si="0"/>
        <v>6</v>
      </c>
      <c r="J7" s="86" t="str">
        <f t="shared" si="1"/>
        <v>4700606</v>
      </c>
      <c r="K7" s="84" t="s">
        <v>128</v>
      </c>
      <c r="L7" s="87" t="s">
        <v>323</v>
      </c>
      <c r="M7" s="134" t="s">
        <v>324</v>
      </c>
      <c r="N7" s="56" t="s">
        <v>201</v>
      </c>
    </row>
    <row r="8" spans="1:14" ht="42" x14ac:dyDescent="0.15">
      <c r="A8" s="81" t="s">
        <v>322</v>
      </c>
      <c r="B8" s="82">
        <f>floors!$C$2</f>
        <v>47006</v>
      </c>
      <c r="C8" s="83" t="str">
        <f ca="1">VLOOKUP($B8,OFFSET([2]quests!$A$1,0,0,COUNTA([2]quests!$A:$A),MATCH(C$1,[2]quests!$1:$1,0)-MATCH($B$1,[2]quests!$1:$1,0)+1),MATCH(C$1,[2]quests!$1:$1,0)-MATCH($B$1,[2]quests!$1:$1,0)+1,FALSE)</f>
        <v>酉の初めはたまごから</v>
      </c>
      <c r="D8" s="83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【超絶】酉の初めはたまごから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85">
        <v>0</v>
      </c>
      <c r="I8" s="90">
        <f t="shared" si="0"/>
        <v>7</v>
      </c>
      <c r="J8" s="86" t="str">
        <f t="shared" si="1"/>
        <v>4700607</v>
      </c>
      <c r="K8" s="84" t="s">
        <v>128</v>
      </c>
      <c r="L8" s="87" t="s">
        <v>325</v>
      </c>
      <c r="M8" s="134" t="s">
        <v>333</v>
      </c>
      <c r="N8" s="56" t="s">
        <v>201</v>
      </c>
    </row>
    <row r="9" spans="1:14" ht="42" x14ac:dyDescent="0.15">
      <c r="A9" s="81" t="s">
        <v>322</v>
      </c>
      <c r="B9" s="82">
        <f>floors!$C$2</f>
        <v>47006</v>
      </c>
      <c r="C9" s="83" t="str">
        <f ca="1">VLOOKUP($B9,OFFSET([2]quests!$A$1,0,0,COUNTA([2]quests!$A:$A),MATCH(C$1,[2]quests!$1:$1,0)-MATCH($B$1,[2]quests!$1:$1,0)+1),MATCH(C$1,[2]quests!$1:$1,0)-MATCH($B$1,[2]quests!$1:$1,0)+1,FALSE)</f>
        <v>酉の初めはたまごから</v>
      </c>
      <c r="D9" s="83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【超絶】酉の初めはたまごから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5">
        <v>0</v>
      </c>
      <c r="I9" s="90">
        <f t="shared" si="0"/>
        <v>8</v>
      </c>
      <c r="J9" s="86" t="str">
        <f t="shared" si="1"/>
        <v>4700608</v>
      </c>
      <c r="K9" s="84" t="s">
        <v>128</v>
      </c>
      <c r="L9" s="87" t="s">
        <v>326</v>
      </c>
      <c r="M9" s="134" t="s">
        <v>327</v>
      </c>
      <c r="N9" s="56" t="s">
        <v>201</v>
      </c>
    </row>
    <row r="10" spans="1:14" ht="56" x14ac:dyDescent="0.15">
      <c r="A10" s="81" t="s">
        <v>198</v>
      </c>
      <c r="B10" s="82">
        <f>floors!$C$2</f>
        <v>47006</v>
      </c>
      <c r="C10" s="83" t="str">
        <f ca="1">VLOOKUP($B10,OFFSET([2]quests!$A$1,0,0,COUNTA([2]quests!$A:$A),MATCH(C$1,[2]quests!$1:$1,0)-MATCH($B$1,[2]quests!$1:$1,0)+1),MATCH(C$1,[2]quests!$1:$1,0)-MATCH($B$1,[2]quests!$1:$1,0)+1,FALSE)</f>
        <v>酉の初めはたまごから</v>
      </c>
      <c r="D10" s="83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4">
        <v>2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【ｳｨｻﾞ】酉の初めはたまごから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5">
        <v>2</v>
      </c>
      <c r="I10" s="90">
        <f t="shared" si="0"/>
        <v>9</v>
      </c>
      <c r="J10" s="86" t="str">
        <f t="shared" si="1"/>
        <v>4700609</v>
      </c>
      <c r="K10" s="84" t="s">
        <v>128</v>
      </c>
      <c r="L10" s="87" t="s">
        <v>200</v>
      </c>
      <c r="M10" s="134" t="s">
        <v>317</v>
      </c>
      <c r="N10" s="56" t="s">
        <v>201</v>
      </c>
    </row>
    <row r="11" spans="1:14" ht="56" x14ac:dyDescent="0.15">
      <c r="A11" s="81" t="s">
        <v>198</v>
      </c>
      <c r="B11" s="82">
        <f>floors!$C$2</f>
        <v>47006</v>
      </c>
      <c r="C11" s="83" t="str">
        <f ca="1">VLOOKUP($B11,OFFSET([2]quests!$A$1,0,0,COUNTA([2]quests!$A:$A),MATCH(C$1,[2]quests!$1:$1,0)-MATCH($B$1,[2]quests!$1:$1,0)+1),MATCH(C$1,[2]quests!$1:$1,0)-MATCH($B$1,[2]quests!$1:$1,0)+1,FALSE)</f>
        <v>酉の初めはたまごから</v>
      </c>
      <c r="D11" s="83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4">
        <v>2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【ｳｨｻﾞ】酉の初めはたまごから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5">
        <v>3</v>
      </c>
      <c r="I11" s="90">
        <f t="shared" si="0"/>
        <v>10</v>
      </c>
      <c r="J11" s="86" t="str">
        <f t="shared" si="1"/>
        <v>4700610</v>
      </c>
      <c r="K11" s="84" t="s">
        <v>128</v>
      </c>
      <c r="L11" s="87" t="s">
        <v>200</v>
      </c>
      <c r="M11" s="134" t="s">
        <v>318</v>
      </c>
      <c r="N11" s="56" t="s">
        <v>201</v>
      </c>
    </row>
    <row r="12" spans="1:14" ht="56" x14ac:dyDescent="0.15">
      <c r="A12" s="81" t="s">
        <v>198</v>
      </c>
      <c r="B12" s="82">
        <f>floors!$C$2</f>
        <v>47006</v>
      </c>
      <c r="C12" s="83" t="str">
        <f ca="1">VLOOKUP($B12,OFFSET([2]quests!$A$1,0,0,COUNTA([2]quests!$A:$A),MATCH(C$1,[2]quests!$1:$1,0)-MATCH($B$1,[2]quests!$1:$1,0)+1),MATCH(C$1,[2]quests!$1:$1,0)-MATCH($B$1,[2]quests!$1:$1,0)+1,FALSE)</f>
        <v>酉の初めはたまごから</v>
      </c>
      <c r="D12" s="83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【ｳｨｻﾞ】酉の初めはたまごから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5">
        <v>4</v>
      </c>
      <c r="I12" s="90">
        <f t="shared" si="0"/>
        <v>11</v>
      </c>
      <c r="J12" s="86" t="str">
        <f t="shared" si="1"/>
        <v>4700611</v>
      </c>
      <c r="K12" s="84" t="s">
        <v>128</v>
      </c>
      <c r="L12" s="87" t="s">
        <v>200</v>
      </c>
      <c r="M12" s="134" t="s">
        <v>319</v>
      </c>
      <c r="N12" s="56" t="s">
        <v>201</v>
      </c>
    </row>
    <row r="13" spans="1:14" ht="56" x14ac:dyDescent="0.15">
      <c r="A13" s="81" t="s">
        <v>198</v>
      </c>
      <c r="B13" s="82">
        <f>floors!$C$2</f>
        <v>47006</v>
      </c>
      <c r="C13" s="83" t="str">
        <f ca="1">VLOOKUP($B13,OFFSET([2]quests!$A$1,0,0,COUNTA([2]quests!$A:$A),MATCH(C$1,[2]quests!$1:$1,0)-MATCH($B$1,[2]quests!$1:$1,0)+1),MATCH(C$1,[2]quests!$1:$1,0)-MATCH($B$1,[2]quests!$1:$1,0)+1,FALSE)</f>
        <v>酉の初めはたまごから</v>
      </c>
      <c r="D13" s="83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【ｳｨｻﾞ】酉の初めはたまごから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5">
        <v>4</v>
      </c>
      <c r="I13" s="90">
        <f t="shared" si="0"/>
        <v>12</v>
      </c>
      <c r="J13" s="86" t="str">
        <f t="shared" si="1"/>
        <v>4700612</v>
      </c>
      <c r="K13" s="84" t="s">
        <v>128</v>
      </c>
      <c r="L13" s="87" t="s">
        <v>200</v>
      </c>
      <c r="M13" s="134" t="s">
        <v>320</v>
      </c>
      <c r="N13" s="56" t="s">
        <v>201</v>
      </c>
    </row>
    <row r="14" spans="1:14" ht="70" x14ac:dyDescent="0.15">
      <c r="A14" s="81" t="s">
        <v>198</v>
      </c>
      <c r="B14" s="82">
        <f>floors!$C$2</f>
        <v>47006</v>
      </c>
      <c r="C14" s="83" t="str">
        <f ca="1">VLOOKUP($B14,OFFSET([2]quests!$A$1,0,0,COUNTA([2]quests!$A:$A),MATCH(C$1,[2]quests!$1:$1,0)-MATCH($B$1,[2]quests!$1:$1,0)+1),MATCH(C$1,[2]quests!$1:$1,0)-MATCH($B$1,[2]quests!$1:$1,0)+1,FALSE)</f>
        <v>酉の初めはたまごから</v>
      </c>
      <c r="D14" s="83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【ｳｨｻﾞ】酉の初めはたまごから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5">
        <v>4</v>
      </c>
      <c r="I14" s="90">
        <f t="shared" si="0"/>
        <v>13</v>
      </c>
      <c r="J14" s="86" t="str">
        <f t="shared" si="1"/>
        <v>4700613</v>
      </c>
      <c r="K14" s="84" t="s">
        <v>128</v>
      </c>
      <c r="L14" s="87" t="s">
        <v>200</v>
      </c>
      <c r="M14" s="134" t="s">
        <v>321</v>
      </c>
      <c r="N14" s="56" t="s">
        <v>201</v>
      </c>
    </row>
    <row r="15" spans="1:14" ht="42" x14ac:dyDescent="0.15">
      <c r="A15" s="81" t="s">
        <v>322</v>
      </c>
      <c r="B15" s="82">
        <f>floors!$C$2</f>
        <v>47006</v>
      </c>
      <c r="C15" s="83" t="str">
        <f ca="1">VLOOKUP($B15,OFFSET([2]quests!$A$1,0,0,COUNTA([2]quests!$A:$A),MATCH(C$1,[2]quests!$1:$1,0)-MATCH($B$1,[2]quests!$1:$1,0)+1),MATCH(C$1,[2]quests!$1:$1,0)-MATCH($B$1,[2]quests!$1:$1,0)+1,FALSE)</f>
        <v>酉の初めはたまごから</v>
      </c>
      <c r="D15" s="83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【ｳｨｻﾞ】酉の初めはたまごから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85">
        <v>0</v>
      </c>
      <c r="I15" s="90">
        <f t="shared" si="0"/>
        <v>14</v>
      </c>
      <c r="J15" s="86" t="str">
        <f t="shared" si="1"/>
        <v>4700614</v>
      </c>
      <c r="K15" s="84" t="s">
        <v>128</v>
      </c>
      <c r="L15" s="87" t="s">
        <v>323</v>
      </c>
      <c r="M15" s="134" t="s">
        <v>324</v>
      </c>
      <c r="N15" s="56" t="s">
        <v>201</v>
      </c>
    </row>
    <row r="16" spans="1:14" ht="42" x14ac:dyDescent="0.15">
      <c r="A16" s="81" t="s">
        <v>322</v>
      </c>
      <c r="B16" s="82">
        <f>floors!$C$2</f>
        <v>47006</v>
      </c>
      <c r="C16" s="83" t="str">
        <f ca="1">VLOOKUP($B16,OFFSET([2]quests!$A$1,0,0,COUNTA([2]quests!$A:$A),MATCH(C$1,[2]quests!$1:$1,0)-MATCH($B$1,[2]quests!$1:$1,0)+1),MATCH(C$1,[2]quests!$1:$1,0)-MATCH($B$1,[2]quests!$1:$1,0)+1,FALSE)</f>
        <v>酉の初めはたまごから</v>
      </c>
      <c r="D16" s="83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【ｳｨｻﾞ】酉の初めはたまごから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85">
        <v>0</v>
      </c>
      <c r="I16" s="90">
        <f t="shared" si="0"/>
        <v>15</v>
      </c>
      <c r="J16" s="86" t="str">
        <f t="shared" si="1"/>
        <v>4700615</v>
      </c>
      <c r="K16" s="84" t="s">
        <v>128</v>
      </c>
      <c r="L16" s="87" t="s">
        <v>325</v>
      </c>
      <c r="M16" s="134" t="s">
        <v>333</v>
      </c>
      <c r="N16" s="56" t="s">
        <v>201</v>
      </c>
    </row>
    <row r="17" spans="1:14" ht="42" x14ac:dyDescent="0.15">
      <c r="A17" s="81" t="s">
        <v>322</v>
      </c>
      <c r="B17" s="82">
        <f>floors!$C$2</f>
        <v>47006</v>
      </c>
      <c r="C17" s="83" t="str">
        <f ca="1">VLOOKUP($B17,OFFSET([2]quests!$A$1,0,0,COUNTA([2]quests!$A:$A),MATCH(C$1,[2]quests!$1:$1,0)-MATCH($B$1,[2]quests!$1:$1,0)+1),MATCH(C$1,[2]quests!$1:$1,0)-MATCH($B$1,[2]quests!$1:$1,0)+1,FALSE)</f>
        <v>酉の初めはたまごから</v>
      </c>
      <c r="D17" s="83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【ｳｨｻﾞ】酉の初めはたまごから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85">
        <v>0</v>
      </c>
      <c r="I17" s="90">
        <f t="shared" si="0"/>
        <v>16</v>
      </c>
      <c r="J17" s="86" t="str">
        <f t="shared" si="1"/>
        <v>4700616</v>
      </c>
      <c r="K17" s="84" t="s">
        <v>128</v>
      </c>
      <c r="L17" s="87" t="s">
        <v>326</v>
      </c>
      <c r="M17" s="134" t="s">
        <v>327</v>
      </c>
      <c r="N17" s="56" t="s">
        <v>201</v>
      </c>
    </row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K4" sqref="K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213</v>
      </c>
      <c r="B1" s="95" t="s">
        <v>214</v>
      </c>
      <c r="C1" s="77" t="s">
        <v>215</v>
      </c>
      <c r="D1" s="77" t="s">
        <v>33</v>
      </c>
      <c r="E1" s="95" t="s">
        <v>216</v>
      </c>
      <c r="F1" s="77" t="s">
        <v>217</v>
      </c>
      <c r="G1" s="77" t="s">
        <v>33</v>
      </c>
      <c r="H1" s="95" t="s">
        <v>218</v>
      </c>
      <c r="I1" s="95" t="s">
        <v>219</v>
      </c>
      <c r="J1" s="95" t="s">
        <v>220</v>
      </c>
      <c r="K1" s="73" t="s">
        <v>221</v>
      </c>
      <c r="L1" s="73" t="s">
        <v>222</v>
      </c>
      <c r="M1" s="73" t="s">
        <v>157</v>
      </c>
      <c r="N1" s="77" t="s">
        <v>16</v>
      </c>
      <c r="O1" s="73" t="s">
        <v>223</v>
      </c>
      <c r="P1" s="73" t="s">
        <v>57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  <row r="2" spans="1:24" x14ac:dyDescent="0.15">
      <c r="A2" s="96" t="str">
        <f>B2&amp;"_"&amp;E2&amp;"_"&amp;H2&amp;"_"&amp;I2&amp;"_"&amp;J2</f>
        <v>47006_2_everyone_full_member_1</v>
      </c>
      <c r="B2" s="82">
        <v>47006</v>
      </c>
      <c r="C2" s="83" t="str">
        <f ca="1">VLOOKUP($B2,OFFSET([2]quests!$A$1,0,0,COUNTA([2]quests!$A:$A),MATCH(C$1,[2]quests!$1:$1,0)-MATCH($B$1,[2]quests!$1:$1,0)+1),MATCH(C$1,[2]quests!$1:$1,0)-MATCH($B$1,[2]quests!$1:$1,0)+1,FALSE)</f>
        <v>酉の初めはたまごから</v>
      </c>
      <c r="D2" s="83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【ｳｨｻﾞ】酉の初めはたまごから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5" t="s">
        <v>227</v>
      </c>
      <c r="I2" s="84" t="s">
        <v>328</v>
      </c>
      <c r="J2" s="84">
        <v>1</v>
      </c>
      <c r="K2" s="84">
        <v>1000</v>
      </c>
      <c r="L2" s="84" t="s">
        <v>228</v>
      </c>
      <c r="M2" s="84">
        <v>1293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トトリ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229</v>
      </c>
      <c r="X2" s="99" t="s">
        <v>230</v>
      </c>
    </row>
    <row r="3" spans="1:24" x14ac:dyDescent="0.15">
      <c r="A3" s="96" t="str">
        <f>B3&amp;"_"&amp;E3&amp;"_"&amp;H3&amp;"_"&amp;I3&amp;"_"&amp;J3</f>
        <v>47006_2_everyone_no_continue_1</v>
      </c>
      <c r="B3" s="82">
        <v>47006</v>
      </c>
      <c r="C3" s="83" t="str">
        <f ca="1">VLOOKUP($B3,OFFSET([2]quests!$A$1,0,0,COUNTA([2]quests!$A:$A),MATCH(C$1,[2]quests!$1:$1,0)-MATCH($B$1,[2]quests!$1:$1,0)+1),MATCH(C$1,[2]quests!$1:$1,0)-MATCH($B$1,[2]quests!$1:$1,0)+1,FALSE)</f>
        <v>酉の初めはたまごから</v>
      </c>
      <c r="D3" s="83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【ｳｨｻﾞ】酉の初めはたまごから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5" t="s">
        <v>227</v>
      </c>
      <c r="I3" s="84" t="s">
        <v>231</v>
      </c>
      <c r="J3" s="84">
        <v>1</v>
      </c>
      <c r="K3" s="84">
        <v>1000</v>
      </c>
      <c r="L3" s="84" t="s">
        <v>228</v>
      </c>
      <c r="M3" s="84">
        <v>1293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トトリ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229</v>
      </c>
      <c r="X3" s="99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2017-05-29T02:27:54Z</dcterms:modified>
</cp:coreProperties>
</file>