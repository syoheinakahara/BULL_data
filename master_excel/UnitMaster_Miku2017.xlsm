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620" windowWidth="27700" windowHeight="1610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98" i="54" l="1"/>
  <c r="D98" i="54"/>
  <c r="B98" i="54"/>
  <c r="E94" i="54"/>
  <c r="D94" i="54"/>
  <c r="B94" i="54"/>
  <c r="E93" i="54"/>
  <c r="D93" i="54"/>
  <c r="B93" i="54"/>
  <c r="E70" i="54"/>
  <c r="D70" i="54"/>
  <c r="B70" i="54"/>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C3" i="3"/>
  <c r="D3" i="3"/>
  <c r="E3" i="3"/>
  <c r="F3" i="3"/>
  <c r="C4" i="3"/>
  <c r="D4" i="3"/>
  <c r="E4" i="3"/>
  <c r="F4" i="3"/>
  <c r="C5" i="3"/>
  <c r="D5" i="3"/>
  <c r="E5" i="3"/>
  <c r="F5" i="3"/>
  <c r="C6" i="3"/>
  <c r="D6" i="3"/>
  <c r="E6" i="3"/>
  <c r="F6" i="3"/>
  <c r="C7" i="3"/>
  <c r="D7" i="3"/>
  <c r="E7" i="3"/>
  <c r="F7" i="3"/>
  <c r="C8" i="3"/>
  <c r="D8" i="3"/>
  <c r="E8" i="3"/>
  <c r="F8" i="3"/>
  <c r="C9" i="3"/>
  <c r="D9" i="3"/>
  <c r="E9" i="3"/>
  <c r="F9" i="3"/>
  <c r="C10" i="3"/>
  <c r="D10" i="3"/>
  <c r="E10" i="3"/>
  <c r="F10" i="3"/>
  <c r="C11" i="3"/>
  <c r="D11" i="3"/>
  <c r="E11" i="3"/>
  <c r="F11" i="3"/>
  <c r="C12" i="3"/>
  <c r="D12" i="3"/>
  <c r="E12" i="3"/>
  <c r="F12" i="3"/>
  <c r="C13" i="3"/>
  <c r="D13" i="3"/>
  <c r="E13" i="3"/>
  <c r="F13" i="3"/>
  <c r="C14" i="3"/>
  <c r="D14" i="3"/>
  <c r="E14" i="3"/>
  <c r="F14" i="3"/>
  <c r="C15" i="3"/>
  <c r="D15" i="3"/>
  <c r="E15" i="3"/>
  <c r="F15" i="3"/>
  <c r="C16" i="3"/>
  <c r="D16" i="3"/>
  <c r="E16" i="3"/>
  <c r="F16" i="3"/>
  <c r="C17" i="3"/>
  <c r="D17" i="3"/>
  <c r="E17" i="3"/>
  <c r="F17" i="3"/>
  <c r="C18" i="3"/>
  <c r="D18" i="3"/>
  <c r="E18" i="3"/>
  <c r="F18" i="3"/>
  <c r="C19" i="3"/>
  <c r="D19" i="3"/>
  <c r="E19" i="3"/>
  <c r="F19" i="3"/>
  <c r="C20" i="3"/>
  <c r="D20" i="3"/>
  <c r="E20" i="3"/>
  <c r="F20" i="3"/>
  <c r="C21" i="3"/>
  <c r="D21" i="3"/>
  <c r="E21" i="3"/>
  <c r="F21" i="3"/>
  <c r="C22" i="3"/>
  <c r="D22" i="3"/>
  <c r="E22" i="3"/>
  <c r="F22" i="3"/>
  <c r="C23" i="3"/>
  <c r="D23" i="3"/>
  <c r="E23" i="3"/>
  <c r="F23" i="3"/>
  <c r="C24" i="3"/>
  <c r="D24" i="3"/>
  <c r="E24" i="3"/>
  <c r="F24" i="3"/>
  <c r="C25" i="3"/>
  <c r="D25" i="3"/>
  <c r="E25" i="3"/>
  <c r="F25" i="3"/>
  <c r="C26" i="3"/>
  <c r="D26" i="3"/>
  <c r="E26" i="3"/>
  <c r="F26" i="3"/>
  <c r="C27" i="3"/>
  <c r="D27" i="3"/>
  <c r="E27" i="3"/>
  <c r="F27" i="3"/>
  <c r="C28" i="3"/>
  <c r="D28" i="3"/>
  <c r="E28" i="3"/>
  <c r="F28" i="3"/>
  <c r="C29" i="3"/>
  <c r="D29" i="3"/>
  <c r="E29" i="3"/>
  <c r="F29" i="3"/>
  <c r="C30" i="3"/>
  <c r="D30" i="3"/>
  <c r="E30" i="3"/>
  <c r="F30" i="3"/>
  <c r="C31" i="3"/>
  <c r="D31" i="3"/>
  <c r="E31" i="3"/>
  <c r="F31" i="3"/>
  <c r="C32" i="3"/>
  <c r="D32" i="3"/>
  <c r="E32" i="3"/>
  <c r="F32" i="3"/>
  <c r="C33" i="3"/>
  <c r="D33" i="3"/>
  <c r="E33" i="3"/>
  <c r="F33" i="3"/>
  <c r="C34" i="3"/>
  <c r="D34" i="3"/>
  <c r="E34" i="3"/>
  <c r="F34" i="3"/>
  <c r="C35" i="3"/>
  <c r="D35" i="3"/>
  <c r="E35" i="3"/>
  <c r="F35" i="3"/>
  <c r="C36" i="3"/>
  <c r="D36" i="3"/>
  <c r="E36" i="3"/>
  <c r="F36" i="3"/>
  <c r="C37" i="3"/>
  <c r="D37" i="3"/>
  <c r="E37" i="3"/>
  <c r="F37" i="3"/>
  <c r="C38" i="3"/>
  <c r="D38" i="3"/>
  <c r="E38" i="3"/>
  <c r="F38" i="3"/>
  <c r="C39" i="3"/>
  <c r="D39" i="3"/>
  <c r="E39" i="3"/>
  <c r="F39" i="3"/>
  <c r="C40" i="3"/>
  <c r="D40" i="3"/>
  <c r="E40" i="3"/>
  <c r="F40" i="3"/>
  <c r="C41" i="3"/>
  <c r="D41" i="3"/>
  <c r="E41" i="3"/>
  <c r="F41" i="3"/>
  <c r="C42" i="3"/>
  <c r="D42" i="3"/>
  <c r="E42" i="3"/>
  <c r="F42" i="3"/>
  <c r="C43" i="3"/>
  <c r="D43" i="3"/>
  <c r="E43" i="3"/>
  <c r="F43" i="3"/>
  <c r="C44" i="3"/>
  <c r="D44" i="3"/>
  <c r="E44" i="3"/>
  <c r="F44" i="3"/>
  <c r="C45" i="3"/>
  <c r="D45" i="3"/>
  <c r="E45" i="3"/>
  <c r="F45" i="3"/>
  <c r="C46" i="3"/>
  <c r="D46" i="3"/>
  <c r="E46" i="3"/>
  <c r="F46" i="3"/>
  <c r="C47" i="3"/>
  <c r="D47" i="3"/>
  <c r="E47" i="3"/>
  <c r="F47" i="3"/>
  <c r="C48" i="3"/>
  <c r="D48" i="3"/>
  <c r="E48" i="3"/>
  <c r="F48" i="3"/>
  <c r="C49" i="3"/>
  <c r="D49" i="3"/>
  <c r="E49" i="3"/>
  <c r="F49" i="3"/>
  <c r="C50" i="3"/>
  <c r="D50" i="3"/>
  <c r="E50" i="3"/>
  <c r="F50" i="3"/>
  <c r="C51" i="3"/>
  <c r="D51" i="3"/>
  <c r="E51" i="3"/>
  <c r="F51" i="3"/>
  <c r="C52" i="3"/>
  <c r="D52" i="3"/>
  <c r="E52" i="3"/>
  <c r="F52" i="3"/>
  <c r="C53" i="3"/>
  <c r="D53" i="3"/>
  <c r="E53" i="3"/>
  <c r="F53" i="3"/>
  <c r="C54" i="3"/>
  <c r="D54" i="3"/>
  <c r="E54" i="3"/>
  <c r="F54" i="3"/>
  <c r="C55" i="3"/>
  <c r="D55" i="3"/>
  <c r="E55" i="3"/>
  <c r="F55" i="3"/>
  <c r="C56" i="3"/>
  <c r="D56" i="3"/>
  <c r="E56" i="3"/>
  <c r="F56" i="3"/>
  <c r="C57" i="3"/>
  <c r="D57" i="3"/>
  <c r="E57" i="3"/>
  <c r="F57" i="3"/>
  <c r="C58" i="3"/>
  <c r="D58" i="3"/>
  <c r="E58" i="3"/>
  <c r="F58" i="3"/>
  <c r="C59" i="3"/>
  <c r="D59" i="3"/>
  <c r="E59" i="3"/>
  <c r="F59" i="3"/>
  <c r="C60" i="3"/>
  <c r="D60" i="3"/>
  <c r="E60" i="3"/>
  <c r="F60" i="3"/>
  <c r="C61" i="3"/>
  <c r="D61" i="3"/>
  <c r="E61" i="3"/>
  <c r="F61" i="3"/>
  <c r="C62" i="3"/>
  <c r="D62" i="3"/>
  <c r="E62" i="3"/>
  <c r="F62" i="3"/>
  <c r="C63" i="3"/>
  <c r="D63" i="3"/>
  <c r="E63" i="3"/>
  <c r="F63" i="3"/>
  <c r="C64" i="3"/>
  <c r="D64" i="3"/>
  <c r="E64" i="3"/>
  <c r="F64" i="3"/>
  <c r="C65" i="3"/>
  <c r="D65" i="3"/>
  <c r="E65" i="3"/>
  <c r="F65" i="3"/>
  <c r="C66" i="3"/>
  <c r="D66" i="3"/>
  <c r="E66" i="3"/>
  <c r="F66" i="3"/>
  <c r="C67" i="3"/>
  <c r="D67" i="3"/>
  <c r="E67" i="3"/>
  <c r="F67" i="3"/>
  <c r="C68" i="3"/>
  <c r="D68" i="3"/>
  <c r="E68" i="3"/>
  <c r="F68" i="3"/>
  <c r="C69" i="3"/>
  <c r="D69" i="3"/>
  <c r="E69" i="3"/>
  <c r="F69" i="3"/>
  <c r="C70" i="3"/>
  <c r="D70" i="3"/>
  <c r="E70" i="3"/>
  <c r="F70" i="3"/>
  <c r="C71" i="3"/>
  <c r="D71" i="3"/>
  <c r="E71" i="3"/>
  <c r="F71" i="3"/>
  <c r="C72" i="3"/>
  <c r="D72" i="3"/>
  <c r="E72" i="3"/>
  <c r="F72" i="3"/>
  <c r="C73" i="3"/>
  <c r="D73" i="3"/>
  <c r="E73" i="3"/>
  <c r="F73" i="3"/>
  <c r="C74" i="3"/>
  <c r="D74" i="3"/>
  <c r="E74" i="3"/>
  <c r="F74" i="3"/>
  <c r="C75" i="3"/>
  <c r="D75" i="3"/>
  <c r="E75" i="3"/>
  <c r="F75" i="3"/>
  <c r="C76" i="3"/>
  <c r="D76" i="3"/>
  <c r="E76" i="3"/>
  <c r="F76" i="3"/>
  <c r="C77" i="3"/>
  <c r="D77" i="3"/>
  <c r="E77" i="3"/>
  <c r="F77" i="3"/>
  <c r="C78" i="3"/>
  <c r="D78" i="3"/>
  <c r="E78" i="3"/>
  <c r="F78" i="3"/>
  <c r="C79" i="3"/>
  <c r="D79" i="3"/>
  <c r="E79" i="3"/>
  <c r="F79" i="3"/>
  <c r="C80" i="3"/>
  <c r="D80" i="3"/>
  <c r="E80" i="3"/>
  <c r="F80" i="3"/>
  <c r="C81" i="3"/>
  <c r="D81" i="3"/>
  <c r="E81" i="3"/>
  <c r="F81" i="3"/>
  <c r="C82" i="3"/>
  <c r="D82" i="3"/>
  <c r="E82" i="3"/>
  <c r="F82" i="3"/>
  <c r="R3" i="58"/>
  <c r="S3" i="58"/>
  <c r="T3" i="58"/>
  <c r="G3" i="58"/>
  <c r="U3" i="58"/>
  <c r="R4" i="58"/>
  <c r="S4" i="58"/>
  <c r="T4" i="58"/>
  <c r="G4" i="58"/>
  <c r="U4" i="58"/>
  <c r="R5" i="58"/>
  <c r="S5" i="58"/>
  <c r="T5" i="58"/>
  <c r="G5" i="58"/>
  <c r="U5" i="58"/>
  <c r="R6" i="58"/>
  <c r="S6" i="58"/>
  <c r="T6" i="58"/>
  <c r="G6" i="58"/>
  <c r="U6" i="58"/>
  <c r="R7" i="58"/>
  <c r="S7" i="58"/>
  <c r="T7" i="58"/>
  <c r="G7" i="58"/>
  <c r="U7" i="58"/>
  <c r="R8" i="58"/>
  <c r="S8" i="58"/>
  <c r="T8" i="58"/>
  <c r="G8" i="58"/>
  <c r="U8" i="58"/>
  <c r="R9" i="58"/>
  <c r="S9" i="58"/>
  <c r="T9" i="58"/>
  <c r="G9" i="58"/>
  <c r="U9" i="58"/>
  <c r="R10" i="58"/>
  <c r="S10" i="58"/>
  <c r="T10" i="58"/>
  <c r="G10" i="58"/>
  <c r="U10" i="58"/>
  <c r="R11" i="58"/>
  <c r="S11" i="58"/>
  <c r="T11" i="58"/>
  <c r="G11" i="58"/>
  <c r="U11" i="58"/>
  <c r="R12" i="58"/>
  <c r="S12" i="58"/>
  <c r="T12" i="58"/>
  <c r="G12" i="58"/>
  <c r="U12" i="58"/>
  <c r="R13" i="58"/>
  <c r="S13" i="58"/>
  <c r="T13" i="58"/>
  <c r="G13" i="58"/>
  <c r="U13" i="58"/>
  <c r="R14" i="58"/>
  <c r="S14" i="58"/>
  <c r="T14" i="58"/>
  <c r="G14" i="58"/>
  <c r="U14" i="58"/>
  <c r="R15" i="58"/>
  <c r="S15" i="58"/>
  <c r="T15" i="58"/>
  <c r="G15" i="58"/>
  <c r="U15" i="58"/>
  <c r="R16" i="58"/>
  <c r="S16" i="58"/>
  <c r="T16" i="58"/>
  <c r="G16" i="58"/>
  <c r="U16" i="58"/>
  <c r="R17" i="58"/>
  <c r="S17" i="58"/>
  <c r="T17" i="58"/>
  <c r="G17" i="58"/>
  <c r="U17" i="58"/>
  <c r="R18" i="58"/>
  <c r="S18" i="58"/>
  <c r="T18" i="58"/>
  <c r="G18" i="58"/>
  <c r="U18" i="58"/>
  <c r="R19" i="58"/>
  <c r="S19" i="58"/>
  <c r="T19" i="58"/>
  <c r="G19" i="58"/>
  <c r="U19" i="58"/>
  <c r="R20" i="58"/>
  <c r="S20" i="58"/>
  <c r="T20" i="58"/>
  <c r="G20" i="58"/>
  <c r="U20" i="58"/>
  <c r="R21" i="58"/>
  <c r="S21" i="58"/>
  <c r="T21" i="58"/>
  <c r="G21" i="58"/>
  <c r="U21" i="58"/>
  <c r="R22" i="58"/>
  <c r="S22" i="58"/>
  <c r="T22" i="58"/>
  <c r="G22" i="58"/>
  <c r="U22" i="58"/>
  <c r="R23" i="58"/>
  <c r="S23" i="58"/>
  <c r="T23" i="58"/>
  <c r="G23" i="58"/>
  <c r="U23" i="58"/>
  <c r="B3" i="58"/>
  <c r="C3" i="58"/>
  <c r="D3" i="58"/>
  <c r="E3" i="58"/>
  <c r="F3" i="58"/>
  <c r="H3" i="58"/>
  <c r="I3" i="58"/>
  <c r="B4" i="58"/>
  <c r="C4" i="58"/>
  <c r="D4" i="58"/>
  <c r="E4" i="58"/>
  <c r="F4" i="58"/>
  <c r="H4" i="58"/>
  <c r="I4" i="58"/>
  <c r="B5" i="58"/>
  <c r="C5" i="58"/>
  <c r="D5" i="58"/>
  <c r="E5" i="58"/>
  <c r="F5" i="58"/>
  <c r="H5" i="58"/>
  <c r="I5" i="58"/>
  <c r="B6" i="58"/>
  <c r="C6" i="58"/>
  <c r="D6" i="58"/>
  <c r="E6" i="58"/>
  <c r="F6" i="58"/>
  <c r="H6" i="58"/>
  <c r="I6" i="58"/>
  <c r="B7" i="58"/>
  <c r="C7" i="58"/>
  <c r="D7" i="58"/>
  <c r="E7" i="58"/>
  <c r="F7" i="58"/>
  <c r="H7" i="58"/>
  <c r="I7" i="58"/>
  <c r="B8" i="58"/>
  <c r="C8" i="58"/>
  <c r="D8" i="58"/>
  <c r="E8" i="58"/>
  <c r="F8" i="58"/>
  <c r="H8" i="58"/>
  <c r="I8" i="58"/>
  <c r="B9" i="58"/>
  <c r="C9" i="58"/>
  <c r="D9" i="58"/>
  <c r="E9" i="58"/>
  <c r="F9" i="58"/>
  <c r="H9" i="58"/>
  <c r="I9" i="58"/>
  <c r="B10" i="58"/>
  <c r="C10" i="58"/>
  <c r="D10" i="58"/>
  <c r="E10" i="58"/>
  <c r="F10" i="58"/>
  <c r="H10" i="58"/>
  <c r="I10" i="58"/>
  <c r="B11" i="58"/>
  <c r="C11" i="58"/>
  <c r="D11" i="58"/>
  <c r="E11" i="58"/>
  <c r="F11" i="58"/>
  <c r="H11" i="58"/>
  <c r="I11" i="58"/>
  <c r="B12" i="58"/>
  <c r="C12" i="58"/>
  <c r="D12" i="58"/>
  <c r="E12" i="58"/>
  <c r="F12" i="58"/>
  <c r="H12" i="58"/>
  <c r="I12" i="58"/>
  <c r="B13" i="58"/>
  <c r="C13" i="58"/>
  <c r="D13" i="58"/>
  <c r="E13" i="58"/>
  <c r="F13" i="58"/>
  <c r="H13" i="58"/>
  <c r="I13" i="58"/>
  <c r="B14" i="58"/>
  <c r="C14" i="58"/>
  <c r="D14" i="58"/>
  <c r="E14" i="58"/>
  <c r="F14" i="58"/>
  <c r="H14" i="58"/>
  <c r="I14" i="58"/>
  <c r="B15" i="58"/>
  <c r="C15" i="58"/>
  <c r="D15" i="58"/>
  <c r="E15" i="58"/>
  <c r="F15" i="58"/>
  <c r="H15" i="58"/>
  <c r="I15" i="58"/>
  <c r="B16" i="58"/>
  <c r="C16" i="58"/>
  <c r="D16" i="58"/>
  <c r="E16" i="58"/>
  <c r="F16" i="58"/>
  <c r="H16" i="58"/>
  <c r="I16" i="58"/>
  <c r="B17" i="58"/>
  <c r="C17" i="58"/>
  <c r="D17" i="58"/>
  <c r="E17" i="58"/>
  <c r="F17" i="58"/>
  <c r="H17" i="58"/>
  <c r="I17" i="58"/>
  <c r="B18" i="58"/>
  <c r="C18" i="58"/>
  <c r="D18" i="58"/>
  <c r="E18" i="58"/>
  <c r="F18" i="58"/>
  <c r="H18" i="58"/>
  <c r="I18" i="58"/>
  <c r="B19" i="58"/>
  <c r="C19" i="58"/>
  <c r="D19" i="58"/>
  <c r="E19" i="58"/>
  <c r="F19" i="58"/>
  <c r="H19" i="58"/>
  <c r="I19" i="58"/>
  <c r="B20" i="58"/>
  <c r="C20" i="58"/>
  <c r="D20" i="58"/>
  <c r="E20" i="58"/>
  <c r="F20" i="58"/>
  <c r="H20" i="58"/>
  <c r="I20" i="58"/>
  <c r="B21" i="58"/>
  <c r="C21" i="58"/>
  <c r="D21" i="58"/>
  <c r="E21" i="58"/>
  <c r="F21" i="58"/>
  <c r="H21" i="58"/>
  <c r="I21" i="58"/>
  <c r="B22" i="58"/>
  <c r="C22" i="58"/>
  <c r="D22" i="58"/>
  <c r="E22" i="58"/>
  <c r="F22" i="58"/>
  <c r="H22" i="58"/>
  <c r="I22" i="58"/>
  <c r="B23" i="58"/>
  <c r="C23" i="58"/>
  <c r="D23" i="58"/>
  <c r="E23" i="58"/>
  <c r="F23" i="58"/>
  <c r="H23" i="58"/>
  <c r="I23" i="58"/>
  <c r="P13" i="58"/>
  <c r="O13" i="58"/>
  <c r="N13" i="58"/>
  <c r="M13" i="58"/>
  <c r="L13" i="58"/>
  <c r="J13" i="58"/>
  <c r="K13" i="58"/>
  <c r="J2" i="3"/>
  <c r="H2" i="3"/>
  <c r="C2" i="3"/>
  <c r="D2" i="3"/>
  <c r="E2" i="3"/>
  <c r="F2" i="3"/>
  <c r="A41" i="3"/>
  <c r="R2" i="58"/>
  <c r="S2" i="58"/>
  <c r="T2" i="58"/>
  <c r="G2" i="58"/>
  <c r="U2" i="58"/>
  <c r="B2" i="58"/>
  <c r="C2" i="58"/>
  <c r="D2" i="58"/>
  <c r="E2" i="58"/>
  <c r="F2" i="58"/>
  <c r="H2" i="58"/>
  <c r="I2" i="58"/>
  <c r="F31" i="57"/>
  <c r="E31" i="57"/>
  <c r="B31" i="57"/>
  <c r="F25" i="57"/>
  <c r="E25" i="57"/>
  <c r="B25" i="57"/>
  <c r="F23" i="57"/>
  <c r="E23" i="57"/>
  <c r="B23" i="57"/>
  <c r="F21" i="57"/>
  <c r="E21" i="57"/>
  <c r="B21" i="57"/>
  <c r="F19" i="57"/>
  <c r="E19" i="57"/>
  <c r="B19" i="57"/>
  <c r="F29" i="57"/>
  <c r="E29" i="57"/>
  <c r="B29" i="57"/>
  <c r="F27" i="57"/>
  <c r="E27" i="57"/>
  <c r="B27" i="57"/>
  <c r="F30" i="57"/>
  <c r="E30" i="57"/>
  <c r="B30" i="57"/>
  <c r="F28" i="57"/>
  <c r="E28" i="57"/>
  <c r="B28" i="57"/>
  <c r="F26" i="57"/>
  <c r="E26" i="57"/>
  <c r="B26" i="57"/>
  <c r="F24" i="57"/>
  <c r="E24" i="57"/>
  <c r="B24" i="57"/>
  <c r="F22" i="57"/>
  <c r="E22" i="57"/>
  <c r="B22" i="57"/>
  <c r="F20" i="57"/>
  <c r="E20" i="57"/>
  <c r="B20" i="57"/>
  <c r="F18" i="57"/>
  <c r="E18" i="57"/>
  <c r="B18" i="57"/>
  <c r="F17" i="57"/>
  <c r="E17" i="57"/>
  <c r="B17" i="57"/>
  <c r="F16" i="57"/>
  <c r="E16" i="57"/>
  <c r="B16" i="57"/>
  <c r="F15" i="57"/>
  <c r="E15" i="57"/>
  <c r="B15" i="57"/>
  <c r="F14" i="57"/>
  <c r="E14" i="57"/>
  <c r="B14" i="57"/>
  <c r="F13" i="57"/>
  <c r="E13" i="57"/>
  <c r="B13" i="57"/>
  <c r="F12" i="57"/>
  <c r="E12" i="57"/>
  <c r="B12" i="57"/>
  <c r="F3" i="57"/>
  <c r="E3" i="57"/>
  <c r="B3" i="57"/>
  <c r="F7" i="57"/>
  <c r="E7" i="57"/>
  <c r="B7" i="57"/>
  <c r="F11" i="57"/>
  <c r="E11" i="57"/>
  <c r="B11" i="57"/>
  <c r="F10" i="57"/>
  <c r="E10" i="57"/>
  <c r="B10" i="57"/>
  <c r="F9" i="57"/>
  <c r="E9" i="57"/>
  <c r="B9" i="57"/>
  <c r="F8" i="57"/>
  <c r="E8" i="57"/>
  <c r="B8" i="57"/>
  <c r="F6" i="57"/>
  <c r="E6" i="57"/>
  <c r="B6" i="57"/>
  <c r="F5" i="57"/>
  <c r="E5" i="57"/>
  <c r="B5" i="57"/>
  <c r="F4" i="57"/>
  <c r="E4" i="57"/>
  <c r="B4" i="57"/>
  <c r="H3" i="23"/>
  <c r="BR3" i="23"/>
  <c r="H4" i="23"/>
  <c r="BR4" i="23"/>
  <c r="H5" i="23"/>
  <c r="BR5" i="23"/>
  <c r="H6" i="23"/>
  <c r="BR6" i="23"/>
  <c r="H7" i="23"/>
  <c r="BR7" i="23"/>
  <c r="H8" i="23"/>
  <c r="BR8" i="23"/>
  <c r="H9" i="23"/>
  <c r="BR9" i="23"/>
  <c r="H10" i="23"/>
  <c r="BR10" i="23"/>
  <c r="H11" i="23"/>
  <c r="BR11" i="23"/>
  <c r="H12" i="23"/>
  <c r="BR12" i="23"/>
  <c r="H13" i="23"/>
  <c r="BR13" i="23"/>
  <c r="H14" i="23"/>
  <c r="BR14" i="23"/>
  <c r="H15" i="23"/>
  <c r="H16" i="23"/>
  <c r="H17" i="23"/>
  <c r="H18" i="23"/>
  <c r="H19" i="23"/>
  <c r="H20" i="23"/>
  <c r="H21" i="23"/>
  <c r="H22" i="23"/>
  <c r="H23" i="23"/>
  <c r="H24" i="23"/>
  <c r="H25" i="23"/>
  <c r="H26" i="23"/>
  <c r="H27" i="23"/>
  <c r="H28" i="23"/>
  <c r="H29" i="23"/>
  <c r="H30" i="23"/>
  <c r="H2" i="23"/>
  <c r="BR2" i="23"/>
  <c r="A40" i="3"/>
  <c r="A39" i="3"/>
  <c r="A38" i="3"/>
  <c r="A37" i="3"/>
  <c r="A36" i="3"/>
  <c r="A35" i="3"/>
  <c r="A34" i="3"/>
  <c r="A77" i="3"/>
  <c r="A76" i="3"/>
  <c r="A75" i="3"/>
  <c r="A74" i="3"/>
  <c r="A73" i="3"/>
  <c r="A72" i="3"/>
  <c r="A71" i="3"/>
  <c r="A70" i="3"/>
  <c r="A69" i="3"/>
  <c r="A68" i="3"/>
  <c r="A82" i="3"/>
  <c r="A81" i="3"/>
  <c r="A80" i="3"/>
  <c r="A79" i="3"/>
  <c r="A78" i="3"/>
  <c r="A67" i="3"/>
  <c r="A58" i="3"/>
  <c r="A57" i="3"/>
  <c r="A56" i="3"/>
  <c r="A52" i="3"/>
  <c r="A51" i="3"/>
  <c r="A50" i="3"/>
  <c r="A44" i="3"/>
  <c r="A43" i="3"/>
  <c r="A42" i="3"/>
  <c r="A5" i="3"/>
  <c r="A4" i="3"/>
  <c r="A22" i="3"/>
  <c r="A21" i="3"/>
  <c r="A20" i="3"/>
  <c r="A19" i="3"/>
  <c r="A66" i="3"/>
  <c r="A65" i="3"/>
  <c r="A64" i="3"/>
  <c r="A55" i="3"/>
  <c r="P12" i="58"/>
  <c r="O12" i="58"/>
  <c r="N12" i="58"/>
  <c r="M12" i="58"/>
  <c r="L12" i="58"/>
  <c r="J12" i="58"/>
  <c r="K12" i="58"/>
  <c r="P22" i="58"/>
  <c r="O22" i="58"/>
  <c r="N22" i="58"/>
  <c r="M22" i="58"/>
  <c r="L22" i="58"/>
  <c r="J22" i="58"/>
  <c r="K22" i="58"/>
  <c r="P21" i="58"/>
  <c r="O21" i="58"/>
  <c r="N21" i="58"/>
  <c r="M21" i="58"/>
  <c r="L21" i="58"/>
  <c r="J21" i="58"/>
  <c r="K21" i="58"/>
  <c r="P23" i="58"/>
  <c r="O23" i="58"/>
  <c r="N23" i="58"/>
  <c r="M23" i="58"/>
  <c r="L23" i="58"/>
  <c r="J23" i="58"/>
  <c r="K23" i="58"/>
  <c r="P20" i="58"/>
  <c r="O20" i="58"/>
  <c r="N20" i="58"/>
  <c r="M20" i="58"/>
  <c r="L20" i="58"/>
  <c r="J20" i="58"/>
  <c r="K20" i="58"/>
  <c r="P16" i="58"/>
  <c r="O16" i="58"/>
  <c r="N16" i="58"/>
  <c r="M16" i="58"/>
  <c r="L16" i="58"/>
  <c r="J16" i="58"/>
  <c r="K16" i="58"/>
  <c r="P14" i="58"/>
  <c r="O14" i="58"/>
  <c r="N14" i="58"/>
  <c r="M14" i="58"/>
  <c r="L14" i="58"/>
  <c r="J14" i="58"/>
  <c r="K14" i="58"/>
  <c r="P8" i="58"/>
  <c r="O8" i="58"/>
  <c r="N8" i="58"/>
  <c r="M8" i="58"/>
  <c r="L8" i="58"/>
  <c r="J8" i="58"/>
  <c r="K8" i="58"/>
  <c r="H30" i="53"/>
  <c r="G30" i="53"/>
  <c r="E30" i="53"/>
  <c r="H29" i="53"/>
  <c r="G29" i="53"/>
  <c r="E29" i="53"/>
  <c r="H28" i="53"/>
  <c r="G28" i="53"/>
  <c r="E28" i="53"/>
  <c r="H27" i="53"/>
  <c r="G27" i="53"/>
  <c r="E27" i="53"/>
  <c r="H26" i="53"/>
  <c r="G26" i="53"/>
  <c r="E26" i="53"/>
  <c r="H25" i="53"/>
  <c r="G25" i="53"/>
  <c r="E25" i="53"/>
  <c r="H24" i="53"/>
  <c r="G24" i="53"/>
  <c r="E24" i="53"/>
  <c r="H23" i="53"/>
  <c r="G23" i="53"/>
  <c r="E23" i="53"/>
  <c r="H22" i="53"/>
  <c r="G22" i="53"/>
  <c r="E22" i="53"/>
  <c r="H21" i="53"/>
  <c r="G21" i="53"/>
  <c r="E21" i="53"/>
  <c r="H20" i="53"/>
  <c r="G20" i="53"/>
  <c r="E20" i="53"/>
  <c r="H19" i="53"/>
  <c r="G19" i="53"/>
  <c r="E19" i="53"/>
  <c r="H18" i="53"/>
  <c r="G18" i="53"/>
  <c r="E18" i="53"/>
  <c r="H17" i="53"/>
  <c r="G17" i="53"/>
  <c r="E17" i="53"/>
  <c r="H16" i="53"/>
  <c r="G16" i="53"/>
  <c r="E16" i="53"/>
  <c r="E136" i="54"/>
  <c r="D136" i="54"/>
  <c r="B136" i="54"/>
  <c r="E135" i="54"/>
  <c r="D135" i="54"/>
  <c r="B135" i="54"/>
  <c r="E134" i="54"/>
  <c r="D134" i="54"/>
  <c r="B134" i="54"/>
  <c r="E133" i="54"/>
  <c r="D133" i="54"/>
  <c r="B133" i="54"/>
  <c r="E132" i="54"/>
  <c r="D132" i="54"/>
  <c r="B132" i="54"/>
  <c r="E131" i="54"/>
  <c r="D131" i="54"/>
  <c r="B131" i="54"/>
  <c r="E130" i="54"/>
  <c r="D130" i="54"/>
  <c r="B130" i="54"/>
  <c r="E129" i="54"/>
  <c r="D129" i="54"/>
  <c r="B129" i="54"/>
  <c r="E128" i="54"/>
  <c r="D128" i="54"/>
  <c r="B128" i="54"/>
  <c r="E127" i="54"/>
  <c r="D127" i="54"/>
  <c r="B127" i="54"/>
  <c r="E126" i="54"/>
  <c r="D126" i="54"/>
  <c r="B126" i="54"/>
  <c r="E125" i="54"/>
  <c r="D125" i="54"/>
  <c r="B125" i="54"/>
  <c r="E124" i="54"/>
  <c r="D124" i="54"/>
  <c r="B124" i="54"/>
  <c r="E123" i="54"/>
  <c r="D123" i="54"/>
  <c r="B123" i="54"/>
  <c r="E122" i="54"/>
  <c r="D122" i="54"/>
  <c r="B122" i="54"/>
  <c r="E121" i="54"/>
  <c r="D121" i="54"/>
  <c r="B121" i="54"/>
  <c r="E120" i="54"/>
  <c r="D120" i="54"/>
  <c r="B120" i="54"/>
  <c r="E119" i="54"/>
  <c r="D119" i="54"/>
  <c r="B119" i="54"/>
  <c r="E118" i="54"/>
  <c r="D118" i="54"/>
  <c r="B118" i="54"/>
  <c r="E117" i="54"/>
  <c r="D117" i="54"/>
  <c r="B117" i="54"/>
  <c r="E116" i="54"/>
  <c r="D116" i="54"/>
  <c r="B116" i="54"/>
  <c r="E115" i="54"/>
  <c r="D115" i="54"/>
  <c r="B115" i="54"/>
  <c r="E114" i="54"/>
  <c r="D114" i="54"/>
  <c r="B114" i="54"/>
  <c r="E113" i="54"/>
  <c r="D113" i="54"/>
  <c r="B113" i="54"/>
  <c r="E112" i="54"/>
  <c r="D112" i="54"/>
  <c r="B112" i="54"/>
  <c r="E111" i="54"/>
  <c r="D111" i="54"/>
  <c r="B111" i="54"/>
  <c r="E110" i="54"/>
  <c r="D110" i="54"/>
  <c r="B110" i="54"/>
  <c r="E109" i="54"/>
  <c r="D109" i="54"/>
  <c r="B109" i="54"/>
  <c r="E108" i="54"/>
  <c r="D108" i="54"/>
  <c r="B108" i="54"/>
  <c r="E107" i="54"/>
  <c r="D107" i="54"/>
  <c r="B107" i="54"/>
  <c r="E106" i="54"/>
  <c r="D106" i="54"/>
  <c r="B106" i="54"/>
  <c r="E105" i="54"/>
  <c r="D105" i="54"/>
  <c r="B105" i="54"/>
  <c r="E104" i="54"/>
  <c r="D104" i="54"/>
  <c r="B104" i="54"/>
  <c r="E103" i="54"/>
  <c r="D103" i="54"/>
  <c r="B103" i="54"/>
  <c r="E102" i="54"/>
  <c r="D102" i="54"/>
  <c r="B102" i="54"/>
  <c r="E101" i="54"/>
  <c r="D101" i="54"/>
  <c r="B101" i="54"/>
  <c r="E100" i="54"/>
  <c r="D100" i="54"/>
  <c r="B100" i="54"/>
  <c r="E99" i="54"/>
  <c r="D99" i="54"/>
  <c r="B99" i="54"/>
  <c r="E97" i="54"/>
  <c r="D97" i="54"/>
  <c r="B97" i="54"/>
  <c r="E96" i="54"/>
  <c r="D96" i="54"/>
  <c r="B96" i="54"/>
  <c r="E95" i="54"/>
  <c r="D95" i="54"/>
  <c r="B95" i="54"/>
  <c r="E92" i="54"/>
  <c r="D92" i="54"/>
  <c r="B92" i="54"/>
  <c r="E91" i="54"/>
  <c r="D91" i="54"/>
  <c r="B91" i="54"/>
  <c r="E90" i="54"/>
  <c r="D90" i="54"/>
  <c r="B90" i="54"/>
  <c r="E89" i="54"/>
  <c r="D89" i="54"/>
  <c r="B89" i="54"/>
  <c r="E88" i="54"/>
  <c r="D88" i="54"/>
  <c r="B88" i="54"/>
  <c r="E87" i="54"/>
  <c r="D87" i="54"/>
  <c r="B87" i="54"/>
  <c r="E86" i="54"/>
  <c r="D86" i="54"/>
  <c r="B86" i="54"/>
  <c r="E85" i="54"/>
  <c r="D85" i="54"/>
  <c r="B85" i="54"/>
  <c r="E84" i="54"/>
  <c r="D84" i="54"/>
  <c r="B84" i="54"/>
  <c r="E83" i="54"/>
  <c r="D83" i="54"/>
  <c r="B83" i="54"/>
  <c r="E82" i="54"/>
  <c r="D82" i="54"/>
  <c r="B82" i="54"/>
  <c r="E81" i="54"/>
  <c r="D81" i="54"/>
  <c r="B81" i="54"/>
  <c r="E80" i="54"/>
  <c r="D80" i="54"/>
  <c r="B80" i="54"/>
  <c r="E79" i="54"/>
  <c r="D79" i="54"/>
  <c r="B79" i="54"/>
  <c r="E78" i="54"/>
  <c r="D78" i="54"/>
  <c r="B78" i="54"/>
  <c r="E77" i="54"/>
  <c r="D77" i="54"/>
  <c r="B77" i="54"/>
  <c r="E76" i="54"/>
  <c r="D76" i="54"/>
  <c r="B76" i="54"/>
  <c r="E75" i="54"/>
  <c r="D75" i="54"/>
  <c r="B75" i="54"/>
  <c r="E74" i="54"/>
  <c r="D74" i="54"/>
  <c r="B74" i="54"/>
  <c r="E73" i="54"/>
  <c r="D73" i="54"/>
  <c r="B73" i="54"/>
  <c r="E72" i="54"/>
  <c r="D72" i="54"/>
  <c r="B72" i="54"/>
  <c r="E71" i="54"/>
  <c r="D71" i="54"/>
  <c r="B71" i="54"/>
  <c r="E69" i="54"/>
  <c r="D69" i="54"/>
  <c r="B69" i="54"/>
  <c r="E68" i="54"/>
  <c r="D68" i="54"/>
  <c r="B68" i="54"/>
  <c r="E67" i="54"/>
  <c r="D67" i="54"/>
  <c r="B67" i="54"/>
  <c r="E66" i="54"/>
  <c r="D66" i="54"/>
  <c r="B66" i="54"/>
  <c r="E65" i="54"/>
  <c r="D65" i="54"/>
  <c r="B65" i="54"/>
  <c r="E64" i="54"/>
  <c r="D64" i="54"/>
  <c r="B64" i="54"/>
  <c r="E63" i="54"/>
  <c r="D63" i="54"/>
  <c r="B63" i="54"/>
  <c r="E62" i="54"/>
  <c r="D62" i="54"/>
  <c r="B62" i="54"/>
  <c r="E61" i="54"/>
  <c r="D61" i="54"/>
  <c r="B61" i="54"/>
  <c r="E60" i="54"/>
  <c r="D60" i="54"/>
  <c r="B60" i="54"/>
  <c r="E59" i="54"/>
  <c r="D59" i="54"/>
  <c r="B59" i="54"/>
  <c r="E58" i="54"/>
  <c r="D58" i="54"/>
  <c r="B58" i="54"/>
  <c r="E57" i="54"/>
  <c r="D57" i="54"/>
  <c r="B57" i="54"/>
  <c r="E56" i="54"/>
  <c r="D56" i="54"/>
  <c r="B56" i="54"/>
  <c r="E55" i="54"/>
  <c r="D55" i="54"/>
  <c r="B55" i="54"/>
  <c r="E54" i="54"/>
  <c r="D54" i="54"/>
  <c r="B54" i="54"/>
  <c r="E53" i="54"/>
  <c r="D53" i="54"/>
  <c r="B53" i="54"/>
  <c r="E52" i="54"/>
  <c r="D52" i="54"/>
  <c r="B52" i="54"/>
  <c r="E51" i="54"/>
  <c r="D51" i="54"/>
  <c r="B51" i="54"/>
  <c r="E50" i="54"/>
  <c r="D50" i="54"/>
  <c r="B50" i="54"/>
  <c r="E49" i="54"/>
  <c r="D49" i="54"/>
  <c r="B49" i="54"/>
  <c r="E48" i="54"/>
  <c r="D48" i="54"/>
  <c r="B48" i="54"/>
  <c r="E47" i="54"/>
  <c r="D47" i="54"/>
  <c r="B47" i="54"/>
  <c r="E46" i="54"/>
  <c r="D46" i="54"/>
  <c r="B46" i="54"/>
  <c r="E45" i="54"/>
  <c r="D45" i="54"/>
  <c r="B45" i="54"/>
  <c r="E44" i="54"/>
  <c r="D44" i="54"/>
  <c r="B44" i="54"/>
  <c r="E43" i="54"/>
  <c r="D43" i="54"/>
  <c r="B43" i="54"/>
  <c r="E42" i="54"/>
  <c r="D42" i="54"/>
  <c r="B42" i="54"/>
  <c r="E41" i="54"/>
  <c r="D41" i="54"/>
  <c r="B41" i="54"/>
  <c r="E40" i="54"/>
  <c r="D40" i="54"/>
  <c r="B40" i="54"/>
  <c r="E39" i="54"/>
  <c r="D39" i="54"/>
  <c r="B39" i="54"/>
  <c r="E38" i="54"/>
  <c r="D38" i="54"/>
  <c r="B38" i="54"/>
  <c r="E37" i="54"/>
  <c r="D37" i="54"/>
  <c r="B37" i="54"/>
  <c r="E36" i="54"/>
  <c r="D36" i="54"/>
  <c r="B36" i="54"/>
  <c r="E35" i="54"/>
  <c r="D35" i="54"/>
  <c r="B35" i="54"/>
  <c r="E34" i="54"/>
  <c r="D34" i="54"/>
  <c r="B34" i="54"/>
  <c r="E33" i="54"/>
  <c r="D33" i="54"/>
  <c r="B33" i="54"/>
  <c r="E32" i="54"/>
  <c r="D32" i="54"/>
  <c r="B32" i="54"/>
  <c r="E31" i="54"/>
  <c r="D31" i="54"/>
  <c r="B31" i="54"/>
  <c r="E30" i="54"/>
  <c r="D30" i="54"/>
  <c r="B30" i="54"/>
  <c r="E29" i="54"/>
  <c r="D29" i="54"/>
  <c r="B29" i="54"/>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K30" i="52"/>
  <c r="J30" i="52"/>
  <c r="H30" i="52"/>
  <c r="E30" i="52"/>
  <c r="K29" i="52"/>
  <c r="J29" i="52"/>
  <c r="H29" i="52"/>
  <c r="E29" i="52"/>
  <c r="K28" i="52"/>
  <c r="J28" i="52"/>
  <c r="H28" i="52"/>
  <c r="E28" i="52"/>
  <c r="K27" i="52"/>
  <c r="J27" i="52"/>
  <c r="H27" i="52"/>
  <c r="E27" i="52"/>
  <c r="K26" i="52"/>
  <c r="J26" i="52"/>
  <c r="H26" i="52"/>
  <c r="E26" i="52"/>
  <c r="K25" i="52"/>
  <c r="J25" i="52"/>
  <c r="H25" i="52"/>
  <c r="E25" i="52"/>
  <c r="K24" i="52"/>
  <c r="J24" i="52"/>
  <c r="H24" i="52"/>
  <c r="E24" i="52"/>
  <c r="K23" i="52"/>
  <c r="J23" i="52"/>
  <c r="H23" i="52"/>
  <c r="E23" i="52"/>
  <c r="K22" i="52"/>
  <c r="J22" i="52"/>
  <c r="H22" i="52"/>
  <c r="E22" i="52"/>
  <c r="K21" i="52"/>
  <c r="J21" i="52"/>
  <c r="H21" i="52"/>
  <c r="E21" i="52"/>
  <c r="K20" i="52"/>
  <c r="J20" i="52"/>
  <c r="H20" i="52"/>
  <c r="E20" i="52"/>
  <c r="K19" i="52"/>
  <c r="J19" i="52"/>
  <c r="H19" i="52"/>
  <c r="E19" i="52"/>
  <c r="K18" i="52"/>
  <c r="J18" i="52"/>
  <c r="H18" i="52"/>
  <c r="E18" i="52"/>
  <c r="K17" i="52"/>
  <c r="J17" i="52"/>
  <c r="H17" i="52"/>
  <c r="E17" i="52"/>
  <c r="K16" i="52"/>
  <c r="J16" i="52"/>
  <c r="H16" i="52"/>
  <c r="E16" i="52"/>
  <c r="G30" i="23"/>
  <c r="BC30" i="23"/>
  <c r="BD30" i="23"/>
  <c r="Q30" i="23"/>
  <c r="V30" i="23"/>
  <c r="W30" i="23"/>
  <c r="AD30" i="23"/>
  <c r="I30" i="23"/>
  <c r="M30" i="23"/>
  <c r="BN30" i="23"/>
  <c r="U30" i="23"/>
  <c r="AC30" i="23"/>
  <c r="L30" i="23"/>
  <c r="BM30" i="23"/>
  <c r="T30" i="23"/>
  <c r="AB30" i="23"/>
  <c r="K30" i="23"/>
  <c r="BL30" i="23"/>
  <c r="S30" i="23"/>
  <c r="AA30" i="23"/>
  <c r="J30" i="23"/>
  <c r="BK30" i="23"/>
  <c r="G29" i="23"/>
  <c r="BC29" i="23"/>
  <c r="BE30" i="23"/>
  <c r="BJ30" i="23"/>
  <c r="BI30" i="23"/>
  <c r="BH30" i="23"/>
  <c r="BG30" i="23"/>
  <c r="I29" i="23"/>
  <c r="J29" i="23"/>
  <c r="BF30" i="23"/>
  <c r="AX30" i="23"/>
  <c r="AW30" i="23"/>
  <c r="AV30" i="23"/>
  <c r="AU30" i="23"/>
  <c r="AS30" i="23"/>
  <c r="AR30" i="23"/>
  <c r="AQ30" i="23"/>
  <c r="AN30" i="23"/>
  <c r="AM30" i="23"/>
  <c r="AL30" i="23"/>
  <c r="AK30" i="23"/>
  <c r="AI30" i="23"/>
  <c r="AH30" i="23"/>
  <c r="AF30" i="23"/>
  <c r="Y30" i="23"/>
  <c r="Z30" i="23"/>
  <c r="X30" i="23"/>
  <c r="R30" i="23"/>
  <c r="P30" i="23"/>
  <c r="O30" i="23"/>
  <c r="G4" i="13"/>
  <c r="G10" i="13"/>
  <c r="N30" i="23"/>
  <c r="F30" i="23"/>
  <c r="E30" i="23"/>
  <c r="D30" i="23"/>
  <c r="C30" i="23"/>
  <c r="B30" i="23"/>
  <c r="BD29" i="23"/>
  <c r="Q29" i="23"/>
  <c r="V29" i="23"/>
  <c r="W29" i="23"/>
  <c r="AD29" i="23"/>
  <c r="M29" i="23"/>
  <c r="BN29" i="23"/>
  <c r="U29" i="23"/>
  <c r="AC29" i="23"/>
  <c r="L29" i="23"/>
  <c r="BM29" i="23"/>
  <c r="T29" i="23"/>
  <c r="AB29" i="23"/>
  <c r="K29" i="23"/>
  <c r="BL29" i="23"/>
  <c r="S29" i="23"/>
  <c r="AA29" i="23"/>
  <c r="BK29" i="23"/>
  <c r="BE29" i="23"/>
  <c r="BJ29" i="23"/>
  <c r="BI29" i="23"/>
  <c r="BH29" i="23"/>
  <c r="BG29" i="23"/>
  <c r="BF29" i="23"/>
  <c r="AX29" i="23"/>
  <c r="AW29" i="23"/>
  <c r="AV29" i="23"/>
  <c r="AU29" i="23"/>
  <c r="AS29" i="23"/>
  <c r="AR29" i="23"/>
  <c r="AQ29" i="23"/>
  <c r="AN29" i="23"/>
  <c r="AM29" i="23"/>
  <c r="AL29" i="23"/>
  <c r="AK29" i="23"/>
  <c r="AI29" i="23"/>
  <c r="AH29" i="23"/>
  <c r="AF29" i="23"/>
  <c r="Y29" i="23"/>
  <c r="Z29" i="23"/>
  <c r="X29" i="23"/>
  <c r="R29" i="23"/>
  <c r="P29" i="23"/>
  <c r="O29" i="23"/>
  <c r="N29" i="23"/>
  <c r="F29" i="23"/>
  <c r="E29" i="23"/>
  <c r="D29" i="23"/>
  <c r="C29" i="23"/>
  <c r="B29" i="23"/>
  <c r="G28" i="23"/>
  <c r="BC28" i="23"/>
  <c r="BD28" i="23"/>
  <c r="Q28" i="23"/>
  <c r="V28" i="23"/>
  <c r="W28" i="23"/>
  <c r="AD28" i="23"/>
  <c r="I28" i="23"/>
  <c r="M28" i="23"/>
  <c r="BN28" i="23"/>
  <c r="U28" i="23"/>
  <c r="AC28" i="23"/>
  <c r="L28" i="23"/>
  <c r="BM28" i="23"/>
  <c r="T28" i="23"/>
  <c r="AB28" i="23"/>
  <c r="K28" i="23"/>
  <c r="BL28" i="23"/>
  <c r="S28" i="23"/>
  <c r="AA28" i="23"/>
  <c r="J28" i="23"/>
  <c r="BK28" i="23"/>
  <c r="G27" i="23"/>
  <c r="BC27" i="23"/>
  <c r="BE28" i="23"/>
  <c r="BJ28" i="23"/>
  <c r="BI28" i="23"/>
  <c r="BH28" i="23"/>
  <c r="BG28" i="23"/>
  <c r="I27" i="23"/>
  <c r="J27" i="23"/>
  <c r="BF28" i="23"/>
  <c r="AX28" i="23"/>
  <c r="AW28" i="23"/>
  <c r="AV28" i="23"/>
  <c r="AU28" i="23"/>
  <c r="AS28" i="23"/>
  <c r="AR28" i="23"/>
  <c r="AQ28" i="23"/>
  <c r="AN28" i="23"/>
  <c r="AM28" i="23"/>
  <c r="AL28" i="23"/>
  <c r="AK28" i="23"/>
  <c r="AI28" i="23"/>
  <c r="AH28" i="23"/>
  <c r="AF28" i="23"/>
  <c r="Y28" i="23"/>
  <c r="Z28" i="23"/>
  <c r="X28" i="23"/>
  <c r="R28" i="23"/>
  <c r="P28" i="23"/>
  <c r="O28" i="23"/>
  <c r="N28" i="23"/>
  <c r="F28" i="23"/>
  <c r="E28" i="23"/>
  <c r="D28" i="23"/>
  <c r="C28" i="23"/>
  <c r="B28" i="23"/>
  <c r="BD27" i="23"/>
  <c r="Q27" i="23"/>
  <c r="V27" i="23"/>
  <c r="W27" i="23"/>
  <c r="AD27" i="23"/>
  <c r="M27" i="23"/>
  <c r="BN27" i="23"/>
  <c r="U27" i="23"/>
  <c r="AC27" i="23"/>
  <c r="L27" i="23"/>
  <c r="BM27" i="23"/>
  <c r="T27" i="23"/>
  <c r="AB27" i="23"/>
  <c r="K27" i="23"/>
  <c r="BL27" i="23"/>
  <c r="S27" i="23"/>
  <c r="AA27" i="23"/>
  <c r="BK27" i="23"/>
  <c r="BE27" i="23"/>
  <c r="BJ27" i="23"/>
  <c r="BI27" i="23"/>
  <c r="BH27" i="23"/>
  <c r="BG27" i="23"/>
  <c r="BF27" i="23"/>
  <c r="AX27" i="23"/>
  <c r="AW27" i="23"/>
  <c r="AV27" i="23"/>
  <c r="AU27" i="23"/>
  <c r="AS27" i="23"/>
  <c r="AR27" i="23"/>
  <c r="AQ27" i="23"/>
  <c r="AN27" i="23"/>
  <c r="AM27" i="23"/>
  <c r="AL27" i="23"/>
  <c r="AK27" i="23"/>
  <c r="AI27" i="23"/>
  <c r="AH27" i="23"/>
  <c r="AF27" i="23"/>
  <c r="Y27" i="23"/>
  <c r="Z27" i="23"/>
  <c r="X27" i="23"/>
  <c r="R27" i="23"/>
  <c r="P27" i="23"/>
  <c r="O27" i="23"/>
  <c r="N27" i="23"/>
  <c r="F27" i="23"/>
  <c r="E27" i="23"/>
  <c r="D27" i="23"/>
  <c r="C27" i="23"/>
  <c r="B27" i="23"/>
  <c r="G26" i="23"/>
  <c r="BC26" i="23"/>
  <c r="BD26" i="23"/>
  <c r="Q26" i="23"/>
  <c r="V26" i="23"/>
  <c r="W26" i="23"/>
  <c r="AD26" i="23"/>
  <c r="I26" i="23"/>
  <c r="M26" i="23"/>
  <c r="BN26" i="23"/>
  <c r="U26" i="23"/>
  <c r="AC26" i="23"/>
  <c r="L26" i="23"/>
  <c r="BM26" i="23"/>
  <c r="T26" i="23"/>
  <c r="AB26" i="23"/>
  <c r="K26" i="23"/>
  <c r="BL26" i="23"/>
  <c r="S26" i="23"/>
  <c r="AA26" i="23"/>
  <c r="J26" i="23"/>
  <c r="BK26" i="23"/>
  <c r="G25" i="23"/>
  <c r="BC25" i="23"/>
  <c r="BE26" i="23"/>
  <c r="BJ26" i="23"/>
  <c r="BI26" i="23"/>
  <c r="BH26" i="23"/>
  <c r="BG26" i="23"/>
  <c r="I25" i="23"/>
  <c r="J25" i="23"/>
  <c r="BF26" i="23"/>
  <c r="AX26" i="23"/>
  <c r="AW26" i="23"/>
  <c r="AV26" i="23"/>
  <c r="AU26" i="23"/>
  <c r="AS26" i="23"/>
  <c r="AR26" i="23"/>
  <c r="AQ26" i="23"/>
  <c r="AN26" i="23"/>
  <c r="AM26" i="23"/>
  <c r="AL26" i="23"/>
  <c r="AK26" i="23"/>
  <c r="AI26" i="23"/>
  <c r="AH26" i="23"/>
  <c r="AF26" i="23"/>
  <c r="Y26" i="23"/>
  <c r="Z26" i="23"/>
  <c r="X26" i="23"/>
  <c r="R26" i="23"/>
  <c r="P26" i="23"/>
  <c r="O26" i="23"/>
  <c r="N26" i="23"/>
  <c r="F26" i="23"/>
  <c r="E26" i="23"/>
  <c r="D26" i="23"/>
  <c r="C26" i="23"/>
  <c r="B26" i="23"/>
  <c r="BD25" i="23"/>
  <c r="Q25" i="23"/>
  <c r="V25" i="23"/>
  <c r="W25" i="23"/>
  <c r="AD25" i="23"/>
  <c r="M25" i="23"/>
  <c r="BN25" i="23"/>
  <c r="U25" i="23"/>
  <c r="AC25" i="23"/>
  <c r="L25" i="23"/>
  <c r="BM25" i="23"/>
  <c r="T25" i="23"/>
  <c r="AB25" i="23"/>
  <c r="K25" i="23"/>
  <c r="BL25" i="23"/>
  <c r="S25" i="23"/>
  <c r="AA25" i="23"/>
  <c r="BK25" i="23"/>
  <c r="BE25" i="23"/>
  <c r="BJ25" i="23"/>
  <c r="BI25" i="23"/>
  <c r="BH25" i="23"/>
  <c r="BG25" i="23"/>
  <c r="BF25" i="23"/>
  <c r="AX25" i="23"/>
  <c r="AW25" i="23"/>
  <c r="AV25" i="23"/>
  <c r="AU25" i="23"/>
  <c r="AS25" i="23"/>
  <c r="AR25" i="23"/>
  <c r="AQ25" i="23"/>
  <c r="AN25" i="23"/>
  <c r="AM25" i="23"/>
  <c r="AL25" i="23"/>
  <c r="AK25" i="23"/>
  <c r="AI25" i="23"/>
  <c r="AH25" i="23"/>
  <c r="AF25" i="23"/>
  <c r="Y25" i="23"/>
  <c r="Z25" i="23"/>
  <c r="X25" i="23"/>
  <c r="R25" i="23"/>
  <c r="P25" i="23"/>
  <c r="O25" i="23"/>
  <c r="N25" i="23"/>
  <c r="F25" i="23"/>
  <c r="E25" i="23"/>
  <c r="D25" i="23"/>
  <c r="C25" i="23"/>
  <c r="B25" i="23"/>
  <c r="G24" i="23"/>
  <c r="BC24" i="23"/>
  <c r="BD24" i="23"/>
  <c r="Q24" i="23"/>
  <c r="V24" i="23"/>
  <c r="W24" i="23"/>
  <c r="AD24" i="23"/>
  <c r="I24" i="23"/>
  <c r="M24" i="23"/>
  <c r="BN24" i="23"/>
  <c r="U24" i="23"/>
  <c r="AC24" i="23"/>
  <c r="L24" i="23"/>
  <c r="BM24" i="23"/>
  <c r="T24" i="23"/>
  <c r="AB24" i="23"/>
  <c r="K24" i="23"/>
  <c r="BL24" i="23"/>
  <c r="S24" i="23"/>
  <c r="AA24" i="23"/>
  <c r="J24" i="23"/>
  <c r="BK24" i="23"/>
  <c r="G23" i="23"/>
  <c r="BC23" i="23"/>
  <c r="BE24" i="23"/>
  <c r="BJ24" i="23"/>
  <c r="BI24" i="23"/>
  <c r="BH24" i="23"/>
  <c r="BG24" i="23"/>
  <c r="I23" i="23"/>
  <c r="J23" i="23"/>
  <c r="BF24" i="23"/>
  <c r="AX24" i="23"/>
  <c r="AW24" i="23"/>
  <c r="AV24" i="23"/>
  <c r="AU24" i="23"/>
  <c r="AS24" i="23"/>
  <c r="AR24" i="23"/>
  <c r="AQ24" i="23"/>
  <c r="AN24" i="23"/>
  <c r="AM24" i="23"/>
  <c r="AL24" i="23"/>
  <c r="AK24" i="23"/>
  <c r="AI24" i="23"/>
  <c r="AH24" i="23"/>
  <c r="AF24" i="23"/>
  <c r="Y24" i="23"/>
  <c r="Z24" i="23"/>
  <c r="X24" i="23"/>
  <c r="R24" i="23"/>
  <c r="P24" i="23"/>
  <c r="O24" i="23"/>
  <c r="G8" i="13"/>
  <c r="N24" i="23"/>
  <c r="F24" i="23"/>
  <c r="E24" i="23"/>
  <c r="D24" i="23"/>
  <c r="C24" i="23"/>
  <c r="B24" i="23"/>
  <c r="BD23" i="23"/>
  <c r="Q23" i="23"/>
  <c r="V23" i="23"/>
  <c r="W23" i="23"/>
  <c r="AD23" i="23"/>
  <c r="M23" i="23"/>
  <c r="BN23" i="23"/>
  <c r="U23" i="23"/>
  <c r="AC23" i="23"/>
  <c r="L23" i="23"/>
  <c r="BM23" i="23"/>
  <c r="T23" i="23"/>
  <c r="AB23" i="23"/>
  <c r="K23" i="23"/>
  <c r="BL23" i="23"/>
  <c r="S23" i="23"/>
  <c r="AA23" i="23"/>
  <c r="BK23" i="23"/>
  <c r="BE23" i="23"/>
  <c r="BJ23" i="23"/>
  <c r="BI23" i="23"/>
  <c r="BH23" i="23"/>
  <c r="BG23" i="23"/>
  <c r="BF23" i="23"/>
  <c r="AX23" i="23"/>
  <c r="AW23" i="23"/>
  <c r="AV23" i="23"/>
  <c r="AU23" i="23"/>
  <c r="AS23" i="23"/>
  <c r="AR23" i="23"/>
  <c r="AQ23" i="23"/>
  <c r="AN23" i="23"/>
  <c r="AM23" i="23"/>
  <c r="AL23" i="23"/>
  <c r="AK23" i="23"/>
  <c r="AI23" i="23"/>
  <c r="AH23" i="23"/>
  <c r="AF23" i="23"/>
  <c r="Y23" i="23"/>
  <c r="Z23" i="23"/>
  <c r="X23" i="23"/>
  <c r="R23" i="23"/>
  <c r="P23" i="23"/>
  <c r="O23" i="23"/>
  <c r="N23" i="23"/>
  <c r="F23" i="23"/>
  <c r="E23" i="23"/>
  <c r="D23" i="23"/>
  <c r="C23" i="23"/>
  <c r="B23" i="23"/>
  <c r="G22" i="23"/>
  <c r="BC22" i="23"/>
  <c r="BD22" i="23"/>
  <c r="Q22" i="23"/>
  <c r="V22" i="23"/>
  <c r="W22" i="23"/>
  <c r="AD22" i="23"/>
  <c r="I22" i="23"/>
  <c r="M22" i="23"/>
  <c r="BN22" i="23"/>
  <c r="U22" i="23"/>
  <c r="AC22" i="23"/>
  <c r="L22" i="23"/>
  <c r="BM22" i="23"/>
  <c r="T22" i="23"/>
  <c r="AB22" i="23"/>
  <c r="K22" i="23"/>
  <c r="BL22" i="23"/>
  <c r="S22" i="23"/>
  <c r="AA22" i="23"/>
  <c r="J22" i="23"/>
  <c r="BK22" i="23"/>
  <c r="BE22" i="23"/>
  <c r="BJ22" i="23"/>
  <c r="BI22" i="23"/>
  <c r="BH22" i="23"/>
  <c r="BG22" i="23"/>
  <c r="BF22" i="23"/>
  <c r="AX22" i="23"/>
  <c r="AW22" i="23"/>
  <c r="AV22" i="23"/>
  <c r="AU22" i="23"/>
  <c r="AS22" i="23"/>
  <c r="AR22" i="23"/>
  <c r="AQ22" i="23"/>
  <c r="AN22" i="23"/>
  <c r="AM22" i="23"/>
  <c r="AL22" i="23"/>
  <c r="AK22" i="23"/>
  <c r="AI22" i="23"/>
  <c r="AH22" i="23"/>
  <c r="AF22" i="23"/>
  <c r="Y22" i="23"/>
  <c r="Z22" i="23"/>
  <c r="X22" i="23"/>
  <c r="R22" i="23"/>
  <c r="P22" i="23"/>
  <c r="O22" i="23"/>
  <c r="N22" i="23"/>
  <c r="F22" i="23"/>
  <c r="E22" i="23"/>
  <c r="D22" i="23"/>
  <c r="C22" i="23"/>
  <c r="B22" i="23"/>
  <c r="G21" i="23"/>
  <c r="BC21" i="23"/>
  <c r="BD21" i="23"/>
  <c r="Q21" i="23"/>
  <c r="V21" i="23"/>
  <c r="W21" i="23"/>
  <c r="AD21" i="23"/>
  <c r="I21" i="23"/>
  <c r="M21" i="23"/>
  <c r="BN21" i="23"/>
  <c r="U21" i="23"/>
  <c r="AC21" i="23"/>
  <c r="L21" i="23"/>
  <c r="BM21" i="23"/>
  <c r="T21" i="23"/>
  <c r="AB21" i="23"/>
  <c r="K21" i="23"/>
  <c r="BL21" i="23"/>
  <c r="S21" i="23"/>
  <c r="AA21" i="23"/>
  <c r="J21" i="23"/>
  <c r="BK21" i="23"/>
  <c r="BE21" i="23"/>
  <c r="BJ21" i="23"/>
  <c r="BI21" i="23"/>
  <c r="BH21" i="23"/>
  <c r="BG21" i="23"/>
  <c r="BF21" i="23"/>
  <c r="AX21" i="23"/>
  <c r="AW21" i="23"/>
  <c r="AV21" i="23"/>
  <c r="AU21" i="23"/>
  <c r="AS21" i="23"/>
  <c r="AR21" i="23"/>
  <c r="AQ21" i="23"/>
  <c r="AN21" i="23"/>
  <c r="AM21" i="23"/>
  <c r="AL21" i="23"/>
  <c r="AK21" i="23"/>
  <c r="AI21" i="23"/>
  <c r="AH21" i="23"/>
  <c r="AF21" i="23"/>
  <c r="Y21" i="23"/>
  <c r="Z21" i="23"/>
  <c r="X21" i="23"/>
  <c r="R21" i="23"/>
  <c r="P21" i="23"/>
  <c r="O21" i="23"/>
  <c r="N21" i="23"/>
  <c r="F21" i="23"/>
  <c r="E21" i="23"/>
  <c r="D21" i="23"/>
  <c r="C21" i="23"/>
  <c r="B21" i="23"/>
  <c r="G20" i="23"/>
  <c r="BC20" i="23"/>
  <c r="BD20" i="23"/>
  <c r="Q20" i="23"/>
  <c r="V20" i="23"/>
  <c r="W20" i="23"/>
  <c r="AD20" i="23"/>
  <c r="I20" i="23"/>
  <c r="M20" i="23"/>
  <c r="BN20" i="23"/>
  <c r="U20" i="23"/>
  <c r="AC20" i="23"/>
  <c r="L20" i="23"/>
  <c r="BM20" i="23"/>
  <c r="T20" i="23"/>
  <c r="AB20" i="23"/>
  <c r="K20" i="23"/>
  <c r="BL20" i="23"/>
  <c r="S20" i="23"/>
  <c r="AA20" i="23"/>
  <c r="J20" i="23"/>
  <c r="BK20" i="23"/>
  <c r="BE20" i="23"/>
  <c r="BJ20" i="23"/>
  <c r="BI20" i="23"/>
  <c r="BH20" i="23"/>
  <c r="BG20" i="23"/>
  <c r="BF20" i="23"/>
  <c r="AX20" i="23"/>
  <c r="AW20" i="23"/>
  <c r="AV20" i="23"/>
  <c r="AU20" i="23"/>
  <c r="AS20" i="23"/>
  <c r="AR20" i="23"/>
  <c r="AQ20" i="23"/>
  <c r="AN20" i="23"/>
  <c r="AM20" i="23"/>
  <c r="AL20" i="23"/>
  <c r="AK20" i="23"/>
  <c r="AI20" i="23"/>
  <c r="AH20" i="23"/>
  <c r="AF20" i="23"/>
  <c r="Y20" i="23"/>
  <c r="Z20" i="23"/>
  <c r="X20" i="23"/>
  <c r="R20" i="23"/>
  <c r="P20" i="23"/>
  <c r="O20" i="23"/>
  <c r="N20" i="23"/>
  <c r="F20" i="23"/>
  <c r="E20" i="23"/>
  <c r="D20" i="23"/>
  <c r="C20" i="23"/>
  <c r="B20" i="23"/>
  <c r="G19" i="23"/>
  <c r="BC19" i="23"/>
  <c r="BD19" i="23"/>
  <c r="Q19" i="23"/>
  <c r="V19" i="23"/>
  <c r="W19" i="23"/>
  <c r="AD19" i="23"/>
  <c r="I19" i="23"/>
  <c r="M19" i="23"/>
  <c r="BN19" i="23"/>
  <c r="U19" i="23"/>
  <c r="AC19" i="23"/>
  <c r="L19" i="23"/>
  <c r="BM19" i="23"/>
  <c r="T19" i="23"/>
  <c r="AB19" i="23"/>
  <c r="K19" i="23"/>
  <c r="BL19" i="23"/>
  <c r="S19" i="23"/>
  <c r="AA19" i="23"/>
  <c r="J19" i="23"/>
  <c r="BK19" i="23"/>
  <c r="BE19" i="23"/>
  <c r="BJ19" i="23"/>
  <c r="BI19" i="23"/>
  <c r="BH19" i="23"/>
  <c r="BG19" i="23"/>
  <c r="BF19" i="23"/>
  <c r="AX19" i="23"/>
  <c r="AW19" i="23"/>
  <c r="AV19" i="23"/>
  <c r="AU19" i="23"/>
  <c r="AS19" i="23"/>
  <c r="AR19" i="23"/>
  <c r="AQ19" i="23"/>
  <c r="AN19" i="23"/>
  <c r="AM19" i="23"/>
  <c r="AL19" i="23"/>
  <c r="AK19" i="23"/>
  <c r="AI19" i="23"/>
  <c r="AH19" i="23"/>
  <c r="AF19" i="23"/>
  <c r="Y19" i="23"/>
  <c r="Z19" i="23"/>
  <c r="X19" i="23"/>
  <c r="R19" i="23"/>
  <c r="P19" i="23"/>
  <c r="O19" i="23"/>
  <c r="N19" i="23"/>
  <c r="F19" i="23"/>
  <c r="E19" i="23"/>
  <c r="D19" i="23"/>
  <c r="C19" i="23"/>
  <c r="B19" i="23"/>
  <c r="G18" i="23"/>
  <c r="BC18" i="23"/>
  <c r="BD18" i="23"/>
  <c r="Q18" i="23"/>
  <c r="V18" i="23"/>
  <c r="W18" i="23"/>
  <c r="AD18" i="23"/>
  <c r="I18" i="23"/>
  <c r="M18" i="23"/>
  <c r="BN18" i="23"/>
  <c r="U18" i="23"/>
  <c r="AC18" i="23"/>
  <c r="L18" i="23"/>
  <c r="BM18" i="23"/>
  <c r="T18" i="23"/>
  <c r="AB18" i="23"/>
  <c r="K18" i="23"/>
  <c r="BL18" i="23"/>
  <c r="S18" i="23"/>
  <c r="AA18" i="23"/>
  <c r="J18" i="23"/>
  <c r="BK18" i="23"/>
  <c r="BE18" i="23"/>
  <c r="BJ18" i="23"/>
  <c r="BI18" i="23"/>
  <c r="BH18" i="23"/>
  <c r="BG18" i="23"/>
  <c r="BF18" i="23"/>
  <c r="AX18" i="23"/>
  <c r="AW18" i="23"/>
  <c r="AV18" i="23"/>
  <c r="AU18" i="23"/>
  <c r="AS18" i="23"/>
  <c r="AR18" i="23"/>
  <c r="AQ18" i="23"/>
  <c r="AN18" i="23"/>
  <c r="AM18" i="23"/>
  <c r="AL18" i="23"/>
  <c r="AK18" i="23"/>
  <c r="AI18" i="23"/>
  <c r="AH18" i="23"/>
  <c r="AF18" i="23"/>
  <c r="Y18" i="23"/>
  <c r="Z18" i="23"/>
  <c r="X18" i="23"/>
  <c r="R18" i="23"/>
  <c r="P18" i="23"/>
  <c r="O18" i="23"/>
  <c r="N18" i="23"/>
  <c r="F18" i="23"/>
  <c r="E18" i="23"/>
  <c r="D18" i="23"/>
  <c r="C18" i="23"/>
  <c r="B18" i="23"/>
  <c r="G17" i="23"/>
  <c r="BC17" i="23"/>
  <c r="BD17" i="23"/>
  <c r="Q17" i="23"/>
  <c r="V17" i="23"/>
  <c r="W17" i="23"/>
  <c r="AD17" i="23"/>
  <c r="I17" i="23"/>
  <c r="M17" i="23"/>
  <c r="BN17" i="23"/>
  <c r="U17" i="23"/>
  <c r="AC17" i="23"/>
  <c r="L17" i="23"/>
  <c r="BM17" i="23"/>
  <c r="T17" i="23"/>
  <c r="AB17" i="23"/>
  <c r="K17" i="23"/>
  <c r="BL17" i="23"/>
  <c r="S17" i="23"/>
  <c r="AA17" i="23"/>
  <c r="J17" i="23"/>
  <c r="BK17" i="23"/>
  <c r="BE17" i="23"/>
  <c r="BJ17" i="23"/>
  <c r="BI17" i="23"/>
  <c r="BH17" i="23"/>
  <c r="BG17" i="23"/>
  <c r="BF17" i="23"/>
  <c r="AX17" i="23"/>
  <c r="AW17" i="23"/>
  <c r="AV17" i="23"/>
  <c r="AU17" i="23"/>
  <c r="AS17" i="23"/>
  <c r="AR17" i="23"/>
  <c r="AQ17" i="23"/>
  <c r="AN17" i="23"/>
  <c r="AM17" i="23"/>
  <c r="AL17" i="23"/>
  <c r="AK17" i="23"/>
  <c r="AI17" i="23"/>
  <c r="AH17" i="23"/>
  <c r="AF17" i="23"/>
  <c r="Y17" i="23"/>
  <c r="Z17" i="23"/>
  <c r="X17" i="23"/>
  <c r="R17" i="23"/>
  <c r="P17" i="23"/>
  <c r="O17" i="23"/>
  <c r="N17" i="23"/>
  <c r="F17" i="23"/>
  <c r="E17" i="23"/>
  <c r="D17" i="23"/>
  <c r="C17" i="23"/>
  <c r="B17" i="23"/>
  <c r="G16" i="23"/>
  <c r="BC16" i="23"/>
  <c r="BD16" i="23"/>
  <c r="Q16" i="23"/>
  <c r="V16" i="23"/>
  <c r="W16" i="23"/>
  <c r="AD16" i="23"/>
  <c r="I16" i="23"/>
  <c r="M16" i="23"/>
  <c r="BN16" i="23"/>
  <c r="U16" i="23"/>
  <c r="AC16" i="23"/>
  <c r="L16" i="23"/>
  <c r="BM16" i="23"/>
  <c r="T16" i="23"/>
  <c r="AB16" i="23"/>
  <c r="K16" i="23"/>
  <c r="BL16" i="23"/>
  <c r="S16" i="23"/>
  <c r="AA16" i="23"/>
  <c r="J16" i="23"/>
  <c r="BK16" i="23"/>
  <c r="BE16" i="23"/>
  <c r="BJ16" i="23"/>
  <c r="BI16" i="23"/>
  <c r="BH16" i="23"/>
  <c r="BG16" i="23"/>
  <c r="BF16" i="23"/>
  <c r="AX16" i="23"/>
  <c r="AW16" i="23"/>
  <c r="AV16" i="23"/>
  <c r="AU16" i="23"/>
  <c r="AS16" i="23"/>
  <c r="AR16" i="23"/>
  <c r="AQ16" i="23"/>
  <c r="AN16" i="23"/>
  <c r="AM16" i="23"/>
  <c r="AL16" i="23"/>
  <c r="AK16" i="23"/>
  <c r="AI16" i="23"/>
  <c r="AH16" i="23"/>
  <c r="AF16" i="23"/>
  <c r="Y16" i="23"/>
  <c r="Z16" i="23"/>
  <c r="X16" i="23"/>
  <c r="R16" i="23"/>
  <c r="P16" i="23"/>
  <c r="O16" i="23"/>
  <c r="N16" i="23"/>
  <c r="F16" i="23"/>
  <c r="E16" i="23"/>
  <c r="D16" i="23"/>
  <c r="C16" i="23"/>
  <c r="B16" i="23"/>
  <c r="A54" i="3"/>
  <c r="A53" i="3"/>
  <c r="A30" i="3"/>
  <c r="A29" i="3"/>
  <c r="A28" i="3"/>
  <c r="A33" i="3"/>
  <c r="A32" i="3"/>
  <c r="A31" i="3"/>
  <c r="A63" i="3"/>
  <c r="A62" i="3"/>
  <c r="A61" i="3"/>
  <c r="A60" i="3"/>
  <c r="A49" i="3"/>
  <c r="A48" i="3"/>
  <c r="A47" i="3"/>
  <c r="A46" i="3"/>
  <c r="A45" i="3"/>
  <c r="A3" i="3"/>
  <c r="A2" i="3"/>
  <c r="A24" i="3"/>
  <c r="A23" i="3"/>
  <c r="A18" i="3"/>
  <c r="A17" i="3"/>
  <c r="A27" i="3"/>
  <c r="A26" i="3"/>
  <c r="A25" i="3"/>
  <c r="A8" i="3"/>
  <c r="A7" i="3"/>
  <c r="A6" i="3"/>
  <c r="A16" i="3"/>
  <c r="A59" i="3"/>
  <c r="A12" i="3"/>
  <c r="A11" i="3"/>
  <c r="A10" i="3"/>
  <c r="A9" i="3"/>
  <c r="P6" i="58"/>
  <c r="O6" i="58"/>
  <c r="N6" i="58"/>
  <c r="M6" i="58"/>
  <c r="L6" i="58"/>
  <c r="J6" i="58"/>
  <c r="K6" i="58"/>
  <c r="P17" i="58"/>
  <c r="O17" i="58"/>
  <c r="N17" i="58"/>
  <c r="M17" i="58"/>
  <c r="L17" i="58"/>
  <c r="J17" i="58"/>
  <c r="K17" i="58"/>
  <c r="P15" i="58"/>
  <c r="O15" i="58"/>
  <c r="N15" i="58"/>
  <c r="M15" i="58"/>
  <c r="L15" i="58"/>
  <c r="J15" i="58"/>
  <c r="K15" i="58"/>
  <c r="P10" i="58"/>
  <c r="O10" i="58"/>
  <c r="N10" i="58"/>
  <c r="M10" i="58"/>
  <c r="L10" i="58"/>
  <c r="J10" i="58"/>
  <c r="K10" i="58"/>
  <c r="P9" i="58"/>
  <c r="O9" i="58"/>
  <c r="N9" i="58"/>
  <c r="M9" i="58"/>
  <c r="L9" i="58"/>
  <c r="J9" i="58"/>
  <c r="K9" i="58"/>
  <c r="P18" i="58"/>
  <c r="O18" i="58"/>
  <c r="N18" i="58"/>
  <c r="M18" i="58"/>
  <c r="L18" i="58"/>
  <c r="J18" i="58"/>
  <c r="K18" i="58"/>
  <c r="P2" i="58"/>
  <c r="O2" i="58"/>
  <c r="N2" i="58"/>
  <c r="M2" i="58"/>
  <c r="L2" i="58"/>
  <c r="J2" i="58"/>
  <c r="K2" i="58"/>
  <c r="P7" i="58"/>
  <c r="O7" i="58"/>
  <c r="N7" i="58"/>
  <c r="M7" i="58"/>
  <c r="L7" i="58"/>
  <c r="J7" i="58"/>
  <c r="K7" i="58"/>
  <c r="P11" i="58"/>
  <c r="O11" i="58"/>
  <c r="N11" i="58"/>
  <c r="M11" i="58"/>
  <c r="L11" i="58"/>
  <c r="J11" i="58"/>
  <c r="K11" i="58"/>
  <c r="P19" i="58"/>
  <c r="O19" i="58"/>
  <c r="N19" i="58"/>
  <c r="M19" i="58"/>
  <c r="L19" i="58"/>
  <c r="J19" i="58"/>
  <c r="K19" i="58"/>
  <c r="P3" i="58"/>
  <c r="O3" i="58"/>
  <c r="N3" i="58"/>
  <c r="M3" i="58"/>
  <c r="L3" i="58"/>
  <c r="J3" i="58"/>
  <c r="K3" i="58"/>
  <c r="P4" i="58"/>
  <c r="O4" i="58"/>
  <c r="N4" i="58"/>
  <c r="M4" i="58"/>
  <c r="L4" i="58"/>
  <c r="J4" i="58"/>
  <c r="K4" i="58"/>
  <c r="H15" i="53"/>
  <c r="G15" i="53"/>
  <c r="E15" i="53"/>
  <c r="K15" i="52"/>
  <c r="J15" i="52"/>
  <c r="H15" i="52"/>
  <c r="E15" i="52"/>
  <c r="G15" i="23"/>
  <c r="BC15" i="23"/>
  <c r="BD15" i="23"/>
  <c r="Q15" i="23"/>
  <c r="V15" i="23"/>
  <c r="W15" i="23"/>
  <c r="AD15" i="23"/>
  <c r="I15" i="23"/>
  <c r="M15" i="23"/>
  <c r="BN15" i="23"/>
  <c r="U15" i="23"/>
  <c r="AC15" i="23"/>
  <c r="L15" i="23"/>
  <c r="BM15" i="23"/>
  <c r="T15" i="23"/>
  <c r="AB15" i="23"/>
  <c r="K15" i="23"/>
  <c r="BL15" i="23"/>
  <c r="S15" i="23"/>
  <c r="AA15" i="23"/>
  <c r="J15" i="23"/>
  <c r="BK15" i="23"/>
  <c r="BE15" i="23"/>
  <c r="BJ15" i="23"/>
  <c r="BI15" i="23"/>
  <c r="BH15" i="23"/>
  <c r="BG15" i="23"/>
  <c r="BF15" i="23"/>
  <c r="AX15" i="23"/>
  <c r="AW15" i="23"/>
  <c r="AV15" i="23"/>
  <c r="AU15" i="23"/>
  <c r="AS15" i="23"/>
  <c r="AR15" i="23"/>
  <c r="AQ15" i="23"/>
  <c r="AN15" i="23"/>
  <c r="AM15" i="23"/>
  <c r="AL15" i="23"/>
  <c r="AK15" i="23"/>
  <c r="AI15" i="23"/>
  <c r="AH15" i="23"/>
  <c r="AF15" i="23"/>
  <c r="Y15" i="23"/>
  <c r="Z15" i="23"/>
  <c r="X15" i="23"/>
  <c r="R15" i="23"/>
  <c r="P15" i="23"/>
  <c r="O15" i="23"/>
  <c r="N15" i="23"/>
  <c r="F15" i="23"/>
  <c r="E15" i="23"/>
  <c r="D15" i="23"/>
  <c r="C15" i="23"/>
  <c r="B15" i="23"/>
  <c r="H14" i="53"/>
  <c r="G14" i="53"/>
  <c r="E14" i="53"/>
  <c r="K14" i="52"/>
  <c r="J14" i="52"/>
  <c r="H14" i="52"/>
  <c r="E14" i="52"/>
  <c r="G14" i="23"/>
  <c r="BC14" i="23"/>
  <c r="BD14" i="23"/>
  <c r="Q14" i="23"/>
  <c r="V14" i="23"/>
  <c r="W14" i="23"/>
  <c r="AD14" i="23"/>
  <c r="I14" i="23"/>
  <c r="M14" i="23"/>
  <c r="BN14" i="23"/>
  <c r="U14" i="23"/>
  <c r="AC14" i="23"/>
  <c r="L14" i="23"/>
  <c r="BM14" i="23"/>
  <c r="T14" i="23"/>
  <c r="AB14" i="23"/>
  <c r="K14" i="23"/>
  <c r="BL14" i="23"/>
  <c r="S14" i="23"/>
  <c r="AA14" i="23"/>
  <c r="J14" i="23"/>
  <c r="BK14" i="23"/>
  <c r="G13" i="23"/>
  <c r="BC13" i="23"/>
  <c r="BE14" i="23"/>
  <c r="BJ14" i="23"/>
  <c r="BI14" i="23"/>
  <c r="BH14" i="23"/>
  <c r="BG14" i="23"/>
  <c r="I13" i="23"/>
  <c r="J13" i="23"/>
  <c r="BF14" i="23"/>
  <c r="AX14" i="23"/>
  <c r="AW14" i="23"/>
  <c r="AV14" i="23"/>
  <c r="AU14" i="23"/>
  <c r="AS14" i="23"/>
  <c r="AR14" i="23"/>
  <c r="AQ14" i="23"/>
  <c r="AN14" i="23"/>
  <c r="AM14" i="23"/>
  <c r="AL14" i="23"/>
  <c r="AK14" i="23"/>
  <c r="AI14" i="23"/>
  <c r="AH14" i="23"/>
  <c r="AF14" i="23"/>
  <c r="Y14" i="23"/>
  <c r="Z14" i="23"/>
  <c r="X14" i="23"/>
  <c r="R14" i="23"/>
  <c r="P14" i="23"/>
  <c r="O14" i="23"/>
  <c r="G3" i="13"/>
  <c r="N14" i="23"/>
  <c r="F14" i="23"/>
  <c r="E14" i="23"/>
  <c r="D14" i="23"/>
  <c r="C14" i="23"/>
  <c r="B14" i="23"/>
  <c r="H13" i="53"/>
  <c r="G13" i="53"/>
  <c r="E13" i="53"/>
  <c r="K13" i="52"/>
  <c r="J13" i="52"/>
  <c r="H13" i="52"/>
  <c r="E13" i="52"/>
  <c r="BD13" i="23"/>
  <c r="Q13" i="23"/>
  <c r="V13" i="23"/>
  <c r="W13" i="23"/>
  <c r="AD13" i="23"/>
  <c r="M13" i="23"/>
  <c r="BN13" i="23"/>
  <c r="U13" i="23"/>
  <c r="AC13" i="23"/>
  <c r="L13" i="23"/>
  <c r="BM13" i="23"/>
  <c r="T13" i="23"/>
  <c r="AB13" i="23"/>
  <c r="K13" i="23"/>
  <c r="BL13" i="23"/>
  <c r="S13" i="23"/>
  <c r="AA13" i="23"/>
  <c r="BK13" i="23"/>
  <c r="BE13" i="23"/>
  <c r="BJ13" i="23"/>
  <c r="BI13" i="23"/>
  <c r="BH13" i="23"/>
  <c r="BG13" i="23"/>
  <c r="BF13" i="23"/>
  <c r="AX13" i="23"/>
  <c r="AW13" i="23"/>
  <c r="AV13" i="23"/>
  <c r="AU13" i="23"/>
  <c r="AS13" i="23"/>
  <c r="AR13" i="23"/>
  <c r="AQ13" i="23"/>
  <c r="AN13" i="23"/>
  <c r="AM13" i="23"/>
  <c r="AL13" i="23"/>
  <c r="AK13" i="23"/>
  <c r="AI13" i="23"/>
  <c r="AH13" i="23"/>
  <c r="AF13" i="23"/>
  <c r="Y13" i="23"/>
  <c r="Z13" i="23"/>
  <c r="X13" i="23"/>
  <c r="R13" i="23"/>
  <c r="P13" i="23"/>
  <c r="O13" i="23"/>
  <c r="N13" i="23"/>
  <c r="F13" i="23"/>
  <c r="E13" i="23"/>
  <c r="D13" i="23"/>
  <c r="C13" i="23"/>
  <c r="B13" i="23"/>
  <c r="H12" i="53"/>
  <c r="G12" i="53"/>
  <c r="E12" i="53"/>
  <c r="K12" i="52"/>
  <c r="J12" i="52"/>
  <c r="H12" i="52"/>
  <c r="E12" i="52"/>
  <c r="G12" i="23"/>
  <c r="BC12" i="23"/>
  <c r="BD12" i="23"/>
  <c r="Q12" i="23"/>
  <c r="V12" i="23"/>
  <c r="W12" i="23"/>
  <c r="AD12" i="23"/>
  <c r="I12" i="23"/>
  <c r="M12" i="23"/>
  <c r="BN12" i="23"/>
  <c r="U12" i="23"/>
  <c r="AC12" i="23"/>
  <c r="L12" i="23"/>
  <c r="BM12" i="23"/>
  <c r="T12" i="23"/>
  <c r="AB12" i="23"/>
  <c r="K12" i="23"/>
  <c r="BL12" i="23"/>
  <c r="S12" i="23"/>
  <c r="AA12" i="23"/>
  <c r="J12" i="23"/>
  <c r="BK12" i="23"/>
  <c r="G11" i="23"/>
  <c r="BC11" i="23"/>
  <c r="BE12" i="23"/>
  <c r="BJ12" i="23"/>
  <c r="BI12" i="23"/>
  <c r="BH12" i="23"/>
  <c r="BG12" i="23"/>
  <c r="I11" i="23"/>
  <c r="J11"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H11" i="53"/>
  <c r="G11" i="53"/>
  <c r="E11" i="53"/>
  <c r="H10" i="53"/>
  <c r="G10" i="53"/>
  <c r="E10" i="53"/>
  <c r="H9" i="53"/>
  <c r="G9" i="53"/>
  <c r="E9" i="53"/>
  <c r="K11" i="52"/>
  <c r="J11" i="52"/>
  <c r="H11" i="52"/>
  <c r="E11" i="52"/>
  <c r="K10" i="52"/>
  <c r="J10" i="52"/>
  <c r="H10" i="52"/>
  <c r="E10" i="52"/>
  <c r="K9" i="52"/>
  <c r="J9" i="52"/>
  <c r="H9" i="52"/>
  <c r="E9" i="52"/>
  <c r="BD11" i="23"/>
  <c r="Q11" i="23"/>
  <c r="V11" i="23"/>
  <c r="W11" i="23"/>
  <c r="AD11" i="23"/>
  <c r="M11" i="23"/>
  <c r="BN11" i="23"/>
  <c r="U11" i="23"/>
  <c r="AC11" i="23"/>
  <c r="L11" i="23"/>
  <c r="BM11" i="23"/>
  <c r="T11" i="23"/>
  <c r="AB11" i="23"/>
  <c r="K11" i="23"/>
  <c r="BL11" i="23"/>
  <c r="S11" i="23"/>
  <c r="AA11" i="23"/>
  <c r="BK11" i="23"/>
  <c r="BE11" i="23"/>
  <c r="BJ11" i="23"/>
  <c r="BI11" i="23"/>
  <c r="BH11" i="23"/>
  <c r="BG11" i="23"/>
  <c r="BF11" i="23"/>
  <c r="AX11" i="23"/>
  <c r="AW11" i="23"/>
  <c r="AV11" i="23"/>
  <c r="AU11" i="23"/>
  <c r="AS11" i="23"/>
  <c r="AR11" i="23"/>
  <c r="AQ11" i="23"/>
  <c r="AN11" i="23"/>
  <c r="AM11" i="23"/>
  <c r="AL11" i="23"/>
  <c r="AK11" i="23"/>
  <c r="AI11" i="23"/>
  <c r="AH11" i="23"/>
  <c r="AF11" i="23"/>
  <c r="Y11" i="23"/>
  <c r="Z11" i="23"/>
  <c r="X11" i="23"/>
  <c r="R11" i="23"/>
  <c r="P11" i="23"/>
  <c r="O11" i="23"/>
  <c r="N11" i="23"/>
  <c r="F11" i="23"/>
  <c r="E11" i="23"/>
  <c r="D11" i="23"/>
  <c r="C11" i="23"/>
  <c r="B11" i="23"/>
  <c r="G10" i="23"/>
  <c r="BC10" i="23"/>
  <c r="BD10" i="23"/>
  <c r="Q10" i="23"/>
  <c r="V10" i="23"/>
  <c r="W10" i="23"/>
  <c r="AD10" i="23"/>
  <c r="I10" i="23"/>
  <c r="M10" i="23"/>
  <c r="BN10" i="23"/>
  <c r="U10" i="23"/>
  <c r="AC10" i="23"/>
  <c r="L10" i="23"/>
  <c r="BM10" i="23"/>
  <c r="T10" i="23"/>
  <c r="AB10" i="23"/>
  <c r="K10" i="23"/>
  <c r="BL10" i="23"/>
  <c r="S10" i="23"/>
  <c r="AA10" i="23"/>
  <c r="J10" i="23"/>
  <c r="BK10" i="23"/>
  <c r="G9" i="23"/>
  <c r="BC9" i="23"/>
  <c r="BE10" i="23"/>
  <c r="BJ10" i="23"/>
  <c r="BI10" i="23"/>
  <c r="BH10" i="23"/>
  <c r="BG10" i="23"/>
  <c r="I9" i="23"/>
  <c r="J9"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BD9" i="23"/>
  <c r="Q9" i="23"/>
  <c r="V9" i="23"/>
  <c r="W9" i="23"/>
  <c r="AD9" i="23"/>
  <c r="M9" i="23"/>
  <c r="BN9" i="23"/>
  <c r="U9" i="23"/>
  <c r="AC9" i="23"/>
  <c r="L9" i="23"/>
  <c r="BM9" i="23"/>
  <c r="T9" i="23"/>
  <c r="AB9" i="23"/>
  <c r="K9" i="23"/>
  <c r="BL9" i="23"/>
  <c r="S9" i="23"/>
  <c r="AA9" i="23"/>
  <c r="BK9" i="23"/>
  <c r="BE9" i="23"/>
  <c r="BJ9" i="23"/>
  <c r="BI9" i="23"/>
  <c r="BH9" i="23"/>
  <c r="BG9"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H8" i="53"/>
  <c r="G8" i="53"/>
  <c r="E8" i="53"/>
  <c r="K8" i="52"/>
  <c r="J8" i="52"/>
  <c r="H8" i="52"/>
  <c r="E8" i="52"/>
  <c r="G8" i="23"/>
  <c r="BC8" i="23"/>
  <c r="BD8" i="23"/>
  <c r="Q8" i="23"/>
  <c r="V8" i="23"/>
  <c r="W8" i="23"/>
  <c r="AD8" i="23"/>
  <c r="I8" i="23"/>
  <c r="M8" i="23"/>
  <c r="BN8" i="23"/>
  <c r="U8" i="23"/>
  <c r="AC8" i="23"/>
  <c r="L8" i="23"/>
  <c r="BM8" i="23"/>
  <c r="T8" i="23"/>
  <c r="AB8" i="23"/>
  <c r="K8" i="23"/>
  <c r="BL8" i="23"/>
  <c r="S8" i="23"/>
  <c r="AA8" i="23"/>
  <c r="J8" i="23"/>
  <c r="BK8" i="23"/>
  <c r="G7" i="23"/>
  <c r="BC7" i="23"/>
  <c r="BE8" i="23"/>
  <c r="BJ8" i="23"/>
  <c r="BI8" i="23"/>
  <c r="BH8" i="23"/>
  <c r="BG8" i="23"/>
  <c r="I7" i="23"/>
  <c r="J7"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H7" i="53"/>
  <c r="G7" i="53"/>
  <c r="E7" i="53"/>
  <c r="K7" i="52"/>
  <c r="J7" i="52"/>
  <c r="H7" i="52"/>
  <c r="E7" i="52"/>
  <c r="BD7" i="23"/>
  <c r="Q7" i="23"/>
  <c r="V7" i="23"/>
  <c r="W7" i="23"/>
  <c r="AD7" i="23"/>
  <c r="M7" i="23"/>
  <c r="BN7" i="23"/>
  <c r="U7" i="23"/>
  <c r="AC7" i="23"/>
  <c r="L7" i="23"/>
  <c r="BM7" i="23"/>
  <c r="T7" i="23"/>
  <c r="AB7" i="23"/>
  <c r="K7" i="23"/>
  <c r="BL7" i="23"/>
  <c r="S7" i="23"/>
  <c r="AA7" i="23"/>
  <c r="BK7" i="23"/>
  <c r="BE7" i="23"/>
  <c r="BJ7" i="23"/>
  <c r="BI7" i="23"/>
  <c r="BH7" i="23"/>
  <c r="BG7"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H6" i="53"/>
  <c r="G6" i="53"/>
  <c r="E6" i="53"/>
  <c r="K6" i="52"/>
  <c r="J6" i="52"/>
  <c r="H6" i="52"/>
  <c r="E6" i="52"/>
  <c r="G6" i="23"/>
  <c r="BC6" i="23"/>
  <c r="BD6" i="23"/>
  <c r="Q6" i="23"/>
  <c r="V6" i="23"/>
  <c r="W6" i="23"/>
  <c r="AD6" i="23"/>
  <c r="I6" i="23"/>
  <c r="M6" i="23"/>
  <c r="BN6" i="23"/>
  <c r="U6" i="23"/>
  <c r="AC6" i="23"/>
  <c r="L6" i="23"/>
  <c r="BM6" i="23"/>
  <c r="T6" i="23"/>
  <c r="AB6" i="23"/>
  <c r="K6" i="23"/>
  <c r="BL6" i="23"/>
  <c r="S6" i="23"/>
  <c r="AA6" i="23"/>
  <c r="J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5" i="53"/>
  <c r="G5" i="53"/>
  <c r="E5" i="53"/>
  <c r="K5" i="52"/>
  <c r="J5" i="52"/>
  <c r="H5" i="52"/>
  <c r="E5" i="52"/>
  <c r="G5" i="23"/>
  <c r="BC5" i="23"/>
  <c r="BD5" i="23"/>
  <c r="Q5" i="23"/>
  <c r="V5" i="23"/>
  <c r="W5" i="23"/>
  <c r="AD5" i="23"/>
  <c r="I5" i="23"/>
  <c r="M5" i="23"/>
  <c r="BN5" i="23"/>
  <c r="U5" i="23"/>
  <c r="AC5" i="23"/>
  <c r="L5" i="23"/>
  <c r="BM5" i="23"/>
  <c r="T5" i="23"/>
  <c r="AB5" i="23"/>
  <c r="K5" i="23"/>
  <c r="BL5" i="23"/>
  <c r="S5" i="23"/>
  <c r="AA5" i="23"/>
  <c r="J5" i="23"/>
  <c r="BK5"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O5" i="23"/>
  <c r="N5" i="23"/>
  <c r="F5" i="23"/>
  <c r="E5" i="23"/>
  <c r="D5" i="23"/>
  <c r="C5" i="23"/>
  <c r="B5" i="23"/>
  <c r="H4" i="53"/>
  <c r="G4" i="53"/>
  <c r="E4" i="53"/>
  <c r="K4" i="52"/>
  <c r="J4" i="52"/>
  <c r="H4" i="52"/>
  <c r="E4" i="52"/>
  <c r="G3" i="23"/>
  <c r="BC3" i="23"/>
  <c r="BD3" i="23"/>
  <c r="Q3" i="23"/>
  <c r="V3" i="23"/>
  <c r="W3" i="23"/>
  <c r="AD3" i="23"/>
  <c r="I3" i="23"/>
  <c r="M3" i="23"/>
  <c r="BN3" i="23"/>
  <c r="U3" i="23"/>
  <c r="AC3" i="23"/>
  <c r="L3" i="23"/>
  <c r="BM3" i="23"/>
  <c r="T3" i="23"/>
  <c r="AB3" i="23"/>
  <c r="K3" i="23"/>
  <c r="BL3" i="23"/>
  <c r="S3" i="23"/>
  <c r="AA3" i="23"/>
  <c r="J3" i="23"/>
  <c r="BK3" i="23"/>
  <c r="G2" i="23"/>
  <c r="BC2" i="23"/>
  <c r="BE3" i="23"/>
  <c r="BJ3" i="23"/>
  <c r="BI3" i="23"/>
  <c r="BH3" i="23"/>
  <c r="BG3" i="23"/>
  <c r="I2" i="23"/>
  <c r="J2" i="23"/>
  <c r="BF3" i="23"/>
  <c r="AX3" i="23"/>
  <c r="AW3" i="23"/>
  <c r="AV3" i="23"/>
  <c r="AU3" i="23"/>
  <c r="AS3" i="23"/>
  <c r="AR3" i="23"/>
  <c r="AQ3" i="23"/>
  <c r="AN3" i="23"/>
  <c r="AM3" i="23"/>
  <c r="AL3" i="23"/>
  <c r="AK3" i="23"/>
  <c r="AI3" i="23"/>
  <c r="AH3" i="23"/>
  <c r="AF3" i="23"/>
  <c r="Y3" i="23"/>
  <c r="Z3" i="23"/>
  <c r="X3" i="23"/>
  <c r="R3" i="23"/>
  <c r="O3" i="23"/>
  <c r="N3" i="23"/>
  <c r="F3" i="23"/>
  <c r="E3" i="23"/>
  <c r="D3" i="23"/>
  <c r="C3" i="23"/>
  <c r="B3" i="23"/>
  <c r="BD2" i="23"/>
  <c r="Q2" i="23"/>
  <c r="S2" i="23"/>
  <c r="W2" i="23"/>
  <c r="AA2" i="23"/>
  <c r="BK2" i="23"/>
  <c r="E3" i="54"/>
  <c r="E4" i="54"/>
  <c r="E5" i="54"/>
  <c r="E6" i="54"/>
  <c r="E7" i="54"/>
  <c r="E8" i="54"/>
  <c r="E9" i="54"/>
  <c r="E10" i="54"/>
  <c r="E2" i="54"/>
  <c r="D10" i="54"/>
  <c r="B10" i="54"/>
  <c r="B4" i="54"/>
  <c r="D9" i="54"/>
  <c r="B9" i="54"/>
  <c r="D8" i="54"/>
  <c r="B8" i="54"/>
  <c r="D7" i="54"/>
  <c r="B7" i="54"/>
  <c r="D6" i="54"/>
  <c r="B6" i="54"/>
  <c r="D5" i="54"/>
  <c r="D4" i="54"/>
  <c r="D3" i="54"/>
  <c r="B3" i="54"/>
  <c r="BD4" i="23"/>
  <c r="Q4" i="23"/>
  <c r="S4" i="23"/>
  <c r="W4" i="23"/>
  <c r="AA4" i="23"/>
  <c r="BK4" i="23"/>
  <c r="A15" i="3"/>
  <c r="A14" i="3"/>
  <c r="F2" i="57"/>
  <c r="E2" i="57"/>
  <c r="B2" i="57"/>
  <c r="T4" i="23"/>
  <c r="AB4" i="23"/>
  <c r="K4" i="23"/>
  <c r="BL4" i="23"/>
  <c r="T2" i="23"/>
  <c r="AB2" i="23"/>
  <c r="K2" i="23"/>
  <c r="BL2" i="23"/>
  <c r="V4" i="23"/>
  <c r="AD4" i="23"/>
  <c r="M4" i="23"/>
  <c r="BN4" i="23"/>
  <c r="V2" i="23"/>
  <c r="AD2" i="23"/>
  <c r="M2" i="23"/>
  <c r="BN2" i="23"/>
  <c r="AL4" i="23"/>
  <c r="D2" i="54"/>
  <c r="B2" i="54"/>
  <c r="G2" i="53"/>
  <c r="AH4" i="23"/>
  <c r="AH2" i="23"/>
  <c r="G11" i="13"/>
  <c r="G9" i="13"/>
  <c r="B2" i="23"/>
  <c r="B4" i="23"/>
  <c r="R4" i="23"/>
  <c r="R2" i="23"/>
  <c r="J2" i="52"/>
  <c r="AQ2" i="23"/>
  <c r="H2" i="53"/>
  <c r="H3" i="53"/>
  <c r="G3" i="53"/>
  <c r="E3" i="53"/>
  <c r="AU4" i="23"/>
  <c r="K3" i="52"/>
  <c r="J3" i="52"/>
  <c r="H3" i="52"/>
  <c r="E3" i="52"/>
  <c r="AQ4" i="23"/>
  <c r="U4" i="23"/>
  <c r="AC4" i="23"/>
  <c r="L4" i="23"/>
  <c r="BM4" i="23"/>
  <c r="BE4" i="23"/>
  <c r="BJ4" i="23"/>
  <c r="BI4" i="23"/>
  <c r="BH4" i="23"/>
  <c r="BG4" i="23"/>
  <c r="BF4" i="23"/>
  <c r="AX4" i="23"/>
  <c r="AW4" i="23"/>
  <c r="AV4" i="23"/>
  <c r="AS4" i="23"/>
  <c r="AR4" i="23"/>
  <c r="AN4" i="23"/>
  <c r="AM4" i="23"/>
  <c r="AK4" i="23"/>
  <c r="AI4" i="23"/>
  <c r="AF4" i="23"/>
  <c r="Y4" i="23"/>
  <c r="Z4" i="23"/>
  <c r="X4" i="23"/>
  <c r="O4" i="23"/>
  <c r="N4" i="23"/>
  <c r="F4" i="23"/>
  <c r="E4" i="23"/>
  <c r="D4" i="23"/>
  <c r="C4" i="23"/>
  <c r="P5" i="58"/>
  <c r="K2" i="52"/>
  <c r="E3" i="49"/>
  <c r="E5" i="49"/>
  <c r="O5" i="58"/>
  <c r="N5" i="58"/>
  <c r="M5" i="58"/>
  <c r="L5" i="58"/>
  <c r="J5" i="58"/>
  <c r="K5" i="58"/>
  <c r="E15" i="49"/>
  <c r="E14" i="49"/>
  <c r="E13" i="49"/>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13"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<sst xmlns="http://schemas.openxmlformats.org/spreadsheetml/2006/main" count="1782" uniqueCount="581">
  <si>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</si>
  <si>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</si>
  <si>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</si>
  <si>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</si>
  <si>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</si>
  <si>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</si>
  <si>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</si>
  <si>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</si>
  <si>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</si>
  <si>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</si>
  <si>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</si>
  <si>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</si>
  <si>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</si>
  <si>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</si>
  <si>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</si>
  <si>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</si>
  <si>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</si>
  <si>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</si>
  <si>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</si>
  <si>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</si>
  <si>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</si>
  <si>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</si>
  <si>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</si>
  <si>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</si>
  <si>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</si>
  <si>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</si>
  <si>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</si>
  <si>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</si>
  <si>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</si>
  <si>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</si>
  <si>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</si>
  <si>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</si>
  <si>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</si>
  <si>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</si>
  <si>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</si>
  <si>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</si>
  <si>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</si>
  <si>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</si>
  <si>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</si>
  <si>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</si>
  <si>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</si>
  <si>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</si>
  <si>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</si>
  <si>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</si>
  <si>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</si>
  <si>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</si>
  <si>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</si>
  <si>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</si>
  <si>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</si>
  <si>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</si>
  <si>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</si>
  <si>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</si>
  <si>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</si>
  <si>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</si>
  <si>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</si>
  <si>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</si>
  <si>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</si>
  <si>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</si>
  <si>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</si>
  <si>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</si>
  <si>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</si>
  <si>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</si>
  <si>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</si>
  <si>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</si>
  <si>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</si>
  <si>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</si>
  <si>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</si>
  <si>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</si>
  <si>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</si>
  <si>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</si>
  <si>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</si>
  <si>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</si>
  <si>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</si>
  <si>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</si>
  <si>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</si>
  <si>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</si>
  <si>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</si>
  <si>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</si>
  <si>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</si>
  <si>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</si>
  <si>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</si>
  <si>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</si>
  <si>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</si>
  <si>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</si>
  <si>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</si>
  <si>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</si>
  <si>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</si>
  <si>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</si>
  <si>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</si>
  <si>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</si>
  <si>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</si>
  <si>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</si>
  <si>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</si>
  <si>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</si>
  <si>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</si>
  <si>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</si>
  <si>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</si>
  <si>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</si>
  <si>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</si>
  <si>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</si>
  <si>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</si>
  <si>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</si>
  <si>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</si>
  <si>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</si>
  <si>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</si>
  <si>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</si>
  <si>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</si>
  <si>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</si>
  <si>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</si>
  <si>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</si>
  <si>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</si>
  <si>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</si>
  <si>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</si>
  <si>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</si>
  <si>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</si>
  <si>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</si>
  <si>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</si>
  <si>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</si>
  <si>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</si>
  <si>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</si>
  <si>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</si>
  <si>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</si>
  <si>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</si>
  <si>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</si>
  <si>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</si>
  <si>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</si>
  <si>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</si>
  <si>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</si>
  <si>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</si>
  <si>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</si>
  <si>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</si>
  <si>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</si>
  <si>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</si>
  <si>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</si>
  <si>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</si>
  <si>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</si>
  <si>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</si>
  <si>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</si>
  <si>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</si>
  <si>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</si>
  <si>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</si>
  <si>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</si>
  <si>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</si>
  <si>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</si>
  <si>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</si>
  <si>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</si>
  <si>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</si>
  <si>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</si>
  <si>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</si>
  <si>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</si>
  <si>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</si>
  <si>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</si>
  <si>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</si>
  <si>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</si>
  <si>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</si>
  <si>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</si>
  <si>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</si>
  <si>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</si>
  <si>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</si>
  <si>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</si>
  <si>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</si>
  <si>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</si>
  <si>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</si>
  <si>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</si>
  <si>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</si>
  <si>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</si>
  <si>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</si>
  <si>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</si>
  <si>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</si>
  <si>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</si>
  <si>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</si>
  <si>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</si>
  <si>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</si>
  <si>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</si>
  <si>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</si>
  <si>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</si>
  <si>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</si>
  <si>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</si>
  <si>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</si>
  <si>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</si>
  <si>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</si>
  <si>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</si>
  <si>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</si>
  <si>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</si>
  <si>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</si>
  <si>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</si>
  <si>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</si>
  <si>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</si>
  <si>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</si>
  <si>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</si>
  <si>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</si>
  <si>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</si>
  <si>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</si>
  <si>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</si>
  <si>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</si>
  <si>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</si>
  <si>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</si>
  <si>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</si>
  <si>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</si>
  <si>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</si>
  <si>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</si>
  <si>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</si>
  <si>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</si>
  <si>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</si>
  <si>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</si>
  <si>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</si>
  <si>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</si>
  <si>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</si>
  <si>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</si>
  <si>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</si>
  <si>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</si>
  <si>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</si>
  <si>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</si>
  <si>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</si>
  <si>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</si>
  <si>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</si>
  <si>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</si>
  <si>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</si>
  <si>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</si>
  <si>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</si>
  <si>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</si>
  <si>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</si>
  <si>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</si>
  <si>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</si>
  <si>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</si>
  <si>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</si>
  <si>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</si>
  <si>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</si>
  <si>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</si>
  <si>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</si>
  <si>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</si>
  <si>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</si>
  <si>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</si>
  <si>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</si>
  <si>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</si>
  <si>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</si>
  <si>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</si>
  <si>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</si>
  <si>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</si>
  <si>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</si>
  <si>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</si>
  <si>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</si>
  <si>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</si>
  <si>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</si>
  <si>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</si>
  <si>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</si>
  <si>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</si>
  <si>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</si>
  <si>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</si>
  <si>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</si>
  <si>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</si>
  <si>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</si>
  <si>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</si>
  <si>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</si>
  <si>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</si>
  <si>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</si>
  <si>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</si>
  <si>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</si>
  <si>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</si>
  <si>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</si>
  <si>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</si>
  <si>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</si>
  <si>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</si>
  <si>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</si>
  <si>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</si>
  <si>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</si>
  <si>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</si>
  <si>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</si>
  <si>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</si>
  <si>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</si>
  <si>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</si>
  <si>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</si>
  <si>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</si>
  <si>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</si>
  <si>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</si>
  <si>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</si>
  <si>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</si>
  <si>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</si>
  <si>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</si>
  <si>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</si>
  <si>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</si>
  <si>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</si>
  <si>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</si>
  <si>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</si>
  <si>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</si>
  <si>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</si>
  <si>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</si>
  <si>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</si>
  <si>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</si>
  <si>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</si>
  <si>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</si>
  <si>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</si>
  <si>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</si>
  <si>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</si>
  <si>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</si>
  <si>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</si>
  <si>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</si>
  <si>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</si>
  <si>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</si>
  <si>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</si>
  <si>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</si>
  <si>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</si>
  <si>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</si>
  <si>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</si>
  <si>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</si>
  <si>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</si>
  <si>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</si>
  <si>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</si>
  <si>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</si>
  <si>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</si>
  <si>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</si>
  <si>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</si>
  <si>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</si>
  <si>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</si>
  <si>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Miku2017</t>
    <phoneticPr fontId="22"/>
  </si>
  <si>
    <t>1体に特大ダメージ</t>
    <phoneticPr fontId="22"/>
  </si>
  <si>
    <t>[effect:enhance_unit, target:unit_red, turn:3, status:attack, val:0.21, calc:mul, animation:enhance_unit_all_attack04_unit01],[effect:enhance_unit, target:unit_red, turn:3, status:defense, val:1080, calc:add, animation:enhance_unit_all_defense04_unit01],[effect:enhance_unit, target:unit_red, turn:3, status:heal, val:0.45, calc:mul, animation:enhance_unit_all_heal04_unit01],[effect:damage, target:enemy_one, color:red, val:4.8, animation:damage_one_red04]</t>
    <phoneticPr fontId="22"/>
  </si>
  <si>
    <t>[effect:damage, target:enemy_one, color:red, val:2.25, animation:damage_one_red04]</t>
    <phoneticPr fontId="22"/>
  </si>
  <si>
    <t>NULL</t>
    <phoneticPr fontId="10"/>
  </si>
  <si>
    <t>abilities_tmp_</t>
    <phoneticPr fontId="22"/>
  </si>
  <si>
    <t>1</t>
    <phoneticPr fontId="22"/>
  </si>
  <si>
    <t>old</t>
  </si>
  <si>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</si>
  <si>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</si>
  <si>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</si>
  <si>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</si>
  <si>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</si>
  <si>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</si>
  <si>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</si>
  <si>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</si>
  <si>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</si>
  <si>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</si>
  <si>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</si>
  <si>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</si>
  <si>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</si>
  <si>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</si>
  <si>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</si>
  <si>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</si>
  <si>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</si>
  <si>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</si>
  <si>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</si>
  <si>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</si>
  <si>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</si>
  <si>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1体に超大ダメージ</t>
    <phoneticPr fontId="22"/>
  </si>
  <si>
    <t>[effect:damage, target:enemy_one, color:green, val:2.5, animation:damage_one_green04]</t>
    <phoneticPr fontId="22"/>
  </si>
  <si>
    <t>[effect:damage, target:enemy_one, color:green, val:2.25, animation:damage_one_green04]</t>
    <phoneticPr fontId="22"/>
  </si>
  <si>
    <t>[effect:damage, target:enemy_one, color:yellow, val:2.25, animation:damage_one_yellow04]</t>
    <phoneticPr fontId="22"/>
  </si>
  <si>
    <t>1体に特大ダメージ+
HP大回復</t>
    <phoneticPr fontId="22"/>
  </si>
  <si>
    <t>[effect:damage, target:enemy_one, color:yellow, val:1.5, animation:damage_one_yellow04],[effect:heal_ratio, val:0.3, animation:heal_unit, animation:heal03_unit01]</t>
    <phoneticPr fontId="22"/>
  </si>
  <si>
    <t>[effect:force_change_block, new_block:crash, target:block_all, ignore01:crash, ignore02:crack_bomb, ignore03:color_break, count:1, val:24, animation:change_block],[effect:enhance_unit, target:unit_green, turn:1, status:action, val:1, calc:add, animation:enhance_unit_one_action01]</t>
    <phoneticPr fontId="22"/>
  </si>
  <si>
    <t>[effect:damage, target:enemy_one, color:green, val:2, animation:damage_one_green04],[effect:enhance_unit, target:unit_green, turn:1, status:attack, val:0.018, calc:mul, animation:enhance_unit_all_attack01_unit01]</t>
    <phoneticPr fontId="22"/>
  </si>
  <si>
    <t>1体に超大ダメージ+
1ターン緑属性ユニットの攻撃力小UP</t>
    <phoneticPr fontId="22"/>
  </si>
  <si>
    <t>[effect:damage, target:enemy_one, color:yellow, val:2.5, animation:damage_one_yellow04]</t>
    <phoneticPr fontId="22"/>
  </si>
  <si>
    <t>1体に特大ダメージ</t>
    <phoneticPr fontId="22"/>
  </si>
  <si>
    <t>30</t>
    <phoneticPr fontId="22"/>
  </si>
  <si>
    <t>15</t>
    <phoneticPr fontId="22"/>
  </si>
  <si>
    <t>[effect:force_change_block, new_block:crash, target:block_all, ignore01:crash, ignore02:crack_bomb, ignore03:color_break, count:5, val:10, animation:change_block]</t>
    <phoneticPr fontId="22"/>
  </si>
  <si>
    <t>[effect:force_change_block, new_block:crash, target:block_all, ignore01:crash, ignore02:crack_bomb, ignore03:color_break, count:8, val:10, animation:change_block]</t>
    <phoneticPr fontId="22"/>
  </si>
  <si>
    <t>[effect:damage, target:enemy_one, color:blue, val:2.25, animation:damage_one_blue04]</t>
    <phoneticPr fontId="22"/>
  </si>
  <si>
    <t>[effect:heal_ratio, val:0.3, animation:heal03_unit01]</t>
    <phoneticPr fontId="22"/>
  </si>
  <si>
    <t>HPを大回復</t>
    <phoneticPr fontId="22"/>
  </si>
  <si>
    <t>1</t>
    <phoneticPr fontId="22"/>
  </si>
  <si>
    <t>緑パネルを青パネルに変換+3ターン青属性ユニットのタップ回数を1増やし、攻撃力を大UP</t>
    <phoneticPr fontId="22"/>
  </si>
  <si>
    <t>1体に特大ダメージ+
1ターン全ユニットの回復力小UP</t>
    <phoneticPr fontId="22"/>
  </si>
  <si>
    <t>1体に特大ダメージ+3ターン赤属性ユニットの攻撃力と防御力と回復力を特大UP</t>
    <phoneticPr fontId="22"/>
  </si>
  <si>
    <t>赤・青パネルを黄パネルに変換+1ターン黄属性ユニットの攻撃力を特大UP</t>
    <phoneticPr fontId="22"/>
  </si>
  <si>
    <t>[effect:damage, target:enemy_one, color:blue, val:2, animation:damage_one_blue04],[effect:sleep, target:enemy_one, turn:1, rate:0.1, animation:sleep01]</t>
    <phoneticPr fontId="22"/>
  </si>
  <si>
    <t>1体に超大ダメージ+
低確率でスリープ付与</t>
    <phoneticPr fontId="22"/>
  </si>
  <si>
    <t>[effect:force_change_magnet, target:block_all, ignore01:crash, ignore02:crack_bomb, ignore03:color_break, color:block_green, count:1, red:1, green:1, blue:0, yellow:1, heart:1, reverse:0, turn:4, generate:0, animation:change_block],[effect:force_change_block, new_block:block_heart, target:block_blue, count:0, val:0, animation:change_block],[effect:force_change_block, new_block:block_yellow, target:block_red, count:0, val:0, animation:change_block],[effect:crash_condition, target:unit_all, turn:1, val:-6, animation:crash_panel_reduce04]</t>
    <phoneticPr fontId="22"/>
  </si>
  <si>
    <t>ハート無効解除+2ターンHPを回復し、全ユニットの回復力を特大UP</t>
    <phoneticPr fontId="22"/>
  </si>
  <si>
    <t>ハート無効解除+3ターンHPを回復し、全ユニットの回復力を特大UP</t>
    <phoneticPr fontId="22"/>
  </si>
  <si>
    <t>全体に大ダメージ
種族Unknownに効果超大</t>
    <phoneticPr fontId="22"/>
  </si>
  <si>
    <t>赤・青パネルを黄パネルに変換+1ターン黄属性ユニットの攻撃力を超大UP</t>
    <rPh sb="31" eb="33">
      <t>チョウダイ</t>
    </rPh>
    <phoneticPr fontId="22"/>
  </si>
  <si>
    <t>赤パネルを青ボムパネルに変換+1ターン青属性ユニットの攻撃力を特大UPし、回復力を大UP</t>
    <phoneticPr fontId="22"/>
  </si>
  <si>
    <t>赤パネルを青ボムパネルに変換+2ターン青属性ユニットの攻撃力を特大UPし、回復力を大UP</t>
    <phoneticPr fontId="22"/>
  </si>
  <si>
    <t>[effect:force_change_block, new_block:crash, target:block_all, ignore01:crash, ignore02:crack_bomb, ignore03:color_break, count:1, val:24, animation:change_block],[effect:enhance_unit, target:unit_green, turn:3, status:action, val:1, calc:add, animation:enhance_unit_one_action01]</t>
    <phoneticPr fontId="22"/>
  </si>
  <si>
    <t>[effect:force_change_block, new_block:crash, target:block_all, ignore01:crash, ignore02:crack_bomb, ignore03:color_break, count:3, val:12, animation:change_block],[effect:force_change_block, new_block:block_yellow, target:block_all, ignore01:crash, ignore02:crack_bomb, ignore03:color_break, count:9, val:0, animation:change_block],[effect:enhance_unit, target:unit_all, turn:2, status:heal, val:0.6, calc:mul, animation:enhance_unit_all_heal04_unit01]</t>
    <phoneticPr fontId="22"/>
  </si>
  <si>
    <t>[effect:damage_heal, target:enemy_one, color:yellow, val:2.25, animation:damage_one_yellow04]</t>
    <phoneticPr fontId="22"/>
  </si>
  <si>
    <t>[effect:force_change_block, new_block:crash, target:block_all, ignore01:crash, ignore02:crack_bomb, ignore03:color_break, count:1, val:36, animation:change_block],[effect:force_change_block, new_block:crash, target:damage, count:0, val:6, animation:change_block],[effect:enhance_unit, target:unit_unknown, turn:1, status:attack, val:0.2125, calc:mul, animation:enhance_unit_all_attack03_unit01]</t>
    <phoneticPr fontId="22"/>
  </si>
  <si>
    <t>[effect:force_change_block, new_block:crash, target:block_all, ignore01:crash, ignore02:crack_bomb, ignore03:color_break, count:1, val:36, animation:change_block],[effect:force_change_block, new_block:crash, target:block_all, ignore01:crash, ignore02:crack_bomb, ignore03:color_break, count:2, val:12, animation:change_block],[effect:break_enchance_unit, target:unit_all, val:24, lowest_val:960, count :-1, status:defense, turn:3, block01:time_bomb, block02:jammer, calc:add, animation:enhance_unit_all_defense01]</t>
    <phoneticPr fontId="22"/>
  </si>
  <si>
    <t>[effect:change_panel_ratio, turn:4, block_type:blue, val:0.05],[effect:enhance_unit, target:unit_yellow, turn:4, status:attack, val:0.21, calc:mul, animation:enhance_unit_all_attack04_unit01],[effect:enhance_unit, target:unit_yellow, turn:4, status:heal, val:0.45, calc:mul, animation:enhance_unit_all_heal04_unit01]</t>
    <phoneticPr fontId="22"/>
  </si>
  <si>
    <t>4ターン黄属性ユニットの攻撃力と回復力を特大UPし、青パネルの出現率DOWN</t>
    <phoneticPr fontId="22"/>
  </si>
  <si>
    <t>[effect:force_change_block, new_block:crash, target:block_blue, count:0, val:6, animation:change_block],[effect:force_change_block, new_block:crash, target:block_heart, count:0, val:6, animation:change_block],[effect:enhance_unit, target:unit_yellow/unit_unknown/or, turn:2, status:attack, val:0.255, calc:mul, animation:enhance_unit_all_attack04_unit01]</t>
    <phoneticPr fontId="22"/>
  </si>
  <si>
    <t>青・ハートパネルをCパネルに変換+2ターン黄属性ユニットと種族Unknownの攻撃力を特大UP</t>
    <phoneticPr fontId="22"/>
  </si>
  <si>
    <t>3ターン緑属性ユニットの攻撃力と防御力を超大UP+2ターン緑パネルの出現率大UP</t>
    <phoneticPr fontId="22"/>
  </si>
  <si>
    <t>ランダムでパネルを1個SCP(特大)、2個SCPに変換+3ターン全ユニットの防御力UP(時限式・お邪魔を吸収し効果UP)</t>
    <phoneticPr fontId="22"/>
  </si>
  <si>
    <t>ランダムでパネルを1個SCパネル(特大)に、ダメージパネルをCパネルに変換+1ターン種族Unknownの攻撃力大UP</t>
    <phoneticPr fontId="22"/>
  </si>
  <si>
    <t>赤・緑パネルをCパネルに変換+2ターン黄属性ユニットと種族Unknownの防御力を特大UP</t>
    <phoneticPr fontId="22"/>
  </si>
  <si>
    <t>ダブルリプレイス&amp;アペンド</t>
    <phoneticPr fontId="22"/>
  </si>
  <si>
    <t>エンドリプレイス&amp;アペンド</t>
    <phoneticPr fontId="22"/>
  </si>
  <si>
    <t>アペンド・ヘキサヴォイス</t>
    <phoneticPr fontId="22"/>
  </si>
  <si>
    <t>センチュリ・レボリューション</t>
    <phoneticPr fontId="22"/>
  </si>
  <si>
    <t>アイドリング・ポップス</t>
    <phoneticPr fontId="22"/>
  </si>
  <si>
    <t>アンサンブル・ダブルシャープ</t>
    <phoneticPr fontId="22"/>
  </si>
  <si>
    <t>ポップ・ポップ・エレクトロ</t>
    <phoneticPr fontId="22"/>
  </si>
  <si>
    <t>アンサンブル・ダブルフラット</t>
    <phoneticPr fontId="22"/>
  </si>
  <si>
    <t>ロック・ロック・ダンシング</t>
    <phoneticPr fontId="22"/>
  </si>
  <si>
    <t>サウンディング･バイリンガル</t>
    <phoneticPr fontId="22"/>
  </si>
  <si>
    <t>ジャジー・ダンスフロア</t>
    <phoneticPr fontId="22"/>
  </si>
  <si>
    <t>レッドスケール･オルタナティヴ</t>
    <phoneticPr fontId="22"/>
  </si>
  <si>
    <t>プロトボイス・ダイナミック</t>
    <phoneticPr fontId="22"/>
  </si>
  <si>
    <t>ブルースケール・オールマイティ</t>
    <phoneticPr fontId="22"/>
  </si>
  <si>
    <t>プロトボイス・スタンダード</t>
    <phoneticPr fontId="22"/>
  </si>
  <si>
    <t>カラフル･エボリューション</t>
    <phoneticPr fontId="22"/>
  </si>
  <si>
    <t>ビビッドネス･エボリューション</t>
    <phoneticPr fontId="22"/>
  </si>
  <si>
    <t>ナチュラルノーツ・リファイン</t>
    <phoneticPr fontId="22"/>
  </si>
  <si>
    <t>愛唱イリュージョン</t>
    <phoneticPr fontId="22"/>
  </si>
  <si>
    <t>愛唱恋歌イリュージョン</t>
    <phoneticPr fontId="22"/>
  </si>
  <si>
    <t>双奏・愛唱宣言☆☆</t>
    <phoneticPr fontId="22"/>
  </si>
  <si>
    <t>晴唱イリュージョン</t>
    <phoneticPr fontId="22"/>
  </si>
  <si>
    <t>晴唱凛歌イリュージョン</t>
    <phoneticPr fontId="22"/>
  </si>
  <si>
    <t>双奏・晴唱宣言！！</t>
    <phoneticPr fontId="22"/>
  </si>
  <si>
    <t>シング×シング</t>
    <phoneticPr fontId="22"/>
  </si>
  <si>
    <t>シング×ウィスパー×シング</t>
    <phoneticPr fontId="22"/>
  </si>
  <si>
    <t>1体に特大ダメージ</t>
    <phoneticPr fontId="22"/>
  </si>
  <si>
    <t>ブリーズ・ミラージュ</t>
    <phoneticPr fontId="22"/>
  </si>
  <si>
    <t>ラビット・スター</t>
    <phoneticPr fontId="22"/>
  </si>
  <si>
    <t>ラビット・スターライト</t>
    <phoneticPr fontId="22"/>
  </si>
  <si>
    <t>ユキネ・メテオ</t>
    <phoneticPr fontId="22"/>
  </si>
  <si>
    <t>スノウ・トゥインクル</t>
    <phoneticPr fontId="22"/>
  </si>
  <si>
    <t>コメット・ハミング♪</t>
    <phoneticPr fontId="22"/>
  </si>
  <si>
    <t>溢れ出る彩歌</t>
    <phoneticPr fontId="22"/>
  </si>
  <si>
    <t>膨れ上がる歌装世界</t>
    <phoneticPr fontId="22"/>
  </si>
  <si>
    <t>激唱歌創トランス</t>
    <phoneticPr fontId="22"/>
  </si>
  <si>
    <t>虹音ライン</t>
    <phoneticPr fontId="22"/>
  </si>
  <si>
    <t>虹音超越ノーツライン</t>
    <phoneticPr fontId="22"/>
  </si>
  <si>
    <t>音跳神芸アリゲイツ</t>
    <phoneticPr fontId="22"/>
  </si>
  <si>
    <t>グリッサンド・エレクトロ</t>
    <phoneticPr fontId="22"/>
  </si>
  <si>
    <t>グリッサンド・エレクトロニカ</t>
    <phoneticPr fontId="22"/>
  </si>
  <si>
    <t>導音の遊戯歌</t>
    <phoneticPr fontId="22"/>
  </si>
  <si>
    <t>ボイス・フィニッシュド</t>
    <phoneticPr fontId="22"/>
  </si>
  <si>
    <t>グランド・アリウム</t>
    <phoneticPr fontId="22"/>
  </si>
  <si>
    <t>音界の黙示録</t>
    <phoneticPr fontId="22"/>
  </si>
  <si>
    <t>絶対音界の黙示録</t>
    <phoneticPr fontId="22"/>
  </si>
  <si>
    <t>歌で全てを包みます…！</t>
    <phoneticPr fontId="22"/>
  </si>
  <si>
    <t>kumo</t>
  </si>
  <si>
    <t>音域を広げます！</t>
    <phoneticPr fontId="22"/>
  </si>
  <si>
    <t>いきます！</t>
    <phoneticPr fontId="22"/>
  </si>
  <si>
    <t>歌に力を！</t>
  </si>
  <si>
    <t>心踊るような歌を！</t>
    <phoneticPr fontId="22"/>
  </si>
  <si>
    <t>私の歌声響け…どこまでも！</t>
    <phoneticPr fontId="22"/>
  </si>
  <si>
    <t>声を合わせて…さぁ！</t>
    <phoneticPr fontId="22"/>
  </si>
  <si>
    <t>giza</t>
  </si>
  <si>
    <t>さぁアンコールタイムです！</t>
    <phoneticPr fontId="22"/>
  </si>
  <si>
    <t>ラララ〜♪</t>
    <phoneticPr fontId="22"/>
  </si>
  <si>
    <t>いっきますよ！</t>
    <phoneticPr fontId="22"/>
  </si>
  <si>
    <t>歌うよっ！</t>
    <phoneticPr fontId="22"/>
  </si>
  <si>
    <t>ノッてきました！！</t>
    <phoneticPr fontId="22"/>
  </si>
  <si>
    <t>今日はアタシたちが主役！！</t>
    <phoneticPr fontId="22"/>
  </si>
  <si>
    <t>ペースアップするよ！</t>
    <phoneticPr fontId="22"/>
  </si>
  <si>
    <t>いっくぞぉぉおおお！</t>
    <phoneticPr fontId="22"/>
  </si>
  <si>
    <t>アタシに任せなさーい！</t>
    <phoneticPr fontId="22"/>
  </si>
  <si>
    <t>ビリビリさせてあげる！</t>
    <phoneticPr fontId="22"/>
  </si>
  <si>
    <t>今日はボクたちが主役！！</t>
    <phoneticPr fontId="22"/>
  </si>
  <si>
    <t>テンポアップするよ！</t>
    <phoneticPr fontId="22"/>
  </si>
  <si>
    <t>いくよ！</t>
    <phoneticPr fontId="22"/>
  </si>
  <si>
    <t>ついてこれる？</t>
    <phoneticPr fontId="22"/>
  </si>
  <si>
    <t>バリバリさせようかな？</t>
    <phoneticPr fontId="22"/>
  </si>
  <si>
    <t>世界中に響かせてみせる！</t>
    <phoneticPr fontId="22"/>
  </si>
  <si>
    <t>響いて！</t>
    <phoneticPr fontId="22"/>
  </si>
  <si>
    <t>いきますよ</t>
    <phoneticPr fontId="22"/>
  </si>
  <si>
    <t>Sing a song ♪</t>
    <phoneticPr fontId="22"/>
  </si>
  <si>
    <t>Let's sing together！</t>
    <phoneticPr fontId="22"/>
  </si>
  <si>
    <t>ここで転調！一気に決める！</t>
    <phoneticPr fontId="22"/>
  </si>
  <si>
    <t>ワタシが決めるわ！</t>
    <phoneticPr fontId="22"/>
  </si>
  <si>
    <t>ふふっ行くわよ</t>
    <phoneticPr fontId="22"/>
  </si>
  <si>
    <t>楽しくなってきたぁ！</t>
    <phoneticPr fontId="22"/>
  </si>
  <si>
    <t>テンション上げなきゃ！</t>
    <phoneticPr fontId="22"/>
  </si>
  <si>
    <t>skill</t>
    <phoneticPr fontId="22"/>
  </si>
  <si>
    <t>僕の気持ちを歌に乗せて！</t>
    <phoneticPr fontId="22"/>
  </si>
  <si>
    <t>うーん、どうしようかな</t>
    <phoneticPr fontId="22"/>
  </si>
  <si>
    <t>明日から本気出す！</t>
    <phoneticPr fontId="22"/>
  </si>
  <si>
    <t>盛り上がってきたね！</t>
    <phoneticPr fontId="22"/>
  </si>
  <si>
    <t>もっと熱くしようか！</t>
    <phoneticPr fontId="22"/>
  </si>
  <si>
    <t>みんなの声に答えるよっ♪</t>
    <phoneticPr fontId="22"/>
  </si>
  <si>
    <t>みーんな驚かせちゃうよ！</t>
    <phoneticPr fontId="22"/>
  </si>
  <si>
    <t>歌でみんなを繋げるよ！</t>
    <phoneticPr fontId="22"/>
  </si>
  <si>
    <t>幸せを届けちゃおう！</t>
    <phoneticPr fontId="22"/>
  </si>
  <si>
    <t>私のオンステージだよっ♪</t>
    <phoneticPr fontId="22"/>
  </si>
  <si>
    <t>さぁ準備はいい？？</t>
    <phoneticPr fontId="22"/>
  </si>
  <si>
    <t>チューニングOK！いくよ☆</t>
    <phoneticPr fontId="22"/>
  </si>
  <si>
    <t>ビビッときたでしょ？？</t>
    <phoneticPr fontId="22"/>
  </si>
  <si>
    <t>みんな聞こえてる〜！？</t>
    <phoneticPr fontId="22"/>
  </si>
  <si>
    <t>何度でも歌い続けるよ☆</t>
    <phoneticPr fontId="22"/>
  </si>
  <si>
    <t>１、２…１、２、３、Go☆</t>
    <phoneticPr fontId="22"/>
  </si>
  <si>
    <t>キミの心に響かせるよ！</t>
    <phoneticPr fontId="22"/>
  </si>
  <si>
    <t>チューニングOK！いこう！</t>
    <phoneticPr fontId="22"/>
  </si>
  <si>
    <t>バリッときたかな？？</t>
    <phoneticPr fontId="22"/>
  </si>
  <si>
    <t>OK！！音楽スタート！</t>
    <phoneticPr fontId="22"/>
  </si>
  <si>
    <t>何度でも歌い続ける！</t>
    <phoneticPr fontId="22"/>
  </si>
  <si>
    <t>１、２…１、２、３、Go！</t>
    <phoneticPr fontId="22"/>
  </si>
  <si>
    <t>キミの心に響かせるっ！</t>
    <phoneticPr fontId="22"/>
  </si>
  <si>
    <t>ライブの準備はOK？</t>
    <phoneticPr fontId="22"/>
  </si>
  <si>
    <t>心で感じてよね？</t>
    <phoneticPr fontId="22"/>
  </si>
  <si>
    <t>私の歌で輝かせるわ！</t>
    <phoneticPr fontId="22"/>
  </si>
  <si>
    <t>声色は豊富なのよ</t>
    <phoneticPr fontId="22"/>
  </si>
  <si>
    <t>さぁ本番スタートよ♪</t>
    <phoneticPr fontId="22"/>
  </si>
  <si>
    <t>歌も照明もバッチリよ♪</t>
    <phoneticPr fontId="22"/>
  </si>
  <si>
    <t>キラキラさせるうさ！</t>
    <phoneticPr fontId="22"/>
  </si>
  <si>
    <t>うさうさうさー！</t>
    <phoneticPr fontId="22"/>
  </si>
  <si>
    <t>びゅーんだうさ！</t>
  </si>
  <si>
    <t>おほしさまの力うさ！</t>
    <phoneticPr fontId="22"/>
  </si>
  <si>
    <t>流星アターックうさ！</t>
    <phoneticPr fontId="22"/>
  </si>
  <si>
    <t>星を数えるうさよ〜！</t>
    <phoneticPr fontId="22"/>
  </si>
  <si>
    <t>お星様にお願いしよっ♪</t>
    <phoneticPr fontId="22"/>
  </si>
  <si>
    <t>願いごとをどうぞ☆</t>
    <phoneticPr fontId="22"/>
  </si>
  <si>
    <t>星の瞬きを♪</t>
    <phoneticPr fontId="22"/>
  </si>
  <si>
    <t>こずみっくパワーです☆</t>
    <phoneticPr fontId="22"/>
  </si>
  <si>
    <t>きらきら流星群をどうぞ☆</t>
    <phoneticPr fontId="22"/>
  </si>
  <si>
    <t>瞬きを見逃さないで…♪</t>
    <phoneticPr fontId="22"/>
  </si>
  <si>
    <t>新作は全部いただくわ！</t>
    <phoneticPr fontId="22"/>
  </si>
  <si>
    <t>くっ…尊い…！</t>
    <phoneticPr fontId="22"/>
  </si>
  <si>
    <t>一緒に合わせしない？</t>
    <phoneticPr fontId="22"/>
  </si>
  <si>
    <t>みっくみくにしてあげる</t>
    <phoneticPr fontId="22"/>
  </si>
  <si>
    <t>レイヤーの力…ご覧あれ！</t>
    <phoneticPr fontId="22"/>
  </si>
  <si>
    <t>回収完了！撤収よ！</t>
    <phoneticPr fontId="22"/>
  </si>
  <si>
    <t>さぁ〜追い付けるかな？</t>
    <phoneticPr fontId="22"/>
  </si>
  <si>
    <t>高速クリア待った無し！</t>
    <phoneticPr fontId="22"/>
  </si>
  <si>
    <t>音域広げて跳ばしていこ</t>
    <phoneticPr fontId="22"/>
  </si>
  <si>
    <t>テッペン取っちゃうよ！</t>
    <phoneticPr fontId="22"/>
  </si>
  <si>
    <t>神業のお披露目！</t>
    <phoneticPr fontId="22"/>
  </si>
  <si>
    <t>リンちゃんパワー炸裂！</t>
    <phoneticPr fontId="22"/>
  </si>
  <si>
    <t>歌も演奏も任せてくれ…！</t>
    <phoneticPr fontId="22"/>
  </si>
  <si>
    <t>心を揺さぶってあげるよ</t>
    <phoneticPr fontId="22"/>
  </si>
  <si>
    <t>歌うのも悪くないね…</t>
    <phoneticPr fontId="22"/>
  </si>
  <si>
    <t>僕の歌はどうかな…？</t>
    <phoneticPr fontId="22"/>
  </si>
  <si>
    <t>さぁ…最終楽章だ！</t>
    <phoneticPr fontId="22"/>
  </si>
  <si>
    <t>音楽の力…魅せようか？</t>
    <phoneticPr fontId="22"/>
  </si>
  <si>
    <t>フィナーレの時間ですよ…</t>
    <phoneticPr fontId="22"/>
  </si>
  <si>
    <t>力に変えます…！</t>
    <phoneticPr fontId="22"/>
  </si>
  <si>
    <t>いきます…！</t>
    <phoneticPr fontId="22"/>
  </si>
  <si>
    <t>もっと鋭く…！</t>
  </si>
  <si>
    <t>音撃準備完了です！</t>
    <phoneticPr fontId="22"/>
  </si>
  <si>
    <t>私もこれで歌姫よ…！</t>
    <phoneticPr fontId="22"/>
  </si>
  <si>
    <t>自由に歌えるなんて…！</t>
    <phoneticPr fontId="22"/>
  </si>
  <si>
    <t>歌の邪魔はさせないわ！</t>
    <phoneticPr fontId="22"/>
  </si>
  <si>
    <t>み…みっくみく…？</t>
    <phoneticPr fontId="22"/>
  </si>
  <si>
    <t>聴きなさい！この歌を！</t>
    <phoneticPr fontId="22"/>
  </si>
  <si>
    <t>歌の奇跡魅せてあげる！</t>
    <phoneticPr fontId="22"/>
  </si>
  <si>
    <t>[effect:force_change_block, new_block:crash, target:block_red, count:0, val:6, animation:change_block],[effect:damage, target:enemy_one, color:red, val:6.4, animation:damage_one_red04]</t>
    <phoneticPr fontId="22"/>
  </si>
  <si>
    <t>赤パネルをCパネルに変換し、1体に特大ダメージ</t>
    <phoneticPr fontId="22"/>
  </si>
  <si>
    <t>[effect:enhance_unit, target:unit_green, turn:3, status:attack, val:0.28, calc:mul, animation:enhance_unit_all_attack04_unit01],[effect:enhance_unit, target:unit_green, turn:3, status:defense, val:1440, calc:add, animation:enhance_unit_all_defense04_unit01],[effect:change_panel_ratio, turn:2, block_type:green, val:0.8,animation:block_incidence04]</t>
    <phoneticPr fontId="22"/>
  </si>
  <si>
    <t>ランダムでパネルを最大8個Cパネル(大)に変換</t>
    <phoneticPr fontId="22"/>
  </si>
  <si>
    <t>自身の回復力に比例して
1体に特大ダメージ</t>
    <phoneticPr fontId="22"/>
  </si>
  <si>
    <t>ランダムでパネルを最大1個SCパネル(大)に変換+1ターン緑属性ユニットのタップ回数を1増やす</t>
    <phoneticPr fontId="22"/>
  </si>
  <si>
    <t>ランダムでパネルを最大1個SCパネル(大)に変換+3ターン緑属性ユニットのタップ回数を1増やす</t>
    <phoneticPr fontId="22"/>
  </si>
  <si>
    <t>[effect:force_change_magnet, target:block_all, ignore01:crash, ignore02:crack_bomb, ignore03:color_break, color:block_red, count:1, red:1, green:0, blue:1, yellow:0, heart:0, reverse:0, turn:2, generate:0, animation:change_block],[effect:force_change_block, new_block:crash, target:jammer, count:0, val:6, animation:change_block],[effect:force_change_block, new_block:crash, target:block_green, count:0, val:6, animation:change_block],[effect:enhance_unit, target:unit_all, turn:1, status:attack, val:0.21, calc:mul, animation:enhance_unit_all_attack04]</t>
    <phoneticPr fontId="22"/>
  </si>
  <si>
    <t>ディバイン･オラトリオ･ツイン</t>
    <phoneticPr fontId="22"/>
  </si>
  <si>
    <t>スノウ･スノウ･トゥインクル☆</t>
    <phoneticPr fontId="22"/>
  </si>
  <si>
    <t>[effect:force_change_block, new_block:crash, target:block_green, count:0, val:6, animation:change_block],[effect:force_change_block, new_block:crash, target:block_red, count:0, val:6, animation:change_block],[effect:enhance_unit, target:unit_yellow/unit_unknown/or, turn:2, status:defense, val:1440, calc:add, animation:enhance_unit_all_defense04]</t>
    <phoneticPr fontId="22"/>
  </si>
  <si>
    <t>HP大回復し、ハート無効解除+3ターンハートパネルの出現率大UP</t>
    <phoneticPr fontId="22"/>
  </si>
  <si>
    <t>[effect:cure, bad_status:dis_heart, animation:cure01],[effect:heal_ratio, val:2.625, animation:heal03],[effect:change_panel_ratio, turn:3, block_type:heal, val:0.6]</t>
    <phoneticPr fontId="22"/>
  </si>
  <si>
    <t>[effect:damage, target:enemy_one, color:yellow, val:1.35, animation:damage_one_yellow03],[effect:damage, target:enemy_one, color:green, val:1.35, animation:damage_one_green03]</t>
    <phoneticPr fontId="22"/>
  </si>
  <si>
    <t>[effect:force_change_block, new_block:block_blue, target:block_green, count:0, val:0, animation:change_block],[effect:enhance_unit, target:unit_blue, turn:3, status:action, val:1, calc:add, animation:enhance_unit_one_action01],[effect:enhance_unit, target:unit_blue, turn:3, status:attack, val:0.175, calc:mul, animation:enhance_unit_all_attack03]</t>
    <phoneticPr fontId="22"/>
  </si>
  <si>
    <t>[effect:cure, bad_status:dis_heart, animation:cure01],[effect:regenerate, turn:2, val:0.6, animation:heal_unit],[effect:enhance_unit, target:unit_all, turn:2, status:heal, val:0.45, calc:mul, animation:enhance_unit_all_heal04]</t>
    <phoneticPr fontId="22"/>
  </si>
  <si>
    <t>[effect:cure, bad_status:dis_heart, animation:cure01],[effect:regenerate, turn:3, val:0.6, animation:heal_unit],[effect:enhance_unit, target:unit_all, turn:3, status:heal, val:0.45, calc:mul, animation:enhance_unit_all_heal04]</t>
    <phoneticPr fontId="22"/>
  </si>
  <si>
    <t>[effect:force_change_block, new_block:crack_bomb, target:block_red, color:blue, count:0, val:12, animation:change_block],[effect:enhance_unit, target:unit_blue, turn:1, status:attack, val:0.21, calc:mul, animation:enhance_unit_all_attack04],[effect:enhance_unit, target:unit_blue, turn:1, status:heal, val:0.315, calc:mul, animation:enhance_unit_all_heal03]</t>
    <phoneticPr fontId="22"/>
  </si>
  <si>
    <t>[effect:force_change_block, new_block:crack_bomb, target:block_red, color:blue, count:0, val:12, animation:change_block],[effect:enhance_unit, target:unit_blue, turn:2, status:attack, val:0.21, calc:mul, animation:enhance_unit_all_attack04],[effect:enhance_unit, target:unit_blue, turn:2, status:heal, val:0.315, calc:mul, animation:enhance_unit_all_heal03]</t>
    <phoneticPr fontId="22"/>
  </si>
  <si>
    <t>[effect:force_change_block, new_block:block_yellow, target:block_red, count:0, val:0, animation:change_block],[effect:force_change_block, new_block:block_yellow, target:block_blue, count:0, val:0, animation:change_block],[effect:enhance_unit, target:unit_yellow, turn:1, status:attack, val:0.255, calc:mul, animation:enhance_unit_all_attack04]</t>
    <phoneticPr fontId="22"/>
  </si>
  <si>
    <t>[effect:force_change_block, new_block:block_yellow, target:block_red, count:0, val:0, animation:change_block],[effect:force_change_block, new_block:block_yellow, target:block_blue, count:0, val:0, animation:change_block],[effect:enhance_unit, target:unit_yellow, turn:1, status:attack, val:0.28, calc:mul, animation:enhance_unit_all_attack04]</t>
    <phoneticPr fontId="22"/>
  </si>
  <si>
    <t>マグネットパネル(赤→青)に1個、お邪魔・緑パネルをCパネルに変換+1ターン全ユニットの攻撃力を特大UP</t>
    <phoneticPr fontId="22"/>
  </si>
  <si>
    <t>[effect:damage, target:enemy_one, color:blue, val:2.25, animation:damage_one_blue04],[effect:enhance_unit, target:unit_all, turn:1, status:heal, val:0.015, calc:mul, animation:enhance_unit_all_heal01_unit01]</t>
    <phoneticPr fontId="22"/>
  </si>
  <si>
    <t>ランダムでパネルを最大3個SCパネルに、最大9個黄パネルに変換+2ターン全ユニットの回復力を特大UP</t>
    <phoneticPr fontId="22"/>
  </si>
  <si>
    <t>マグネットパネル(緑→黄→ハート→赤)1個、青をハート、赤を黄パネルに変換+1ターン全ユニットCパネル生成短縮超大</t>
    <phoneticPr fontId="22"/>
  </si>
  <si>
    <t>[effect:damage_anti_tribe, target:enemy_all, tribe:unknown, val1:2.0, val2:1, animation:damage_all_red04]</t>
    <phoneticPr fontId="22"/>
  </si>
  <si>
    <t>ランダムでパネルを最大5個Cパネル(大)に変換</t>
    <phoneticPr fontId="22"/>
  </si>
  <si>
    <t>[effect:force_change_block, new_block:crash, target:block_green, count:0, val:6, animation:change_block],[effect:force_change_block, new_block:crash, target:block_red, count:0, val:6, animation:change_block],[effect:enhance_unit, target:unit_yellow/unit_unknown/or, turn:2, status:defense, val:1920, calc:add, animation:enhance_unit_all_defense04]</t>
    <phoneticPr fontId="22"/>
  </si>
  <si>
    <t>赤・緑パネルをCパネルに変換+2ターン黄属性ユニットと種族Unknownの防御力を超大UP</t>
    <phoneticPr fontId="22"/>
  </si>
  <si>
    <t>1体に特大ダメージ+
HP回復</t>
    <phoneticPr fontId="22"/>
  </si>
  <si>
    <t>[effect:force_change_block, new_block:crash, target:block_blue, count:0, val:6, animation:change_block],[effect:force_change_block, new_block:crash, target:block_heart, count:0, val:6, animation:change_block],[effect:enhance_unit, target:unit_yellow/unit_unknown/or, turn:2, status:attack, val:0.28, calc:mul, animation:enhance_unit_all_attack04_unit01]</t>
    <phoneticPr fontId="22"/>
  </si>
  <si>
    <t>青・ハートパネルをCパネルに変換+2ターン黄属性ユニットと種族Unknownの攻撃力を超大UP</t>
    <phoneticPr fontId="22"/>
  </si>
  <si>
    <t>マグネットパネル(赤→青)に1個、お邪魔・緑パネルをCパネルに変換+2ターン全ユニットの攻撃力を超大UP</t>
    <phoneticPr fontId="22"/>
  </si>
  <si>
    <t>[effect:force_change_magnet, target:block_all, ignore01:crash, ignore02:crack_bomb, ignore03:color_break, color:block_red, count:1, red:1, green:0, blue:1, yellow:0, heart:0, reverse:0, turn:2, generate:0, animation:change_block],[effect:force_change_block, new_block:crash, target:jammer, count:0, val:6, animation:change_block],[effect:force_change_block, new_block:crash, target:block_green, count:0, val:6, animation:change_block],[effect:enhance_unit, target:unit_all, turn:2, status:attack, val:0.25, calc:mul, animation:enhance_unit_all_attack04]</t>
    <phoneticPr fontId="22"/>
  </si>
  <si>
    <t>マグネットパネル(緑→黄→ハート→赤)1個、青をハート、赤を黄パネルに変換+2ターン全ユニットCパネル生成短縮激烈</t>
    <phoneticPr fontId="22"/>
  </si>
  <si>
    <t>[effect:force_change_magnet, target:block_all, ignore01:crash, ignore02:crack_bomb, ignore03:color_break, color:block_green, count:1, red:1, green:1, blue:0, yellow:1, heart:1, reverse:0, turn:4, generate:0, animation:change_block],[effect:force_change_block, new_block:block_heart, target:block_blue, count:0, val:0, animation:change_block],[effect:force_change_block, new_block:block_yellow, target:block_red, count:0, val:0, animation:change_block],[effect:crash_condition, target:unit_all, turn:2, val:-12, animation:crash_panel_reduce04]</t>
    <phoneticPr fontId="22"/>
  </si>
  <si>
    <t>[effect:damage, target:enemy_one, color:yellow, val:1.5, animation:damage_one_yellow04],[effect:heal_ratio, val:0.18, animation:heal01_unit01]</t>
    <phoneticPr fontId="22"/>
  </si>
  <si>
    <t>黄・緑属性で
単体に2回大ダメージ</t>
    <phoneticPr fontId="22"/>
  </si>
  <si>
    <t>ハートパネルを黄パネル変換+1体にダメージ(赤・青・緑パネル吸収効果特大UP)+1ターン全ユニットCP生成短縮(特大)</t>
    <rPh sb="26" eb="27">
      <t>ミドr</t>
    </rPh>
    <phoneticPr fontId="22"/>
  </si>
  <si>
    <t>ハートパネルを黄パネル変換+1体にダメージ(赤・青・緑パネル吸収効果特大UP)+1ターン全ユニットCP生成短縮(激烈)</t>
    <rPh sb="26" eb="27">
      <t>ミドr</t>
    </rPh>
    <phoneticPr fontId="22"/>
  </si>
  <si>
    <t>[effect:force_change_block, new_block:block_yellow, target:block_heart, count:0, val:0, animation:change_block],[effect:break_attack, target:enemy_one, val:0.43, lowest_val:10000, count:-1, color:yellow, block01:block_red, block02:block_blue, block03:block_green, animation:damage_one_yellow04],[effect:crash_condition, target:unit_all, turn:1, val:-4, animation:crash_panel_reduce04]</t>
    <phoneticPr fontId="22"/>
  </si>
  <si>
    <t>[effect:force_change_block, new_block:block_yellow, target:block_heart, count:0, val:0, animation:change_block],[effect:break_attack, target:enemy_one, val:0.43, lowest_val:10000, count:-1, color:yellow, block01:block_red, block02:block_blue, block03:block_green, animation:damage_one_yellow04],[effect:crash_condition, target:unit_all, turn:1, val:-12, animation:crash_panel_reduce04]</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</si>
</sst>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b/>
      <sz val="10"/>
      <color theme="1"/>
      <name val="ＭＳ Ｐゴシック"/>
      <family val="3"/>
      <charset val="128"/>
      <scheme val="minor"/>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90">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3">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6" fillId="7" borderId="18" xfId="0" applyFont="1" applyFill="1" applyBorder="1" applyAlignment="1">
      <alignment horizontal="left" vertical="center"/>
    </xf>
    <xf numFmtId="0" fontId="13" fillId="29" borderId="4" xfId="0" applyFont="1" applyFill="1" applyBorder="1" applyAlignment="1">
      <alignment horizontal="left" vertical="center" wrapText="1"/>
    </xf>
    <xf numFmtId="0" fontId="14" fillId="29" borderId="4" xfId="0" applyFont="1" applyFill="1" applyBorder="1" applyAlignment="1">
      <alignment horizontal="left" vertical="center" wrapText="1"/>
    </xf>
    <xf numFmtId="0" fontId="13" fillId="29" borderId="4" xfId="0" applyFont="1" applyFill="1" applyBorder="1" applyAlignment="1">
      <alignment vertical="center"/>
    </xf>
    <xf numFmtId="0" fontId="29" fillId="29" borderId="4" xfId="0" applyFont="1" applyFill="1" applyBorder="1" applyAlignment="1">
      <alignment vertical="center"/>
    </xf>
    <xf numFmtId="0" fontId="16" fillId="14" borderId="4" xfId="0" applyFont="1" applyFill="1" applyBorder="1" applyAlignment="1">
      <alignment horizontal="left" vertical="center"/>
    </xf>
  </cellXfs>
  <cellStyles count="4590">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赤字強調" xfId="4"/>
    <cellStyle name="青字強調" xfId="3"/>
  </cellStyles>
  <dxfs count="107">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row r="1">
          <cell r="G1" t="str">
            <v>condition</v>
          </cell>
        </row>
      </sheetData>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E20" sqref="E20"/>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321</v>
      </c>
      <c r="B2" s="105" t="s">
        <v>129</v>
      </c>
      <c r="C2" s="162" t="s">
        <v>314</v>
      </c>
      <c r="D2" s="105" t="s">
        <v>128</v>
      </c>
      <c r="E2" s="104" t="str">
        <f>B2&amp;C2&amp;D2</f>
        <v>units_Miku2017.tmp</v>
      </c>
      <c r="F2" s="105" t="s">
        <v>124</v>
      </c>
      <c r="G2" s="59" t="s">
        <v>17</v>
      </c>
      <c r="H2" s="60" t="s">
        <v>96</v>
      </c>
      <c r="I2" s="60" t="s">
        <v>1</v>
      </c>
      <c r="J2" s="60" t="s">
        <v>3</v>
      </c>
      <c r="K2" s="60" t="s">
        <v>2</v>
      </c>
      <c r="L2" s="60" t="s">
        <v>98</v>
      </c>
      <c r="M2" s="60" t="s">
        <v>20</v>
      </c>
      <c r="N2" s="60" t="s">
        <v>103</v>
      </c>
      <c r="O2" s="60" t="s">
        <v>101</v>
      </c>
      <c r="P2" s="60" t="s">
        <v>39</v>
      </c>
      <c r="Q2" s="60" t="s">
        <v>57</v>
      </c>
      <c r="R2" s="105" t="s">
        <v>324</v>
      </c>
      <c r="S2" s="105"/>
      <c r="T2" s="105"/>
      <c r="U2" s="105"/>
      <c r="V2" s="105"/>
      <c r="W2" s="105"/>
    </row>
    <row r="3" spans="1:29" x14ac:dyDescent="0.15">
      <c r="A3" s="105" t="s">
        <v>321</v>
      </c>
      <c r="B3" s="105" t="s">
        <v>292</v>
      </c>
      <c r="C3" s="162" t="s">
        <v>314</v>
      </c>
      <c r="D3" s="105" t="s">
        <v>128</v>
      </c>
      <c r="E3" s="104" t="str">
        <f>B3&amp;C3&amp;D3</f>
        <v>fork_awake_units_Miku2017.tmp</v>
      </c>
      <c r="F3" s="105" t="s">
        <v>293</v>
      </c>
      <c r="G3" s="59" t="s">
        <v>17</v>
      </c>
      <c r="H3" s="60" t="s">
        <v>294</v>
      </c>
      <c r="I3" s="60" t="s">
        <v>295</v>
      </c>
      <c r="J3" s="60" t="s">
        <v>296</v>
      </c>
      <c r="K3" s="108"/>
      <c r="L3" s="108"/>
      <c r="M3" s="108"/>
      <c r="N3" s="108"/>
      <c r="O3" s="108"/>
      <c r="P3" s="108"/>
      <c r="Q3" s="108"/>
      <c r="R3" s="108"/>
      <c r="S3" s="108"/>
      <c r="T3" s="108"/>
      <c r="U3" s="108"/>
      <c r="V3" s="108"/>
      <c r="W3" s="108"/>
    </row>
    <row r="4" spans="1:29" x14ac:dyDescent="0.15">
      <c r="A4" s="105" t="s">
        <v>321</v>
      </c>
      <c r="B4" s="105" t="s">
        <v>130</v>
      </c>
      <c r="C4" s="162" t="s">
        <v>314</v>
      </c>
      <c r="D4" s="105" t="s">
        <v>128</v>
      </c>
      <c r="E4" s="104" t="str">
        <f>B4&amp;C4&amp;D4</f>
        <v>awake_materials_Miku2017.tmp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321</v>
      </c>
      <c r="B5" s="105" t="s">
        <v>291</v>
      </c>
      <c r="C5" s="162" t="s">
        <v>314</v>
      </c>
      <c r="D5" s="105" t="s">
        <v>128</v>
      </c>
      <c r="E5" s="104" t="str">
        <f>B5&amp;C5&amp;D5</f>
        <v>fork_awake_materials_Miku2017.tmp</v>
      </c>
      <c r="F5" s="105" t="s">
        <v>123</v>
      </c>
      <c r="G5" s="181" t="s">
        <v>297</v>
      </c>
      <c r="H5" s="181" t="s">
        <v>298</v>
      </c>
      <c r="I5" s="181" t="s">
        <v>36</v>
      </c>
      <c r="J5" s="181" t="s">
        <v>37</v>
      </c>
      <c r="K5" s="181" t="s">
        <v>299</v>
      </c>
      <c r="L5" s="181" t="s">
        <v>300</v>
      </c>
      <c r="M5" s="108"/>
      <c r="N5" s="108"/>
      <c r="O5" s="108"/>
      <c r="P5" s="108"/>
      <c r="Q5" s="108"/>
      <c r="R5" s="108"/>
      <c r="S5" s="108"/>
      <c r="T5" s="108"/>
      <c r="U5" s="108"/>
      <c r="V5" s="108"/>
      <c r="W5" s="108"/>
    </row>
    <row r="6" spans="1:29" x14ac:dyDescent="0.15">
      <c r="A6" s="105" t="s">
        <v>321</v>
      </c>
      <c r="B6" s="105" t="s">
        <v>131</v>
      </c>
      <c r="C6" s="162" t="s">
        <v>314</v>
      </c>
      <c r="D6" s="105" t="s">
        <v>132</v>
      </c>
      <c r="E6" s="104" t="str">
        <f t="shared" ref="E6" si="0">B6&amp;C6&amp;D6</f>
        <v>unit_levels_calc_Miku2017.tmp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321</v>
      </c>
      <c r="B7" s="105" t="s">
        <v>143</v>
      </c>
      <c r="C7" s="162" t="s">
        <v>314</v>
      </c>
      <c r="D7" s="105" t="s">
        <v>144</v>
      </c>
      <c r="E7" s="104" t="str">
        <f>B7&amp;C7&amp;D7</f>
        <v>unit_skills_data_Miku2017.tmp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321</v>
      </c>
      <c r="B8" s="105" t="s">
        <v>149</v>
      </c>
      <c r="C8" s="162" t="s">
        <v>314</v>
      </c>
      <c r="D8" s="105" t="s">
        <v>128</v>
      </c>
      <c r="E8" s="104" t="str">
        <f>B8&amp;C8&amp;D8</f>
        <v>unit_skills_i18n_Miku2017.tmp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321</v>
      </c>
      <c r="B9" s="105" t="s">
        <v>153</v>
      </c>
      <c r="C9" s="162" t="s">
        <v>314</v>
      </c>
      <c r="D9" s="105" t="s">
        <v>154</v>
      </c>
      <c r="E9" s="104" t="str">
        <f>B9&amp;C9&amp;D9</f>
        <v>crash_skills_data_Miku2017.tmp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321</v>
      </c>
      <c r="B10" s="105" t="s">
        <v>157</v>
      </c>
      <c r="C10" s="162" t="s">
        <v>314</v>
      </c>
      <c r="D10" s="105" t="s">
        <v>158</v>
      </c>
      <c r="E10" s="104" t="str">
        <f t="shared" ref="E10" si="1">B10&amp;C10&amp;D10</f>
        <v>crash_skills_i18n_Miku2017.tmp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321</v>
      </c>
      <c r="B11" s="108" t="s">
        <v>135</v>
      </c>
      <c r="C11" s="162" t="s">
        <v>314</v>
      </c>
      <c r="D11" s="105" t="s">
        <v>158</v>
      </c>
      <c r="E11" s="104" t="str">
        <f t="shared" ref="E11:E12" si="2">B11&amp;C11&amp;D11</f>
        <v>unit_serifs_data_Miku2017.tmp</v>
      </c>
      <c r="F11" s="108" t="s">
        <v>137</v>
      </c>
      <c r="G11" s="111" t="s">
        <v>138</v>
      </c>
      <c r="H11" s="112" t="s">
        <v>139</v>
      </c>
      <c r="I11" s="112" t="s">
        <v>133</v>
      </c>
      <c r="J11" s="110" t="s">
        <v>189</v>
      </c>
      <c r="K11" s="105"/>
      <c r="L11" s="105"/>
      <c r="M11" s="105"/>
      <c r="N11" s="105"/>
      <c r="O11" s="105"/>
      <c r="P11" s="105"/>
      <c r="Q11" s="105"/>
      <c r="R11" s="105"/>
      <c r="S11" s="105"/>
      <c r="T11" s="105"/>
      <c r="U11" s="105"/>
      <c r="V11" s="105"/>
      <c r="W11" s="105"/>
    </row>
    <row r="12" spans="1:29" x14ac:dyDescent="0.15">
      <c r="A12" s="105" t="s">
        <v>321</v>
      </c>
      <c r="B12" s="108" t="s">
        <v>136</v>
      </c>
      <c r="C12" s="162" t="s">
        <v>314</v>
      </c>
      <c r="D12" s="105" t="s">
        <v>158</v>
      </c>
      <c r="E12" s="104" t="str">
        <f t="shared" si="2"/>
        <v>unit_serifs_i18n_Miku2017.tmp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321</v>
      </c>
      <c r="B13" s="105" t="s">
        <v>319</v>
      </c>
      <c r="C13" s="162" t="s">
        <v>314</v>
      </c>
      <c r="D13" s="105" t="s">
        <v>252</v>
      </c>
      <c r="E13" s="104" t="str">
        <f>B13&amp;C13&amp;D13</f>
        <v>abilities_tmp_Miku2017.tmp</v>
      </c>
      <c r="F13" s="105" t="s">
        <v>253</v>
      </c>
      <c r="G13" s="163" t="s">
        <v>254</v>
      </c>
      <c r="H13" s="163" t="s">
        <v>255</v>
      </c>
      <c r="I13" s="163" t="s">
        <v>256</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321</v>
      </c>
      <c r="B14" s="105" t="s">
        <v>257</v>
      </c>
      <c r="C14" s="162" t="s">
        <v>314</v>
      </c>
      <c r="D14" s="105" t="s">
        <v>128</v>
      </c>
      <c r="E14" s="104" t="str">
        <f>B14&amp;C14&amp;D14</f>
        <v>abilities_i18n_Miku2017.tmp</v>
      </c>
      <c r="F14" s="105" t="s">
        <v>258</v>
      </c>
      <c r="G14" s="163" t="s">
        <v>254</v>
      </c>
      <c r="H14" s="163" t="s">
        <v>141</v>
      </c>
      <c r="I14" s="163" t="s">
        <v>259</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321</v>
      </c>
      <c r="B15" s="105" t="s">
        <v>260</v>
      </c>
      <c r="C15" s="162" t="s">
        <v>314</v>
      </c>
      <c r="D15" s="105" t="s">
        <v>128</v>
      </c>
      <c r="E15" s="104" t="str">
        <f>B15&amp;C15&amp;D15</f>
        <v>unit_abilities_Miku2017.tmp</v>
      </c>
      <c r="F15" s="105" t="s">
        <v>261</v>
      </c>
      <c r="G15" s="163" t="s">
        <v>138</v>
      </c>
      <c r="H15" s="165" t="s">
        <v>262</v>
      </c>
      <c r="I15" s="165" t="s">
        <v>263</v>
      </c>
      <c r="J15" s="166" t="s">
        <v>264</v>
      </c>
      <c r="K15" s="163" t="s">
        <v>265</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0"/>
  <sheetViews>
    <sheetView showGridLines="0" workbookViewId="0">
      <pane xSplit="9" ySplit="1" topLeftCell="BC8" activePane="bottomRight" state="frozen"/>
      <selection pane="topRight" activeCell="J1" sqref="J1"/>
      <selection pane="bottomLeft" activeCell="A3" sqref="A3"/>
      <selection pane="bottomRight" activeCell="H20" sqref="H20"/>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322</v>
      </c>
    </row>
    <row r="2" spans="1:70" ht="26" customHeight="1" x14ac:dyDescent="0.15">
      <c r="A2" s="186">
        <v>1295</v>
      </c>
      <c r="B2" s="53" t="str">
        <f ca="1">VLOOKUP($A2,OFFSET([1]characters!$A$1,0,0,COUNTA([1]characters!$A:$A),MATCH(B$1,[1]characters!$1:$1,0)-MATCH($A$1,[1]characters!$1:$1,0)+1),MATCH(B$1,[1]characters!$1:$1,0)-MATCH($A$1,[1]characters!$1:$1,0)+1,FALSE)</f>
        <v>星空の舞奏 ラビット・ユキネ</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blue</v>
      </c>
      <c r="J2" s="10">
        <f ca="1">VLOOKUP(I2,[1]属性!$A:$E,2,FALSE)</f>
        <v>1</v>
      </c>
      <c r="K2" s="10">
        <f ca="1">VLOOKUP(I2,[1]属性!$A:$E,3,FALSE)</f>
        <v>0.98</v>
      </c>
      <c r="L2" s="10">
        <f ca="1">VLOOKUP(I2,[1]属性!$A:$E,4,FALSE)</f>
        <v>1</v>
      </c>
      <c r="M2" s="10">
        <f ca="1">VLOOKUP(I2,[1]属性!$A:$E,5,FALSE)</f>
        <v>1.02</v>
      </c>
      <c r="N2" s="10">
        <f ca="1">INDEX(コスト!$A$1:$I$21,MATCH(H2,コスト!$A$1:$A$21,FALSE),MATCH(G2,コスト!$A$1:$I$1,FALSE))</f>
        <v>30</v>
      </c>
      <c r="O2" s="10">
        <f ca="1">INDEX(レベル!$A$1:$I$22,MATCH(H2,レベル!$A$1:$A$22,FALSE),MATCH(G2,レベル!$A$1:$I$1,FALSE))</f>
        <v>80</v>
      </c>
      <c r="P2" s="44">
        <v>50</v>
      </c>
      <c r="Q2" s="53" t="str">
        <f ca="1">VLOOKUP($A2,OFFSET([1]characters!$A$1,0,0,COUNTA([1]characters!$A:$A),MATCH(Q$1,[1]characters!$1:$1,0)-MATCH($A$1,[1]characters!$1:$1,0)+1),MATCH(Q$1,[1]characters!$1:$1,0)-MATCH($A$1,[1]characters!$1:$1,0)+1,FALSE)</f>
        <v>balance</v>
      </c>
      <c r="R2" s="5" t="str">
        <f ca="1">VLOOKUP(Q2,[1]character_type_i18n!$A:$H,3,FALSE)</f>
        <v>バランスタイプ</v>
      </c>
      <c r="S2" s="10">
        <f ca="1">VLOOKUP(Q2,[1]character_type_i18n!$A:$H,4,FALSE)</f>
        <v>1</v>
      </c>
      <c r="T2" s="10">
        <f ca="1">VLOOKUP(Q2,[1]character_type_i18n!$A:$H,5,FALSE)</f>
        <v>1</v>
      </c>
      <c r="U2" s="10">
        <f ca="1">VLOOKUP(Q2,[1]character_type_i18n!$A:$H,6,FALSE)</f>
        <v>1</v>
      </c>
      <c r="V2" s="10">
        <f ca="1">VLOOKUP(Q2,[1]character_type_i18n!$A:$H,7,FALSE)</f>
        <v>1</v>
      </c>
      <c r="W2" s="53" t="str">
        <f ca="1">VLOOKUP($A2,OFFSET([1]characters!$A$1,0,0,COUNTA([1]characters!$A:$A),MATCH(W$1,[1]characters!$1:$1,0)-MATCH($A$1,[1]characters!$1:$1,0)+1),MATCH(W$1,[1]characters!$1:$1,0)-MATCH($A$1,[1]characters!$1:$1,0)+1,FALSE)</f>
        <v>unknown</v>
      </c>
      <c r="X2" s="5" t="str">
        <f ca="1">VLOOKUP(W2,[1]character_tribe_i18n!$A:$H,3,FALSE)</f>
        <v>Unknown</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1</v>
      </c>
      <c r="AB2" s="10">
        <f ca="1">VLOOKUP(W2,[1]character_tribe_i18n!$A:$H,5,FALSE)</f>
        <v>1</v>
      </c>
      <c r="AC2" s="10">
        <f ca="1">VLOOKUP(W2,[1]character_tribe_i18n!$A:$H,6,FALSE)</f>
        <v>1</v>
      </c>
      <c r="AD2" s="10">
        <f ca="1">VLOOKUP(W2,[1]character_tribe_i18n!$A:$H,7,FALSE)</f>
        <v>1</v>
      </c>
      <c r="AE2" s="187">
        <v>1296</v>
      </c>
      <c r="AF2" s="58" t="str">
        <f ca="1">IF(AE2="NULL","",VLOOKUP($AE2,OFFSET([1]characters!$A$1,0,0,COUNTA([1]characters!$A:$A),MATCH(AF$1,[1]characters!$1:$1,0)-MATCH($A$1,[1]characters!$1:$1,0)+1),MATCH(AF$1,[1]characters!$1:$1,0)-MATCH($A$1,[1]characters!$1:$1,0)+1,FALSE))</f>
        <v>星々駆ける乱奏 ラビット・ユキネ</v>
      </c>
      <c r="AG2" s="187">
        <v>1295</v>
      </c>
      <c r="AH2" s="58" t="str">
        <f ca="1">VLOOKUP($AG2,OFFSET([1]characters!$A$1,0,0,COUNTA([1]characters!$A:$A),MATCH(AH$1,[1]characters!$1:$1,0)-MATCH($A$1,[1]characters!$1:$1,0)+1),MATCH(AH$1,[1]characters!$1:$1,0)-MATCH($A$1,[1]characters!$1:$1,0)+1,FALSE)</f>
        <v>星空の舞奏 ラビット・ユキネ</v>
      </c>
      <c r="AI2" s="10">
        <f ca="1">IF(AE2="NULL","NULL",VLOOKUP(G2,ビット!$A$2:$B$7,2))</f>
        <v>200000</v>
      </c>
      <c r="AJ2" s="6">
        <v>2</v>
      </c>
      <c r="AK2" s="7" t="str">
        <f t="shared" ref="AK2:AK3" si="0">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1295</v>
      </c>
      <c r="AQ2" s="53" t="str">
        <f ca="1">VLOOKUP($AP2,OFFSET(unit_skills!$A$1,0,0,COUNTA(unit_skills!$A:$A),MATCH(AQ$1,unit_skills!$1:$1,0)-MATCH($AP$1,unit_skills!$1:$1,0)+1),MATCH(AQ$1,unit_skills!$1:$1,0)-MATCH($AP$1,unit_skills!$1:$1,0)+1,FALSE)</f>
        <v>ラビット・スター</v>
      </c>
      <c r="AR2" s="53" t="str">
        <f ca="1">VLOOKUP($AP2,OFFSET(unit_skills!$A$1,0,0,COUNTA(unit_skills!$A:$A),MATCH(AR$1,unit_skills!$1:$1,0)-MATCH($AP$1,unit_skills!$1:$1,0)+1),MATCH(AR$1,unit_skills!$1:$1,0)-MATCH($AP$1,unit_skills!$1:$1,0)+1,FALSE)</f>
        <v>ランダムでパネルを最大5個Cパネル(大)に変換</v>
      </c>
      <c r="AS2" s="53">
        <f ca="1">VLOOKUP($AP2,OFFSET(unit_skills!$A$1,0,0,COUNTA(unit_skills!$A:$A),MATCH(AS$1,unit_skills!$1:$1,0)-MATCH($AP$1,unit_skills!$1:$1,0)+1),MATCH(AS$1,unit_skills!$1:$1,0)-MATCH($AP$1,unit_skills!$1:$1,0)+1,FALSE)</f>
        <v>0</v>
      </c>
      <c r="AT2" s="63">
        <v>1295</v>
      </c>
      <c r="AU2" s="53" t="str">
        <f ca="1">VLOOKUP($AT2,OFFSET(crash_skills!$A$1,0,0,COUNTA(crash_skills!$A:$A),MATCH(AU$1,crash_skills!$1:$1,0)-MATCH($AT$1,crash_skills!$1:$1,0)+1),MATCH(AU$1,crash_skills!$1:$1,0)-MATCH($AT$1,crash_skills!$1:$1,0)+1,FALSE)</f>
        <v>ユキネ・メテオ</v>
      </c>
      <c r="AV2" s="53" t="str">
        <f ca="1">VLOOKUP($AT2,OFFSET(crash_skills!$A$1,0,0,COUNTA(crash_skills!$A:$A),MATCH(AV$1,crash_skills!$1:$1,0)-MATCH($AT$1,crash_skills!$1:$1,0)+1),MATCH(AV$1,crash_skills!$1:$1,0)-MATCH($AT$1,crash_skills!$1:$1,0)+1,FALSE)</f>
        <v>1体に特大ダメージ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v>
      </c>
      <c r="AZ2" s="64">
        <v>1</v>
      </c>
      <c r="BA2" s="64">
        <v>0</v>
      </c>
      <c r="BB2" s="64">
        <v>1</v>
      </c>
      <c r="BC2" s="10">
        <f ca="1">INDEX('RC6SV'!$A$1:$G$21,MATCH(H2,'RC6SV'!$A$1:$A$21,FALSE),MATCH(G2,'RC6SV'!$A$1:$G$1,FALSE))</f>
        <v>9000</v>
      </c>
      <c r="BD2" s="44">
        <f t="shared" ref="BD2:BD3" ca="1" si="1">ROUND(BC2*IF(AJ2=1,0.95,IF(AJ2=2,1,IF(AJ2,1.05,0))),0)</f>
        <v>9000</v>
      </c>
      <c r="BE2" s="10">
        <f t="shared" ref="BE2:BE30" ca="1" si="2">ROUND(IFERROR(INDIRECT(ADDRESS(MATCH($A2,$AE:$AE,0),MATCH($BC$1,$1:$1,0))),0),0)</f>
        <v>0</v>
      </c>
      <c r="BF2" s="10">
        <f t="shared" ref="BF2:BF30" ca="1" si="3">ROUND(IFERROR(INDIRECT(ADDRESS(MATCH($A2,$AE:$AE,0),10)),INDIRECT(ADDRESS(MATCH($A2,$A:$A,0),10))),0)</f>
        <v>1</v>
      </c>
      <c r="BG2" s="15">
        <f ca="1">IF($BE2&lt;=0,ROUND(BK2*0.5,0), ROUND($BE2*S2*AA2*J2*AY2*0.8*[1]ステータス!$B$2,0))</f>
        <v>2250</v>
      </c>
      <c r="BH2" s="15">
        <f ca="1">IF($BE2&lt;=0,ROUND(BL2*0.5,0), ROUND($BE2*T2*AB2*K2*AZ2*0.8*[1]ステータス!$C$2,0))</f>
        <v>1323</v>
      </c>
      <c r="BI2" s="15">
        <f ca="1">IF($BE2&lt;=0,ROUND(BM2*0.5,0), ROUND($BE2*U2*AC2*L2*BA2*0.8*[1]ステータス!$D$2,0))</f>
        <v>0</v>
      </c>
      <c r="BJ2" s="15">
        <f ca="1">IF($BE2&lt;=0,ROUND(BN2*0.5,0), ROUND($BE2*V2*AD2*M2*BB2*0.8*[1]ステータス!$E$2,0))</f>
        <v>1148</v>
      </c>
      <c r="BK2" s="10">
        <f ca="1">ROUND(BD2*S2*AA2*J2*AY2*[1]ステータス!$B$2,0)</f>
        <v>4500</v>
      </c>
      <c r="BL2" s="10">
        <f ca="1">ROUND(BD2*T2*AB2*K2*AZ2*[1]ステータス!$C$2,0)</f>
        <v>2646</v>
      </c>
      <c r="BM2" s="10">
        <f ca="1">ROUND(BD2*U2*AC2*L2*BA2*[1]ステータス!$D$2,0)</f>
        <v>0</v>
      </c>
      <c r="BN2" s="10">
        <f ca="1">ROUND(BD2*V2*AD2*M2*BB2*[1]ステータス!$E$2,0)</f>
        <v>2295</v>
      </c>
      <c r="BO2" s="9">
        <v>0</v>
      </c>
      <c r="BP2" s="9">
        <v>1</v>
      </c>
      <c r="BQ2" s="36" t="s">
        <v>47</v>
      </c>
      <c r="BR2" s="9">
        <f ca="1">VLOOKUP(H2,ghosts_label!$A$2:$B$19,2,FALSE)</f>
        <v>1</v>
      </c>
    </row>
    <row r="3" spans="1:70" ht="26" customHeight="1" x14ac:dyDescent="0.15">
      <c r="A3" s="186">
        <v>1296</v>
      </c>
      <c r="B3" s="53" t="str">
        <f ca="1">VLOOKUP($A3,OFFSET([1]characters!$A$1,0,0,COUNTA([1]characters!$A:$A),MATCH(B$1,[1]characters!$1:$1,0)-MATCH($A$1,[1]characters!$1:$1,0)+1),MATCH(B$1,[1]characters!$1:$1,0)-MATCH($A$1,[1]characters!$1:$1,0)+1,FALSE)</f>
        <v>星々駆ける乱奏 ラビット・ユキネ</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blue</v>
      </c>
      <c r="J3" s="10">
        <f ca="1">VLOOKUP(I3,[1]属性!$A:$E,2,FALSE)</f>
        <v>1</v>
      </c>
      <c r="K3" s="10">
        <f ca="1">VLOOKUP(I3,[1]属性!$A:$E,3,FALSE)</f>
        <v>0.98</v>
      </c>
      <c r="L3" s="10">
        <f ca="1">VLOOKUP(I3,[1]属性!$A:$E,4,FALSE)</f>
        <v>1</v>
      </c>
      <c r="M3" s="10">
        <f ca="1">VLOOKUP(I3,[1]属性!$A:$E,5,FALSE)</f>
        <v>1.02</v>
      </c>
      <c r="N3" s="10">
        <f ca="1">INDEX(コスト!$A$1:$I$21,MATCH(H3,コスト!$A$1:$A$21,FALSE),MATCH(G3,コスト!$A$1:$I$1,FALSE))</f>
        <v>45</v>
      </c>
      <c r="O3" s="10">
        <f ca="1">INDEX(レベル!$A$1:$I$22,MATCH(H3,レベル!$A$1:$A$22,FALSE),MATCH(G3,レベル!$A$1:$I$1,FALSE))</f>
        <v>99</v>
      </c>
      <c r="P3" s="44">
        <v>50</v>
      </c>
      <c r="Q3" s="53" t="str">
        <f ca="1">VLOOKUP($A3,OFFSET([1]characters!$A$1,0,0,COUNTA([1]characters!$A:$A),MATCH(Q$1,[1]characters!$1:$1,0)-MATCH($A$1,[1]characters!$1:$1,0)+1),MATCH(Q$1,[1]characters!$1:$1,0)-MATCH($A$1,[1]characters!$1:$1,0)+1,FALSE)</f>
        <v>balance</v>
      </c>
      <c r="R3" s="5" t="str">
        <f ca="1">VLOOKUP(Q3,[1]character_type_i18n!$A:$H,3,FALSE)</f>
        <v>バランスタイプ</v>
      </c>
      <c r="S3" s="10">
        <f ca="1">VLOOKUP(Q3,[1]character_type_i18n!$A:$H,4,FALSE)</f>
        <v>1</v>
      </c>
      <c r="T3" s="10">
        <f ca="1">VLOOKUP(Q3,[1]character_type_i18n!$A:$H,5,FALSE)</f>
        <v>1</v>
      </c>
      <c r="U3" s="10">
        <f ca="1">VLOOKUP(Q3,[1]character_type_i18n!$A:$H,6,FALSE)</f>
        <v>1</v>
      </c>
      <c r="V3" s="10">
        <f ca="1">VLOOKUP(Q3,[1]character_type_i18n!$A:$H,7,FALSE)</f>
        <v>1</v>
      </c>
      <c r="W3" s="53" t="str">
        <f ca="1">VLOOKUP($A3,OFFSET([1]characters!$A$1,0,0,COUNTA([1]characters!$A:$A),MATCH(W$1,[1]characters!$1:$1,0)-MATCH($A$1,[1]characters!$1:$1,0)+1),MATCH(W$1,[1]characters!$1:$1,0)-MATCH($A$1,[1]characters!$1:$1,0)+1,FALSE)</f>
        <v>unknown</v>
      </c>
      <c r="X3" s="5" t="str">
        <f ca="1">VLOOKUP(W3,[1]character_tribe_i18n!$A:$H,3,FALSE)</f>
        <v>Unknown</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1</v>
      </c>
      <c r="AB3" s="10">
        <f ca="1">VLOOKUP(W3,[1]character_tribe_i18n!$A:$H,5,FALSE)</f>
        <v>1</v>
      </c>
      <c r="AC3" s="10">
        <f ca="1">VLOOKUP(W3,[1]character_tribe_i18n!$A:$H,6,FALSE)</f>
        <v>1</v>
      </c>
      <c r="AD3" s="10">
        <f ca="1">VLOOKUP(W3,[1]character_tribe_i18n!$A:$H,7,FALSE)</f>
        <v>1</v>
      </c>
      <c r="AE3" s="187" t="s">
        <v>318</v>
      </c>
      <c r="AF3" s="58" t="str">
        <f ca="1">IF(AE3="NULL","",VLOOKUP($AE3,OFFSET([1]characters!$A$1,0,0,COUNTA([1]characters!$A:$A),MATCH(AF$1,[1]characters!$1:$1,0)-MATCH($A$1,[1]characters!$1:$1,0)+1),MATCH(AF$1,[1]characters!$1:$1,0)-MATCH($A$1,[1]characters!$1:$1,0)+1,FALSE))</f>
        <v/>
      </c>
      <c r="AG3" s="187">
        <v>1295</v>
      </c>
      <c r="AH3" s="58" t="str">
        <f ca="1">VLOOKUP($AG3,OFFSET([1]characters!$A$1,0,0,COUNTA([1]characters!$A:$A),MATCH(AH$1,[1]characters!$1:$1,0)-MATCH($A$1,[1]characters!$1:$1,0)+1),MATCH(AH$1,[1]characters!$1:$1,0)-MATCH($A$1,[1]characters!$1:$1,0)+1,FALSE)</f>
        <v>星空の舞奏 ラビット・ユキネ</v>
      </c>
      <c r="AI3" s="10" t="str">
        <f>IF(AE3="NULL","NULL",VLOOKUP(G3,ビット!$A$2:$B$7,2))</f>
        <v>NULL</v>
      </c>
      <c r="AJ3" s="6">
        <v>2</v>
      </c>
      <c r="AK3" s="7" t="str">
        <f t="shared" si="0"/>
        <v>普通</v>
      </c>
      <c r="AL3" s="10" t="str">
        <f ca="1">INDEX(経験値!$A$1:$I$21,MATCH(H3,経験値!$A$1:$A$21,FALSE),MATCH(G3,経験値!$A$1:$I$1,FALSE))</f>
        <v>required_exp_250</v>
      </c>
      <c r="AM3" s="8">
        <f ca="1">VLOOKUP(G3,経験値!$A$28:$B$32,2)</f>
        <v>6400</v>
      </c>
      <c r="AN3" s="16">
        <f ca="1">VLOOKUP(G3,ビット!$G$2:$H$7,2)</f>
        <v>900</v>
      </c>
      <c r="AO3" s="41"/>
      <c r="AP3" s="63">
        <v>1296</v>
      </c>
      <c r="AQ3" s="53" t="str">
        <f ca="1">VLOOKUP($AP3,OFFSET(unit_skills!$A$1,0,0,COUNTA(unit_skills!$A:$A),MATCH(AQ$1,unit_skills!$1:$1,0)-MATCH($AP$1,unit_skills!$1:$1,0)+1),MATCH(AQ$1,unit_skills!$1:$1,0)-MATCH($AP$1,unit_skills!$1:$1,0)+1,FALSE)</f>
        <v>ラビット・スターライト</v>
      </c>
      <c r="AR3" s="53" t="str">
        <f ca="1">VLOOKUP($AP3,OFFSET(unit_skills!$A$1,0,0,COUNTA(unit_skills!$A:$A),MATCH(AR$1,unit_skills!$1:$1,0)-MATCH($AP$1,unit_skills!$1:$1,0)+1),MATCH(AR$1,unit_skills!$1:$1,0)-MATCH($AP$1,unit_skills!$1:$1,0)+1,FALSE)</f>
        <v>ランダムでパネルを最大8個Cパネル(大)に変換</v>
      </c>
      <c r="AS3" s="53">
        <f ca="1">VLOOKUP($AP3,OFFSET(unit_skills!$A$1,0,0,COUNTA(unit_skills!$A:$A),MATCH(AS$1,unit_skills!$1:$1,0)-MATCH($AP$1,unit_skills!$1:$1,0)+1),MATCH(AS$1,unit_skills!$1:$1,0)-MATCH($AP$1,unit_skills!$1:$1,0)+1,FALSE)</f>
        <v>0</v>
      </c>
      <c r="AT3" s="63">
        <v>1296</v>
      </c>
      <c r="AU3" s="53" t="str">
        <f ca="1">VLOOKUP($AT3,OFFSET(crash_skills!$A$1,0,0,COUNTA(crash_skills!$A:$A),MATCH(AU$1,crash_skills!$1:$1,0)-MATCH($AT$1,crash_skills!$1:$1,0)+1),MATCH(AU$1,crash_skills!$1:$1,0)-MATCH($AT$1,crash_skills!$1:$1,0)+1,FALSE)</f>
        <v>ユキネ・メテオ</v>
      </c>
      <c r="AV3" s="53" t="str">
        <f ca="1">VLOOKUP($AT3,OFFSET(crash_skills!$A$1,0,0,COUNTA(crash_skills!$A:$A),MATCH(AV$1,crash_skills!$1:$1,0)-MATCH($AT$1,crash_skills!$1:$1,0)+1),MATCH(AV$1,crash_skills!$1:$1,0)-MATCH($AT$1,crash_skills!$1:$1,0)+1,FALSE)</f>
        <v>1体に特大ダメージ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v>
      </c>
      <c r="AZ3" s="64">
        <v>1</v>
      </c>
      <c r="BA3" s="64">
        <v>0</v>
      </c>
      <c r="BB3" s="64">
        <v>1</v>
      </c>
      <c r="BC3" s="10">
        <f ca="1">INDEX('RC6SV'!$A$1:$G$21,MATCH(H3,'RC6SV'!$A$1:$A$21,FALSE),MATCH(G3,'RC6SV'!$A$1:$G$1,FALSE))</f>
        <v>12000</v>
      </c>
      <c r="BD3" s="44">
        <f t="shared" ca="1" si="1"/>
        <v>12000</v>
      </c>
      <c r="BE3" s="10">
        <f t="shared" ca="1" si="2"/>
        <v>9000</v>
      </c>
      <c r="BF3" s="10">
        <f t="shared" ca="1" si="3"/>
        <v>1</v>
      </c>
      <c r="BG3" s="15">
        <f ca="1">IF($BE3&lt;=0,ROUND(BK3*0.5,0), ROUND($BE3*S3*AA3*J3*AY3*0.8*[1]ステータス!$B$2,0))</f>
        <v>3600</v>
      </c>
      <c r="BH3" s="15">
        <f ca="1">IF($BE3&lt;=0,ROUND(BL3*0.5,0), ROUND($BE3*T3*AB3*K3*AZ3*0.8*[1]ステータス!$C$2,0))</f>
        <v>2117</v>
      </c>
      <c r="BI3" s="15">
        <f ca="1">IF($BE3&lt;=0,ROUND(BM3*0.5,0), ROUND($BE3*U3*AC3*L3*BA3*0.8*[1]ステータス!$D$2,0))</f>
        <v>0</v>
      </c>
      <c r="BJ3" s="15">
        <f ca="1">IF($BE3&lt;=0,ROUND(BN3*0.5,0), ROUND($BE3*V3*AD3*M3*BB3*0.8*[1]ステータス!$E$2,0))</f>
        <v>1836</v>
      </c>
      <c r="BK3" s="10">
        <f ca="1">ROUND(BD3*S3*AA3*J3*AY3*[1]ステータス!$B$2,0)</f>
        <v>6000</v>
      </c>
      <c r="BL3" s="10">
        <f ca="1">ROUND(BD3*T3*AB3*K3*AZ3*[1]ステータス!$C$2,0)</f>
        <v>3528</v>
      </c>
      <c r="BM3" s="10">
        <f ca="1">ROUND(BD3*U3*AC3*L3*BA3*[1]ステータス!$D$2,0)</f>
        <v>0</v>
      </c>
      <c r="BN3" s="10">
        <f ca="1">ROUND(BD3*V3*AD3*M3*BB3*[1]ステータス!$E$2,0)</f>
        <v>3060</v>
      </c>
      <c r="BO3" s="9">
        <v>0</v>
      </c>
      <c r="BP3" s="9">
        <v>1</v>
      </c>
      <c r="BQ3" s="9" t="s">
        <v>47</v>
      </c>
      <c r="BR3" s="9">
        <f ca="1">VLOOKUP(H3,ghosts_label!$A$2:$B$19,2,FALSE)</f>
        <v>1</v>
      </c>
    </row>
    <row r="4" spans="1:70" ht="26" customHeight="1" x14ac:dyDescent="0.15">
      <c r="A4" s="186">
        <v>1297</v>
      </c>
      <c r="B4" s="53" t="str">
        <f ca="1">VLOOKUP($A4,OFFSET([1]characters!$A$1,0,0,COUNTA([1]characters!$A:$A),MATCH(B$1,[1]characters!$1:$1,0)-MATCH($A$1,[1]characters!$1:$1,0)+1),MATCH(B$1,[1]characters!$1:$1,0)-MATCH($A$1,[1]characters!$1:$1,0)+1,FALSE)</f>
        <v>雪ミク2017</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30</v>
      </c>
      <c r="O4" s="10">
        <f ca="1">INDEX(レベル!$A$1:$I$22,MATCH(H4,レベル!$A$1:$A$22,FALSE),MATCH(G4,レベル!$A$1:$I$1,FALSE))</f>
        <v>80</v>
      </c>
      <c r="P4" s="44">
        <v>75</v>
      </c>
      <c r="Q4" s="53" t="str">
        <f ca="1">VLOOKUP($A4,OFFSET([1]characters!$A$1,0,0,COUNTA([1]characters!$A:$A),MATCH(Q$1,[1]characters!$1:$1,0)-MATCH($A$1,[1]characters!$1:$1,0)+1),MATCH(Q$1,[1]characters!$1:$1,0)-MATCH($A$1,[1]characters!$1:$1,0)+1,FALSE)</f>
        <v>heal</v>
      </c>
      <c r="R4" s="5" t="str">
        <f ca="1">VLOOKUP(Q4,[1]character_type_i18n!$A:$H,3,FALSE)</f>
        <v>回復タイプ</v>
      </c>
      <c r="S4" s="10">
        <f ca="1">VLOOKUP(Q4,[1]character_type_i18n!$A:$H,4,FALSE)</f>
        <v>0.8</v>
      </c>
      <c r="T4" s="10">
        <f ca="1">VLOOKUP(Q4,[1]character_type_i18n!$A:$H,5,FALSE)</f>
        <v>0.78</v>
      </c>
      <c r="U4" s="10">
        <f ca="1">VLOOKUP(Q4,[1]character_type_i18n!$A:$H,6,FALSE)</f>
        <v>1</v>
      </c>
      <c r="V4" s="10">
        <f ca="1">VLOOKUP(Q4,[1]character_type_i18n!$A:$H,7,FALSE)</f>
        <v>1.42</v>
      </c>
      <c r="W4" s="53" t="str">
        <f ca="1">VLOOKUP($A4,OFFSET([1]characters!$A$1,0,0,COUNTA([1]characters!$A:$A),MATCH(W$1,[1]characters!$1:$1,0)-MATCH($A$1,[1]characters!$1:$1,0)+1),MATCH(W$1,[1]characters!$1:$1,0)-MATCH($A$1,[1]characters!$1:$1,0)+1,FALSE)</f>
        <v>unknown</v>
      </c>
      <c r="X4" s="5" t="str">
        <f ca="1">VLOOKUP(W4,[1]character_tribe_i18n!$A:$H,3,FALSE)</f>
        <v>Unknown</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1</v>
      </c>
      <c r="AB4" s="10">
        <f ca="1">VLOOKUP(W4,[1]character_tribe_i18n!$A:$H,5,FALSE)</f>
        <v>1</v>
      </c>
      <c r="AC4" s="10">
        <f ca="1">VLOOKUP(W4,[1]character_tribe_i18n!$A:$H,6,FALSE)</f>
        <v>1</v>
      </c>
      <c r="AD4" s="10">
        <f ca="1">VLOOKUP(W4,[1]character_tribe_i18n!$A:$H,7,FALSE)</f>
        <v>1</v>
      </c>
      <c r="AE4" s="187">
        <v>1298</v>
      </c>
      <c r="AF4" s="58" t="str">
        <f ca="1">IF(AE4="NULL","",VLOOKUP($AE4,OFFSET([1]characters!$A$1,0,0,COUNTA([1]characters!$A:$A),MATCH(AF$1,[1]characters!$1:$1,0)-MATCH($A$1,[1]characters!$1:$1,0)+1),MATCH(AF$1,[1]characters!$1:$1,0)-MATCH($A$1,[1]characters!$1:$1,0)+1,FALSE))</f>
        <v>星空の歌姫 雪ミク2017</v>
      </c>
      <c r="AG4" s="187">
        <v>1297</v>
      </c>
      <c r="AH4" s="58" t="str">
        <f ca="1">VLOOKUP($AG4,OFFSET([1]characters!$A$1,0,0,COUNTA([1]characters!$A:$A),MATCH(AH$1,[1]characters!$1:$1,0)-MATCH($A$1,[1]characters!$1:$1,0)+1),MATCH(AH$1,[1]characters!$1:$1,0)-MATCH($A$1,[1]characters!$1:$1,0)+1,FALSE)</f>
        <v>雪ミク2017</v>
      </c>
      <c r="AI4" s="10">
        <f ca="1">IF(AE4="NULL","NULL",VLOOKUP(G4,ビット!$A$2:$B$7,2))</f>
        <v>200000</v>
      </c>
      <c r="AJ4" s="6">
        <v>2</v>
      </c>
      <c r="AK4" s="7" t="str">
        <f t="shared" ref="AK4" si="4">IF(AJ4=1,"早熟",IF(AJ4=2,"普通",IF(AJ4=3,"晩成","")))</f>
        <v>普通</v>
      </c>
      <c r="AL4" s="10" t="str">
        <f ca="1">INDEX(経験値!$A$1:$I$21,MATCH(H4,経験値!$A$1:$A$21,FALSE),MATCH(G4,経験値!$A$1:$I$1,FALSE))</f>
        <v>required_exp_200</v>
      </c>
      <c r="AM4" s="8">
        <f ca="1">VLOOKUP(G4,経験値!$A$28:$B$32,2)</f>
        <v>6400</v>
      </c>
      <c r="AN4" s="16">
        <f ca="1">VLOOKUP(G4,ビット!$G$2:$H$7,2)</f>
        <v>900</v>
      </c>
      <c r="AO4" s="41"/>
      <c r="AP4" s="63">
        <v>1297</v>
      </c>
      <c r="AQ4" s="53" t="str">
        <f ca="1">VLOOKUP($AP4,OFFSET(unit_skills!$A$1,0,0,COUNTA(unit_skills!$A:$A),MATCH(AQ$1,unit_skills!$1:$1,0)-MATCH($AP$1,unit_skills!$1:$1,0)+1),MATCH(AQ$1,unit_skills!$1:$1,0)-MATCH($AP$1,unit_skills!$1:$1,0)+1,FALSE)</f>
        <v>スノウ・トゥインクル</v>
      </c>
      <c r="AR4" s="53" t="str">
        <f ca="1">VLOOKUP($AP4,OFFSET(unit_skills!$A$1,0,0,COUNTA(unit_skills!$A:$A),MATCH(AR$1,unit_skills!$1:$1,0)-MATCH($AP$1,unit_skills!$1:$1,0)+1),MATCH(AR$1,unit_skills!$1:$1,0)-MATCH($AP$1,unit_skills!$1:$1,0)+1,FALSE)</f>
        <v>ハート無効解除+2ターンHPを回復し、全ユニットの回復力を特大UP</v>
      </c>
      <c r="AS4" s="53">
        <f ca="1">VLOOKUP($AP4,OFFSET(unit_skills!$A$1,0,0,COUNTA(unit_skills!$A:$A),MATCH(AS$1,unit_skills!$1:$1,0)-MATCH($AP$1,unit_skills!$1:$1,0)+1),MATCH(AS$1,unit_skills!$1:$1,0)-MATCH($AP$1,unit_skills!$1:$1,0)+1,FALSE)</f>
        <v>0</v>
      </c>
      <c r="AT4" s="63">
        <v>1297</v>
      </c>
      <c r="AU4" s="53" t="str">
        <f ca="1">VLOOKUP($AT4,OFFSET(crash_skills!$A$1,0,0,COUNTA(crash_skills!$A:$A),MATCH(AU$1,crash_skills!$1:$1,0)-MATCH($AT$1,crash_skills!$1:$1,0)+1),MATCH(AU$1,crash_skills!$1:$1,0)-MATCH($AT$1,crash_skills!$1:$1,0)+1,FALSE)</f>
        <v>コメット・ハミング♪</v>
      </c>
      <c r="AV4" s="53" t="str">
        <f ca="1">VLOOKUP($AT4,OFFSET(crash_skills!$A$1,0,0,COUNTA(crash_skills!$A:$A),MATCH(AV$1,crash_skills!$1:$1,0)-MATCH($AT$1,crash_skills!$1:$1,0)+1),MATCH(AV$1,crash_skills!$1:$1,0)-MATCH($AT$1,crash_skills!$1:$1,0)+1,FALSE)</f>
        <v>HPを大回復</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0.9</v>
      </c>
      <c r="AZ4" s="64">
        <v>1.1100000000000001</v>
      </c>
      <c r="BA4" s="64">
        <v>0</v>
      </c>
      <c r="BB4" s="64">
        <v>0.92500000000000004</v>
      </c>
      <c r="BC4" s="10">
        <f ca="1">INDEX('RC6SV'!$A$1:$G$21,MATCH(H4,'RC6SV'!$A$1:$A$21,FALSE),MATCH(G4,'RC6SV'!$A$1:$G$1,FALSE))</f>
        <v>9000</v>
      </c>
      <c r="BD4" s="44">
        <f t="shared" ref="BD4" ca="1" si="5">ROUND(BC4*IF(AJ4=1,0.95,IF(AJ4=2,1,IF(AJ4,1.05,0))),0)</f>
        <v>9000</v>
      </c>
      <c r="BE4" s="10">
        <f t="shared" ca="1" si="2"/>
        <v>0</v>
      </c>
      <c r="BF4" s="10">
        <f t="shared" ca="1" si="3"/>
        <v>1</v>
      </c>
      <c r="BG4" s="15">
        <f ca="1">IF($BE4&lt;=0,ROUND(BK4*0.5,0), ROUND($BE4*S4*AA4*J4*AY4*0.8*[1]ステータス!$B$2,0))</f>
        <v>1653</v>
      </c>
      <c r="BH4" s="15">
        <f ca="1">IF($BE4&lt;=0,ROUND(BL4*0.5,0), ROUND($BE4*T4*AB4*K4*AZ4*0.8*[1]ステータス!$C$2,0))</f>
        <v>1146</v>
      </c>
      <c r="BI4" s="15">
        <f ca="1">IF($BE4&lt;=0,ROUND(BM4*0.5,0), ROUND($BE4*U4*AC4*L4*BA4*0.8*[1]ステータス!$D$2,0))</f>
        <v>0</v>
      </c>
      <c r="BJ4" s="15">
        <f ca="1">IF($BE4&lt;=0,ROUND(BN4*0.5,0), ROUND($BE4*V4*AD4*M4*BB4*0.8*[1]ステータス!$E$2,0))</f>
        <v>1478</v>
      </c>
      <c r="BK4" s="10">
        <f ca="1">ROUND(BD4*S4*AA4*J4*AY4*[1]ステータス!$B$2,0)</f>
        <v>3305</v>
      </c>
      <c r="BL4" s="10">
        <f ca="1">ROUND(BD4*T4*AB4*K4*AZ4*[1]ステータス!$C$2,0)</f>
        <v>2291</v>
      </c>
      <c r="BM4" s="10">
        <f ca="1">ROUND(BD4*U4*AC4*L4*BA4*[1]ステータス!$D$2,0)</f>
        <v>0</v>
      </c>
      <c r="BN4" s="10">
        <f ca="1">ROUND(BD4*V4*AD4*M4*BB4*[1]ステータス!$E$2,0)</f>
        <v>2955</v>
      </c>
      <c r="BO4" s="9">
        <v>0</v>
      </c>
      <c r="BP4" s="9">
        <v>1</v>
      </c>
      <c r="BQ4" s="9" t="s">
        <v>47</v>
      </c>
      <c r="BR4" s="9">
        <f ca="1">VLOOKUP(H4,ghosts_label!$A$2:$B$19,2,FALSE)</f>
        <v>1</v>
      </c>
    </row>
    <row r="5" spans="1:70" ht="26" customHeight="1" x14ac:dyDescent="0.15">
      <c r="A5" s="186">
        <v>1298</v>
      </c>
      <c r="B5" s="53" t="str">
        <f ca="1">VLOOKUP($A5,OFFSET([1]characters!$A$1,0,0,COUNTA([1]characters!$A:$A),MATCH(B$1,[1]characters!$1:$1,0)-MATCH($A$1,[1]characters!$1:$1,0)+1),MATCH(B$1,[1]characters!$1:$1,0)-MATCH($A$1,[1]characters!$1:$1,0)+1,FALSE)</f>
        <v>星空の歌姫 雪ミク2017</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green</v>
      </c>
      <c r="J5" s="10">
        <f ca="1">VLOOKUP(I5,[1]属性!$A:$E,2,FALSE)</f>
        <v>1.02</v>
      </c>
      <c r="K5" s="10">
        <f ca="1">VLOOKUP(I5,[1]属性!$A:$E,3,FALSE)</f>
        <v>0.98</v>
      </c>
      <c r="L5" s="10">
        <f ca="1">VLOOKUP(I5,[1]属性!$A:$E,4,FALSE)</f>
        <v>1</v>
      </c>
      <c r="M5" s="10">
        <f ca="1">VLOOKUP(I5,[1]属性!$A:$E,5,FALSE)</f>
        <v>1</v>
      </c>
      <c r="N5" s="10">
        <f ca="1">INDEX(コスト!$A$1:$I$21,MATCH(H5,コスト!$A$1:$A$21,FALSE),MATCH(G5,コスト!$A$1:$I$1,FALSE))</f>
        <v>45</v>
      </c>
      <c r="O5" s="10">
        <f ca="1">INDEX(レベル!$A$1:$I$22,MATCH(H5,レベル!$A$1:$A$22,FALSE),MATCH(G5,レベル!$A$1:$I$1,FALSE))</f>
        <v>99</v>
      </c>
      <c r="P5" s="44">
        <v>99</v>
      </c>
      <c r="Q5" s="53" t="str">
        <f ca="1">VLOOKUP($A5,OFFSET([1]characters!$A$1,0,0,COUNTA([1]characters!$A:$A),MATCH(Q$1,[1]characters!$1:$1,0)-MATCH($A$1,[1]characters!$1:$1,0)+1),MATCH(Q$1,[1]characters!$1:$1,0)-MATCH($A$1,[1]characters!$1:$1,0)+1,FALSE)</f>
        <v>heal</v>
      </c>
      <c r="R5" s="5" t="str">
        <f ca="1">VLOOKUP(Q5,[1]character_type_i18n!$A:$H,3,FALSE)</f>
        <v>回復タイプ</v>
      </c>
      <c r="S5" s="10">
        <f ca="1">VLOOKUP(Q5,[1]character_type_i18n!$A:$H,4,FALSE)</f>
        <v>0.8</v>
      </c>
      <c r="T5" s="10">
        <f ca="1">VLOOKUP(Q5,[1]character_type_i18n!$A:$H,5,FALSE)</f>
        <v>0.78</v>
      </c>
      <c r="U5" s="10">
        <f ca="1">VLOOKUP(Q5,[1]character_type_i18n!$A:$H,6,FALSE)</f>
        <v>1</v>
      </c>
      <c r="V5" s="10">
        <f ca="1">VLOOKUP(Q5,[1]character_type_i18n!$A:$H,7,FALSE)</f>
        <v>1.42</v>
      </c>
      <c r="W5" s="53" t="str">
        <f ca="1">VLOOKUP($A5,OFFSET([1]characters!$A$1,0,0,COUNTA([1]characters!$A:$A),MATCH(W$1,[1]characters!$1:$1,0)-MATCH($A$1,[1]characters!$1:$1,0)+1),MATCH(W$1,[1]characters!$1:$1,0)-MATCH($A$1,[1]characters!$1:$1,0)+1,FALSE)</f>
        <v>unknown</v>
      </c>
      <c r="X5" s="5" t="str">
        <f ca="1">VLOOKUP(W5,[1]character_tribe_i18n!$A:$H,3,FALSE)</f>
        <v>Unknown</v>
      </c>
      <c r="Y5" s="53" t="str">
        <f ca="1">VLOOKUP($A5,OFFSET([1]characters!$A$1,0,0,COUNTA([1]characters!$A:$A),MATCH(Y$1,[1]characters!$1:$1,0)-MATCH($A$1,[1]characters!$1:$1,0)+1),MATCH(Y$1,[1]characters!$1:$1,0)-MATCH($A$1,[1]characters!$1:$1,0)+1,FALSE)</f>
        <v>none</v>
      </c>
      <c r="Z5" s="5" t="str">
        <f ca="1">VLOOKUP(Y5,[1]character_tribe_i18n!$A:$H,3,FALSE)</f>
        <v>種族なし</v>
      </c>
      <c r="AA5" s="10">
        <f ca="1">VLOOKUP(W5,[1]character_tribe_i18n!$A:$H,4,FALSE)</f>
        <v>1</v>
      </c>
      <c r="AB5" s="10">
        <f ca="1">VLOOKUP(W5,[1]character_tribe_i18n!$A:$H,5,FALSE)</f>
        <v>1</v>
      </c>
      <c r="AC5" s="10">
        <f ca="1">VLOOKUP(W5,[1]character_tribe_i18n!$A:$H,6,FALSE)</f>
        <v>1</v>
      </c>
      <c r="AD5" s="10">
        <f ca="1">VLOOKUP(W5,[1]character_tribe_i18n!$A:$H,7,FALSE)</f>
        <v>1</v>
      </c>
      <c r="AE5" s="187" t="s">
        <v>318</v>
      </c>
      <c r="AF5" s="58" t="str">
        <f ca="1">IF(AE5="NULL","",VLOOKUP($AE5,OFFSET([1]characters!$A$1,0,0,COUNTA([1]characters!$A:$A),MATCH(AF$1,[1]characters!$1:$1,0)-MATCH($A$1,[1]characters!$1:$1,0)+1),MATCH(AF$1,[1]characters!$1:$1,0)-MATCH($A$1,[1]characters!$1:$1,0)+1,FALSE))</f>
        <v/>
      </c>
      <c r="AG5" s="187">
        <v>1297</v>
      </c>
      <c r="AH5" s="58" t="str">
        <f ca="1">VLOOKUP($AG5,OFFSET([1]characters!$A$1,0,0,COUNTA([1]characters!$A:$A),MATCH(AH$1,[1]characters!$1:$1,0)-MATCH($A$1,[1]characters!$1:$1,0)+1),MATCH(AH$1,[1]characters!$1:$1,0)-MATCH($A$1,[1]characters!$1:$1,0)+1,FALSE)</f>
        <v>雪ミク2017</v>
      </c>
      <c r="AI5" s="10" t="str">
        <f>IF(AE5="NULL","NULL",VLOOKUP(G5,ビット!$A$2:$B$7,2))</f>
        <v>NULL</v>
      </c>
      <c r="AJ5" s="6">
        <v>2</v>
      </c>
      <c r="AK5" s="7" t="str">
        <f t="shared" ref="AK5" si="6">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1298</v>
      </c>
      <c r="AQ5" s="53" t="str">
        <f ca="1">VLOOKUP($AP5,OFFSET(unit_skills!$A$1,0,0,COUNTA(unit_skills!$A:$A),MATCH(AQ$1,unit_skills!$1:$1,0)-MATCH($AP$1,unit_skills!$1:$1,0)+1),MATCH(AQ$1,unit_skills!$1:$1,0)-MATCH($AP$1,unit_skills!$1:$1,0)+1,FALSE)</f>
        <v>スノウ･スノウ･トゥインクル☆</v>
      </c>
      <c r="AR5" s="53" t="str">
        <f ca="1">VLOOKUP($AP5,OFFSET(unit_skills!$A$1,0,0,COUNTA(unit_skills!$A:$A),MATCH(AR$1,unit_skills!$1:$1,0)-MATCH($AP$1,unit_skills!$1:$1,0)+1),MATCH(AR$1,unit_skills!$1:$1,0)-MATCH($AP$1,unit_skills!$1:$1,0)+1,FALSE)</f>
        <v>ハート無効解除+3ターンHPを回復し、全ユニットの回復力を特大UP</v>
      </c>
      <c r="AS5" s="53">
        <f ca="1">VLOOKUP($AP5,OFFSET(unit_skills!$A$1,0,0,COUNTA(unit_skills!$A:$A),MATCH(AS$1,unit_skills!$1:$1,0)-MATCH($AP$1,unit_skills!$1:$1,0)+1),MATCH(AS$1,unit_skills!$1:$1,0)-MATCH($AP$1,unit_skills!$1:$1,0)+1,FALSE)</f>
        <v>0</v>
      </c>
      <c r="AT5" s="63">
        <v>1298</v>
      </c>
      <c r="AU5" s="53" t="str">
        <f ca="1">VLOOKUP($AT5,OFFSET(crash_skills!$A$1,0,0,COUNTA(crash_skills!$A:$A),MATCH(AU$1,crash_skills!$1:$1,0)-MATCH($AT$1,crash_skills!$1:$1,0)+1),MATCH(AU$1,crash_skills!$1:$1,0)-MATCH($AT$1,crash_skills!$1:$1,0)+1,FALSE)</f>
        <v>コメット・ハミング♪</v>
      </c>
      <c r="AV5" s="53" t="str">
        <f ca="1">VLOOKUP($AT5,OFFSET(crash_skills!$A$1,0,0,COUNTA(crash_skills!$A:$A),MATCH(AV$1,crash_skills!$1:$1,0)-MATCH($AT$1,crash_skills!$1:$1,0)+1),MATCH(AV$1,crash_skills!$1:$1,0)-MATCH($AT$1,crash_skills!$1:$1,0)+1,FALSE)</f>
        <v>HPを大回復</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0.9</v>
      </c>
      <c r="AZ5" s="64">
        <v>1.1100000000000001</v>
      </c>
      <c r="BA5" s="64">
        <v>0</v>
      </c>
      <c r="BB5" s="64">
        <v>0.92500000000000004</v>
      </c>
      <c r="BC5" s="10">
        <f ca="1">INDEX('RC6SV'!$A$1:$G$21,MATCH(H5,'RC6SV'!$A$1:$A$21,FALSE),MATCH(G5,'RC6SV'!$A$1:$G$1,FALSE))</f>
        <v>12000</v>
      </c>
      <c r="BD5" s="44">
        <f t="shared" ref="BD5" ca="1" si="7">ROUND(BC5*IF(AJ5=1,0.95,IF(AJ5=2,1,IF(AJ5,1.05,0))),0)</f>
        <v>12000</v>
      </c>
      <c r="BE5" s="10">
        <f t="shared" ca="1" si="2"/>
        <v>9000</v>
      </c>
      <c r="BF5" s="10">
        <f t="shared" ca="1" si="3"/>
        <v>1</v>
      </c>
      <c r="BG5" s="15">
        <f ca="1">IF($BE5&lt;=0,ROUND(BK5*0.5,0), ROUND($BE5*S5*AA5*J5*AY5*0.8*[1]ステータス!$B$2,0))</f>
        <v>2644</v>
      </c>
      <c r="BH5" s="15">
        <f ca="1">IF($BE5&lt;=0,ROUND(BL5*0.5,0), ROUND($BE5*T5*AB5*K5*AZ5*0.8*[1]ステータス!$C$2,0))</f>
        <v>1833</v>
      </c>
      <c r="BI5" s="15">
        <f ca="1">IF($BE5&lt;=0,ROUND(BM5*0.5,0), ROUND($BE5*U5*AC5*L5*BA5*0.8*[1]ステータス!$D$2,0))</f>
        <v>0</v>
      </c>
      <c r="BJ5" s="15">
        <f ca="1">IF($BE5&lt;=0,ROUND(BN5*0.5,0), ROUND($BE5*V5*AD5*M5*BB5*0.8*[1]ステータス!$E$2,0))</f>
        <v>2364</v>
      </c>
      <c r="BK5" s="10">
        <f ca="1">ROUND(BD5*S5*AA5*J5*AY5*[1]ステータス!$B$2,0)</f>
        <v>4406</v>
      </c>
      <c r="BL5" s="10">
        <f ca="1">ROUND(BD5*T5*AB5*K5*AZ5*[1]ステータス!$C$2,0)</f>
        <v>3055</v>
      </c>
      <c r="BM5" s="10">
        <f ca="1">ROUND(BD5*U5*AC5*L5*BA5*[1]ステータス!$D$2,0)</f>
        <v>0</v>
      </c>
      <c r="BN5" s="10">
        <f ca="1">ROUND(BD5*V5*AD5*M5*BB5*[1]ステータス!$E$2,0)</f>
        <v>3941</v>
      </c>
      <c r="BO5" s="9">
        <v>0</v>
      </c>
      <c r="BP5" s="9">
        <v>1</v>
      </c>
      <c r="BQ5" s="9" t="s">
        <v>47</v>
      </c>
      <c r="BR5" s="9">
        <f ca="1">VLOOKUP(H5,ghosts_label!$A$2:$B$19,2,FALSE)</f>
        <v>1</v>
      </c>
    </row>
    <row r="6" spans="1:70" ht="26" customHeight="1" x14ac:dyDescent="0.15">
      <c r="A6" s="186">
        <v>1299</v>
      </c>
      <c r="B6" s="53" t="str">
        <f ca="1">VLOOKUP($A6,OFFSET([1]characters!$A$1,0,0,COUNTA([1]characters!$A:$A),MATCH(B$1,[1]characters!$1:$1,0)-MATCH($A$1,[1]characters!$1:$1,0)+1),MATCH(B$1,[1]characters!$1:$1,0)-MATCH($A$1,[1]characters!$1:$1,0)+1,FALSE)</f>
        <v>覚世の楽聖姫 初音ミクV3</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DropWizS</v>
      </c>
      <c r="I6" s="53" t="str">
        <f ca="1">VLOOKUP($A6,OFFSET([1]characters!$A$1,0,0,COUNTA([1]characters!$A:$A),MATCH(I$1,[1]characters!$1:$1,0)-MATCH($A$1,[1]characters!$1:$1,0)+1),MATCH(I$1,[1]characters!$1:$1,0)-MATCH($A$1,[1]characters!$1:$1,0)+1,FALSE)</f>
        <v>yellow</v>
      </c>
      <c r="J6" s="10">
        <f ca="1">VLOOKUP(I6,[1]属性!$A:$E,2,FALSE)</f>
        <v>0.98</v>
      </c>
      <c r="K6" s="10">
        <f ca="1">VLOOKUP(I6,[1]属性!$A:$E,3,FALSE)</f>
        <v>1.01</v>
      </c>
      <c r="L6" s="10">
        <f ca="1">VLOOKUP(I6,[1]属性!$A:$E,4,FALSE)</f>
        <v>1</v>
      </c>
      <c r="M6" s="10">
        <f ca="1">VLOOKUP(I6,[1]属性!$A:$E,5,FALSE)</f>
        <v>1.01</v>
      </c>
      <c r="N6" s="10">
        <f ca="1">INDEX(コスト!$A$1:$I$21,MATCH(H6,コスト!$A$1:$A$21,FALSE),MATCH(G6,コスト!$A$1:$I$1,FALSE))</f>
        <v>45</v>
      </c>
      <c r="O6" s="10">
        <f ca="1">INDEX(レベル!$A$1:$I$22,MATCH(H6,レベル!$A$1:$A$22,FALSE),MATCH(G6,レベル!$A$1:$I$1,FALSE))</f>
        <v>99</v>
      </c>
      <c r="P6" s="44">
        <f t="shared" ref="P6" ca="1" si="8">IF(G6 &gt;= 6, 99,G6*15)</f>
        <v>99</v>
      </c>
      <c r="Q6" s="53" t="str">
        <f ca="1">VLOOKUP($A6,OFFSET([1]characters!$A$1,0,0,COUNTA([1]characters!$A:$A),MATCH(Q$1,[1]characters!$1:$1,0)-MATCH($A$1,[1]characters!$1:$1,0)+1),MATCH(Q$1,[1]characters!$1:$1,0)-MATCH($A$1,[1]characters!$1:$1,0)+1,FALSE)</f>
        <v>balance</v>
      </c>
      <c r="R6" s="5" t="str">
        <f ca="1">VLOOKUP(Q6,[1]character_type_i18n!$A:$H,3,FALSE)</f>
        <v>バランスタイプ</v>
      </c>
      <c r="S6" s="10">
        <f ca="1">VLOOKUP(Q6,[1]character_type_i18n!$A:$H,4,FALSE)</f>
        <v>1</v>
      </c>
      <c r="T6" s="10">
        <f ca="1">VLOOKUP(Q6,[1]character_type_i18n!$A:$H,5,FALSE)</f>
        <v>1</v>
      </c>
      <c r="U6" s="10">
        <f ca="1">VLOOKUP(Q6,[1]character_type_i18n!$A:$H,6,FALSE)</f>
        <v>1</v>
      </c>
      <c r="V6" s="10">
        <f ca="1">VLOOKUP(Q6,[1]character_type_i18n!$A:$H,7,FALSE)</f>
        <v>1</v>
      </c>
      <c r="W6" s="53" t="str">
        <f ca="1">VLOOKUP($A6,OFFSET([1]characters!$A$1,0,0,COUNTA([1]characters!$A:$A),MATCH(W$1,[1]characters!$1:$1,0)-MATCH($A$1,[1]characters!$1:$1,0)+1),MATCH(W$1,[1]characters!$1:$1,0)-MATCH($A$1,[1]characters!$1:$1,0)+1,FALSE)</f>
        <v>unknown</v>
      </c>
      <c r="X6" s="5" t="str">
        <f ca="1">VLOOKUP(W6,[1]character_tribe_i18n!$A:$H,3,FALSE)</f>
        <v>Unknown</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1</v>
      </c>
      <c r="AB6" s="10">
        <f ca="1">VLOOKUP(W6,[1]character_tribe_i18n!$A:$H,5,FALSE)</f>
        <v>1</v>
      </c>
      <c r="AC6" s="10">
        <f ca="1">VLOOKUP(W6,[1]character_tribe_i18n!$A:$H,6,FALSE)</f>
        <v>1</v>
      </c>
      <c r="AD6" s="10">
        <f ca="1">VLOOKUP(W6,[1]character_tribe_i18n!$A:$H,7,FALSE)</f>
        <v>1</v>
      </c>
      <c r="AE6" s="187" t="s">
        <v>318</v>
      </c>
      <c r="AF6" s="58" t="str">
        <f ca="1">IF(AE6="NULL","",VLOOKUP($AE6,OFFSET([1]characters!$A$1,0,0,COUNTA([1]characters!$A:$A),MATCH(AF$1,[1]characters!$1:$1,0)-MATCH($A$1,[1]characters!$1:$1,0)+1),MATCH(AF$1,[1]characters!$1:$1,0)-MATCH($A$1,[1]characters!$1:$1,0)+1,FALSE))</f>
        <v/>
      </c>
      <c r="AG6" s="187">
        <v>527</v>
      </c>
      <c r="AH6" s="58" t="str">
        <f ca="1">VLOOKUP($AG6,OFFSET([1]characters!$A$1,0,0,COUNTA([1]characters!$A:$A),MATCH(AH$1,[1]characters!$1:$1,0)-MATCH($A$1,[1]characters!$1:$1,0)+1),MATCH(AH$1,[1]characters!$1:$1,0)-MATCH($A$1,[1]characters!$1:$1,0)+1,FALSE)</f>
        <v>初音ミクV3</v>
      </c>
      <c r="AI6" s="10" t="str">
        <f>IF(AE6="NULL","NULL",VLOOKUP(G6,ビット!$A$2:$B$7,2))</f>
        <v>NULL</v>
      </c>
      <c r="AJ6" s="6">
        <v>2</v>
      </c>
      <c r="AK6" s="7" t="str">
        <f t="shared" ref="AK6" si="9">IF(AJ6=1,"早熟",IF(AJ6=2,"普通",IF(AJ6=3,"晩成","")))</f>
        <v>普通</v>
      </c>
      <c r="AL6" s="10" t="str">
        <f ca="1">INDEX(経験値!$A$1:$I$21,MATCH(H6,経験値!$A$1:$A$21,FALSE),MATCH(G6,経験値!$A$1:$I$1,FALSE))</f>
        <v>required_exp_250</v>
      </c>
      <c r="AM6" s="8">
        <f ca="1">VLOOKUP(G6,経験値!$A$28:$B$32,2)</f>
        <v>6400</v>
      </c>
      <c r="AN6" s="16">
        <f ca="1">VLOOKUP(G6,ビット!$G$2:$H$7,2)</f>
        <v>900</v>
      </c>
      <c r="AO6" s="41"/>
      <c r="AP6" s="63">
        <v>1299</v>
      </c>
      <c r="AQ6" s="53" t="str">
        <f ca="1">VLOOKUP($AP6,OFFSET(unit_skills!$A$1,0,0,COUNTA(unit_skills!$A:$A),MATCH(AQ$1,unit_skills!$1:$1,0)-MATCH($AP$1,unit_skills!$1:$1,0)+1),MATCH(AQ$1,unit_skills!$1:$1,0)-MATCH($AP$1,unit_skills!$1:$1,0)+1,FALSE)</f>
        <v>ボイス・フィニッシュド</v>
      </c>
      <c r="AR6" s="53" t="str">
        <f ca="1">VLOOKUP($AP6,OFFSET(unit_skills!$A$1,0,0,COUNTA(unit_skills!$A:$A),MATCH(AR$1,unit_skills!$1:$1,0)-MATCH($AP$1,unit_skills!$1:$1,0)+1),MATCH(AR$1,unit_skills!$1:$1,0)-MATCH($AP$1,unit_skills!$1:$1,0)+1,FALSE)</f>
        <v>ランダムでパネルを最大3個SCパネルに、最大9個黄パネルに変換+2ターン全ユニットの回復力を特大UP</v>
      </c>
      <c r="AS6" s="53">
        <f ca="1">VLOOKUP($AP6,OFFSET(unit_skills!$A$1,0,0,COUNTA(unit_skills!$A:$A),MATCH(AS$1,unit_skills!$1:$1,0)-MATCH($AP$1,unit_skills!$1:$1,0)+1),MATCH(AS$1,unit_skills!$1:$1,0)-MATCH($AP$1,unit_skills!$1:$1,0)+1,FALSE)</f>
        <v>0</v>
      </c>
      <c r="AT6" s="63">
        <v>1299</v>
      </c>
      <c r="AU6" s="53" t="str">
        <f ca="1">VLOOKUP($AT6,OFFSET(crash_skills!$A$1,0,0,COUNTA(crash_skills!$A:$A),MATCH(AU$1,crash_skills!$1:$1,0)-MATCH($AT$1,crash_skills!$1:$1,0)+1),MATCH(AU$1,crash_skills!$1:$1,0)-MATCH($AT$1,crash_skills!$1:$1,0)+1,FALSE)</f>
        <v>グランド・アリウム</v>
      </c>
      <c r="AV6" s="53" t="str">
        <f ca="1">VLOOKUP($AT6,OFFSET(crash_skills!$A$1,0,0,COUNTA(crash_skills!$A:$A),MATCH(AV$1,crash_skills!$1:$1,0)-MATCH($AT$1,crash_skills!$1:$1,0)+1),MATCH(AV$1,crash_skills!$1:$1,0)-MATCH($AT$1,crash_skills!$1:$1,0)+1,FALSE)</f>
        <v>自身の回復力に比例して_x000D_1体に特大ダメージ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1.0780000000000001</v>
      </c>
      <c r="AZ6" s="64">
        <v>0.83499999999999996</v>
      </c>
      <c r="BA6" s="64">
        <v>0</v>
      </c>
      <c r="BB6" s="64">
        <v>1.2669999999999999</v>
      </c>
      <c r="BC6" s="10">
        <f ca="1">INDEX('RC6SV'!$A$1:$G$21,MATCH(H6,'RC6SV'!$A$1:$A$21,FALSE),MATCH(G6,'RC6SV'!$A$1:$G$1,FALSE))</f>
        <v>12000</v>
      </c>
      <c r="BD6" s="44">
        <f t="shared" ref="BD6" ca="1" si="10">ROUND(BC6*IF(AJ6=1,0.95,IF(AJ6=2,1,IF(AJ6,1.05,0))),0)</f>
        <v>12000</v>
      </c>
      <c r="BE6" s="10">
        <f t="shared" ca="1" si="2"/>
        <v>0</v>
      </c>
      <c r="BF6" s="10">
        <f t="shared" ca="1" si="3"/>
        <v>1</v>
      </c>
      <c r="BG6" s="15">
        <f ca="1">IF($BE6&lt;=0,ROUND(BK6*0.5,0), ROUND($BE6*S6*AA6*J6*AY6*0.8*[1]ステータス!$B$2,0))</f>
        <v>3170</v>
      </c>
      <c r="BH6" s="15">
        <f ca="1">IF($BE6&lt;=0,ROUND(BL6*0.5,0), ROUND($BE6*T6*AB6*K6*AZ6*0.8*[1]ステータス!$C$2,0))</f>
        <v>1518</v>
      </c>
      <c r="BI6" s="15">
        <f ca="1">IF($BE6&lt;=0,ROUND(BM6*0.5,0), ROUND($BE6*U6*AC6*L6*BA6*0.8*[1]ステータス!$D$2,0))</f>
        <v>0</v>
      </c>
      <c r="BJ6" s="15">
        <f ca="1">IF($BE6&lt;=0,ROUND(BN6*0.5,0), ROUND($BE6*V6*AD6*M6*BB6*0.8*[1]ステータス!$E$2,0))</f>
        <v>1920</v>
      </c>
      <c r="BK6" s="10">
        <f ca="1">ROUND(BD6*S6*AA6*J6*AY6*[1]ステータス!$B$2,0)</f>
        <v>6339</v>
      </c>
      <c r="BL6" s="10">
        <f ca="1">ROUND(BD6*T6*AB6*K6*AZ6*[1]ステータス!$C$2,0)</f>
        <v>3036</v>
      </c>
      <c r="BM6" s="10">
        <f ca="1">ROUND(BD6*U6*AC6*L6*BA6*[1]ステータス!$D$2,0)</f>
        <v>0</v>
      </c>
      <c r="BN6" s="10">
        <f ca="1">ROUND(BD6*V6*AD6*M6*BB6*[1]ステータス!$E$2,0)</f>
        <v>3839</v>
      </c>
      <c r="BO6" s="9">
        <v>0</v>
      </c>
      <c r="BP6" s="9">
        <v>1</v>
      </c>
      <c r="BQ6" s="9" t="s">
        <v>47</v>
      </c>
      <c r="BR6" s="9">
        <f ca="1">VLOOKUP(H6,ghosts_label!$A$2:$B$19,2,FALSE)</f>
        <v>1</v>
      </c>
    </row>
    <row r="7" spans="1:70" ht="26" customHeight="1" x14ac:dyDescent="0.15">
      <c r="A7" s="186">
        <v>1300</v>
      </c>
      <c r="B7" s="53" t="str">
        <f ca="1">VLOOKUP($A7,OFFSET([1]characters!$A$1,0,0,COUNTA([1]characters!$A:$A),MATCH(B$1,[1]characters!$1:$1,0)-MATCH($A$1,[1]characters!$1:$1,0)+1),MATCH(B$1,[1]characters!$1:$1,0)-MATCH($A$1,[1]characters!$1:$1,0)+1,FALSE)</f>
        <v>歌装の彩唱 紫式部</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DropWizS</v>
      </c>
      <c r="I7" s="53" t="str">
        <f ca="1">VLOOKUP($A7,OFFSET([1]characters!$A$1,0,0,COUNTA([1]characters!$A:$A),MATCH(I$1,[1]characters!$1:$1,0)-MATCH($A$1,[1]characters!$1:$1,0)+1),MATCH(I$1,[1]characters!$1:$1,0)-MATCH($A$1,[1]characters!$1:$1,0)+1,FALSE)</f>
        <v>green</v>
      </c>
      <c r="J7" s="10">
        <f ca="1">VLOOKUP(I7,[1]属性!$A:$E,2,FALSE)</f>
        <v>1.02</v>
      </c>
      <c r="K7" s="10">
        <f ca="1">VLOOKUP(I7,[1]属性!$A:$E,3,FALSE)</f>
        <v>0.98</v>
      </c>
      <c r="L7" s="10">
        <f ca="1">VLOOKUP(I7,[1]属性!$A:$E,4,FALSE)</f>
        <v>1</v>
      </c>
      <c r="M7" s="10">
        <f ca="1">VLOOKUP(I7,[1]属性!$A:$E,5,FALSE)</f>
        <v>1</v>
      </c>
      <c r="N7" s="10">
        <f ca="1">INDEX(コスト!$A$1:$I$21,MATCH(H7,コスト!$A$1:$A$21,FALSE),MATCH(G7,コスト!$A$1:$I$1,FALSE))</f>
        <v>30</v>
      </c>
      <c r="O7" s="10">
        <f ca="1">INDEX(レベル!$A$1:$I$22,MATCH(H7,レベル!$A$1:$A$22,FALSE),MATCH(G7,レベル!$A$1:$I$1,FALSE))</f>
        <v>80</v>
      </c>
      <c r="P7" s="44">
        <f t="shared" ref="P7" ca="1" si="11">IF(G7 &gt;= 6, 99,G7*15)</f>
        <v>75</v>
      </c>
      <c r="Q7" s="53" t="str">
        <f ca="1">VLOOKUP($A7,OFFSET([1]characters!$A$1,0,0,COUNTA([1]characters!$A:$A),MATCH(Q$1,[1]characters!$1:$1,0)-MATCH($A$1,[1]characters!$1:$1,0)+1),MATCH(Q$1,[1]characters!$1:$1,0)-MATCH($A$1,[1]characters!$1:$1,0)+1,FALSE)</f>
        <v>technical</v>
      </c>
      <c r="R7" s="5" t="str">
        <f ca="1">VLOOKUP(Q7,[1]character_type_i18n!$A:$H,3,FALSE)</f>
        <v>テクニカルタイプ</v>
      </c>
      <c r="S7" s="10">
        <f ca="1">VLOOKUP(Q7,[1]character_type_i18n!$A:$H,4,FALSE)</f>
        <v>0.9</v>
      </c>
      <c r="T7" s="10">
        <f ca="1">VLOOKUP(Q7,[1]character_type_i18n!$A:$H,5,FALSE)</f>
        <v>0.9</v>
      </c>
      <c r="U7" s="10">
        <f ca="1">VLOOKUP(Q7,[1]character_type_i18n!$A:$H,6,FALSE)</f>
        <v>1</v>
      </c>
      <c r="V7" s="10">
        <f ca="1">VLOOKUP(Q7,[1]character_type_i18n!$A:$H,7,FALSE)</f>
        <v>0.9</v>
      </c>
      <c r="W7" s="53" t="str">
        <f ca="1">VLOOKUP($A7,OFFSET([1]characters!$A$1,0,0,COUNTA([1]characters!$A:$A),MATCH(W$1,[1]characters!$1:$1,0)-MATCH($A$1,[1]characters!$1:$1,0)+1),MATCH(W$1,[1]characters!$1:$1,0)-MATCH($A$1,[1]characters!$1:$1,0)+1,FALSE)</f>
        <v>unknown</v>
      </c>
      <c r="X7" s="5" t="str">
        <f ca="1">VLOOKUP(W7,[1]character_tribe_i18n!$A:$H,3,FALSE)</f>
        <v>Unknown</v>
      </c>
      <c r="Y7" s="53" t="str">
        <f ca="1">VLOOKUP($A7,OFFSET([1]characters!$A$1,0,0,COUNTA([1]characters!$A:$A),MATCH(Y$1,[1]characters!$1:$1,0)-MATCH($A$1,[1]characters!$1:$1,0)+1),MATCH(Y$1,[1]characters!$1:$1,0)-MATCH($A$1,[1]characters!$1:$1,0)+1,FALSE)</f>
        <v>none</v>
      </c>
      <c r="Z7" s="5" t="str">
        <f ca="1">VLOOKUP(Y7,[1]character_tribe_i18n!$A:$H,3,FALSE)</f>
        <v>種族なし</v>
      </c>
      <c r="AA7" s="10">
        <f ca="1">VLOOKUP(W7,[1]character_tribe_i18n!$A:$H,4,FALSE)</f>
        <v>1</v>
      </c>
      <c r="AB7" s="10">
        <f ca="1">VLOOKUP(W7,[1]character_tribe_i18n!$A:$H,5,FALSE)</f>
        <v>1</v>
      </c>
      <c r="AC7" s="10">
        <f ca="1">VLOOKUP(W7,[1]character_tribe_i18n!$A:$H,6,FALSE)</f>
        <v>1</v>
      </c>
      <c r="AD7" s="10">
        <f ca="1">VLOOKUP(W7,[1]character_tribe_i18n!$A:$H,7,FALSE)</f>
        <v>1</v>
      </c>
      <c r="AE7" s="187">
        <v>1301</v>
      </c>
      <c r="AF7" s="58" t="str">
        <f ca="1">IF(AE7="NULL","",VLOOKUP($AE7,OFFSET([1]characters!$A$1,0,0,COUNTA([1]characters!$A:$A),MATCH(AF$1,[1]characters!$1:$1,0)-MATCH($A$1,[1]characters!$1:$1,0)+1),MATCH(AF$1,[1]characters!$1:$1,0)-MATCH($A$1,[1]characters!$1:$1,0)+1,FALSE))</f>
        <v>歌装の萌響女 紫式部</v>
      </c>
      <c r="AG7" s="187">
        <v>1300</v>
      </c>
      <c r="AH7" s="58" t="str">
        <f ca="1">VLOOKUP($AG7,OFFSET([1]characters!$A$1,0,0,COUNTA([1]characters!$A:$A),MATCH(AH$1,[1]characters!$1:$1,0)-MATCH($A$1,[1]characters!$1:$1,0)+1),MATCH(AH$1,[1]characters!$1:$1,0)-MATCH($A$1,[1]characters!$1:$1,0)+1,FALSE)</f>
        <v>歌装の彩唱 紫式部</v>
      </c>
      <c r="AI7" s="10">
        <f ca="1">IF(AE7="NULL","NULL",VLOOKUP(G7,ビット!$A$2:$B$7,2))</f>
        <v>200000</v>
      </c>
      <c r="AJ7" s="6">
        <v>2</v>
      </c>
      <c r="AK7" s="7" t="str">
        <f t="shared" ref="AK7" si="12">IF(AJ7=1,"早熟",IF(AJ7=2,"普通",IF(AJ7=3,"晩成","")))</f>
        <v>普通</v>
      </c>
      <c r="AL7" s="10" t="str">
        <f ca="1">INDEX(経験値!$A$1:$I$21,MATCH(H7,経験値!$A$1:$A$21,FALSE),MATCH(G7,経験値!$A$1:$I$1,FALSE))</f>
        <v>required_exp_200</v>
      </c>
      <c r="AM7" s="8">
        <f ca="1">VLOOKUP(G7,経験値!$A$28:$B$32,2)</f>
        <v>6400</v>
      </c>
      <c r="AN7" s="16">
        <f ca="1">VLOOKUP(G7,ビット!$G$2:$H$7,2)</f>
        <v>900</v>
      </c>
      <c r="AO7" s="41"/>
      <c r="AP7" s="63">
        <v>1300</v>
      </c>
      <c r="AQ7" s="53" t="str">
        <f ca="1">VLOOKUP($AP7,OFFSET(unit_skills!$A$1,0,0,COUNTA(unit_skills!$A:$A),MATCH(AQ$1,unit_skills!$1:$1,0)-MATCH($AP$1,unit_skills!$1:$1,0)+1),MATCH(AQ$1,unit_skills!$1:$1,0)-MATCH($AP$1,unit_skills!$1:$1,0)+1,FALSE)</f>
        <v>溢れ出る彩歌</v>
      </c>
      <c r="AR7" s="53" t="str">
        <f ca="1">VLOOKUP($AP7,OFFSET(unit_skills!$A$1,0,0,COUNTA(unit_skills!$A:$A),MATCH(AR$1,unit_skills!$1:$1,0)-MATCH($AP$1,unit_skills!$1:$1,0)+1),MATCH(AR$1,unit_skills!$1:$1,0)-MATCH($AP$1,unit_skills!$1:$1,0)+1,FALSE)</f>
        <v>ランダムでパネルを最大1個SCパネル(大)に変換+1ターン緑属性ユニットのタップ回数を1増やす</v>
      </c>
      <c r="AS7" s="53">
        <f ca="1">VLOOKUP($AP7,OFFSET(unit_skills!$A$1,0,0,COUNTA(unit_skills!$A:$A),MATCH(AS$1,unit_skills!$1:$1,0)-MATCH($AP$1,unit_skills!$1:$1,0)+1),MATCH(AS$1,unit_skills!$1:$1,0)-MATCH($AP$1,unit_skills!$1:$1,0)+1,FALSE)</f>
        <v>0</v>
      </c>
      <c r="AT7" s="63">
        <v>1300</v>
      </c>
      <c r="AU7" s="53" t="str">
        <f ca="1">VLOOKUP($AT7,OFFSET(crash_skills!$A$1,0,0,COUNTA(crash_skills!$A:$A),MATCH(AU$1,crash_skills!$1:$1,0)-MATCH($AT$1,crash_skills!$1:$1,0)+1),MATCH(AU$1,crash_skills!$1:$1,0)-MATCH($AT$1,crash_skills!$1:$1,0)+1,FALSE)</f>
        <v>激唱歌創トランス</v>
      </c>
      <c r="AV7" s="53" t="str">
        <f ca="1">VLOOKUP($AT7,OFFSET(crash_skills!$A$1,0,0,COUNTA(crash_skills!$A:$A),MATCH(AV$1,crash_skills!$1:$1,0)-MATCH($AT$1,crash_skills!$1:$1,0)+1),MATCH(AV$1,crash_skills!$1:$1,0)-MATCH($AT$1,crash_skills!$1:$1,0)+1,FALSE)</f>
        <v>1体に超大ダメージ+_x000D_1ターン緑属性ユニットの攻撃力小UP</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1.05</v>
      </c>
      <c r="AZ7" s="64">
        <v>1.1060000000000001</v>
      </c>
      <c r="BA7" s="64">
        <v>0</v>
      </c>
      <c r="BB7" s="64">
        <v>1.1739999999999999</v>
      </c>
      <c r="BC7" s="10">
        <f ca="1">INDEX('RC6SV'!$A$1:$G$21,MATCH(H7,'RC6SV'!$A$1:$A$21,FALSE),MATCH(G7,'RC6SV'!$A$1:$G$1,FALSE))</f>
        <v>9000</v>
      </c>
      <c r="BD7" s="44">
        <f t="shared" ref="BD7" ca="1" si="13">ROUND(BC7*IF(AJ7=1,0.95,IF(AJ7=2,1,IF(AJ7,1.05,0))),0)</f>
        <v>9000</v>
      </c>
      <c r="BE7" s="10">
        <f t="shared" ca="1" si="2"/>
        <v>0</v>
      </c>
      <c r="BF7" s="10">
        <f t="shared" ca="1" si="3"/>
        <v>1</v>
      </c>
      <c r="BG7" s="15">
        <f ca="1">IF($BE7&lt;=0,ROUND(BK7*0.5,0), ROUND($BE7*S7*AA7*J7*AY7*0.8*[1]ステータス!$B$2,0))</f>
        <v>2169</v>
      </c>
      <c r="BH7" s="15">
        <f ca="1">IF($BE7&lt;=0,ROUND(BL7*0.5,0), ROUND($BE7*T7*AB7*K7*AZ7*0.8*[1]ステータス!$C$2,0))</f>
        <v>1317</v>
      </c>
      <c r="BI7" s="15">
        <f ca="1">IF($BE7&lt;=0,ROUND(BM7*0.5,0), ROUND($BE7*U7*AC7*L7*BA7*0.8*[1]ステータス!$D$2,0))</f>
        <v>0</v>
      </c>
      <c r="BJ7" s="15">
        <f ca="1">IF($BE7&lt;=0,ROUND(BN7*0.5,0), ROUND($BE7*V7*AD7*M7*BB7*0.8*[1]ステータス!$E$2,0))</f>
        <v>1189</v>
      </c>
      <c r="BK7" s="10">
        <f ca="1">ROUND(BD7*S7*AA7*J7*AY7*[1]ステータス!$B$2,0)</f>
        <v>4338</v>
      </c>
      <c r="BL7" s="10">
        <f ca="1">ROUND(BD7*T7*AB7*K7*AZ7*[1]ステータス!$C$2,0)</f>
        <v>2634</v>
      </c>
      <c r="BM7" s="10">
        <f ca="1">ROUND(BD7*U7*AC7*L7*BA7*[1]ステータス!$D$2,0)</f>
        <v>0</v>
      </c>
      <c r="BN7" s="10">
        <f ca="1">ROUND(BD7*V7*AD7*M7*BB7*[1]ステータス!$E$2,0)</f>
        <v>2377</v>
      </c>
      <c r="BO7" s="9">
        <v>0</v>
      </c>
      <c r="BP7" s="9">
        <v>1</v>
      </c>
      <c r="BQ7" s="9" t="s">
        <v>47</v>
      </c>
      <c r="BR7" s="9">
        <f ca="1">VLOOKUP(H7,ghosts_label!$A$2:$B$19,2,FALSE)</f>
        <v>1</v>
      </c>
    </row>
    <row r="8" spans="1:70" ht="26" customHeight="1" x14ac:dyDescent="0.15">
      <c r="A8" s="186">
        <v>1301</v>
      </c>
      <c r="B8" s="53" t="str">
        <f ca="1">VLOOKUP($A8,OFFSET([1]characters!$A$1,0,0,COUNTA([1]characters!$A:$A),MATCH(B$1,[1]characters!$1:$1,0)-MATCH($A$1,[1]characters!$1:$1,0)+1),MATCH(B$1,[1]characters!$1:$1,0)-MATCH($A$1,[1]characters!$1:$1,0)+1,FALSE)</f>
        <v>歌装の萌響女 紫式部</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DropWizS</v>
      </c>
      <c r="I8" s="53" t="str">
        <f ca="1">VLOOKUP($A8,OFFSET([1]characters!$A$1,0,0,COUNTA([1]characters!$A:$A),MATCH(I$1,[1]characters!$1:$1,0)-MATCH($A$1,[1]characters!$1:$1,0)+1),MATCH(I$1,[1]characters!$1:$1,0)-MATCH($A$1,[1]characters!$1:$1,0)+1,FALSE)</f>
        <v>green</v>
      </c>
      <c r="J8" s="10">
        <f ca="1">VLOOKUP(I8,[1]属性!$A:$E,2,FALSE)</f>
        <v>1.02</v>
      </c>
      <c r="K8" s="10">
        <f ca="1">VLOOKUP(I8,[1]属性!$A:$E,3,FALSE)</f>
        <v>0.98</v>
      </c>
      <c r="L8" s="10">
        <f ca="1">VLOOKUP(I8,[1]属性!$A:$E,4,FALSE)</f>
        <v>1</v>
      </c>
      <c r="M8" s="10">
        <f ca="1">VLOOKUP(I8,[1]属性!$A:$E,5,FALSE)</f>
        <v>1</v>
      </c>
      <c r="N8" s="10">
        <f ca="1">INDEX(コスト!$A$1:$I$21,MATCH(H8,コスト!$A$1:$A$21,FALSE),MATCH(G8,コスト!$A$1:$I$1,FALSE))</f>
        <v>45</v>
      </c>
      <c r="O8" s="10">
        <f ca="1">INDEX(レベル!$A$1:$I$22,MATCH(H8,レベル!$A$1:$A$22,FALSE),MATCH(G8,レベル!$A$1:$I$1,FALSE))</f>
        <v>99</v>
      </c>
      <c r="P8" s="44">
        <f t="shared" ref="P8" ca="1" si="14">IF(G8 &gt;= 6, 99,G8*15)</f>
        <v>99</v>
      </c>
      <c r="Q8" s="53" t="str">
        <f ca="1">VLOOKUP($A8,OFFSET([1]characters!$A$1,0,0,COUNTA([1]characters!$A:$A),MATCH(Q$1,[1]characters!$1:$1,0)-MATCH($A$1,[1]characters!$1:$1,0)+1),MATCH(Q$1,[1]characters!$1:$1,0)-MATCH($A$1,[1]characters!$1:$1,0)+1,FALSE)</f>
        <v>technical</v>
      </c>
      <c r="R8" s="5" t="str">
        <f ca="1">VLOOKUP(Q8,[1]character_type_i18n!$A:$H,3,FALSE)</f>
        <v>テクニカルタイプ</v>
      </c>
      <c r="S8" s="10">
        <f ca="1">VLOOKUP(Q8,[1]character_type_i18n!$A:$H,4,FALSE)</f>
        <v>0.9</v>
      </c>
      <c r="T8" s="10">
        <f ca="1">VLOOKUP(Q8,[1]character_type_i18n!$A:$H,5,FALSE)</f>
        <v>0.9</v>
      </c>
      <c r="U8" s="10">
        <f ca="1">VLOOKUP(Q8,[1]character_type_i18n!$A:$H,6,FALSE)</f>
        <v>1</v>
      </c>
      <c r="V8" s="10">
        <f ca="1">VLOOKUP(Q8,[1]character_type_i18n!$A:$H,7,FALSE)</f>
        <v>0.9</v>
      </c>
      <c r="W8" s="53" t="str">
        <f ca="1">VLOOKUP($A8,OFFSET([1]characters!$A$1,0,0,COUNTA([1]characters!$A:$A),MATCH(W$1,[1]characters!$1:$1,0)-MATCH($A$1,[1]characters!$1:$1,0)+1),MATCH(W$1,[1]characters!$1:$1,0)-MATCH($A$1,[1]characters!$1:$1,0)+1,FALSE)</f>
        <v>unknown</v>
      </c>
      <c r="X8" s="5" t="str">
        <f ca="1">VLOOKUP(W8,[1]character_tribe_i18n!$A:$H,3,FALSE)</f>
        <v>Unknown</v>
      </c>
      <c r="Y8" s="53" t="str">
        <f ca="1">VLOOKUP($A8,OFFSET([1]characters!$A$1,0,0,COUNTA([1]characters!$A:$A),MATCH(Y$1,[1]characters!$1:$1,0)-MATCH($A$1,[1]characters!$1:$1,0)+1),MATCH(Y$1,[1]characters!$1:$1,0)-MATCH($A$1,[1]characters!$1:$1,0)+1,FALSE)</f>
        <v>none</v>
      </c>
      <c r="Z8" s="5" t="str">
        <f ca="1">VLOOKUP(Y8,[1]character_tribe_i18n!$A:$H,3,FALSE)</f>
        <v>種族なし</v>
      </c>
      <c r="AA8" s="10">
        <f ca="1">VLOOKUP(W8,[1]character_tribe_i18n!$A:$H,4,FALSE)</f>
        <v>1</v>
      </c>
      <c r="AB8" s="10">
        <f ca="1">VLOOKUP(W8,[1]character_tribe_i18n!$A:$H,5,FALSE)</f>
        <v>1</v>
      </c>
      <c r="AC8" s="10">
        <f ca="1">VLOOKUP(W8,[1]character_tribe_i18n!$A:$H,6,FALSE)</f>
        <v>1</v>
      </c>
      <c r="AD8" s="10">
        <f ca="1">VLOOKUP(W8,[1]character_tribe_i18n!$A:$H,7,FALSE)</f>
        <v>1</v>
      </c>
      <c r="AE8" s="187" t="s">
        <v>318</v>
      </c>
      <c r="AF8" s="58" t="str">
        <f ca="1">IF(AE8="NULL","",VLOOKUP($AE8,OFFSET([1]characters!$A$1,0,0,COUNTA([1]characters!$A:$A),MATCH(AF$1,[1]characters!$1:$1,0)-MATCH($A$1,[1]characters!$1:$1,0)+1),MATCH(AF$1,[1]characters!$1:$1,0)-MATCH($A$1,[1]characters!$1:$1,0)+1,FALSE))</f>
        <v/>
      </c>
      <c r="AG8" s="187">
        <v>1300</v>
      </c>
      <c r="AH8" s="58" t="str">
        <f ca="1">VLOOKUP($AG8,OFFSET([1]characters!$A$1,0,0,COUNTA([1]characters!$A:$A),MATCH(AH$1,[1]characters!$1:$1,0)-MATCH($A$1,[1]characters!$1:$1,0)+1),MATCH(AH$1,[1]characters!$1:$1,0)-MATCH($A$1,[1]characters!$1:$1,0)+1,FALSE)</f>
        <v>歌装の彩唱 紫式部</v>
      </c>
      <c r="AI8" s="10" t="str">
        <f>IF(AE8="NULL","NULL",VLOOKUP(G8,ビット!$A$2:$B$7,2))</f>
        <v>NULL</v>
      </c>
      <c r="AJ8" s="6">
        <v>2</v>
      </c>
      <c r="AK8" s="7" t="str">
        <f t="shared" ref="AK8" si="15">IF(AJ8=1,"早熟",IF(AJ8=2,"普通",IF(AJ8=3,"晩成","")))</f>
        <v>普通</v>
      </c>
      <c r="AL8" s="10" t="str">
        <f ca="1">INDEX(経験値!$A$1:$I$21,MATCH(H8,経験値!$A$1:$A$21,FALSE),MATCH(G8,経験値!$A$1:$I$1,FALSE))</f>
        <v>required_exp_250</v>
      </c>
      <c r="AM8" s="8">
        <f ca="1">VLOOKUP(G8,経験値!$A$28:$B$32,2)</f>
        <v>6400</v>
      </c>
      <c r="AN8" s="16">
        <f ca="1">VLOOKUP(G8,ビット!$G$2:$H$7,2)</f>
        <v>900</v>
      </c>
      <c r="AO8" s="41"/>
      <c r="AP8" s="63">
        <v>1301</v>
      </c>
      <c r="AQ8" s="53" t="str">
        <f ca="1">VLOOKUP($AP8,OFFSET(unit_skills!$A$1,0,0,COUNTA(unit_skills!$A:$A),MATCH(AQ$1,unit_skills!$1:$1,0)-MATCH($AP$1,unit_skills!$1:$1,0)+1),MATCH(AQ$1,unit_skills!$1:$1,0)-MATCH($AP$1,unit_skills!$1:$1,0)+1,FALSE)</f>
        <v>膨れ上がる歌装世界</v>
      </c>
      <c r="AR8" s="53" t="str">
        <f ca="1">VLOOKUP($AP8,OFFSET(unit_skills!$A$1,0,0,COUNTA(unit_skills!$A:$A),MATCH(AR$1,unit_skills!$1:$1,0)-MATCH($AP$1,unit_skills!$1:$1,0)+1),MATCH(AR$1,unit_skills!$1:$1,0)-MATCH($AP$1,unit_skills!$1:$1,0)+1,FALSE)</f>
        <v>ランダムでパネルを最大1個SCパネル(大)に変換+3ターン緑属性ユニットのタップ回数を1増やす</v>
      </c>
      <c r="AS8" s="53">
        <f ca="1">VLOOKUP($AP8,OFFSET(unit_skills!$A$1,0,0,COUNTA(unit_skills!$A:$A),MATCH(AS$1,unit_skills!$1:$1,0)-MATCH($AP$1,unit_skills!$1:$1,0)+1),MATCH(AS$1,unit_skills!$1:$1,0)-MATCH($AP$1,unit_skills!$1:$1,0)+1,FALSE)</f>
        <v>0</v>
      </c>
      <c r="AT8" s="63">
        <v>1301</v>
      </c>
      <c r="AU8" s="53" t="str">
        <f ca="1">VLOOKUP($AT8,OFFSET(crash_skills!$A$1,0,0,COUNTA(crash_skills!$A:$A),MATCH(AU$1,crash_skills!$1:$1,0)-MATCH($AT$1,crash_skills!$1:$1,0)+1),MATCH(AU$1,crash_skills!$1:$1,0)-MATCH($AT$1,crash_skills!$1:$1,0)+1,FALSE)</f>
        <v>激唱歌創トランス</v>
      </c>
      <c r="AV8" s="53" t="str">
        <f ca="1">VLOOKUP($AT8,OFFSET(crash_skills!$A$1,0,0,COUNTA(crash_skills!$A:$A),MATCH(AV$1,crash_skills!$1:$1,0)-MATCH($AT$1,crash_skills!$1:$1,0)+1),MATCH(AV$1,crash_skills!$1:$1,0)-MATCH($AT$1,crash_skills!$1:$1,0)+1,FALSE)</f>
        <v>1体に超大ダメージ+_x000D_1ターン緑属性ユニットの攻撃力小UP</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1.05</v>
      </c>
      <c r="AZ8" s="64">
        <v>1.1060000000000001</v>
      </c>
      <c r="BA8" s="64">
        <v>0</v>
      </c>
      <c r="BB8" s="64">
        <v>1.1739999999999999</v>
      </c>
      <c r="BC8" s="10">
        <f ca="1">INDEX('RC6SV'!$A$1:$G$21,MATCH(H8,'RC6SV'!$A$1:$A$21,FALSE),MATCH(G8,'RC6SV'!$A$1:$G$1,FALSE))</f>
        <v>12000</v>
      </c>
      <c r="BD8" s="44">
        <f t="shared" ref="BD8" ca="1" si="16">ROUND(BC8*IF(AJ8=1,0.95,IF(AJ8=2,1,IF(AJ8,1.05,0))),0)</f>
        <v>12000</v>
      </c>
      <c r="BE8" s="10">
        <f t="shared" ca="1" si="2"/>
        <v>9000</v>
      </c>
      <c r="BF8" s="10">
        <f t="shared" ca="1" si="3"/>
        <v>1</v>
      </c>
      <c r="BG8" s="15">
        <f ca="1">IF($BE8&lt;=0,ROUND(BK8*0.5,0), ROUND($BE8*S8*AA8*J8*AY8*0.8*[1]ステータス!$B$2,0))</f>
        <v>3470</v>
      </c>
      <c r="BH8" s="15">
        <f ca="1">IF($BE8&lt;=0,ROUND(BL8*0.5,0), ROUND($BE8*T8*AB8*K8*AZ8*0.8*[1]ステータス!$C$2,0))</f>
        <v>2107</v>
      </c>
      <c r="BI8" s="15">
        <f ca="1">IF($BE8&lt;=0,ROUND(BM8*0.5,0), ROUND($BE8*U8*AC8*L8*BA8*0.8*[1]ステータス!$D$2,0))</f>
        <v>0</v>
      </c>
      <c r="BJ8" s="15">
        <f ca="1">IF($BE8&lt;=0,ROUND(BN8*0.5,0), ROUND($BE8*V8*AD8*M8*BB8*0.8*[1]ステータス!$E$2,0))</f>
        <v>1902</v>
      </c>
      <c r="BK8" s="10">
        <f ca="1">ROUND(BD8*S8*AA8*J8*AY8*[1]ステータス!$B$2,0)</f>
        <v>5783</v>
      </c>
      <c r="BL8" s="10">
        <f ca="1">ROUND(BD8*T8*AB8*K8*AZ8*[1]ステータス!$C$2,0)</f>
        <v>3512</v>
      </c>
      <c r="BM8" s="10">
        <f ca="1">ROUND(BD8*U8*AC8*L8*BA8*[1]ステータス!$D$2,0)</f>
        <v>0</v>
      </c>
      <c r="BN8" s="10">
        <f ca="1">ROUND(BD8*V8*AD8*M8*BB8*[1]ステータス!$E$2,0)</f>
        <v>3170</v>
      </c>
      <c r="BO8" s="9">
        <v>0</v>
      </c>
      <c r="BP8" s="9">
        <v>1</v>
      </c>
      <c r="BQ8" s="9" t="s">
        <v>47</v>
      </c>
      <c r="BR8" s="9">
        <f ca="1">VLOOKUP(H8,ghosts_label!$A$2:$B$19,2,FALSE)</f>
        <v>1</v>
      </c>
    </row>
    <row r="9" spans="1:70" ht="26" customHeight="1" x14ac:dyDescent="0.15">
      <c r="A9" s="186">
        <v>1302</v>
      </c>
      <c r="B9" s="53" t="str">
        <f ca="1">VLOOKUP($A9,OFFSET([1]characters!$A$1,0,0,COUNTA([1]characters!$A:$A),MATCH(B$1,[1]characters!$1:$1,0)-MATCH($A$1,[1]characters!$1:$1,0)+1),MATCH(B$1,[1]characters!$1:$1,0)-MATCH($A$1,[1]characters!$1:$1,0)+1,FALSE)</f>
        <v>超天突符 イナバ</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DropWizS</v>
      </c>
      <c r="I9" s="53" t="str">
        <f ca="1">VLOOKUP($A9,OFFSET([1]characters!$A$1,0,0,COUNTA([1]characters!$A:$A),MATCH(I$1,[1]characters!$1:$1,0)-MATCH($A$1,[1]characters!$1:$1,0)+1),MATCH(I$1,[1]characters!$1:$1,0)-MATCH($A$1,[1]characters!$1:$1,0)+1,FALSE)</f>
        <v>yellow</v>
      </c>
      <c r="J9" s="10">
        <f ca="1">VLOOKUP(I9,[1]属性!$A:$E,2,FALSE)</f>
        <v>0.98</v>
      </c>
      <c r="K9" s="10">
        <f ca="1">VLOOKUP(I9,[1]属性!$A:$E,3,FALSE)</f>
        <v>1.01</v>
      </c>
      <c r="L9" s="10">
        <f ca="1">VLOOKUP(I9,[1]属性!$A:$E,4,FALSE)</f>
        <v>1</v>
      </c>
      <c r="M9" s="10">
        <f ca="1">VLOOKUP(I9,[1]属性!$A:$E,5,FALSE)</f>
        <v>1.01</v>
      </c>
      <c r="N9" s="10">
        <f ca="1">INDEX(コスト!$A$1:$I$21,MATCH(H9,コスト!$A$1:$A$21,FALSE),MATCH(G9,コスト!$A$1:$I$1,FALSE))</f>
        <v>30</v>
      </c>
      <c r="O9" s="10">
        <f ca="1">INDEX(レベル!$A$1:$I$22,MATCH(H9,レベル!$A$1:$A$22,FALSE),MATCH(G9,レベル!$A$1:$I$1,FALSE))</f>
        <v>80</v>
      </c>
      <c r="P9" s="44">
        <f t="shared" ref="P9" ca="1" si="17">IF(G9 &gt;= 6, 99,G9*15)</f>
        <v>75</v>
      </c>
      <c r="Q9" s="53" t="str">
        <f ca="1">VLOOKUP($A9,OFFSET([1]characters!$A$1,0,0,COUNTA([1]characters!$A:$A),MATCH(Q$1,[1]characters!$1:$1,0)-MATCH($A$1,[1]characters!$1:$1,0)+1),MATCH(Q$1,[1]characters!$1:$1,0)-MATCH($A$1,[1]characters!$1:$1,0)+1,FALSE)</f>
        <v>balance</v>
      </c>
      <c r="R9" s="5" t="str">
        <f ca="1">VLOOKUP(Q9,[1]character_type_i18n!$A:$H,3,FALSE)</f>
        <v>バランスタイプ</v>
      </c>
      <c r="S9" s="10">
        <f ca="1">VLOOKUP(Q9,[1]character_type_i18n!$A:$H,4,FALSE)</f>
        <v>1</v>
      </c>
      <c r="T9" s="10">
        <f ca="1">VLOOKUP(Q9,[1]character_type_i18n!$A:$H,5,FALSE)</f>
        <v>1</v>
      </c>
      <c r="U9" s="10">
        <f ca="1">VLOOKUP(Q9,[1]character_type_i18n!$A:$H,6,FALSE)</f>
        <v>1</v>
      </c>
      <c r="V9" s="10">
        <f ca="1">VLOOKUP(Q9,[1]character_type_i18n!$A:$H,7,FALSE)</f>
        <v>1</v>
      </c>
      <c r="W9" s="53" t="str">
        <f ca="1">VLOOKUP($A9,OFFSET([1]characters!$A$1,0,0,COUNTA([1]characters!$A:$A),MATCH(W$1,[1]characters!$1:$1,0)-MATCH($A$1,[1]characters!$1:$1,0)+1),MATCH(W$1,[1]characters!$1:$1,0)-MATCH($A$1,[1]characters!$1:$1,0)+1,FALSE)</f>
        <v>unknown</v>
      </c>
      <c r="X9" s="5" t="str">
        <f ca="1">VLOOKUP(W9,[1]character_tribe_i18n!$A:$H,3,FALSE)</f>
        <v>Unknown</v>
      </c>
      <c r="Y9" s="53" t="str">
        <f ca="1">VLOOKUP($A9,OFFSET([1]characters!$A$1,0,0,COUNTA([1]characters!$A:$A),MATCH(Y$1,[1]characters!$1:$1,0)-MATCH($A$1,[1]characters!$1:$1,0)+1),MATCH(Y$1,[1]characters!$1:$1,0)-MATCH($A$1,[1]characters!$1:$1,0)+1,FALSE)</f>
        <v>none</v>
      </c>
      <c r="Z9" s="5" t="str">
        <f ca="1">VLOOKUP(Y9,[1]character_tribe_i18n!$A:$H,3,FALSE)</f>
        <v>種族なし</v>
      </c>
      <c r="AA9" s="10">
        <f ca="1">VLOOKUP(W9,[1]character_tribe_i18n!$A:$H,4,FALSE)</f>
        <v>1</v>
      </c>
      <c r="AB9" s="10">
        <f ca="1">VLOOKUP(W9,[1]character_tribe_i18n!$A:$H,5,FALSE)</f>
        <v>1</v>
      </c>
      <c r="AC9" s="10">
        <f ca="1">VLOOKUP(W9,[1]character_tribe_i18n!$A:$H,6,FALSE)</f>
        <v>1</v>
      </c>
      <c r="AD9" s="10">
        <f ca="1">VLOOKUP(W9,[1]character_tribe_i18n!$A:$H,7,FALSE)</f>
        <v>1</v>
      </c>
      <c r="AE9" s="187">
        <v>1303</v>
      </c>
      <c r="AF9" s="58" t="str">
        <f ca="1">IF(AE9="NULL","",VLOOKUP($AE9,OFFSET([1]characters!$A$1,0,0,COUNTA([1]characters!$A:$A),MATCH(AF$1,[1]characters!$1:$1,0)-MATCH($A$1,[1]characters!$1:$1,0)+1),MATCH(AF$1,[1]characters!$1:$1,0)-MATCH($A$1,[1]characters!$1:$1,0)+1,FALSE))</f>
        <v>転調･超天突符 イナバ</v>
      </c>
      <c r="AG9" s="187">
        <v>1302</v>
      </c>
      <c r="AH9" s="58" t="str">
        <f ca="1">VLOOKUP($AG9,OFFSET([1]characters!$A$1,0,0,COUNTA([1]characters!$A:$A),MATCH(AH$1,[1]characters!$1:$1,0)-MATCH($A$1,[1]characters!$1:$1,0)+1),MATCH(AH$1,[1]characters!$1:$1,0)-MATCH($A$1,[1]characters!$1:$1,0)+1,FALSE)</f>
        <v>超天突符 イナバ</v>
      </c>
      <c r="AI9" s="10">
        <f ca="1">IF(AE9="NULL","NULL",VLOOKUP(G9,ビット!$A$2:$B$7,2))</f>
        <v>200000</v>
      </c>
      <c r="AJ9" s="6">
        <v>2</v>
      </c>
      <c r="AK9" s="7" t="str">
        <f t="shared" ref="AK9" si="18">IF(AJ9=1,"早熟",IF(AJ9=2,"普通",IF(AJ9=3,"晩成","")))</f>
        <v>普通</v>
      </c>
      <c r="AL9" s="10" t="str">
        <f ca="1">INDEX(経験値!$A$1:$I$21,MATCH(H9,経験値!$A$1:$A$21,FALSE),MATCH(G9,経験値!$A$1:$I$1,FALSE))</f>
        <v>required_exp_200</v>
      </c>
      <c r="AM9" s="8">
        <f ca="1">VLOOKUP(G9,経験値!$A$28:$B$32,2)</f>
        <v>6400</v>
      </c>
      <c r="AN9" s="16">
        <f ca="1">VLOOKUP(G9,ビット!$G$2:$H$7,2)</f>
        <v>900</v>
      </c>
      <c r="AO9" s="41"/>
      <c r="AP9" s="63">
        <v>1302</v>
      </c>
      <c r="AQ9" s="53" t="str">
        <f ca="1">VLOOKUP($AP9,OFFSET(unit_skills!$A$1,0,0,COUNTA(unit_skills!$A:$A),MATCH(AQ$1,unit_skills!$1:$1,0)-MATCH($AP$1,unit_skills!$1:$1,0)+1),MATCH(AQ$1,unit_skills!$1:$1,0)-MATCH($AP$1,unit_skills!$1:$1,0)+1,FALSE)</f>
        <v>虹音ライン</v>
      </c>
      <c r="AR9" s="53" t="str">
        <f ca="1">VLOOKUP($AP9,OFFSET(unit_skills!$A$1,0,0,COUNTA(unit_skills!$A:$A),MATCH(AR$1,unit_skills!$1:$1,0)-MATCH($AP$1,unit_skills!$1:$1,0)+1),MATCH(AR$1,unit_skills!$1:$1,0)-MATCH($AP$1,unit_skills!$1:$1,0)+1,FALSE)</f>
        <v>赤・青パネルを黄パネルに変換+1ターン黄属性ユニットの攻撃力を特大UP</v>
      </c>
      <c r="AS9" s="53">
        <f ca="1">VLOOKUP($AP9,OFFSET(unit_skills!$A$1,0,0,COUNTA(unit_skills!$A:$A),MATCH(AS$1,unit_skills!$1:$1,0)-MATCH($AP$1,unit_skills!$1:$1,0)+1),MATCH(AS$1,unit_skills!$1:$1,0)-MATCH($AP$1,unit_skills!$1:$1,0)+1,FALSE)</f>
        <v>0</v>
      </c>
      <c r="AT9" s="63">
        <v>1302</v>
      </c>
      <c r="AU9" s="53" t="str">
        <f ca="1">VLOOKUP($AT9,OFFSET(crash_skills!$A$1,0,0,COUNTA(crash_skills!$A:$A),MATCH(AU$1,crash_skills!$1:$1,0)-MATCH($AT$1,crash_skills!$1:$1,0)+1),MATCH(AU$1,crash_skills!$1:$1,0)-MATCH($AT$1,crash_skills!$1:$1,0)+1,FALSE)</f>
        <v>音跳神芸アリゲイツ</v>
      </c>
      <c r="AV9" s="53" t="str">
        <f ca="1">VLOOKUP($AT9,OFFSET(crash_skills!$A$1,0,0,COUNTA(crash_skills!$A:$A),MATCH(AV$1,crash_skills!$1:$1,0)-MATCH($AT$1,crash_skills!$1:$1,0)+1),MATCH(AV$1,crash_skills!$1:$1,0)-MATCH($AT$1,crash_skills!$1:$1,0)+1,FALSE)</f>
        <v>1体に超大ダメージ</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0.96699999999999997</v>
      </c>
      <c r="AZ9" s="64">
        <v>1.1000000000000001</v>
      </c>
      <c r="BA9" s="64">
        <v>0</v>
      </c>
      <c r="BB9" s="64">
        <v>0.83</v>
      </c>
      <c r="BC9" s="10">
        <f ca="1">INDEX('RC6SV'!$A$1:$G$21,MATCH(H9,'RC6SV'!$A$1:$A$21,FALSE),MATCH(G9,'RC6SV'!$A$1:$G$1,FALSE))</f>
        <v>9000</v>
      </c>
      <c r="BD9" s="44">
        <f t="shared" ref="BD9" ca="1" si="19">ROUND(BC9*IF(AJ9=1,0.95,IF(AJ9=2,1,IF(AJ9,1.05,0))),0)</f>
        <v>9000</v>
      </c>
      <c r="BE9" s="10">
        <f t="shared" ca="1" si="2"/>
        <v>0</v>
      </c>
      <c r="BF9" s="10">
        <f t="shared" ca="1" si="3"/>
        <v>1</v>
      </c>
      <c r="BG9" s="15">
        <f ca="1">IF($BE9&lt;=0,ROUND(BK9*0.5,0), ROUND($BE9*S9*AA9*J9*AY9*0.8*[1]ステータス!$B$2,0))</f>
        <v>2132</v>
      </c>
      <c r="BH9" s="15">
        <f ca="1">IF($BE9&lt;=0,ROUND(BL9*0.5,0), ROUND($BE9*T9*AB9*K9*AZ9*0.8*[1]ステータス!$C$2,0))</f>
        <v>1500</v>
      </c>
      <c r="BI9" s="15">
        <f ca="1">IF($BE9&lt;=0,ROUND(BM9*0.5,0), ROUND($BE9*U9*AC9*L9*BA9*0.8*[1]ステータス!$D$2,0))</f>
        <v>0</v>
      </c>
      <c r="BJ9" s="15">
        <f ca="1">IF($BE9&lt;=0,ROUND(BN9*0.5,0), ROUND($BE9*V9*AD9*M9*BB9*0.8*[1]ステータス!$E$2,0))</f>
        <v>943</v>
      </c>
      <c r="BK9" s="10">
        <f ca="1">ROUND(BD9*S9*AA9*J9*AY9*[1]ステータス!$B$2,0)</f>
        <v>4264</v>
      </c>
      <c r="BL9" s="10">
        <f ca="1">ROUND(BD9*T9*AB9*K9*AZ9*[1]ステータス!$C$2,0)</f>
        <v>3000</v>
      </c>
      <c r="BM9" s="10">
        <f ca="1">ROUND(BD9*U9*AC9*L9*BA9*[1]ステータス!$D$2,0)</f>
        <v>0</v>
      </c>
      <c r="BN9" s="10">
        <f ca="1">ROUND(BD9*V9*AD9*M9*BB9*[1]ステータス!$E$2,0)</f>
        <v>1886</v>
      </c>
      <c r="BO9" s="9">
        <v>0</v>
      </c>
      <c r="BP9" s="9">
        <v>1</v>
      </c>
      <c r="BQ9" s="9" t="s">
        <v>47</v>
      </c>
      <c r="BR9" s="9">
        <f ca="1">VLOOKUP(H9,ghosts_label!$A$2:$B$19,2,FALSE)</f>
        <v>1</v>
      </c>
    </row>
    <row r="10" spans="1:70" ht="26" customHeight="1" x14ac:dyDescent="0.15">
      <c r="A10" s="186">
        <v>1303</v>
      </c>
      <c r="B10" s="53" t="str">
        <f ca="1">VLOOKUP($A10,OFFSET([1]characters!$A$1,0,0,COUNTA([1]characters!$A:$A),MATCH(B$1,[1]characters!$1:$1,0)-MATCH($A$1,[1]characters!$1:$1,0)+1),MATCH(B$1,[1]characters!$1:$1,0)-MATCH($A$1,[1]characters!$1:$1,0)+1,FALSE)</f>
        <v>転調･超天突符 イナバ</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6</v>
      </c>
      <c r="H10" s="53" t="str">
        <f ca="1">VLOOKUP($A10,OFFSET([1]characters!$A$1,0,0,COUNTA([1]characters!$A:$A),MATCH(H$1,[1]characters!$1:$1,0)-MATCH($A$1,[1]characters!$1:$1,0)+1),MATCH(H$1,[1]characters!$1:$1,0)-MATCH($A$1,[1]characters!$1:$1,0)+1,FALSE)</f>
        <v>DropWizS</v>
      </c>
      <c r="I10" s="53" t="str">
        <f ca="1">VLOOKUP($A10,OFFSET([1]characters!$A$1,0,0,COUNTA([1]characters!$A:$A),MATCH(I$1,[1]characters!$1:$1,0)-MATCH($A$1,[1]characters!$1:$1,0)+1),MATCH(I$1,[1]characters!$1:$1,0)-MATCH($A$1,[1]characters!$1:$1,0)+1,FALSE)</f>
        <v>yellow</v>
      </c>
      <c r="J10" s="10">
        <f ca="1">VLOOKUP(I10,[1]属性!$A:$E,2,FALSE)</f>
        <v>0.98</v>
      </c>
      <c r="K10" s="10">
        <f ca="1">VLOOKUP(I10,[1]属性!$A:$E,3,FALSE)</f>
        <v>1.01</v>
      </c>
      <c r="L10" s="10">
        <f ca="1">VLOOKUP(I10,[1]属性!$A:$E,4,FALSE)</f>
        <v>1</v>
      </c>
      <c r="M10" s="10">
        <f ca="1">VLOOKUP(I10,[1]属性!$A:$E,5,FALSE)</f>
        <v>1.01</v>
      </c>
      <c r="N10" s="10">
        <f ca="1">INDEX(コスト!$A$1:$I$21,MATCH(H10,コスト!$A$1:$A$21,FALSE),MATCH(G10,コスト!$A$1:$I$1,FALSE))</f>
        <v>45</v>
      </c>
      <c r="O10" s="10">
        <f ca="1">INDEX(レベル!$A$1:$I$22,MATCH(H10,レベル!$A$1:$A$22,FALSE),MATCH(G10,レベル!$A$1:$I$1,FALSE))</f>
        <v>99</v>
      </c>
      <c r="P10" s="44">
        <f t="shared" ref="P10" ca="1" si="20">IF(G10 &gt;= 6, 99,G10*15)</f>
        <v>99</v>
      </c>
      <c r="Q10" s="53" t="str">
        <f ca="1">VLOOKUP($A10,OFFSET([1]characters!$A$1,0,0,COUNTA([1]characters!$A:$A),MATCH(Q$1,[1]characters!$1:$1,0)-MATCH($A$1,[1]characters!$1:$1,0)+1),MATCH(Q$1,[1]characters!$1:$1,0)-MATCH($A$1,[1]characters!$1:$1,0)+1,FALSE)</f>
        <v>balance</v>
      </c>
      <c r="R10" s="5" t="str">
        <f ca="1">VLOOKUP(Q10,[1]character_type_i18n!$A:$H,3,FALSE)</f>
        <v>バランスタイプ</v>
      </c>
      <c r="S10" s="10">
        <f ca="1">VLOOKUP(Q10,[1]character_type_i18n!$A:$H,4,FALSE)</f>
        <v>1</v>
      </c>
      <c r="T10" s="10">
        <f ca="1">VLOOKUP(Q10,[1]character_type_i18n!$A:$H,5,FALSE)</f>
        <v>1</v>
      </c>
      <c r="U10" s="10">
        <f ca="1">VLOOKUP(Q10,[1]character_type_i18n!$A:$H,6,FALSE)</f>
        <v>1</v>
      </c>
      <c r="V10" s="10">
        <f ca="1">VLOOKUP(Q10,[1]character_type_i18n!$A:$H,7,FALSE)</f>
        <v>1</v>
      </c>
      <c r="W10" s="53" t="str">
        <f ca="1">VLOOKUP($A10,OFFSET([1]characters!$A$1,0,0,COUNTA([1]characters!$A:$A),MATCH(W$1,[1]characters!$1:$1,0)-MATCH($A$1,[1]characters!$1:$1,0)+1),MATCH(W$1,[1]characters!$1:$1,0)-MATCH($A$1,[1]characters!$1:$1,0)+1,FALSE)</f>
        <v>unknown</v>
      </c>
      <c r="X10" s="5" t="str">
        <f ca="1">VLOOKUP(W10,[1]character_tribe_i18n!$A:$H,3,FALSE)</f>
        <v>Unknown</v>
      </c>
      <c r="Y10" s="53" t="str">
        <f ca="1">VLOOKUP($A10,OFFSET([1]characters!$A$1,0,0,COUNTA([1]characters!$A:$A),MATCH(Y$1,[1]characters!$1:$1,0)-MATCH($A$1,[1]characters!$1:$1,0)+1),MATCH(Y$1,[1]characters!$1:$1,0)-MATCH($A$1,[1]characters!$1:$1,0)+1,FALSE)</f>
        <v>none</v>
      </c>
      <c r="Z10" s="5" t="str">
        <f ca="1">VLOOKUP(Y10,[1]character_tribe_i18n!$A:$H,3,FALSE)</f>
        <v>種族なし</v>
      </c>
      <c r="AA10" s="10">
        <f ca="1">VLOOKUP(W10,[1]character_tribe_i18n!$A:$H,4,FALSE)</f>
        <v>1</v>
      </c>
      <c r="AB10" s="10">
        <f ca="1">VLOOKUP(W10,[1]character_tribe_i18n!$A:$H,5,FALSE)</f>
        <v>1</v>
      </c>
      <c r="AC10" s="10">
        <f ca="1">VLOOKUP(W10,[1]character_tribe_i18n!$A:$H,6,FALSE)</f>
        <v>1</v>
      </c>
      <c r="AD10" s="10">
        <f ca="1">VLOOKUP(W10,[1]character_tribe_i18n!$A:$H,7,FALSE)</f>
        <v>1</v>
      </c>
      <c r="AE10" s="187" t="s">
        <v>318</v>
      </c>
      <c r="AF10" s="58" t="str">
        <f ca="1">IF(AE10="NULL","",VLOOKUP($AE10,OFFSET([1]characters!$A$1,0,0,COUNTA([1]characters!$A:$A),MATCH(AF$1,[1]characters!$1:$1,0)-MATCH($A$1,[1]characters!$1:$1,0)+1),MATCH(AF$1,[1]characters!$1:$1,0)-MATCH($A$1,[1]characters!$1:$1,0)+1,FALSE))</f>
        <v/>
      </c>
      <c r="AG10" s="187">
        <v>1302</v>
      </c>
      <c r="AH10" s="58" t="str">
        <f ca="1">VLOOKUP($AG10,OFFSET([1]characters!$A$1,0,0,COUNTA([1]characters!$A:$A),MATCH(AH$1,[1]characters!$1:$1,0)-MATCH($A$1,[1]characters!$1:$1,0)+1),MATCH(AH$1,[1]characters!$1:$1,0)-MATCH($A$1,[1]characters!$1:$1,0)+1,FALSE)</f>
        <v>超天突符 イナバ</v>
      </c>
      <c r="AI10" s="10" t="str">
        <f>IF(AE10="NULL","NULL",VLOOKUP(G10,ビット!$A$2:$B$7,2))</f>
        <v>NULL</v>
      </c>
      <c r="AJ10" s="6">
        <v>2</v>
      </c>
      <c r="AK10" s="7" t="str">
        <f t="shared" ref="AK10" si="21">IF(AJ10=1,"早熟",IF(AJ10=2,"普通",IF(AJ10=3,"晩成","")))</f>
        <v>普通</v>
      </c>
      <c r="AL10" s="10" t="str">
        <f ca="1">INDEX(経験値!$A$1:$I$21,MATCH(H10,経験値!$A$1:$A$21,FALSE),MATCH(G10,経験値!$A$1:$I$1,FALSE))</f>
        <v>required_exp_250</v>
      </c>
      <c r="AM10" s="8">
        <f ca="1">VLOOKUP(G10,経験値!$A$28:$B$32,2)</f>
        <v>6400</v>
      </c>
      <c r="AN10" s="16">
        <f ca="1">VLOOKUP(G10,ビット!$G$2:$H$7,2)</f>
        <v>900</v>
      </c>
      <c r="AO10" s="41"/>
      <c r="AP10" s="63">
        <v>1303</v>
      </c>
      <c r="AQ10" s="53" t="str">
        <f ca="1">VLOOKUP($AP10,OFFSET(unit_skills!$A$1,0,0,COUNTA(unit_skills!$A:$A),MATCH(AQ$1,unit_skills!$1:$1,0)-MATCH($AP$1,unit_skills!$1:$1,0)+1),MATCH(AQ$1,unit_skills!$1:$1,0)-MATCH($AP$1,unit_skills!$1:$1,0)+1,FALSE)</f>
        <v>虹音超越ノーツライン</v>
      </c>
      <c r="AR10" s="53" t="str">
        <f ca="1">VLOOKUP($AP10,OFFSET(unit_skills!$A$1,0,0,COUNTA(unit_skills!$A:$A),MATCH(AR$1,unit_skills!$1:$1,0)-MATCH($AP$1,unit_skills!$1:$1,0)+1),MATCH(AR$1,unit_skills!$1:$1,0)-MATCH($AP$1,unit_skills!$1:$1,0)+1,FALSE)</f>
        <v>赤・青パネルを黄パネルに変換+1ターン黄属性ユニットの攻撃力を超大UP</v>
      </c>
      <c r="AS10" s="53">
        <f ca="1">VLOOKUP($AP10,OFFSET(unit_skills!$A$1,0,0,COUNTA(unit_skills!$A:$A),MATCH(AS$1,unit_skills!$1:$1,0)-MATCH($AP$1,unit_skills!$1:$1,0)+1),MATCH(AS$1,unit_skills!$1:$1,0)-MATCH($AP$1,unit_skills!$1:$1,0)+1,FALSE)</f>
        <v>0</v>
      </c>
      <c r="AT10" s="63">
        <v>1303</v>
      </c>
      <c r="AU10" s="53" t="str">
        <f ca="1">VLOOKUP($AT10,OFFSET(crash_skills!$A$1,0,0,COUNTA(crash_skills!$A:$A),MATCH(AU$1,crash_skills!$1:$1,0)-MATCH($AT$1,crash_skills!$1:$1,0)+1),MATCH(AU$1,crash_skills!$1:$1,0)-MATCH($AT$1,crash_skills!$1:$1,0)+1,FALSE)</f>
        <v>音跳神芸アリゲイツ</v>
      </c>
      <c r="AV10" s="53" t="str">
        <f ca="1">VLOOKUP($AT10,OFFSET(crash_skills!$A$1,0,0,COUNTA(crash_skills!$A:$A),MATCH(AV$1,crash_skills!$1:$1,0)-MATCH($AT$1,crash_skills!$1:$1,0)+1),MATCH(AV$1,crash_skills!$1:$1,0)-MATCH($AT$1,crash_skills!$1:$1,0)+1,FALSE)</f>
        <v>1体に超大ダメージ</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0.96699999999999997</v>
      </c>
      <c r="AZ10" s="64">
        <v>1.1000000000000001</v>
      </c>
      <c r="BA10" s="64">
        <v>0</v>
      </c>
      <c r="BB10" s="64">
        <v>0.83</v>
      </c>
      <c r="BC10" s="10">
        <f ca="1">INDEX('RC6SV'!$A$1:$G$21,MATCH(H10,'RC6SV'!$A$1:$A$21,FALSE),MATCH(G10,'RC6SV'!$A$1:$G$1,FALSE))</f>
        <v>12000</v>
      </c>
      <c r="BD10" s="44">
        <f t="shared" ref="BD10" ca="1" si="22">ROUND(BC10*IF(AJ10=1,0.95,IF(AJ10=2,1,IF(AJ10,1.05,0))),0)</f>
        <v>12000</v>
      </c>
      <c r="BE10" s="10">
        <f t="shared" ca="1" si="2"/>
        <v>9000</v>
      </c>
      <c r="BF10" s="10">
        <f t="shared" ca="1" si="3"/>
        <v>1</v>
      </c>
      <c r="BG10" s="15">
        <f ca="1">IF($BE10&lt;=0,ROUND(BK10*0.5,0), ROUND($BE10*S10*AA10*J10*AY10*0.8*[1]ステータス!$B$2,0))</f>
        <v>3412</v>
      </c>
      <c r="BH10" s="15">
        <f ca="1">IF($BE10&lt;=0,ROUND(BL10*0.5,0), ROUND($BE10*T10*AB10*K10*AZ10*0.8*[1]ステータス!$C$2,0))</f>
        <v>2400</v>
      </c>
      <c r="BI10" s="15">
        <f ca="1">IF($BE10&lt;=0,ROUND(BM10*0.5,0), ROUND($BE10*U10*AC10*L10*BA10*0.8*[1]ステータス!$D$2,0))</f>
        <v>0</v>
      </c>
      <c r="BJ10" s="15">
        <f ca="1">IF($BE10&lt;=0,ROUND(BN10*0.5,0), ROUND($BE10*V10*AD10*M10*BB10*0.8*[1]ステータス!$E$2,0))</f>
        <v>1509</v>
      </c>
      <c r="BK10" s="10">
        <f ca="1">ROUND(BD10*S10*AA10*J10*AY10*[1]ステータス!$B$2,0)</f>
        <v>5686</v>
      </c>
      <c r="BL10" s="10">
        <f ca="1">ROUND(BD10*T10*AB10*K10*AZ10*[1]ステータス!$C$2,0)</f>
        <v>4000</v>
      </c>
      <c r="BM10" s="10">
        <f ca="1">ROUND(BD10*U10*AC10*L10*BA10*[1]ステータス!$D$2,0)</f>
        <v>0</v>
      </c>
      <c r="BN10" s="10">
        <f ca="1">ROUND(BD10*V10*AD10*M10*BB10*[1]ステータス!$E$2,0)</f>
        <v>2515</v>
      </c>
      <c r="BO10" s="9">
        <v>0</v>
      </c>
      <c r="BP10" s="9">
        <v>1</v>
      </c>
      <c r="BQ10" s="9" t="s">
        <v>47</v>
      </c>
      <c r="BR10" s="9">
        <f ca="1">VLOOKUP(H10,ghosts_label!$A$2:$B$19,2,FALSE)</f>
        <v>1</v>
      </c>
    </row>
    <row r="11" spans="1:70" ht="26" customHeight="1" x14ac:dyDescent="0.15">
      <c r="A11" s="186">
        <v>1304</v>
      </c>
      <c r="B11" s="53" t="str">
        <f ca="1">VLOOKUP($A11,OFFSET([1]characters!$A$1,0,0,COUNTA([1]characters!$A:$A),MATCH(B$1,[1]characters!$1:$1,0)-MATCH($A$1,[1]characters!$1:$1,0)+1),MATCH(B$1,[1]characters!$1:$1,0)-MATCH($A$1,[1]characters!$1:$1,0)+1,FALSE)</f>
        <v>演鼠の響笛音 ハーメルン</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5</v>
      </c>
      <c r="H11" s="53" t="str">
        <f ca="1">VLOOKUP($A11,OFFSET([1]characters!$A$1,0,0,COUNTA([1]characters!$A:$A),MATCH(H$1,[1]characters!$1:$1,0)-MATCH($A$1,[1]characters!$1:$1,0)+1),MATCH(H$1,[1]characters!$1:$1,0)-MATCH($A$1,[1]characters!$1:$1,0)+1,FALSE)</f>
        <v>DropWizS</v>
      </c>
      <c r="I11" s="53" t="str">
        <f ca="1">VLOOKUP($A11,OFFSET([1]characters!$A$1,0,0,COUNTA([1]characters!$A:$A),MATCH(I$1,[1]characters!$1:$1,0)-MATCH($A$1,[1]characters!$1:$1,0)+1),MATCH(I$1,[1]characters!$1:$1,0)-MATCH($A$1,[1]characters!$1:$1,0)+1,FALSE)</f>
        <v>blue</v>
      </c>
      <c r="J11" s="10">
        <f ca="1">VLOOKUP(I11,[1]属性!$A:$E,2,FALSE)</f>
        <v>1</v>
      </c>
      <c r="K11" s="10">
        <f ca="1">VLOOKUP(I11,[1]属性!$A:$E,3,FALSE)</f>
        <v>0.98</v>
      </c>
      <c r="L11" s="10">
        <f ca="1">VLOOKUP(I11,[1]属性!$A:$E,4,FALSE)</f>
        <v>1</v>
      </c>
      <c r="M11" s="10">
        <f ca="1">VLOOKUP(I11,[1]属性!$A:$E,5,FALSE)</f>
        <v>1.02</v>
      </c>
      <c r="N11" s="10">
        <f ca="1">INDEX(コスト!$A$1:$I$21,MATCH(H11,コスト!$A$1:$A$21,FALSE),MATCH(G11,コスト!$A$1:$I$1,FALSE))</f>
        <v>30</v>
      </c>
      <c r="O11" s="10">
        <f ca="1">INDEX(レベル!$A$1:$I$22,MATCH(H11,レベル!$A$1:$A$22,FALSE),MATCH(G11,レベル!$A$1:$I$1,FALSE))</f>
        <v>80</v>
      </c>
      <c r="P11" s="44">
        <f t="shared" ref="P11" ca="1" si="23">IF(G11 &gt;= 6, 99,G11*15)</f>
        <v>75</v>
      </c>
      <c r="Q11" s="53" t="str">
        <f ca="1">VLOOKUP($A11,OFFSET([1]characters!$A$1,0,0,COUNTA([1]characters!$A:$A),MATCH(Q$1,[1]characters!$1:$1,0)-MATCH($A$1,[1]characters!$1:$1,0)+1),MATCH(Q$1,[1]characters!$1:$1,0)-MATCH($A$1,[1]characters!$1:$1,0)+1,FALSE)</f>
        <v>technical</v>
      </c>
      <c r="R11" s="5" t="str">
        <f ca="1">VLOOKUP(Q11,[1]character_type_i18n!$A:$H,3,FALSE)</f>
        <v>テクニカルタイプ</v>
      </c>
      <c r="S11" s="10">
        <f ca="1">VLOOKUP(Q11,[1]character_type_i18n!$A:$H,4,FALSE)</f>
        <v>0.9</v>
      </c>
      <c r="T11" s="10">
        <f ca="1">VLOOKUP(Q11,[1]character_type_i18n!$A:$H,5,FALSE)</f>
        <v>0.9</v>
      </c>
      <c r="U11" s="10">
        <f ca="1">VLOOKUP(Q11,[1]character_type_i18n!$A:$H,6,FALSE)</f>
        <v>1</v>
      </c>
      <c r="V11" s="10">
        <f ca="1">VLOOKUP(Q11,[1]character_type_i18n!$A:$H,7,FALSE)</f>
        <v>0.9</v>
      </c>
      <c r="W11" s="53" t="str">
        <f ca="1">VLOOKUP($A11,OFFSET([1]characters!$A$1,0,0,COUNTA([1]characters!$A:$A),MATCH(W$1,[1]characters!$1:$1,0)-MATCH($A$1,[1]characters!$1:$1,0)+1),MATCH(W$1,[1]characters!$1:$1,0)-MATCH($A$1,[1]characters!$1:$1,0)+1,FALSE)</f>
        <v>unknown</v>
      </c>
      <c r="X11" s="5" t="str">
        <f ca="1">VLOOKUP(W11,[1]character_tribe_i18n!$A:$H,3,FALSE)</f>
        <v>Unknown</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1</v>
      </c>
      <c r="AB11" s="10">
        <f ca="1">VLOOKUP(W11,[1]character_tribe_i18n!$A:$H,5,FALSE)</f>
        <v>1</v>
      </c>
      <c r="AC11" s="10">
        <f ca="1">VLOOKUP(W11,[1]character_tribe_i18n!$A:$H,6,FALSE)</f>
        <v>1</v>
      </c>
      <c r="AD11" s="10">
        <f ca="1">VLOOKUP(W11,[1]character_tribe_i18n!$A:$H,7,FALSE)</f>
        <v>1</v>
      </c>
      <c r="AE11" s="187">
        <v>1305</v>
      </c>
      <c r="AF11" s="58" t="str">
        <f ca="1">IF(AE11="NULL","",VLOOKUP($AE11,OFFSET([1]characters!$A$1,0,0,COUNTA([1]characters!$A:$A),MATCH(AF$1,[1]characters!$1:$1,0)-MATCH($A$1,[1]characters!$1:$1,0)+1),MATCH(AF$1,[1]characters!$1:$1,0)-MATCH($A$1,[1]characters!$1:$1,0)+1,FALSE))</f>
        <v>響界廻る睡鼠楽 ハーメルン</v>
      </c>
      <c r="AG11" s="187">
        <v>1304</v>
      </c>
      <c r="AH11" s="58" t="str">
        <f ca="1">VLOOKUP($AG11,OFFSET([1]characters!$A$1,0,0,COUNTA([1]characters!$A:$A),MATCH(AH$1,[1]characters!$1:$1,0)-MATCH($A$1,[1]characters!$1:$1,0)+1),MATCH(AH$1,[1]characters!$1:$1,0)-MATCH($A$1,[1]characters!$1:$1,0)+1,FALSE)</f>
        <v>演鼠の響笛音 ハーメルン</v>
      </c>
      <c r="AI11" s="10">
        <f ca="1">IF(AE11="NULL","NULL",VLOOKUP(G11,ビット!$A$2:$B$7,2))</f>
        <v>200000</v>
      </c>
      <c r="AJ11" s="6">
        <v>2</v>
      </c>
      <c r="AK11" s="7" t="str">
        <f t="shared" ref="AK11" si="24">IF(AJ11=1,"早熟",IF(AJ11=2,"普通",IF(AJ11=3,"晩成","")))</f>
        <v>普通</v>
      </c>
      <c r="AL11" s="10" t="str">
        <f ca="1">INDEX(経験値!$A$1:$I$21,MATCH(H11,経験値!$A$1:$A$21,FALSE),MATCH(G11,経験値!$A$1:$I$1,FALSE))</f>
        <v>required_exp_200</v>
      </c>
      <c r="AM11" s="8">
        <f ca="1">VLOOKUP(G11,経験値!$A$28:$B$32,2)</f>
        <v>6400</v>
      </c>
      <c r="AN11" s="16">
        <f ca="1">VLOOKUP(G11,ビット!$G$2:$H$7,2)</f>
        <v>900</v>
      </c>
      <c r="AO11" s="41"/>
      <c r="AP11" s="63">
        <v>1304</v>
      </c>
      <c r="AQ11" s="53" t="str">
        <f ca="1">VLOOKUP($AP11,OFFSET(unit_skills!$A$1,0,0,COUNTA(unit_skills!$A:$A),MATCH(AQ$1,unit_skills!$1:$1,0)-MATCH($AP$1,unit_skills!$1:$1,0)+1),MATCH(AQ$1,unit_skills!$1:$1,0)-MATCH($AP$1,unit_skills!$1:$1,0)+1,FALSE)</f>
        <v>グリッサンド・エレクトロ</v>
      </c>
      <c r="AR11" s="53" t="str">
        <f ca="1">VLOOKUP($AP11,OFFSET(unit_skills!$A$1,0,0,COUNTA(unit_skills!$A:$A),MATCH(AR$1,unit_skills!$1:$1,0)-MATCH($AP$1,unit_skills!$1:$1,0)+1),MATCH(AR$1,unit_skills!$1:$1,0)-MATCH($AP$1,unit_skills!$1:$1,0)+1,FALSE)</f>
        <v>赤パネルを青ボムパネルに変換+1ターン青属性ユニットの攻撃力を特大UPし、回復力を大UP</v>
      </c>
      <c r="AS11" s="53">
        <f ca="1">VLOOKUP($AP11,OFFSET(unit_skills!$A$1,0,0,COUNTA(unit_skills!$A:$A),MATCH(AS$1,unit_skills!$1:$1,0)-MATCH($AP$1,unit_skills!$1:$1,0)+1),MATCH(AS$1,unit_skills!$1:$1,0)-MATCH($AP$1,unit_skills!$1:$1,0)+1,FALSE)</f>
        <v>0</v>
      </c>
      <c r="AT11" s="63">
        <v>1304</v>
      </c>
      <c r="AU11" s="53" t="str">
        <f ca="1">VLOOKUP($AT11,OFFSET(crash_skills!$A$1,0,0,COUNTA(crash_skills!$A:$A),MATCH(AU$1,crash_skills!$1:$1,0)-MATCH($AT$1,crash_skills!$1:$1,0)+1),MATCH(AU$1,crash_skills!$1:$1,0)-MATCH($AT$1,crash_skills!$1:$1,0)+1,FALSE)</f>
        <v>導音の遊戯歌</v>
      </c>
      <c r="AV11" s="53" t="str">
        <f ca="1">VLOOKUP($AT11,OFFSET(crash_skills!$A$1,0,0,COUNTA(crash_skills!$A:$A),MATCH(AV$1,crash_skills!$1:$1,0)-MATCH($AT$1,crash_skills!$1:$1,0)+1),MATCH(AV$1,crash_skills!$1:$1,0)-MATCH($AT$1,crash_skills!$1:$1,0)+1,FALSE)</f>
        <v>1体に超大ダメージ+_x000D_低確率でスリープ付与</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1.0740000000000001</v>
      </c>
      <c r="AZ11" s="64">
        <v>1.2130000000000001</v>
      </c>
      <c r="BA11" s="64">
        <v>0</v>
      </c>
      <c r="BB11" s="64">
        <v>1</v>
      </c>
      <c r="BC11" s="10">
        <f ca="1">INDEX('RC6SV'!$A$1:$G$21,MATCH(H11,'RC6SV'!$A$1:$A$21,FALSE),MATCH(G11,'RC6SV'!$A$1:$G$1,FALSE))</f>
        <v>9000</v>
      </c>
      <c r="BD11" s="44">
        <f t="shared" ref="BD11" ca="1" si="25">ROUND(BC11*IF(AJ11=1,0.95,IF(AJ11=2,1,IF(AJ11,1.05,0))),0)</f>
        <v>9000</v>
      </c>
      <c r="BE11" s="10">
        <f t="shared" ca="1" si="2"/>
        <v>0</v>
      </c>
      <c r="BF11" s="10">
        <f t="shared" ca="1" si="3"/>
        <v>1</v>
      </c>
      <c r="BG11" s="15">
        <f ca="1">IF($BE11&lt;=0,ROUND(BK11*0.5,0), ROUND($BE11*S11*AA11*J11*AY11*0.8*[1]ステータス!$B$2,0))</f>
        <v>2175</v>
      </c>
      <c r="BH11" s="15">
        <f ca="1">IF($BE11&lt;=0,ROUND(BL11*0.5,0), ROUND($BE11*T11*AB11*K11*AZ11*0.8*[1]ステータス!$C$2,0))</f>
        <v>1445</v>
      </c>
      <c r="BI11" s="15">
        <f ca="1">IF($BE11&lt;=0,ROUND(BM11*0.5,0), ROUND($BE11*U11*AC11*L11*BA11*0.8*[1]ステータス!$D$2,0))</f>
        <v>0</v>
      </c>
      <c r="BJ11" s="15">
        <f ca="1">IF($BE11&lt;=0,ROUND(BN11*0.5,0), ROUND($BE11*V11*AD11*M11*BB11*0.8*[1]ステータス!$E$2,0))</f>
        <v>1033</v>
      </c>
      <c r="BK11" s="10">
        <f ca="1">ROUND(BD11*S11*AA11*J11*AY11*[1]ステータス!$B$2,0)</f>
        <v>4350</v>
      </c>
      <c r="BL11" s="10">
        <f ca="1">ROUND(BD11*T11*AB11*K11*AZ11*[1]ステータス!$C$2,0)</f>
        <v>2889</v>
      </c>
      <c r="BM11" s="10">
        <f ca="1">ROUND(BD11*U11*AC11*L11*BA11*[1]ステータス!$D$2,0)</f>
        <v>0</v>
      </c>
      <c r="BN11" s="10">
        <f ca="1">ROUND(BD11*V11*AD11*M11*BB11*[1]ステータス!$E$2,0)</f>
        <v>2066</v>
      </c>
      <c r="BO11" s="9">
        <v>0</v>
      </c>
      <c r="BP11" s="9">
        <v>1</v>
      </c>
      <c r="BQ11" s="9" t="s">
        <v>47</v>
      </c>
      <c r="BR11" s="9">
        <f ca="1">VLOOKUP(H11,ghosts_label!$A$2:$B$19,2,FALSE)</f>
        <v>1</v>
      </c>
    </row>
    <row r="12" spans="1:70" ht="26" customHeight="1" x14ac:dyDescent="0.15">
      <c r="A12" s="186">
        <v>1305</v>
      </c>
      <c r="B12" s="53" t="str">
        <f ca="1">VLOOKUP($A12,OFFSET([1]characters!$A$1,0,0,COUNTA([1]characters!$A:$A),MATCH(B$1,[1]characters!$1:$1,0)-MATCH($A$1,[1]characters!$1:$1,0)+1),MATCH(B$1,[1]characters!$1:$1,0)-MATCH($A$1,[1]characters!$1:$1,0)+1,FALSE)</f>
        <v>響界廻る睡鼠楽 ハーメルン</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6</v>
      </c>
      <c r="H12" s="53" t="str">
        <f ca="1">VLOOKUP($A12,OFFSET([1]characters!$A$1,0,0,COUNTA([1]characters!$A:$A),MATCH(H$1,[1]characters!$1:$1,0)-MATCH($A$1,[1]characters!$1:$1,0)+1),MATCH(H$1,[1]characters!$1:$1,0)-MATCH($A$1,[1]characters!$1:$1,0)+1,FALSE)</f>
        <v>DropWizS</v>
      </c>
      <c r="I12" s="53" t="str">
        <f ca="1">VLOOKUP($A12,OFFSET([1]characters!$A$1,0,0,COUNTA([1]characters!$A:$A),MATCH(I$1,[1]characters!$1:$1,0)-MATCH($A$1,[1]characters!$1:$1,0)+1),MATCH(I$1,[1]characters!$1:$1,0)-MATCH($A$1,[1]characters!$1:$1,0)+1,FALSE)</f>
        <v>blue</v>
      </c>
      <c r="J12" s="10">
        <f ca="1">VLOOKUP(I12,[1]属性!$A:$E,2,FALSE)</f>
        <v>1</v>
      </c>
      <c r="K12" s="10">
        <f ca="1">VLOOKUP(I12,[1]属性!$A:$E,3,FALSE)</f>
        <v>0.98</v>
      </c>
      <c r="L12" s="10">
        <f ca="1">VLOOKUP(I12,[1]属性!$A:$E,4,FALSE)</f>
        <v>1</v>
      </c>
      <c r="M12" s="10">
        <f ca="1">VLOOKUP(I12,[1]属性!$A:$E,5,FALSE)</f>
        <v>1.02</v>
      </c>
      <c r="N12" s="10">
        <f ca="1">INDEX(コスト!$A$1:$I$21,MATCH(H12,コスト!$A$1:$A$21,FALSE),MATCH(G12,コスト!$A$1:$I$1,FALSE))</f>
        <v>45</v>
      </c>
      <c r="O12" s="10">
        <f ca="1">INDEX(レベル!$A$1:$I$22,MATCH(H12,レベル!$A$1:$A$22,FALSE),MATCH(G12,レベル!$A$1:$I$1,FALSE))</f>
        <v>99</v>
      </c>
      <c r="P12" s="44">
        <f t="shared" ref="P12" ca="1" si="26">IF(G12 &gt;= 6, 99,G12*15)</f>
        <v>99</v>
      </c>
      <c r="Q12" s="53" t="str">
        <f ca="1">VLOOKUP($A12,OFFSET([1]characters!$A$1,0,0,COUNTA([1]characters!$A:$A),MATCH(Q$1,[1]characters!$1:$1,0)-MATCH($A$1,[1]characters!$1:$1,0)+1),MATCH(Q$1,[1]characters!$1:$1,0)-MATCH($A$1,[1]characters!$1:$1,0)+1,FALSE)</f>
        <v>technical</v>
      </c>
      <c r="R12" s="5" t="str">
        <f ca="1">VLOOKUP(Q12,[1]character_type_i18n!$A:$H,3,FALSE)</f>
        <v>テクニカルタイプ</v>
      </c>
      <c r="S12" s="10">
        <f ca="1">VLOOKUP(Q12,[1]character_type_i18n!$A:$H,4,FALSE)</f>
        <v>0.9</v>
      </c>
      <c r="T12" s="10">
        <f ca="1">VLOOKUP(Q12,[1]character_type_i18n!$A:$H,5,FALSE)</f>
        <v>0.9</v>
      </c>
      <c r="U12" s="10">
        <f ca="1">VLOOKUP(Q12,[1]character_type_i18n!$A:$H,6,FALSE)</f>
        <v>1</v>
      </c>
      <c r="V12" s="10">
        <f ca="1">VLOOKUP(Q12,[1]character_type_i18n!$A:$H,7,FALSE)</f>
        <v>0.9</v>
      </c>
      <c r="W12" s="53" t="str">
        <f ca="1">VLOOKUP($A12,OFFSET([1]characters!$A$1,0,0,COUNTA([1]characters!$A:$A),MATCH(W$1,[1]characters!$1:$1,0)-MATCH($A$1,[1]characters!$1:$1,0)+1),MATCH(W$1,[1]characters!$1:$1,0)-MATCH($A$1,[1]characters!$1:$1,0)+1,FALSE)</f>
        <v>unknown</v>
      </c>
      <c r="X12" s="5" t="str">
        <f ca="1">VLOOKUP(W12,[1]character_tribe_i18n!$A:$H,3,FALSE)</f>
        <v>Unknown</v>
      </c>
      <c r="Y12" s="53" t="str">
        <f ca="1">VLOOKUP($A12,OFFSET([1]characters!$A$1,0,0,COUNTA([1]characters!$A:$A),MATCH(Y$1,[1]characters!$1:$1,0)-MATCH($A$1,[1]characters!$1:$1,0)+1),MATCH(Y$1,[1]characters!$1:$1,0)-MATCH($A$1,[1]characters!$1:$1,0)+1,FALSE)</f>
        <v>none</v>
      </c>
      <c r="Z12" s="5" t="str">
        <f ca="1">VLOOKUP(Y12,[1]character_tribe_i18n!$A:$H,3,FALSE)</f>
        <v>種族なし</v>
      </c>
      <c r="AA12" s="10">
        <f ca="1">VLOOKUP(W12,[1]character_tribe_i18n!$A:$H,4,FALSE)</f>
        <v>1</v>
      </c>
      <c r="AB12" s="10">
        <f ca="1">VLOOKUP(W12,[1]character_tribe_i18n!$A:$H,5,FALSE)</f>
        <v>1</v>
      </c>
      <c r="AC12" s="10">
        <f ca="1">VLOOKUP(W12,[1]character_tribe_i18n!$A:$H,6,FALSE)</f>
        <v>1</v>
      </c>
      <c r="AD12" s="10">
        <f ca="1">VLOOKUP(W12,[1]character_tribe_i18n!$A:$H,7,FALSE)</f>
        <v>1</v>
      </c>
      <c r="AE12" s="187" t="s">
        <v>318</v>
      </c>
      <c r="AF12" s="58" t="str">
        <f ca="1">IF(AE12="NULL","",VLOOKUP($AE12,OFFSET([1]characters!$A$1,0,0,COUNTA([1]characters!$A:$A),MATCH(AF$1,[1]characters!$1:$1,0)-MATCH($A$1,[1]characters!$1:$1,0)+1),MATCH(AF$1,[1]characters!$1:$1,0)-MATCH($A$1,[1]characters!$1:$1,0)+1,FALSE))</f>
        <v/>
      </c>
      <c r="AG12" s="187">
        <v>1304</v>
      </c>
      <c r="AH12" s="58" t="str">
        <f ca="1">VLOOKUP($AG12,OFFSET([1]characters!$A$1,0,0,COUNTA([1]characters!$A:$A),MATCH(AH$1,[1]characters!$1:$1,0)-MATCH($A$1,[1]characters!$1:$1,0)+1),MATCH(AH$1,[1]characters!$1:$1,0)-MATCH($A$1,[1]characters!$1:$1,0)+1,FALSE)</f>
        <v>演鼠の響笛音 ハーメルン</v>
      </c>
      <c r="AI12" s="10" t="str">
        <f>IF(AE12="NULL","NULL",VLOOKUP(G12,ビット!$A$2:$B$7,2))</f>
        <v>NULL</v>
      </c>
      <c r="AJ12" s="6">
        <v>2</v>
      </c>
      <c r="AK12" s="7" t="str">
        <f t="shared" ref="AK12" si="27">IF(AJ12=1,"早熟",IF(AJ12=2,"普通",IF(AJ12=3,"晩成","")))</f>
        <v>普通</v>
      </c>
      <c r="AL12" s="10" t="str">
        <f ca="1">INDEX(経験値!$A$1:$I$21,MATCH(H12,経験値!$A$1:$A$21,FALSE),MATCH(G12,経験値!$A$1:$I$1,FALSE))</f>
        <v>required_exp_250</v>
      </c>
      <c r="AM12" s="8">
        <f ca="1">VLOOKUP(G12,経験値!$A$28:$B$32,2)</f>
        <v>6400</v>
      </c>
      <c r="AN12" s="16">
        <f ca="1">VLOOKUP(G12,ビット!$G$2:$H$7,2)</f>
        <v>900</v>
      </c>
      <c r="AO12" s="41"/>
      <c r="AP12" s="63">
        <v>1305</v>
      </c>
      <c r="AQ12" s="53" t="str">
        <f ca="1">VLOOKUP($AP12,OFFSET(unit_skills!$A$1,0,0,COUNTA(unit_skills!$A:$A),MATCH(AQ$1,unit_skills!$1:$1,0)-MATCH($AP$1,unit_skills!$1:$1,0)+1),MATCH(AQ$1,unit_skills!$1:$1,0)-MATCH($AP$1,unit_skills!$1:$1,0)+1,FALSE)</f>
        <v>グリッサンド・エレクトロニカ</v>
      </c>
      <c r="AR12" s="53" t="str">
        <f ca="1">VLOOKUP($AP12,OFFSET(unit_skills!$A$1,0,0,COUNTA(unit_skills!$A:$A),MATCH(AR$1,unit_skills!$1:$1,0)-MATCH($AP$1,unit_skills!$1:$1,0)+1),MATCH(AR$1,unit_skills!$1:$1,0)-MATCH($AP$1,unit_skills!$1:$1,0)+1,FALSE)</f>
        <v>赤パネルを青ボムパネルに変換+2ターン青属性ユニットの攻撃力を特大UPし、回復力を大UP</v>
      </c>
      <c r="AS12" s="53">
        <f ca="1">VLOOKUP($AP12,OFFSET(unit_skills!$A$1,0,0,COUNTA(unit_skills!$A:$A),MATCH(AS$1,unit_skills!$1:$1,0)-MATCH($AP$1,unit_skills!$1:$1,0)+1),MATCH(AS$1,unit_skills!$1:$1,0)-MATCH($AP$1,unit_skills!$1:$1,0)+1,FALSE)</f>
        <v>0</v>
      </c>
      <c r="AT12" s="63">
        <v>1305</v>
      </c>
      <c r="AU12" s="53" t="str">
        <f ca="1">VLOOKUP($AT12,OFFSET(crash_skills!$A$1,0,0,COUNTA(crash_skills!$A:$A),MATCH(AU$1,crash_skills!$1:$1,0)-MATCH($AT$1,crash_skills!$1:$1,0)+1),MATCH(AU$1,crash_skills!$1:$1,0)-MATCH($AT$1,crash_skills!$1:$1,0)+1,FALSE)</f>
        <v>導音の遊戯歌</v>
      </c>
      <c r="AV12" s="53" t="str">
        <f ca="1">VLOOKUP($AT12,OFFSET(crash_skills!$A$1,0,0,COUNTA(crash_skills!$A:$A),MATCH(AV$1,crash_skills!$1:$1,0)-MATCH($AT$1,crash_skills!$1:$1,0)+1),MATCH(AV$1,crash_skills!$1:$1,0)-MATCH($AT$1,crash_skills!$1:$1,0)+1,FALSE)</f>
        <v>1体に超大ダメージ+_x000D_低確率でスリープ付与</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1.0740000000000001</v>
      </c>
      <c r="AZ12" s="64">
        <v>1.2130000000000001</v>
      </c>
      <c r="BA12" s="64">
        <v>0</v>
      </c>
      <c r="BB12" s="64">
        <v>1</v>
      </c>
      <c r="BC12" s="10">
        <f ca="1">INDEX('RC6SV'!$A$1:$G$21,MATCH(H12,'RC6SV'!$A$1:$A$21,FALSE),MATCH(G12,'RC6SV'!$A$1:$G$1,FALSE))</f>
        <v>12000</v>
      </c>
      <c r="BD12" s="44">
        <f t="shared" ref="BD12" ca="1" si="28">ROUND(BC12*IF(AJ12=1,0.95,IF(AJ12=2,1,IF(AJ12,1.05,0))),0)</f>
        <v>12000</v>
      </c>
      <c r="BE12" s="10">
        <f t="shared" ca="1" si="2"/>
        <v>9000</v>
      </c>
      <c r="BF12" s="10">
        <f t="shared" ca="1" si="3"/>
        <v>1</v>
      </c>
      <c r="BG12" s="15">
        <f ca="1">IF($BE12&lt;=0,ROUND(BK12*0.5,0), ROUND($BE12*S12*AA12*J12*AY12*0.8*[1]ステータス!$B$2,0))</f>
        <v>3480</v>
      </c>
      <c r="BH12" s="15">
        <f ca="1">IF($BE12&lt;=0,ROUND(BL12*0.5,0), ROUND($BE12*T12*AB12*K12*AZ12*0.8*[1]ステータス!$C$2,0))</f>
        <v>2311</v>
      </c>
      <c r="BI12" s="15">
        <f ca="1">IF($BE12&lt;=0,ROUND(BM12*0.5,0), ROUND($BE12*U12*AC12*L12*BA12*0.8*[1]ステータス!$D$2,0))</f>
        <v>0</v>
      </c>
      <c r="BJ12" s="15">
        <f ca="1">IF($BE12&lt;=0,ROUND(BN12*0.5,0), ROUND($BE12*V12*AD12*M12*BB12*0.8*[1]ステータス!$E$2,0))</f>
        <v>1652</v>
      </c>
      <c r="BK12" s="10">
        <f ca="1">ROUND(BD12*S12*AA12*J12*AY12*[1]ステータス!$B$2,0)</f>
        <v>5800</v>
      </c>
      <c r="BL12" s="10">
        <f ca="1">ROUND(BD12*T12*AB12*K12*AZ12*[1]ステータス!$C$2,0)</f>
        <v>3852</v>
      </c>
      <c r="BM12" s="10">
        <f ca="1">ROUND(BD12*U12*AC12*L12*BA12*[1]ステータス!$D$2,0)</f>
        <v>0</v>
      </c>
      <c r="BN12" s="10">
        <f ca="1">ROUND(BD12*V12*AD12*M12*BB12*[1]ステータス!$E$2,0)</f>
        <v>2754</v>
      </c>
      <c r="BO12" s="9">
        <v>0</v>
      </c>
      <c r="BP12" s="9">
        <v>1</v>
      </c>
      <c r="BQ12" s="9" t="s">
        <v>47</v>
      </c>
      <c r="BR12" s="9">
        <f ca="1">VLOOKUP(H12,ghosts_label!$A$2:$B$19,2,FALSE)</f>
        <v>1</v>
      </c>
    </row>
    <row r="13" spans="1:70" ht="26" customHeight="1" x14ac:dyDescent="0.15">
      <c r="A13" s="186">
        <v>1306</v>
      </c>
      <c r="B13" s="53" t="str">
        <f ca="1">VLOOKUP($A13,OFFSET([1]characters!$A$1,0,0,COUNTA([1]characters!$A:$A),MATCH(B$1,[1]characters!$1:$1,0)-MATCH($A$1,[1]characters!$1:$1,0)+1),MATCH(B$1,[1]characters!$1:$1,0)-MATCH($A$1,[1]characters!$1:$1,0)+1,FALSE)</f>
        <v>玉響の唱天 ルシファー</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5</v>
      </c>
      <c r="H13" s="53" t="str">
        <f ca="1">VLOOKUP($A13,OFFSET([1]characters!$A$1,0,0,COUNTA([1]characters!$A:$A),MATCH(H$1,[1]characters!$1:$1,0)-MATCH($A$1,[1]characters!$1:$1,0)+1),MATCH(H$1,[1]characters!$1:$1,0)-MATCH($A$1,[1]characters!$1:$1,0)+1,FALSE)</f>
        <v>DropWizSS</v>
      </c>
      <c r="I13" s="53" t="str">
        <f ca="1">VLOOKUP($A13,OFFSET([1]characters!$A$1,0,0,COUNTA([1]characters!$A:$A),MATCH(I$1,[1]characters!$1:$1,0)-MATCH($A$1,[1]characters!$1:$1,0)+1),MATCH(I$1,[1]characters!$1:$1,0)-MATCH($A$1,[1]characters!$1:$1,0)+1,FALSE)</f>
        <v>yellow</v>
      </c>
      <c r="J13" s="10">
        <f ca="1">VLOOKUP(I13,[1]属性!$A:$E,2,FALSE)</f>
        <v>0.98</v>
      </c>
      <c r="K13" s="10">
        <f ca="1">VLOOKUP(I13,[1]属性!$A:$E,3,FALSE)</f>
        <v>1.01</v>
      </c>
      <c r="L13" s="10">
        <f ca="1">VLOOKUP(I13,[1]属性!$A:$E,4,FALSE)</f>
        <v>1</v>
      </c>
      <c r="M13" s="10">
        <f ca="1">VLOOKUP(I13,[1]属性!$A:$E,5,FALSE)</f>
        <v>1.01</v>
      </c>
      <c r="N13" s="10">
        <f ca="1">INDEX(コスト!$A$1:$I$21,MATCH(H13,コスト!$A$1:$A$21,FALSE),MATCH(G13,コスト!$A$1:$I$1,FALSE))</f>
        <v>35</v>
      </c>
      <c r="O13" s="10">
        <f ca="1">INDEX(レベル!$A$1:$I$22,MATCH(H13,レベル!$A$1:$A$22,FALSE),MATCH(G13,レベル!$A$1:$I$1,FALSE))</f>
        <v>80</v>
      </c>
      <c r="P13" s="44">
        <f t="shared" ref="P13" ca="1" si="29">IF(G13 &gt;= 6, 99,G13*15)</f>
        <v>75</v>
      </c>
      <c r="Q13" s="53" t="str">
        <f ca="1">VLOOKUP($A13,OFFSET([1]characters!$A$1,0,0,COUNTA([1]characters!$A:$A),MATCH(Q$1,[1]characters!$1:$1,0)-MATCH($A$1,[1]characters!$1:$1,0)+1),MATCH(Q$1,[1]characters!$1:$1,0)-MATCH($A$1,[1]characters!$1:$1,0)+1,FALSE)</f>
        <v>attack</v>
      </c>
      <c r="R13" s="5" t="str">
        <f ca="1">VLOOKUP(Q13,[1]character_type_i18n!$A:$H,3,FALSE)</f>
        <v>攻撃タイプ</v>
      </c>
      <c r="S13" s="10">
        <f ca="1">VLOOKUP(Q13,[1]character_type_i18n!$A:$H,4,FALSE)</f>
        <v>1</v>
      </c>
      <c r="T13" s="10">
        <f ca="1">VLOOKUP(Q13,[1]character_type_i18n!$A:$H,5,FALSE)</f>
        <v>1.33</v>
      </c>
      <c r="U13" s="10">
        <f ca="1">VLOOKUP(Q13,[1]character_type_i18n!$A:$H,6,FALSE)</f>
        <v>1</v>
      </c>
      <c r="V13" s="10">
        <f ca="1">VLOOKUP(Q13,[1]character_type_i18n!$A:$H,7,FALSE)</f>
        <v>0.67</v>
      </c>
      <c r="W13" s="53" t="str">
        <f ca="1">VLOOKUP($A13,OFFSET([1]characters!$A$1,0,0,COUNTA([1]characters!$A:$A),MATCH(W$1,[1]characters!$1:$1,0)-MATCH($A$1,[1]characters!$1:$1,0)+1),MATCH(W$1,[1]characters!$1:$1,0)-MATCH($A$1,[1]characters!$1:$1,0)+1,FALSE)</f>
        <v>unknown</v>
      </c>
      <c r="X13" s="5" t="str">
        <f ca="1">VLOOKUP(W13,[1]character_tribe_i18n!$A:$H,3,FALSE)</f>
        <v>Unknown</v>
      </c>
      <c r="Y13" s="53" t="str">
        <f ca="1">VLOOKUP($A13,OFFSET([1]characters!$A$1,0,0,COUNTA([1]characters!$A:$A),MATCH(Y$1,[1]characters!$1:$1,0)-MATCH($A$1,[1]characters!$1:$1,0)+1),MATCH(Y$1,[1]characters!$1:$1,0)-MATCH($A$1,[1]characters!$1:$1,0)+1,FALSE)</f>
        <v>none</v>
      </c>
      <c r="Z13" s="5" t="str">
        <f ca="1">VLOOKUP(Y13,[1]character_tribe_i18n!$A:$H,3,FALSE)</f>
        <v>種族なし</v>
      </c>
      <c r="AA13" s="10">
        <f ca="1">VLOOKUP(W13,[1]character_tribe_i18n!$A:$H,4,FALSE)</f>
        <v>1</v>
      </c>
      <c r="AB13" s="10">
        <f ca="1">VLOOKUP(W13,[1]character_tribe_i18n!$A:$H,5,FALSE)</f>
        <v>1</v>
      </c>
      <c r="AC13" s="10">
        <f ca="1">VLOOKUP(W13,[1]character_tribe_i18n!$A:$H,6,FALSE)</f>
        <v>1</v>
      </c>
      <c r="AD13" s="10">
        <f ca="1">VLOOKUP(W13,[1]character_tribe_i18n!$A:$H,7,FALSE)</f>
        <v>1</v>
      </c>
      <c r="AE13" s="187">
        <v>1307</v>
      </c>
      <c r="AF13" s="58" t="str">
        <f ca="1">IF(AE13="NULL","",VLOOKUP($AE13,OFFSET([1]characters!$A$1,0,0,COUNTA([1]characters!$A:$A),MATCH(AF$1,[1]characters!$1:$1,0)-MATCH($A$1,[1]characters!$1:$1,0)+1),MATCH(AF$1,[1]characters!$1:$1,0)-MATCH($A$1,[1]characters!$1:$1,0)+1,FALSE))</f>
        <v>彩翼の唱天史 ルシファー</v>
      </c>
      <c r="AG13" s="187">
        <v>1306</v>
      </c>
      <c r="AH13" s="58" t="str">
        <f ca="1">VLOOKUP($AG13,OFFSET([1]characters!$A$1,0,0,COUNTA([1]characters!$A:$A),MATCH(AH$1,[1]characters!$1:$1,0)-MATCH($A$1,[1]characters!$1:$1,0)+1),MATCH(AH$1,[1]characters!$1:$1,0)-MATCH($A$1,[1]characters!$1:$1,0)+1,FALSE)</f>
        <v>玉響の唱天 ルシファー</v>
      </c>
      <c r="AI13" s="10">
        <f ca="1">IF(AE13="NULL","NULL",VLOOKUP(G13,ビット!$A$2:$B$7,2))</f>
        <v>200000</v>
      </c>
      <c r="AJ13" s="6">
        <v>2</v>
      </c>
      <c r="AK13" s="7" t="str">
        <f t="shared" ref="AK13" si="30">IF(AJ13=1,"早熟",IF(AJ13=2,"普通",IF(AJ13=3,"晩成","")))</f>
        <v>普通</v>
      </c>
      <c r="AL13" s="10" t="str">
        <f ca="1">INDEX(経験値!$A$1:$I$21,MATCH(H13,経験値!$A$1:$A$21,FALSE),MATCH(G13,経験値!$A$1:$I$1,FALSE))</f>
        <v>required_exp_200</v>
      </c>
      <c r="AM13" s="8">
        <f ca="1">VLOOKUP(G13,経験値!$A$28:$B$32,2)</f>
        <v>6400</v>
      </c>
      <c r="AN13" s="16">
        <f ca="1">VLOOKUP(G13,ビット!$G$2:$H$7,2)</f>
        <v>900</v>
      </c>
      <c r="AO13" s="41"/>
      <c r="AP13" s="63">
        <v>1306</v>
      </c>
      <c r="AQ13" s="53" t="str">
        <f ca="1">VLOOKUP($AP13,OFFSET(unit_skills!$A$1,0,0,COUNTA(unit_skills!$A:$A),MATCH(AQ$1,unit_skills!$1:$1,0)-MATCH($AP$1,unit_skills!$1:$1,0)+1),MATCH(AQ$1,unit_skills!$1:$1,0)-MATCH($AP$1,unit_skills!$1:$1,0)+1,FALSE)</f>
        <v>音界の黙示録</v>
      </c>
      <c r="AR13" s="53" t="str">
        <f ca="1">VLOOKUP($AP13,OFFSET(unit_skills!$A$1,0,0,COUNTA(unit_skills!$A:$A),MATCH(AR$1,unit_skills!$1:$1,0)-MATCH($AP$1,unit_skills!$1:$1,0)+1),MATCH(AR$1,unit_skills!$1:$1,0)-MATCH($AP$1,unit_skills!$1:$1,0)+1,FALSE)</f>
        <v>ハートパネルを黄パネル変換+1体にダメージ(赤・青・緑パネル吸収効果特大UP)+1ターン全ユニットCP生成短縮(特大)</v>
      </c>
      <c r="AS13" s="53">
        <f ca="1">VLOOKUP($AP13,OFFSET(unit_skills!$A$1,0,0,COUNTA(unit_skills!$A:$A),MATCH(AS$1,unit_skills!$1:$1,0)-MATCH($AP$1,unit_skills!$1:$1,0)+1),MATCH(AS$1,unit_skills!$1:$1,0)-MATCH($AP$1,unit_skills!$1:$1,0)+1,FALSE)</f>
        <v>0</v>
      </c>
      <c r="AT13" s="63">
        <v>1306</v>
      </c>
      <c r="AU13" s="53" t="str">
        <f ca="1">VLOOKUP($AT13,OFFSET(crash_skills!$A$1,0,0,COUNTA(crash_skills!$A:$A),MATCH(AU$1,crash_skills!$1:$1,0)-MATCH($AT$1,crash_skills!$1:$1,0)+1),MATCH(AU$1,crash_skills!$1:$1,0)-MATCH($AT$1,crash_skills!$1:$1,0)+1,FALSE)</f>
        <v>ディバイン･オラトリオ･ツイン</v>
      </c>
      <c r="AV13" s="53" t="str">
        <f ca="1">VLOOKUP($AT13,OFFSET(crash_skills!$A$1,0,0,COUNTA(crash_skills!$A:$A),MATCH(AV$1,crash_skills!$1:$1,0)-MATCH($AT$1,crash_skills!$1:$1,0)+1),MATCH(AV$1,crash_skills!$1:$1,0)-MATCH($AT$1,crash_skills!$1:$1,0)+1,FALSE)</f>
        <v>1体に特大ダメージ</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3</v>
      </c>
      <c r="AY13" s="64">
        <v>1.032</v>
      </c>
      <c r="AZ13" s="64">
        <v>0.95799999999999996</v>
      </c>
      <c r="BA13" s="64">
        <v>0</v>
      </c>
      <c r="BB13" s="64">
        <v>1.0529999999999999</v>
      </c>
      <c r="BC13" s="10">
        <f ca="1">INDEX('RC6SV'!$A$1:$G$21,MATCH(H13,'RC6SV'!$A$1:$A$21,FALSE),MATCH(G13,'RC6SV'!$A$1:$G$1,FALSE))</f>
        <v>9500</v>
      </c>
      <c r="BD13" s="44">
        <f t="shared" ref="BD13" ca="1" si="31">ROUND(BC13*IF(AJ13=1,0.95,IF(AJ13=2,1,IF(AJ13,1.05,0))),0)</f>
        <v>9500</v>
      </c>
      <c r="BE13" s="10">
        <f t="shared" ca="1" si="2"/>
        <v>0</v>
      </c>
      <c r="BF13" s="10">
        <f t="shared" ca="1" si="3"/>
        <v>1</v>
      </c>
      <c r="BG13" s="15">
        <f ca="1">IF($BE13&lt;=0,ROUND(BK13*0.5,0), ROUND($BE13*S13*AA13*J13*AY13*0.8*[1]ステータス!$B$2,0))</f>
        <v>2402</v>
      </c>
      <c r="BH13" s="15">
        <f ca="1">IF($BE13&lt;=0,ROUND(BL13*0.5,0), ROUND($BE13*T13*AB13*K13*AZ13*0.8*[1]ステータス!$C$2,0))</f>
        <v>1834</v>
      </c>
      <c r="BI13" s="15">
        <f ca="1">IF($BE13&lt;=0,ROUND(BM13*0.5,0), ROUND($BE13*U13*AC13*L13*BA13*0.8*[1]ステータス!$D$2,0))</f>
        <v>0</v>
      </c>
      <c r="BJ13" s="15">
        <f ca="1">IF($BE13&lt;=0,ROUND(BN13*0.5,0), ROUND($BE13*V13*AD13*M13*BB13*0.8*[1]ステータス!$E$2,0))</f>
        <v>846</v>
      </c>
      <c r="BK13" s="10">
        <f ca="1">ROUND(BD13*S13*AA13*J13*AY13*[1]ステータス!$B$2,0)</f>
        <v>4804</v>
      </c>
      <c r="BL13" s="10">
        <f ca="1">ROUND(BD13*T13*AB13*K13*AZ13*[1]ステータス!$C$2,0)</f>
        <v>3668</v>
      </c>
      <c r="BM13" s="10">
        <f ca="1">ROUND(BD13*U13*AC13*L13*BA13*[1]ステータス!$D$2,0)</f>
        <v>0</v>
      </c>
      <c r="BN13" s="10">
        <f ca="1">ROUND(BD13*V13*AD13*M13*BB13*[1]ステータス!$E$2,0)</f>
        <v>1692</v>
      </c>
      <c r="BO13" s="9">
        <v>0</v>
      </c>
      <c r="BP13" s="9">
        <v>1</v>
      </c>
      <c r="BQ13" s="9" t="s">
        <v>47</v>
      </c>
      <c r="BR13" s="9">
        <f ca="1">VLOOKUP(H13,ghosts_label!$A$2:$B$19,2,FALSE)</f>
        <v>1</v>
      </c>
    </row>
    <row r="14" spans="1:70" ht="26" customHeight="1" x14ac:dyDescent="0.15">
      <c r="A14" s="186">
        <v>1307</v>
      </c>
      <c r="B14" s="53" t="str">
        <f ca="1">VLOOKUP($A14,OFFSET([1]characters!$A$1,0,0,COUNTA([1]characters!$A:$A),MATCH(B$1,[1]characters!$1:$1,0)-MATCH($A$1,[1]characters!$1:$1,0)+1),MATCH(B$1,[1]characters!$1:$1,0)-MATCH($A$1,[1]characters!$1:$1,0)+1,FALSE)</f>
        <v>彩翼の唱天史 ルシファー</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6</v>
      </c>
      <c r="H14" s="53" t="str">
        <f ca="1">VLOOKUP($A14,OFFSET([1]characters!$A$1,0,0,COUNTA([1]characters!$A:$A),MATCH(H$1,[1]characters!$1:$1,0)-MATCH($A$1,[1]characters!$1:$1,0)+1),MATCH(H$1,[1]characters!$1:$1,0)-MATCH($A$1,[1]characters!$1:$1,0)+1,FALSE)</f>
        <v>DropWizSS</v>
      </c>
      <c r="I14" s="53" t="str">
        <f ca="1">VLOOKUP($A14,OFFSET([1]characters!$A$1,0,0,COUNTA([1]characters!$A:$A),MATCH(I$1,[1]characters!$1:$1,0)-MATCH($A$1,[1]characters!$1:$1,0)+1),MATCH(I$1,[1]characters!$1:$1,0)-MATCH($A$1,[1]characters!$1:$1,0)+1,FALSE)</f>
        <v>yellow</v>
      </c>
      <c r="J14" s="10">
        <f ca="1">VLOOKUP(I14,[1]属性!$A:$E,2,FALSE)</f>
        <v>0.98</v>
      </c>
      <c r="K14" s="10">
        <f ca="1">VLOOKUP(I14,[1]属性!$A:$E,3,FALSE)</f>
        <v>1.01</v>
      </c>
      <c r="L14" s="10">
        <f ca="1">VLOOKUP(I14,[1]属性!$A:$E,4,FALSE)</f>
        <v>1</v>
      </c>
      <c r="M14" s="10">
        <f ca="1">VLOOKUP(I14,[1]属性!$A:$E,5,FALSE)</f>
        <v>1.01</v>
      </c>
      <c r="N14" s="10">
        <f ca="1">INDEX(コスト!$A$1:$I$21,MATCH(H14,コスト!$A$1:$A$21,FALSE),MATCH(G14,コスト!$A$1:$I$1,FALSE))</f>
        <v>50</v>
      </c>
      <c r="O14" s="10">
        <f ca="1">INDEX(レベル!$A$1:$I$22,MATCH(H14,レベル!$A$1:$A$22,FALSE),MATCH(G14,レベル!$A$1:$I$1,FALSE))</f>
        <v>99</v>
      </c>
      <c r="P14" s="44">
        <f t="shared" ref="P14" ca="1" si="32">IF(G14 &gt;= 6, 99,G14*15)</f>
        <v>99</v>
      </c>
      <c r="Q14" s="53" t="str">
        <f ca="1">VLOOKUP($A14,OFFSET([1]characters!$A$1,0,0,COUNTA([1]characters!$A:$A),MATCH(Q$1,[1]characters!$1:$1,0)-MATCH($A$1,[1]characters!$1:$1,0)+1),MATCH(Q$1,[1]characters!$1:$1,0)-MATCH($A$1,[1]characters!$1:$1,0)+1,FALSE)</f>
        <v>attack</v>
      </c>
      <c r="R14" s="5" t="str">
        <f ca="1">VLOOKUP(Q14,[1]character_type_i18n!$A:$H,3,FALSE)</f>
        <v>攻撃タイプ</v>
      </c>
      <c r="S14" s="10">
        <f ca="1">VLOOKUP(Q14,[1]character_type_i18n!$A:$H,4,FALSE)</f>
        <v>1</v>
      </c>
      <c r="T14" s="10">
        <f ca="1">VLOOKUP(Q14,[1]character_type_i18n!$A:$H,5,FALSE)</f>
        <v>1.33</v>
      </c>
      <c r="U14" s="10">
        <f ca="1">VLOOKUP(Q14,[1]character_type_i18n!$A:$H,6,FALSE)</f>
        <v>1</v>
      </c>
      <c r="V14" s="10">
        <f ca="1">VLOOKUP(Q14,[1]character_type_i18n!$A:$H,7,FALSE)</f>
        <v>0.67</v>
      </c>
      <c r="W14" s="53" t="str">
        <f ca="1">VLOOKUP($A14,OFFSET([1]characters!$A$1,0,0,COUNTA([1]characters!$A:$A),MATCH(W$1,[1]characters!$1:$1,0)-MATCH($A$1,[1]characters!$1:$1,0)+1),MATCH(W$1,[1]characters!$1:$1,0)-MATCH($A$1,[1]characters!$1:$1,0)+1,FALSE)</f>
        <v>unknown</v>
      </c>
      <c r="X14" s="5" t="str">
        <f ca="1">VLOOKUP(W14,[1]character_tribe_i18n!$A:$H,3,FALSE)</f>
        <v>Unknown</v>
      </c>
      <c r="Y14" s="53" t="str">
        <f ca="1">VLOOKUP($A14,OFFSET([1]characters!$A$1,0,0,COUNTA([1]characters!$A:$A),MATCH(Y$1,[1]characters!$1:$1,0)-MATCH($A$1,[1]characters!$1:$1,0)+1),MATCH(Y$1,[1]characters!$1:$1,0)-MATCH($A$1,[1]characters!$1:$1,0)+1,FALSE)</f>
        <v>none</v>
      </c>
      <c r="Z14" s="5" t="str">
        <f ca="1">VLOOKUP(Y14,[1]character_tribe_i18n!$A:$H,3,FALSE)</f>
        <v>種族なし</v>
      </c>
      <c r="AA14" s="10">
        <f ca="1">VLOOKUP(W14,[1]character_tribe_i18n!$A:$H,4,FALSE)</f>
        <v>1</v>
      </c>
      <c r="AB14" s="10">
        <f ca="1">VLOOKUP(W14,[1]character_tribe_i18n!$A:$H,5,FALSE)</f>
        <v>1</v>
      </c>
      <c r="AC14" s="10">
        <f ca="1">VLOOKUP(W14,[1]character_tribe_i18n!$A:$H,6,FALSE)</f>
        <v>1</v>
      </c>
      <c r="AD14" s="10">
        <f ca="1">VLOOKUP(W14,[1]character_tribe_i18n!$A:$H,7,FALSE)</f>
        <v>1</v>
      </c>
      <c r="AE14" s="187" t="s">
        <v>318</v>
      </c>
      <c r="AF14" s="58" t="str">
        <f ca="1">IF(AE14="NULL","",VLOOKUP($AE14,OFFSET([1]characters!$A$1,0,0,COUNTA([1]characters!$A:$A),MATCH(AF$1,[1]characters!$1:$1,0)-MATCH($A$1,[1]characters!$1:$1,0)+1),MATCH(AF$1,[1]characters!$1:$1,0)-MATCH($A$1,[1]characters!$1:$1,0)+1,FALSE))</f>
        <v/>
      </c>
      <c r="AG14" s="187">
        <v>1306</v>
      </c>
      <c r="AH14" s="58" t="str">
        <f ca="1">VLOOKUP($AG14,OFFSET([1]characters!$A$1,0,0,COUNTA([1]characters!$A:$A),MATCH(AH$1,[1]characters!$1:$1,0)-MATCH($A$1,[1]characters!$1:$1,0)+1),MATCH(AH$1,[1]characters!$1:$1,0)-MATCH($A$1,[1]characters!$1:$1,0)+1,FALSE)</f>
        <v>玉響の唱天 ルシファー</v>
      </c>
      <c r="AI14" s="10" t="str">
        <f>IF(AE14="NULL","NULL",VLOOKUP(G14,ビット!$A$2:$B$7,2))</f>
        <v>NULL</v>
      </c>
      <c r="AJ14" s="6">
        <v>2</v>
      </c>
      <c r="AK14" s="7" t="str">
        <f t="shared" ref="AK14" si="33">IF(AJ14=1,"早熟",IF(AJ14=2,"普通",IF(AJ14=3,"晩成","")))</f>
        <v>普通</v>
      </c>
      <c r="AL14" s="10" t="str">
        <f ca="1">INDEX(経験値!$A$1:$I$21,MATCH(H14,経験値!$A$1:$A$21,FALSE),MATCH(G14,経験値!$A$1:$I$1,FALSE))</f>
        <v>required_exp_250</v>
      </c>
      <c r="AM14" s="8">
        <f ca="1">VLOOKUP(G14,経験値!$A$28:$B$32,2)</f>
        <v>6400</v>
      </c>
      <c r="AN14" s="16">
        <f ca="1">VLOOKUP(G14,ビット!$G$2:$H$7,2)</f>
        <v>900</v>
      </c>
      <c r="AO14" s="41"/>
      <c r="AP14" s="63">
        <v>1307</v>
      </c>
      <c r="AQ14" s="53" t="str">
        <f ca="1">VLOOKUP($AP14,OFFSET(unit_skills!$A$1,0,0,COUNTA(unit_skills!$A:$A),MATCH(AQ$1,unit_skills!$1:$1,0)-MATCH($AP$1,unit_skills!$1:$1,0)+1),MATCH(AQ$1,unit_skills!$1:$1,0)-MATCH($AP$1,unit_skills!$1:$1,0)+1,FALSE)</f>
        <v>絶対音界の黙示録</v>
      </c>
      <c r="AR14" s="53" t="str">
        <f ca="1">VLOOKUP($AP14,OFFSET(unit_skills!$A$1,0,0,COUNTA(unit_skills!$A:$A),MATCH(AR$1,unit_skills!$1:$1,0)-MATCH($AP$1,unit_skills!$1:$1,0)+1),MATCH(AR$1,unit_skills!$1:$1,0)-MATCH($AP$1,unit_skills!$1:$1,0)+1,FALSE)</f>
        <v>ハートパネルを黄パネル変換+1体にダメージ(赤・青・緑パネル吸収効果特大UP)+1ターン全ユニットCP生成短縮(激烈)</v>
      </c>
      <c r="AS14" s="53">
        <f ca="1">VLOOKUP($AP14,OFFSET(unit_skills!$A$1,0,0,COUNTA(unit_skills!$A:$A),MATCH(AS$1,unit_skills!$1:$1,0)-MATCH($AP$1,unit_skills!$1:$1,0)+1),MATCH(AS$1,unit_skills!$1:$1,0)-MATCH($AP$1,unit_skills!$1:$1,0)+1,FALSE)</f>
        <v>0</v>
      </c>
      <c r="AT14" s="63">
        <v>1307</v>
      </c>
      <c r="AU14" s="53" t="str">
        <f ca="1">VLOOKUP($AT14,OFFSET(crash_skills!$A$1,0,0,COUNTA(crash_skills!$A:$A),MATCH(AU$1,crash_skills!$1:$1,0)-MATCH($AT$1,crash_skills!$1:$1,0)+1),MATCH(AU$1,crash_skills!$1:$1,0)-MATCH($AT$1,crash_skills!$1:$1,0)+1,FALSE)</f>
        <v>ディバイン･オラトリオ･ツイン</v>
      </c>
      <c r="AV14" s="53" t="str">
        <f ca="1">VLOOKUP($AT14,OFFSET(crash_skills!$A$1,0,0,COUNTA(crash_skills!$A:$A),MATCH(AV$1,crash_skills!$1:$1,0)-MATCH($AT$1,crash_skills!$1:$1,0)+1),MATCH(AV$1,crash_skills!$1:$1,0)-MATCH($AT$1,crash_skills!$1:$1,0)+1,FALSE)</f>
        <v>1体に特大ダメージ</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3</v>
      </c>
      <c r="AY14" s="64">
        <v>1.032</v>
      </c>
      <c r="AZ14" s="64">
        <v>0.95799999999999996</v>
      </c>
      <c r="BA14" s="64">
        <v>0</v>
      </c>
      <c r="BB14" s="64">
        <v>1.0529999999999999</v>
      </c>
      <c r="BC14" s="10">
        <f ca="1">INDEX('RC6SV'!$A$1:$G$21,MATCH(H14,'RC6SV'!$A$1:$A$21,FALSE),MATCH(G14,'RC6SV'!$A$1:$G$1,FALSE))</f>
        <v>13000</v>
      </c>
      <c r="BD14" s="44">
        <f t="shared" ref="BD14" ca="1" si="34">ROUND(BC14*IF(AJ14=1,0.95,IF(AJ14=2,1,IF(AJ14,1.05,0))),0)</f>
        <v>13000</v>
      </c>
      <c r="BE14" s="10">
        <f t="shared" ca="1" si="2"/>
        <v>9500</v>
      </c>
      <c r="BF14" s="10">
        <f t="shared" ca="1" si="3"/>
        <v>1</v>
      </c>
      <c r="BG14" s="15">
        <f ca="1">IF($BE14&lt;=0,ROUND(BK14*0.5,0), ROUND($BE14*S14*AA14*J14*AY14*0.8*[1]ステータス!$B$2,0))</f>
        <v>3843</v>
      </c>
      <c r="BH14" s="15">
        <f ca="1">IF($BE14&lt;=0,ROUND(BL14*0.5,0), ROUND($BE14*T14*AB14*K14*AZ14*0.8*[1]ステータス!$C$2,0))</f>
        <v>2934</v>
      </c>
      <c r="BI14" s="15">
        <f ca="1">IF($BE14&lt;=0,ROUND(BM14*0.5,0), ROUND($BE14*U14*AC14*L14*BA14*0.8*[1]ステータス!$D$2,0))</f>
        <v>0</v>
      </c>
      <c r="BJ14" s="15">
        <f ca="1">IF($BE14&lt;=0,ROUND(BN14*0.5,0), ROUND($BE14*V14*AD14*M14*BB14*0.8*[1]ステータス!$E$2,0))</f>
        <v>1354</v>
      </c>
      <c r="BK14" s="10">
        <f ca="1">ROUND(BD14*S14*AA14*J14*AY14*[1]ステータス!$B$2,0)</f>
        <v>6574</v>
      </c>
      <c r="BL14" s="10">
        <f ca="1">ROUND(BD14*T14*AB14*K14*AZ14*[1]ステータス!$C$2,0)</f>
        <v>5019</v>
      </c>
      <c r="BM14" s="10">
        <f ca="1">ROUND(BD14*U14*AC14*L14*BA14*[1]ステータス!$D$2,0)</f>
        <v>0</v>
      </c>
      <c r="BN14" s="10">
        <f ca="1">ROUND(BD14*V14*AD14*M14*BB14*[1]ステータス!$E$2,0)</f>
        <v>2316</v>
      </c>
      <c r="BO14" s="9">
        <v>0</v>
      </c>
      <c r="BP14" s="9">
        <v>1</v>
      </c>
      <c r="BQ14" s="9" t="s">
        <v>47</v>
      </c>
      <c r="BR14" s="9">
        <f ca="1">VLOOKUP(H14,ghosts_label!$A$2:$B$19,2,FALSE)</f>
        <v>1</v>
      </c>
    </row>
    <row r="15" spans="1:70" ht="26" customHeight="1" x14ac:dyDescent="0.15">
      <c r="A15" s="186">
        <v>1308</v>
      </c>
      <c r="B15" s="53" t="str">
        <f ca="1">VLOOKUP($A15,OFFSET([1]characters!$A$1,0,0,COUNTA([1]characters!$A:$A),MATCH(B$1,[1]characters!$1:$1,0)-MATCH($A$1,[1]characters!$1:$1,0)+1),MATCH(B$1,[1]characters!$1:$1,0)-MATCH($A$1,[1]characters!$1:$1,0)+1,FALSE)</f>
        <v>革鳴の響奏撃 初音ミク</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PremiumSSS</v>
      </c>
      <c r="I15" s="53" t="str">
        <f ca="1">VLOOKUP($A15,OFFSET([1]characters!$A$1,0,0,COUNTA([1]characters!$A:$A),MATCH(I$1,[1]characters!$1:$1,0)-MATCH($A$1,[1]characters!$1:$1,0)+1),MATCH(I$1,[1]characters!$1:$1,0)-MATCH($A$1,[1]characters!$1:$1,0)+1,FALSE)</f>
        <v>green</v>
      </c>
      <c r="J15" s="10">
        <f ca="1">VLOOKUP(I15,[1]属性!$A:$E,2,FALSE)</f>
        <v>1.02</v>
      </c>
      <c r="K15" s="10">
        <f ca="1">VLOOKUP(I15,[1]属性!$A:$E,3,FALSE)</f>
        <v>0.98</v>
      </c>
      <c r="L15" s="10">
        <f ca="1">VLOOKUP(I15,[1]属性!$A:$E,4,FALSE)</f>
        <v>1</v>
      </c>
      <c r="M15" s="10">
        <f ca="1">VLOOKUP(I15,[1]属性!$A:$E,5,FALSE)</f>
        <v>1</v>
      </c>
      <c r="N15" s="10">
        <f ca="1">INDEX(コスト!$A$1:$I$21,MATCH(H15,コスト!$A$1:$A$21,FALSE),MATCH(G15,コスト!$A$1:$I$1,FALSE))</f>
        <v>55</v>
      </c>
      <c r="O15" s="10">
        <f ca="1">INDEX(レベル!$A$1:$I$22,MATCH(H15,レベル!$A$1:$A$22,FALSE),MATCH(G15,レベル!$A$1:$I$1,FALSE))</f>
        <v>99</v>
      </c>
      <c r="P15" s="44">
        <f t="shared" ref="P15:P28" ca="1" si="35">IF(G15 &gt;= 6, 99,G15*15)</f>
        <v>99</v>
      </c>
      <c r="Q15" s="53" t="str">
        <f ca="1">VLOOKUP($A15,OFFSET([1]characters!$A$1,0,0,COUNTA([1]characters!$A:$A),MATCH(Q$1,[1]characters!$1:$1,0)-MATCH($A$1,[1]characters!$1:$1,0)+1),MATCH(Q$1,[1]characters!$1:$1,0)-MATCH($A$1,[1]characters!$1:$1,0)+1,FALSE)</f>
        <v>balance</v>
      </c>
      <c r="R15" s="5" t="str">
        <f ca="1">VLOOKUP(Q15,[1]character_type_i18n!$A:$H,3,FALSE)</f>
        <v>バランスタイプ</v>
      </c>
      <c r="S15" s="10">
        <f ca="1">VLOOKUP(Q15,[1]character_type_i18n!$A:$H,4,FALSE)</f>
        <v>1</v>
      </c>
      <c r="T15" s="10">
        <f ca="1">VLOOKUP(Q15,[1]character_type_i18n!$A:$H,5,FALSE)</f>
        <v>1</v>
      </c>
      <c r="U15" s="10">
        <f ca="1">VLOOKUP(Q15,[1]character_type_i18n!$A:$H,6,FALSE)</f>
        <v>1</v>
      </c>
      <c r="V15" s="10">
        <f ca="1">VLOOKUP(Q15,[1]character_type_i18n!$A:$H,7,FALSE)</f>
        <v>1</v>
      </c>
      <c r="W15" s="53" t="str">
        <f ca="1">VLOOKUP($A15,OFFSET([1]characters!$A$1,0,0,COUNTA([1]characters!$A:$A),MATCH(W$1,[1]characters!$1:$1,0)-MATCH($A$1,[1]characters!$1:$1,0)+1),MATCH(W$1,[1]characters!$1:$1,0)-MATCH($A$1,[1]characters!$1:$1,0)+1,FALSE)</f>
        <v>unknown</v>
      </c>
      <c r="X15" s="5" t="str">
        <f ca="1">VLOOKUP(W15,[1]character_tribe_i18n!$A:$H,3,FALSE)</f>
        <v>Unknown</v>
      </c>
      <c r="Y15" s="53" t="str">
        <f ca="1">VLOOKUP($A15,OFFSET([1]characters!$A$1,0,0,COUNTA([1]characters!$A:$A),MATCH(Y$1,[1]characters!$1:$1,0)-MATCH($A$1,[1]characters!$1:$1,0)+1),MATCH(Y$1,[1]characters!$1:$1,0)-MATCH($A$1,[1]characters!$1:$1,0)+1,FALSE)</f>
        <v>none</v>
      </c>
      <c r="Z15" s="5" t="str">
        <f ca="1">VLOOKUP(Y15,[1]character_tribe_i18n!$A:$H,3,FALSE)</f>
        <v>種族なし</v>
      </c>
      <c r="AA15" s="10">
        <f ca="1">VLOOKUP(W15,[1]character_tribe_i18n!$A:$H,4,FALSE)</f>
        <v>1</v>
      </c>
      <c r="AB15" s="10">
        <f ca="1">VLOOKUP(W15,[1]character_tribe_i18n!$A:$H,5,FALSE)</f>
        <v>1</v>
      </c>
      <c r="AC15" s="10">
        <f ca="1">VLOOKUP(W15,[1]character_tribe_i18n!$A:$H,6,FALSE)</f>
        <v>1</v>
      </c>
      <c r="AD15" s="10">
        <f ca="1">VLOOKUP(W15,[1]character_tribe_i18n!$A:$H,7,FALSE)</f>
        <v>1</v>
      </c>
      <c r="AE15" s="187" t="s">
        <v>318</v>
      </c>
      <c r="AF15" s="58" t="str">
        <f ca="1">IF(AE15="NULL","",VLOOKUP($AE15,OFFSET([1]characters!$A$1,0,0,COUNTA([1]characters!$A:$A),MATCH(AF$1,[1]characters!$1:$1,0)-MATCH($A$1,[1]characters!$1:$1,0)+1),MATCH(AF$1,[1]characters!$1:$1,0)-MATCH($A$1,[1]characters!$1:$1,0)+1,FALSE))</f>
        <v/>
      </c>
      <c r="AG15" s="187">
        <v>541</v>
      </c>
      <c r="AH15" s="58" t="str">
        <f ca="1">VLOOKUP($AG15,OFFSET([1]characters!$A$1,0,0,COUNTA([1]characters!$A:$A),MATCH(AH$1,[1]characters!$1:$1,0)-MATCH($A$1,[1]characters!$1:$1,0)+1),MATCH(AH$1,[1]characters!$1:$1,0)-MATCH($A$1,[1]characters!$1:$1,0)+1,FALSE)</f>
        <v>初音ミク</v>
      </c>
      <c r="AI15" s="10" t="str">
        <f>IF(AE15="NULL","NULL",VLOOKUP(G15,ビット!$A$2:$B$7,2))</f>
        <v>NULL</v>
      </c>
      <c r="AJ15" s="6">
        <v>2</v>
      </c>
      <c r="AK15" s="7" t="str">
        <f t="shared" ref="AK15:AK28" si="36">IF(AJ15=1,"早熟",IF(AJ15=2,"普通",IF(AJ15=3,"晩成","")))</f>
        <v>普通</v>
      </c>
      <c r="AL15" s="10" t="str">
        <f ca="1">INDEX(経験値!$A$1:$I$21,MATCH(H15,経験値!$A$1:$A$21,FALSE),MATCH(G15,経験値!$A$1:$I$1,FALSE))</f>
        <v>required_exp_300</v>
      </c>
      <c r="AM15" s="8">
        <f ca="1">VLOOKUP(G15,経験値!$A$28:$B$32,2)</f>
        <v>6400</v>
      </c>
      <c r="AN15" s="16">
        <f ca="1">VLOOKUP(G15,ビット!$G$2:$H$7,2)</f>
        <v>900</v>
      </c>
      <c r="AO15" s="41"/>
      <c r="AP15" s="63">
        <v>1308</v>
      </c>
      <c r="AQ15" s="53" t="str">
        <f ca="1">VLOOKUP($AP15,OFFSET(unit_skills!$A$1,0,0,COUNTA(unit_skills!$A:$A),MATCH(AQ$1,unit_skills!$1:$1,0)-MATCH($AP$1,unit_skills!$1:$1,0)+1),MATCH(AQ$1,unit_skills!$1:$1,0)-MATCH($AP$1,unit_skills!$1:$1,0)+1,FALSE)</f>
        <v>センチュリ・レボリューション</v>
      </c>
      <c r="AR15" s="53" t="str">
        <f ca="1">VLOOKUP($AP15,OFFSET(unit_skills!$A$1,0,0,COUNTA(unit_skills!$A:$A),MATCH(AR$1,unit_skills!$1:$1,0)-MATCH($AP$1,unit_skills!$1:$1,0)+1),MATCH(AR$1,unit_skills!$1:$1,0)-MATCH($AP$1,unit_skills!$1:$1,0)+1,FALSE)</f>
        <v>3ターン緑属性ユニットの攻撃力と防御力を超大UP+2ターン緑パネルの出現率大UP</v>
      </c>
      <c r="AS15" s="53">
        <f ca="1">VLOOKUP($AP15,OFFSET(unit_skills!$A$1,0,0,COUNTA(unit_skills!$A:$A),MATCH(AS$1,unit_skills!$1:$1,0)-MATCH($AP$1,unit_skills!$1:$1,0)+1),MATCH(AS$1,unit_skills!$1:$1,0)-MATCH($AP$1,unit_skills!$1:$1,0)+1,FALSE)</f>
        <v>0</v>
      </c>
      <c r="AT15" s="63">
        <v>1308</v>
      </c>
      <c r="AU15" s="53" t="str">
        <f ca="1">VLOOKUP($AT15,OFFSET(crash_skills!$A$1,0,0,COUNTA(crash_skills!$A:$A),MATCH(AU$1,crash_skills!$1:$1,0)-MATCH($AT$1,crash_skills!$1:$1,0)+1),MATCH(AU$1,crash_skills!$1:$1,0)-MATCH($AT$1,crash_skills!$1:$1,0)+1,FALSE)</f>
        <v>アイドリング・ポップス</v>
      </c>
      <c r="AV15" s="53" t="str">
        <f ca="1">VLOOKUP($AT15,OFFSET(crash_skills!$A$1,0,0,COUNTA(crash_skills!$A:$A),MATCH(AV$1,crash_skills!$1:$1,0)-MATCH($AT$1,crash_skills!$1:$1,0)+1),MATCH(AV$1,crash_skills!$1:$1,0)-MATCH($AT$1,crash_skills!$1:$1,0)+1,FALSE)</f>
        <v>1体に特大ダメージ</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3</v>
      </c>
      <c r="AY15" s="64">
        <v>0.89200000000000002</v>
      </c>
      <c r="AZ15" s="64">
        <v>1.03</v>
      </c>
      <c r="BA15" s="64">
        <v>0</v>
      </c>
      <c r="BB15" s="64">
        <v>1.0680000000000001</v>
      </c>
      <c r="BC15" s="10">
        <f ca="1">INDEX('RC6SV'!$A$1:$G$21,MATCH(H15,'RC6SV'!$A$1:$A$21,FALSE),MATCH(G15,'RC6SV'!$A$1:$G$1,FALSE))</f>
        <v>14000</v>
      </c>
      <c r="BD15" s="44">
        <f t="shared" ref="BD15:BD28" ca="1" si="37">ROUND(BC15*IF(AJ15=1,0.95,IF(AJ15=2,1,IF(AJ15,1.05,0))),0)</f>
        <v>14000</v>
      </c>
      <c r="BE15" s="10">
        <f t="shared" ca="1" si="2"/>
        <v>0</v>
      </c>
      <c r="BF15" s="10">
        <f t="shared" ca="1" si="3"/>
        <v>1</v>
      </c>
      <c r="BG15" s="15">
        <f ca="1">IF($BE15&lt;=0,ROUND(BK15*0.5,0), ROUND($BE15*S15*AA15*J15*AY15*0.8*[1]ステータス!$B$2,0))</f>
        <v>3185</v>
      </c>
      <c r="BH15" s="15">
        <f ca="1">IF($BE15&lt;=0,ROUND(BL15*0.5,0), ROUND($BE15*T15*AB15*K15*AZ15*0.8*[1]ステータス!$C$2,0))</f>
        <v>2120</v>
      </c>
      <c r="BI15" s="15">
        <f ca="1">IF($BE15&lt;=0,ROUND(BM15*0.5,0), ROUND($BE15*U15*AC15*L15*BA15*0.8*[1]ステータス!$D$2,0))</f>
        <v>0</v>
      </c>
      <c r="BJ15" s="15">
        <f ca="1">IF($BE15&lt;=0,ROUND(BN15*0.5,0), ROUND($BE15*V15*AD15*M15*BB15*0.8*[1]ステータス!$E$2,0))</f>
        <v>1869</v>
      </c>
      <c r="BK15" s="10">
        <f ca="1">ROUND(BD15*S15*AA15*J15*AY15*[1]ステータス!$B$2,0)</f>
        <v>6369</v>
      </c>
      <c r="BL15" s="10">
        <f ca="1">ROUND(BD15*T15*AB15*K15*AZ15*[1]ステータス!$C$2,0)</f>
        <v>4239</v>
      </c>
      <c r="BM15" s="10">
        <f ca="1">ROUND(BD15*U15*AC15*L15*BA15*[1]ステータス!$D$2,0)</f>
        <v>0</v>
      </c>
      <c r="BN15" s="10">
        <f ca="1">ROUND(BD15*V15*AD15*M15*BB15*[1]ステータス!$E$2,0)</f>
        <v>3738</v>
      </c>
      <c r="BO15" s="9">
        <v>0</v>
      </c>
      <c r="BP15" s="9">
        <v>1</v>
      </c>
      <c r="BQ15" s="9" t="s">
        <v>47</v>
      </c>
      <c r="BR15" s="202">
        <v>6000</v>
      </c>
    </row>
    <row r="16" spans="1:70" ht="26" customHeight="1" x14ac:dyDescent="0.15">
      <c r="A16" s="186">
        <v>1309</v>
      </c>
      <c r="B16" s="53" t="str">
        <f ca="1">VLOOKUP($A16,OFFSET([1]characters!$A$1,0,0,COUNTA([1]characters!$A:$A),MATCH(B$1,[1]characters!$1:$1,0)-MATCH($A$1,[1]characters!$1:$1,0)+1),MATCH(B$1,[1]characters!$1:$1,0)-MATCH($A$1,[1]characters!$1:$1,0)+1,FALSE)</f>
        <v>虹彩の美唱姫 初音ミク・アペンド</v>
      </c>
      <c r="C16" s="53">
        <f ca="1">VLOOKUP($A16,OFFSET([1]characters!$A$1,0,0,COUNTA([1]characters!$A:$A),MATCH(C$1,[1]characters!$1:$1,0)-MATCH($A$1,[1]characters!$1:$1,0)+1),MATCH(C$1,[1]characters!$1:$1,0)-MATCH($A$1,[1]characters!$1:$1,0)+1,FALSE)</f>
        <v>0</v>
      </c>
      <c r="D16" s="53">
        <f ca="1">VLOOKUP($A16,OFFSET([1]characters!$A$1,0,0,COUNTA([1]characters!$A:$A),MATCH(D$1,[1]characters!$1:$1,0)-MATCH($A$1,[1]characters!$1:$1,0)+1),MATCH(D$1,[1]characters!$1:$1,0)-MATCH($A$1,[1]characters!$1:$1,0)+1,FALSE)</f>
        <v>0</v>
      </c>
      <c r="E16" s="53">
        <f ca="1">VLOOKUP($A16,OFFSET([1]characters!$A$1,0,0,COUNTA([1]characters!$A:$A),MATCH(E$1,[1]characters!$1:$1,0)-MATCH($A$1,[1]characters!$1:$1,0)+1),MATCH(E$1,[1]characters!$1:$1,0)-MATCH($A$1,[1]characters!$1:$1,0)+1,FALSE)</f>
        <v>0</v>
      </c>
      <c r="F16" s="53">
        <f ca="1">VLOOKUP($A16,OFFSET([1]characters!$A$1,0,0,COUNTA([1]characters!$A:$A),MATCH(F$1,[1]characters!$1:$1,0)-MATCH($A$1,[1]characters!$1:$1,0)+1),MATCH(F$1,[1]characters!$1:$1,0)-MATCH($A$1,[1]characters!$1:$1,0)+1,FALSE)</f>
        <v>0</v>
      </c>
      <c r="G16" s="53">
        <f ca="1">VLOOKUP($A16,OFFSET([1]characters!$A$1,0,0,COUNTA([1]characters!$A:$A),MATCH(G$1,[1]characters!$1:$1,0)-MATCH($A$1,[1]characters!$1:$1,0)+1),MATCH(G$1,[1]characters!$1:$1,0)-MATCH($A$1,[1]characters!$1:$1,0)+1,FALSE)</f>
        <v>6</v>
      </c>
      <c r="H16" s="53" t="str">
        <f ca="1">VLOOKUP($A16,OFFSET([1]characters!$A$1,0,0,COUNTA([1]characters!$A:$A),MATCH(H$1,[1]characters!$1:$1,0)-MATCH($A$1,[1]characters!$1:$1,0)+1),MATCH(H$1,[1]characters!$1:$1,0)-MATCH($A$1,[1]characters!$1:$1,0)+1,FALSE)</f>
        <v>PremiumSSS</v>
      </c>
      <c r="I16" s="53" t="str">
        <f ca="1">VLOOKUP($A16,OFFSET([1]characters!$A$1,0,0,COUNTA([1]characters!$A:$A),MATCH(I$1,[1]characters!$1:$1,0)-MATCH($A$1,[1]characters!$1:$1,0)+1),MATCH(I$1,[1]characters!$1:$1,0)-MATCH($A$1,[1]characters!$1:$1,0)+1,FALSE)</f>
        <v>green</v>
      </c>
      <c r="J16" s="10">
        <f ca="1">VLOOKUP(I16,[1]属性!$A:$E,2,FALSE)</f>
        <v>1.02</v>
      </c>
      <c r="K16" s="10">
        <f ca="1">VLOOKUP(I16,[1]属性!$A:$E,3,FALSE)</f>
        <v>0.98</v>
      </c>
      <c r="L16" s="10">
        <f ca="1">VLOOKUP(I16,[1]属性!$A:$E,4,FALSE)</f>
        <v>1</v>
      </c>
      <c r="M16" s="10">
        <f ca="1">VLOOKUP(I16,[1]属性!$A:$E,5,FALSE)</f>
        <v>1</v>
      </c>
      <c r="N16" s="10">
        <f ca="1">INDEX(コスト!$A$1:$I$21,MATCH(H16,コスト!$A$1:$A$21,FALSE),MATCH(G16,コスト!$A$1:$I$1,FALSE))</f>
        <v>55</v>
      </c>
      <c r="O16" s="10">
        <f ca="1">INDEX(レベル!$A$1:$I$22,MATCH(H16,レベル!$A$1:$A$22,FALSE),MATCH(G16,レベル!$A$1:$I$1,FALSE))</f>
        <v>99</v>
      </c>
      <c r="P16" s="44">
        <f t="shared" ca="1" si="35"/>
        <v>99</v>
      </c>
      <c r="Q16" s="53" t="str">
        <f ca="1">VLOOKUP($A16,OFFSET([1]characters!$A$1,0,0,COUNTA([1]characters!$A:$A),MATCH(Q$1,[1]characters!$1:$1,0)-MATCH($A$1,[1]characters!$1:$1,0)+1),MATCH(Q$1,[1]characters!$1:$1,0)-MATCH($A$1,[1]characters!$1:$1,0)+1,FALSE)</f>
        <v>technical</v>
      </c>
      <c r="R16" s="5" t="str">
        <f ca="1">VLOOKUP(Q16,[1]character_type_i18n!$A:$H,3,FALSE)</f>
        <v>テクニカルタイプ</v>
      </c>
      <c r="S16" s="10">
        <f ca="1">VLOOKUP(Q16,[1]character_type_i18n!$A:$H,4,FALSE)</f>
        <v>0.9</v>
      </c>
      <c r="T16" s="10">
        <f ca="1">VLOOKUP(Q16,[1]character_type_i18n!$A:$H,5,FALSE)</f>
        <v>0.9</v>
      </c>
      <c r="U16" s="10">
        <f ca="1">VLOOKUP(Q16,[1]character_type_i18n!$A:$H,6,FALSE)</f>
        <v>1</v>
      </c>
      <c r="V16" s="10">
        <f ca="1">VLOOKUP(Q16,[1]character_type_i18n!$A:$H,7,FALSE)</f>
        <v>0.9</v>
      </c>
      <c r="W16" s="53" t="str">
        <f ca="1">VLOOKUP($A16,OFFSET([1]characters!$A$1,0,0,COUNTA([1]characters!$A:$A),MATCH(W$1,[1]characters!$1:$1,0)-MATCH($A$1,[1]characters!$1:$1,0)+1),MATCH(W$1,[1]characters!$1:$1,0)-MATCH($A$1,[1]characters!$1:$1,0)+1,FALSE)</f>
        <v>unknown</v>
      </c>
      <c r="X16" s="5" t="str">
        <f ca="1">VLOOKUP(W16,[1]character_tribe_i18n!$A:$H,3,FALSE)</f>
        <v>Unknown</v>
      </c>
      <c r="Y16" s="53" t="str">
        <f ca="1">VLOOKUP($A16,OFFSET([1]characters!$A$1,0,0,COUNTA([1]characters!$A:$A),MATCH(Y$1,[1]characters!$1:$1,0)-MATCH($A$1,[1]characters!$1:$1,0)+1),MATCH(Y$1,[1]characters!$1:$1,0)-MATCH($A$1,[1]characters!$1:$1,0)+1,FALSE)</f>
        <v>none</v>
      </c>
      <c r="Z16" s="5" t="str">
        <f ca="1">VLOOKUP(Y16,[1]character_tribe_i18n!$A:$H,3,FALSE)</f>
        <v>種族なし</v>
      </c>
      <c r="AA16" s="10">
        <f ca="1">VLOOKUP(W16,[1]character_tribe_i18n!$A:$H,4,FALSE)</f>
        <v>1</v>
      </c>
      <c r="AB16" s="10">
        <f ca="1">VLOOKUP(W16,[1]character_tribe_i18n!$A:$H,5,FALSE)</f>
        <v>1</v>
      </c>
      <c r="AC16" s="10">
        <f ca="1">VLOOKUP(W16,[1]character_tribe_i18n!$A:$H,6,FALSE)</f>
        <v>1</v>
      </c>
      <c r="AD16" s="10">
        <f ca="1">VLOOKUP(W16,[1]character_tribe_i18n!$A:$H,7,FALSE)</f>
        <v>1</v>
      </c>
      <c r="AE16" s="187">
        <v>1309</v>
      </c>
      <c r="AF16" s="58" t="str">
        <f ca="1">IF(AE16="NULL","",VLOOKUP($AE16,OFFSET([1]characters!$A$1,0,0,COUNTA([1]characters!$A:$A),MATCH(AF$1,[1]characters!$1:$1,0)-MATCH($A$1,[1]characters!$1:$1,0)+1),MATCH(AF$1,[1]characters!$1:$1,0)-MATCH($A$1,[1]characters!$1:$1,0)+1,FALSE))</f>
        <v>虹彩の美唱姫 初音ミク・アペンド</v>
      </c>
      <c r="AG16" s="187">
        <v>539</v>
      </c>
      <c r="AH16" s="58" t="str">
        <f ca="1">VLOOKUP($AG16,OFFSET([1]characters!$A$1,0,0,COUNTA([1]characters!$A:$A),MATCH(AH$1,[1]characters!$1:$1,0)-MATCH($A$1,[1]characters!$1:$1,0)+1),MATCH(AH$1,[1]characters!$1:$1,0)-MATCH($A$1,[1]characters!$1:$1,0)+1,FALSE)</f>
        <v>初音ミク・アペンド</v>
      </c>
      <c r="AI16" s="10">
        <f ca="1">IF(AE16="NULL","NULL",VLOOKUP(G16,ビット!$A$2:$B$7,2))</f>
        <v>200000</v>
      </c>
      <c r="AJ16" s="6">
        <v>2</v>
      </c>
      <c r="AK16" s="7" t="str">
        <f t="shared" si="36"/>
        <v>普通</v>
      </c>
      <c r="AL16" s="10" t="str">
        <f ca="1">INDEX(経験値!$A$1:$I$21,MATCH(H16,経験値!$A$1:$A$21,FALSE),MATCH(G16,経験値!$A$1:$I$1,FALSE))</f>
        <v>required_exp_300</v>
      </c>
      <c r="AM16" s="8">
        <f ca="1">VLOOKUP(G16,経験値!$A$28:$B$32,2)</f>
        <v>6400</v>
      </c>
      <c r="AN16" s="16">
        <f ca="1">VLOOKUP(G16,ビット!$G$2:$H$7,2)</f>
        <v>900</v>
      </c>
      <c r="AO16" s="41"/>
      <c r="AP16" s="63">
        <v>1309</v>
      </c>
      <c r="AQ16" s="53" t="str">
        <f ca="1">VLOOKUP($AP16,OFFSET(unit_skills!$A$1,0,0,COUNTA(unit_skills!$A:$A),MATCH(AQ$1,unit_skills!$1:$1,0)-MATCH($AP$1,unit_skills!$1:$1,0)+1),MATCH(AQ$1,unit_skills!$1:$1,0)-MATCH($AP$1,unit_skills!$1:$1,0)+1,FALSE)</f>
        <v>ダブルリプレイス&amp;アペンド</v>
      </c>
      <c r="AR16" s="53" t="str">
        <f ca="1">VLOOKUP($AP16,OFFSET(unit_skills!$A$1,0,0,COUNTA(unit_skills!$A:$A),MATCH(AR$1,unit_skills!$1:$1,0)-MATCH($AP$1,unit_skills!$1:$1,0)+1),MATCH(AR$1,unit_skills!$1:$1,0)-MATCH($AP$1,unit_skills!$1:$1,0)+1,FALSE)</f>
        <v>ランダムでパネルを1個SCP(特大)、2個SCPに変換+3ターン全ユニットの防御力UP(時限式・お邪魔を吸収し効果UP)</v>
      </c>
      <c r="AS16" s="53">
        <f ca="1">VLOOKUP($AP16,OFFSET(unit_skills!$A$1,0,0,COUNTA(unit_skills!$A:$A),MATCH(AS$1,unit_skills!$1:$1,0)-MATCH($AP$1,unit_skills!$1:$1,0)+1),MATCH(AS$1,unit_skills!$1:$1,0)-MATCH($AP$1,unit_skills!$1:$1,0)+1,FALSE)</f>
        <v>0</v>
      </c>
      <c r="AT16" s="63">
        <v>1309</v>
      </c>
      <c r="AU16" s="53" t="str">
        <f ca="1">VLOOKUP($AT16,OFFSET(crash_skills!$A$1,0,0,COUNTA(crash_skills!$A:$A),MATCH(AU$1,crash_skills!$1:$1,0)-MATCH($AT$1,crash_skills!$1:$1,0)+1),MATCH(AU$1,crash_skills!$1:$1,0)-MATCH($AT$1,crash_skills!$1:$1,0)+1,FALSE)</f>
        <v>アペンド・ヘキサヴォイス</v>
      </c>
      <c r="AV16" s="53" t="str">
        <f ca="1">VLOOKUP($AT16,OFFSET(crash_skills!$A$1,0,0,COUNTA(crash_skills!$A:$A),MATCH(AV$1,crash_skills!$1:$1,0)-MATCH($AT$1,crash_skills!$1:$1,0)+1),MATCH(AV$1,crash_skills!$1:$1,0)-MATCH($AT$1,crash_skills!$1:$1,0)+1,FALSE)</f>
        <v>1体に超大ダメージ</v>
      </c>
      <c r="AW16" s="53">
        <f ca="1">VLOOKUP($AT16,OFFSET(crash_skills!$A$1,0,0,COUNTA(crash_skills!$A:$A),MATCH(AW$1,crash_skills!$1:$1,0)-MATCH($AT$1,crash_skills!$1:$1,0)+1),MATCH(AW$1,crash_skills!$1:$1,0)-MATCH($AT$1,crash_skills!$1:$1,0)+1,FALSE)</f>
        <v>0</v>
      </c>
      <c r="AX16" s="54">
        <f ca="1">VLOOKUP($A16,OFFSET([1]characters!$A$1,0,0,COUNTA([1]characters!$A:$A),MATCH(AX$1,[1]characters!$1:$1,0)-MATCH($A$1,[1]characters!$1:$1,0)+1),MATCH(AX$1,[1]characters!$1:$1,0)-MATCH($A$1,[1]characters!$1:$1,0)+1,FALSE)</f>
        <v>3</v>
      </c>
      <c r="AY16" s="64">
        <v>1.0980000000000001</v>
      </c>
      <c r="AZ16" s="64">
        <v>1.38</v>
      </c>
      <c r="BA16" s="64">
        <v>0</v>
      </c>
      <c r="BB16" s="64">
        <v>0.85299999999999998</v>
      </c>
      <c r="BC16" s="10">
        <f ca="1">INDEX('RC6SV'!$A$1:$G$21,MATCH(H16,'RC6SV'!$A$1:$A$21,FALSE),MATCH(G16,'RC6SV'!$A$1:$G$1,FALSE))</f>
        <v>14000</v>
      </c>
      <c r="BD16" s="44">
        <f t="shared" ca="1" si="37"/>
        <v>14000</v>
      </c>
      <c r="BE16" s="10">
        <f t="shared" ca="1" si="2"/>
        <v>14000</v>
      </c>
      <c r="BF16" s="10">
        <f t="shared" ca="1" si="3"/>
        <v>1</v>
      </c>
      <c r="BG16" s="15">
        <f ca="1">IF($BE16&lt;=0,ROUND(BK16*0.5,0), ROUND($BE16*S16*AA16*J16*AY16*0.8*[1]ステータス!$B$2,0))</f>
        <v>5645</v>
      </c>
      <c r="BH16" s="15">
        <f ca="1">IF($BE16&lt;=0,ROUND(BL16*0.5,0), ROUND($BE16*T16*AB16*K16*AZ16*0.8*[1]ステータス!$C$2,0))</f>
        <v>4090</v>
      </c>
      <c r="BI16" s="15">
        <f ca="1">IF($BE16&lt;=0,ROUND(BM16*0.5,0), ROUND($BE16*U16*AC16*L16*BA16*0.8*[1]ステータス!$D$2,0))</f>
        <v>0</v>
      </c>
      <c r="BJ16" s="15">
        <f ca="1">IF($BE16&lt;=0,ROUND(BN16*0.5,0), ROUND($BE16*V16*AD16*M16*BB16*0.8*[1]ステータス!$E$2,0))</f>
        <v>2150</v>
      </c>
      <c r="BK16" s="10">
        <f ca="1">ROUND(BD16*S16*AA16*J16*AY16*[1]ステータス!$B$2,0)</f>
        <v>7056</v>
      </c>
      <c r="BL16" s="10">
        <f ca="1">ROUND(BD16*T16*AB16*K16*AZ16*[1]ステータス!$C$2,0)</f>
        <v>5112</v>
      </c>
      <c r="BM16" s="10">
        <f ca="1">ROUND(BD16*U16*AC16*L16*BA16*[1]ステータス!$D$2,0)</f>
        <v>0</v>
      </c>
      <c r="BN16" s="10">
        <f ca="1">ROUND(BD16*V16*AD16*M16*BB16*[1]ステータス!$E$2,0)</f>
        <v>2687</v>
      </c>
      <c r="BO16" s="9">
        <v>0</v>
      </c>
      <c r="BP16" s="9">
        <v>1</v>
      </c>
      <c r="BQ16" s="36" t="s">
        <v>47</v>
      </c>
      <c r="BR16" s="202">
        <v>6000</v>
      </c>
    </row>
    <row r="17" spans="1:70" ht="26" customHeight="1" x14ac:dyDescent="0.15">
      <c r="A17" s="186">
        <v>1310</v>
      </c>
      <c r="B17" s="53" t="str">
        <f ca="1">VLOOKUP($A17,OFFSET([1]characters!$A$1,0,0,COUNTA([1]characters!$A:$A),MATCH(B$1,[1]characters!$1:$1,0)-MATCH($A$1,[1]characters!$1:$1,0)+1),MATCH(B$1,[1]characters!$1:$1,0)-MATCH($A$1,[1]characters!$1:$1,0)+1,FALSE)</f>
        <v>聖律する歌姫 初音ミク・アペンド</v>
      </c>
      <c r="C17" s="53">
        <f ca="1">VLOOKUP($A17,OFFSET([1]characters!$A$1,0,0,COUNTA([1]characters!$A:$A),MATCH(C$1,[1]characters!$1:$1,0)-MATCH($A$1,[1]characters!$1:$1,0)+1),MATCH(C$1,[1]characters!$1:$1,0)-MATCH($A$1,[1]characters!$1:$1,0)+1,FALSE)</f>
        <v>0</v>
      </c>
      <c r="D17" s="53">
        <f ca="1">VLOOKUP($A17,OFFSET([1]characters!$A$1,0,0,COUNTA([1]characters!$A:$A),MATCH(D$1,[1]characters!$1:$1,0)-MATCH($A$1,[1]characters!$1:$1,0)+1),MATCH(D$1,[1]characters!$1:$1,0)-MATCH($A$1,[1]characters!$1:$1,0)+1,FALSE)</f>
        <v>0</v>
      </c>
      <c r="E17" s="53">
        <f ca="1">VLOOKUP($A17,OFFSET([1]characters!$A$1,0,0,COUNTA([1]characters!$A:$A),MATCH(E$1,[1]characters!$1:$1,0)-MATCH($A$1,[1]characters!$1:$1,0)+1),MATCH(E$1,[1]characters!$1:$1,0)-MATCH($A$1,[1]characters!$1:$1,0)+1,FALSE)</f>
        <v>0</v>
      </c>
      <c r="F17" s="53">
        <f ca="1">VLOOKUP($A17,OFFSET([1]characters!$A$1,0,0,COUNTA([1]characters!$A:$A),MATCH(F$1,[1]characters!$1:$1,0)-MATCH($A$1,[1]characters!$1:$1,0)+1),MATCH(F$1,[1]characters!$1:$1,0)-MATCH($A$1,[1]characters!$1:$1,0)+1,FALSE)</f>
        <v>0</v>
      </c>
      <c r="G17" s="53">
        <f ca="1">VLOOKUP($A17,OFFSET([1]characters!$A$1,0,0,COUNTA([1]characters!$A:$A),MATCH(G$1,[1]characters!$1:$1,0)-MATCH($A$1,[1]characters!$1:$1,0)+1),MATCH(G$1,[1]characters!$1:$1,0)-MATCH($A$1,[1]characters!$1:$1,0)+1,FALSE)</f>
        <v>6</v>
      </c>
      <c r="H17" s="53" t="str">
        <f ca="1">VLOOKUP($A17,OFFSET([1]characters!$A$1,0,0,COUNTA([1]characters!$A:$A),MATCH(H$1,[1]characters!$1:$1,0)-MATCH($A$1,[1]characters!$1:$1,0)+1),MATCH(H$1,[1]characters!$1:$1,0)-MATCH($A$1,[1]characters!$1:$1,0)+1,FALSE)</f>
        <v>PremiumSSS</v>
      </c>
      <c r="I17" s="53" t="str">
        <f ca="1">VLOOKUP($A17,OFFSET([1]characters!$A$1,0,0,COUNTA([1]characters!$A:$A),MATCH(I$1,[1]characters!$1:$1,0)-MATCH($A$1,[1]characters!$1:$1,0)+1),MATCH(I$1,[1]characters!$1:$1,0)-MATCH($A$1,[1]characters!$1:$1,0)+1,FALSE)</f>
        <v>green</v>
      </c>
      <c r="J17" s="10">
        <f ca="1">VLOOKUP(I17,[1]属性!$A:$E,2,FALSE)</f>
        <v>1.02</v>
      </c>
      <c r="K17" s="10">
        <f ca="1">VLOOKUP(I17,[1]属性!$A:$E,3,FALSE)</f>
        <v>0.98</v>
      </c>
      <c r="L17" s="10">
        <f ca="1">VLOOKUP(I17,[1]属性!$A:$E,4,FALSE)</f>
        <v>1</v>
      </c>
      <c r="M17" s="10">
        <f ca="1">VLOOKUP(I17,[1]属性!$A:$E,5,FALSE)</f>
        <v>1</v>
      </c>
      <c r="N17" s="10">
        <f ca="1">INDEX(コスト!$A$1:$I$21,MATCH(H17,コスト!$A$1:$A$21,FALSE),MATCH(G17,コスト!$A$1:$I$1,FALSE))</f>
        <v>55</v>
      </c>
      <c r="O17" s="10">
        <f ca="1">INDEX(レベル!$A$1:$I$22,MATCH(H17,レベル!$A$1:$A$22,FALSE),MATCH(G17,レベル!$A$1:$I$1,FALSE))</f>
        <v>99</v>
      </c>
      <c r="P17" s="44">
        <f t="shared" ca="1" si="35"/>
        <v>99</v>
      </c>
      <c r="Q17" s="53" t="str">
        <f ca="1">VLOOKUP($A17,OFFSET([1]characters!$A$1,0,0,COUNTA([1]characters!$A:$A),MATCH(Q$1,[1]characters!$1:$1,0)-MATCH($A$1,[1]characters!$1:$1,0)+1),MATCH(Q$1,[1]characters!$1:$1,0)-MATCH($A$1,[1]characters!$1:$1,0)+1,FALSE)</f>
        <v>attack</v>
      </c>
      <c r="R17" s="5" t="str">
        <f ca="1">VLOOKUP(Q17,[1]character_type_i18n!$A:$H,3,FALSE)</f>
        <v>攻撃タイプ</v>
      </c>
      <c r="S17" s="10">
        <f ca="1">VLOOKUP(Q17,[1]character_type_i18n!$A:$H,4,FALSE)</f>
        <v>1</v>
      </c>
      <c r="T17" s="10">
        <f ca="1">VLOOKUP(Q17,[1]character_type_i18n!$A:$H,5,FALSE)</f>
        <v>1.33</v>
      </c>
      <c r="U17" s="10">
        <f ca="1">VLOOKUP(Q17,[1]character_type_i18n!$A:$H,6,FALSE)</f>
        <v>1</v>
      </c>
      <c r="V17" s="10">
        <f ca="1">VLOOKUP(Q17,[1]character_type_i18n!$A:$H,7,FALSE)</f>
        <v>0.67</v>
      </c>
      <c r="W17" s="53" t="str">
        <f ca="1">VLOOKUP($A17,OFFSET([1]characters!$A$1,0,0,COUNTA([1]characters!$A:$A),MATCH(W$1,[1]characters!$1:$1,0)-MATCH($A$1,[1]characters!$1:$1,0)+1),MATCH(W$1,[1]characters!$1:$1,0)-MATCH($A$1,[1]characters!$1:$1,0)+1,FALSE)</f>
        <v>unknown</v>
      </c>
      <c r="X17" s="5" t="str">
        <f ca="1">VLOOKUP(W17,[1]character_tribe_i18n!$A:$H,3,FALSE)</f>
        <v>Unknown</v>
      </c>
      <c r="Y17" s="53" t="str">
        <f ca="1">VLOOKUP($A17,OFFSET([1]characters!$A$1,0,0,COUNTA([1]characters!$A:$A),MATCH(Y$1,[1]characters!$1:$1,0)-MATCH($A$1,[1]characters!$1:$1,0)+1),MATCH(Y$1,[1]characters!$1:$1,0)-MATCH($A$1,[1]characters!$1:$1,0)+1,FALSE)</f>
        <v>none</v>
      </c>
      <c r="Z17" s="5" t="str">
        <f ca="1">VLOOKUP(Y17,[1]character_tribe_i18n!$A:$H,3,FALSE)</f>
        <v>種族なし</v>
      </c>
      <c r="AA17" s="10">
        <f ca="1">VLOOKUP(W17,[1]character_tribe_i18n!$A:$H,4,FALSE)</f>
        <v>1</v>
      </c>
      <c r="AB17" s="10">
        <f ca="1">VLOOKUP(W17,[1]character_tribe_i18n!$A:$H,5,FALSE)</f>
        <v>1</v>
      </c>
      <c r="AC17" s="10">
        <f ca="1">VLOOKUP(W17,[1]character_tribe_i18n!$A:$H,6,FALSE)</f>
        <v>1</v>
      </c>
      <c r="AD17" s="10">
        <f ca="1">VLOOKUP(W17,[1]character_tribe_i18n!$A:$H,7,FALSE)</f>
        <v>1</v>
      </c>
      <c r="AE17" s="187" t="s">
        <v>318</v>
      </c>
      <c r="AF17" s="58" t="str">
        <f ca="1">IF(AE17="NULL","",VLOOKUP($AE17,OFFSET([1]characters!$A$1,0,0,COUNTA([1]characters!$A:$A),MATCH(AF$1,[1]characters!$1:$1,0)-MATCH($A$1,[1]characters!$1:$1,0)+1),MATCH(AF$1,[1]characters!$1:$1,0)-MATCH($A$1,[1]characters!$1:$1,0)+1,FALSE))</f>
        <v/>
      </c>
      <c r="AG17" s="187">
        <v>539</v>
      </c>
      <c r="AH17" s="58" t="str">
        <f ca="1">VLOOKUP($AG17,OFFSET([1]characters!$A$1,0,0,COUNTA([1]characters!$A:$A),MATCH(AH$1,[1]characters!$1:$1,0)-MATCH($A$1,[1]characters!$1:$1,0)+1),MATCH(AH$1,[1]characters!$1:$1,0)-MATCH($A$1,[1]characters!$1:$1,0)+1,FALSE)</f>
        <v>初音ミク・アペンド</v>
      </c>
      <c r="AI17" s="10" t="str">
        <f>IF(AE17="NULL","NULL",VLOOKUP(G17,ビット!$A$2:$B$7,2))</f>
        <v>NULL</v>
      </c>
      <c r="AJ17" s="6">
        <v>2</v>
      </c>
      <c r="AK17" s="7" t="str">
        <f t="shared" si="36"/>
        <v>普通</v>
      </c>
      <c r="AL17" s="10" t="str">
        <f ca="1">INDEX(経験値!$A$1:$I$21,MATCH(H17,経験値!$A$1:$A$21,FALSE),MATCH(G17,経験値!$A$1:$I$1,FALSE))</f>
        <v>required_exp_300</v>
      </c>
      <c r="AM17" s="8">
        <f ca="1">VLOOKUP(G17,経験値!$A$28:$B$32,2)</f>
        <v>6400</v>
      </c>
      <c r="AN17" s="16">
        <f ca="1">VLOOKUP(G17,ビット!$G$2:$H$7,2)</f>
        <v>900</v>
      </c>
      <c r="AO17" s="41"/>
      <c r="AP17" s="63">
        <v>1310</v>
      </c>
      <c r="AQ17" s="53" t="str">
        <f ca="1">VLOOKUP($AP17,OFFSET(unit_skills!$A$1,0,0,COUNTA(unit_skills!$A:$A),MATCH(AQ$1,unit_skills!$1:$1,0)-MATCH($AP$1,unit_skills!$1:$1,0)+1),MATCH(AQ$1,unit_skills!$1:$1,0)-MATCH($AP$1,unit_skills!$1:$1,0)+1,FALSE)</f>
        <v>エンドリプレイス&amp;アペンド</v>
      </c>
      <c r="AR17" s="53" t="str">
        <f ca="1">VLOOKUP($AP17,OFFSET(unit_skills!$A$1,0,0,COUNTA(unit_skills!$A:$A),MATCH(AR$1,unit_skills!$1:$1,0)-MATCH($AP$1,unit_skills!$1:$1,0)+1),MATCH(AR$1,unit_skills!$1:$1,0)-MATCH($AP$1,unit_skills!$1:$1,0)+1,FALSE)</f>
        <v>ランダムでパネルを1個SCパネル(特大)に、ダメージパネルをCパネルに変換+1ターン種族Unknownの攻撃力大UP</v>
      </c>
      <c r="AS17" s="53">
        <f ca="1">VLOOKUP($AP17,OFFSET(unit_skills!$A$1,0,0,COUNTA(unit_skills!$A:$A),MATCH(AS$1,unit_skills!$1:$1,0)-MATCH($AP$1,unit_skills!$1:$1,0)+1),MATCH(AS$1,unit_skills!$1:$1,0)-MATCH($AP$1,unit_skills!$1:$1,0)+1,FALSE)</f>
        <v>0</v>
      </c>
      <c r="AT17" s="63">
        <v>1310</v>
      </c>
      <c r="AU17" s="53" t="str">
        <f ca="1">VLOOKUP($AT17,OFFSET(crash_skills!$A$1,0,0,COUNTA(crash_skills!$A:$A),MATCH(AU$1,crash_skills!$1:$1,0)-MATCH($AT$1,crash_skills!$1:$1,0)+1),MATCH(AU$1,crash_skills!$1:$1,0)-MATCH($AT$1,crash_skills!$1:$1,0)+1,FALSE)</f>
        <v>アペンド・ヘキサヴォイス</v>
      </c>
      <c r="AV17" s="53" t="str">
        <f ca="1">VLOOKUP($AT17,OFFSET(crash_skills!$A$1,0,0,COUNTA(crash_skills!$A:$A),MATCH(AV$1,crash_skills!$1:$1,0)-MATCH($AT$1,crash_skills!$1:$1,0)+1),MATCH(AV$1,crash_skills!$1:$1,0)-MATCH($AT$1,crash_skills!$1:$1,0)+1,FALSE)</f>
        <v>1体に超大ダメージ</v>
      </c>
      <c r="AW17" s="53">
        <f ca="1">VLOOKUP($AT17,OFFSET(crash_skills!$A$1,0,0,COUNTA(crash_skills!$A:$A),MATCH(AW$1,crash_skills!$1:$1,0)-MATCH($AT$1,crash_skills!$1:$1,0)+1),MATCH(AW$1,crash_skills!$1:$1,0)-MATCH($AT$1,crash_skills!$1:$1,0)+1,FALSE)</f>
        <v>0</v>
      </c>
      <c r="AX17" s="54">
        <f ca="1">VLOOKUP($A17,OFFSET([1]characters!$A$1,0,0,COUNTA([1]characters!$A:$A),MATCH(AX$1,[1]characters!$1:$1,0)-MATCH($A$1,[1]characters!$1:$1,0)+1),MATCH(AX$1,[1]characters!$1:$1,0)-MATCH($A$1,[1]characters!$1:$1,0)+1,FALSE)</f>
        <v>3</v>
      </c>
      <c r="AY17" s="64">
        <v>0.91800000000000004</v>
      </c>
      <c r="AZ17" s="64">
        <v>0.99399999999999999</v>
      </c>
      <c r="BA17" s="64">
        <v>0</v>
      </c>
      <c r="BB17" s="64">
        <v>1.083</v>
      </c>
      <c r="BC17" s="10">
        <f ca="1">INDEX('RC6SV'!$A$1:$G$21,MATCH(H17,'RC6SV'!$A$1:$A$21,FALSE),MATCH(G17,'RC6SV'!$A$1:$G$1,FALSE))</f>
        <v>14000</v>
      </c>
      <c r="BD17" s="44">
        <f t="shared" ca="1" si="37"/>
        <v>14000</v>
      </c>
      <c r="BE17" s="10">
        <f t="shared" ca="1" si="2"/>
        <v>0</v>
      </c>
      <c r="BF17" s="10">
        <f t="shared" ca="1" si="3"/>
        <v>1</v>
      </c>
      <c r="BG17" s="15">
        <f ca="1">IF($BE17&lt;=0,ROUND(BK17*0.5,0), ROUND($BE17*S17*AA17*J17*AY17*0.8*[1]ステータス!$B$2,0))</f>
        <v>3278</v>
      </c>
      <c r="BH17" s="15">
        <f ca="1">IF($BE17&lt;=0,ROUND(BL17*0.5,0), ROUND($BE17*T17*AB17*K17*AZ17*0.8*[1]ステータス!$C$2,0))</f>
        <v>2721</v>
      </c>
      <c r="BI17" s="15">
        <f ca="1">IF($BE17&lt;=0,ROUND(BM17*0.5,0), ROUND($BE17*U17*AC17*L17*BA17*0.8*[1]ステータス!$D$2,0))</f>
        <v>0</v>
      </c>
      <c r="BJ17" s="15">
        <f ca="1">IF($BE17&lt;=0,ROUND(BN17*0.5,0), ROUND($BE17*V17*AD17*M17*BB17*0.8*[1]ステータス!$E$2,0))</f>
        <v>1270</v>
      </c>
      <c r="BK17" s="10">
        <f ca="1">ROUND(BD17*S17*AA17*J17*AY17*[1]ステータス!$B$2,0)</f>
        <v>6555</v>
      </c>
      <c r="BL17" s="10">
        <f ca="1">ROUND(BD17*T17*AB17*K17*AZ17*[1]ステータス!$C$2,0)</f>
        <v>5441</v>
      </c>
      <c r="BM17" s="10">
        <f ca="1">ROUND(BD17*U17*AC17*L17*BA17*[1]ステータス!$D$2,0)</f>
        <v>0</v>
      </c>
      <c r="BN17" s="10">
        <f ca="1">ROUND(BD17*V17*AD17*M17*BB17*[1]ステータス!$E$2,0)</f>
        <v>2540</v>
      </c>
      <c r="BO17" s="9">
        <v>0</v>
      </c>
      <c r="BP17" s="9">
        <v>1</v>
      </c>
      <c r="BQ17" s="9" t="s">
        <v>47</v>
      </c>
      <c r="BR17" s="202">
        <v>6000</v>
      </c>
    </row>
    <row r="18" spans="1:70" ht="26" customHeight="1" x14ac:dyDescent="0.15">
      <c r="A18" s="186">
        <v>1311</v>
      </c>
      <c r="B18" s="53" t="str">
        <f ca="1">VLOOKUP($A18,OFFSET([1]characters!$A$1,0,0,COUNTA([1]characters!$A:$A),MATCH(B$1,[1]characters!$1:$1,0)-MATCH($A$1,[1]characters!$1:$1,0)+1),MATCH(B$1,[1]characters!$1:$1,0)-MATCH($A$1,[1]characters!$1:$1,0)+1,FALSE)</f>
        <v>輪音する大反響 鏡音リン</v>
      </c>
      <c r="C18" s="53">
        <f ca="1">VLOOKUP($A18,OFFSET([1]characters!$A$1,0,0,COUNTA([1]characters!$A:$A),MATCH(C$1,[1]characters!$1:$1,0)-MATCH($A$1,[1]characters!$1:$1,0)+1),MATCH(C$1,[1]characters!$1:$1,0)-MATCH($A$1,[1]characters!$1:$1,0)+1,FALSE)</f>
        <v>0</v>
      </c>
      <c r="D18" s="53">
        <f ca="1">VLOOKUP($A18,OFFSET([1]characters!$A$1,0,0,COUNTA([1]characters!$A:$A),MATCH(D$1,[1]characters!$1:$1,0)-MATCH($A$1,[1]characters!$1:$1,0)+1),MATCH(D$1,[1]characters!$1:$1,0)-MATCH($A$1,[1]characters!$1:$1,0)+1,FALSE)</f>
        <v>0</v>
      </c>
      <c r="E18" s="53">
        <f ca="1">VLOOKUP($A18,OFFSET([1]characters!$A$1,0,0,COUNTA([1]characters!$A:$A),MATCH(E$1,[1]characters!$1:$1,0)-MATCH($A$1,[1]characters!$1:$1,0)+1),MATCH(E$1,[1]characters!$1:$1,0)-MATCH($A$1,[1]characters!$1:$1,0)+1,FALSE)</f>
        <v>0</v>
      </c>
      <c r="F18" s="53">
        <f ca="1">VLOOKUP($A18,OFFSET([1]characters!$A$1,0,0,COUNTA([1]characters!$A:$A),MATCH(F$1,[1]characters!$1:$1,0)-MATCH($A$1,[1]characters!$1:$1,0)+1),MATCH(F$1,[1]characters!$1:$1,0)-MATCH($A$1,[1]characters!$1:$1,0)+1,FALSE)</f>
        <v>0</v>
      </c>
      <c r="G18" s="53">
        <f ca="1">VLOOKUP($A18,OFFSET([1]characters!$A$1,0,0,COUNTA([1]characters!$A:$A),MATCH(G$1,[1]characters!$1:$1,0)-MATCH($A$1,[1]characters!$1:$1,0)+1),MATCH(G$1,[1]characters!$1:$1,0)-MATCH($A$1,[1]characters!$1:$1,0)+1,FALSE)</f>
        <v>6</v>
      </c>
      <c r="H18" s="53" t="str">
        <f ca="1">VLOOKUP($A18,OFFSET([1]characters!$A$1,0,0,COUNTA([1]characters!$A:$A),MATCH(H$1,[1]characters!$1:$1,0)-MATCH($A$1,[1]characters!$1:$1,0)+1),MATCH(H$1,[1]characters!$1:$1,0)-MATCH($A$1,[1]characters!$1:$1,0)+1,FALSE)</f>
        <v>PremiumSS</v>
      </c>
      <c r="I18" s="53" t="str">
        <f ca="1">VLOOKUP($A18,OFFSET([1]characters!$A$1,0,0,COUNTA([1]characters!$A:$A),MATCH(I$1,[1]characters!$1:$1,0)-MATCH($A$1,[1]characters!$1:$1,0)+1),MATCH(I$1,[1]characters!$1:$1,0)-MATCH($A$1,[1]characters!$1:$1,0)+1,FALSE)</f>
        <v>yellow</v>
      </c>
      <c r="J18" s="10">
        <f ca="1">VLOOKUP(I18,[1]属性!$A:$E,2,FALSE)</f>
        <v>0.98</v>
      </c>
      <c r="K18" s="10">
        <f ca="1">VLOOKUP(I18,[1]属性!$A:$E,3,FALSE)</f>
        <v>1.01</v>
      </c>
      <c r="L18" s="10">
        <f ca="1">VLOOKUP(I18,[1]属性!$A:$E,4,FALSE)</f>
        <v>1</v>
      </c>
      <c r="M18" s="10">
        <f ca="1">VLOOKUP(I18,[1]属性!$A:$E,5,FALSE)</f>
        <v>1.01</v>
      </c>
      <c r="N18" s="10">
        <f ca="1">INDEX(コスト!$A$1:$I$21,MATCH(H18,コスト!$A$1:$A$21,FALSE),MATCH(G18,コスト!$A$1:$I$1,FALSE))</f>
        <v>50</v>
      </c>
      <c r="O18" s="10">
        <f ca="1">INDEX(レベル!$A$1:$I$22,MATCH(H18,レベル!$A$1:$A$22,FALSE),MATCH(G18,レベル!$A$1:$I$1,FALSE))</f>
        <v>99</v>
      </c>
      <c r="P18" s="44">
        <f t="shared" ca="1" si="35"/>
        <v>99</v>
      </c>
      <c r="Q18" s="53" t="str">
        <f ca="1">VLOOKUP($A18,OFFSET([1]characters!$A$1,0,0,COUNTA([1]characters!$A:$A),MATCH(Q$1,[1]characters!$1:$1,0)-MATCH($A$1,[1]characters!$1:$1,0)+1),MATCH(Q$1,[1]characters!$1:$1,0)-MATCH($A$1,[1]characters!$1:$1,0)+1,FALSE)</f>
        <v>balance</v>
      </c>
      <c r="R18" s="5" t="str">
        <f ca="1">VLOOKUP(Q18,[1]character_type_i18n!$A:$H,3,FALSE)</f>
        <v>バランスタイプ</v>
      </c>
      <c r="S18" s="10">
        <f ca="1">VLOOKUP(Q18,[1]character_type_i18n!$A:$H,4,FALSE)</f>
        <v>1</v>
      </c>
      <c r="T18" s="10">
        <f ca="1">VLOOKUP(Q18,[1]character_type_i18n!$A:$H,5,FALSE)</f>
        <v>1</v>
      </c>
      <c r="U18" s="10">
        <f ca="1">VLOOKUP(Q18,[1]character_type_i18n!$A:$H,6,FALSE)</f>
        <v>1</v>
      </c>
      <c r="V18" s="10">
        <f ca="1">VLOOKUP(Q18,[1]character_type_i18n!$A:$H,7,FALSE)</f>
        <v>1</v>
      </c>
      <c r="W18" s="53" t="str">
        <f ca="1">VLOOKUP($A18,OFFSET([1]characters!$A$1,0,0,COUNTA([1]characters!$A:$A),MATCH(W$1,[1]characters!$1:$1,0)-MATCH($A$1,[1]characters!$1:$1,0)+1),MATCH(W$1,[1]characters!$1:$1,0)-MATCH($A$1,[1]characters!$1:$1,0)+1,FALSE)</f>
        <v>unknown</v>
      </c>
      <c r="X18" s="5" t="str">
        <f ca="1">VLOOKUP(W18,[1]character_tribe_i18n!$A:$H,3,FALSE)</f>
        <v>Unknown</v>
      </c>
      <c r="Y18" s="53" t="str">
        <f ca="1">VLOOKUP($A18,OFFSET([1]characters!$A$1,0,0,COUNTA([1]characters!$A:$A),MATCH(Y$1,[1]characters!$1:$1,0)-MATCH($A$1,[1]characters!$1:$1,0)+1),MATCH(Y$1,[1]characters!$1:$1,0)-MATCH($A$1,[1]characters!$1:$1,0)+1,FALSE)</f>
        <v>none</v>
      </c>
      <c r="Z18" s="5" t="str">
        <f ca="1">VLOOKUP(Y18,[1]character_tribe_i18n!$A:$H,3,FALSE)</f>
        <v>種族なし</v>
      </c>
      <c r="AA18" s="10">
        <f ca="1">VLOOKUP(W18,[1]character_tribe_i18n!$A:$H,4,FALSE)</f>
        <v>1</v>
      </c>
      <c r="AB18" s="10">
        <f ca="1">VLOOKUP(W18,[1]character_tribe_i18n!$A:$H,5,FALSE)</f>
        <v>1</v>
      </c>
      <c r="AC18" s="10">
        <f ca="1">VLOOKUP(W18,[1]character_tribe_i18n!$A:$H,6,FALSE)</f>
        <v>1</v>
      </c>
      <c r="AD18" s="10">
        <f ca="1">VLOOKUP(W18,[1]character_tribe_i18n!$A:$H,7,FALSE)</f>
        <v>1</v>
      </c>
      <c r="AE18" s="187" t="s">
        <v>318</v>
      </c>
      <c r="AF18" s="58" t="str">
        <f ca="1">IF(AE18="NULL","",VLOOKUP($AE18,OFFSET([1]characters!$A$1,0,0,COUNTA([1]characters!$A:$A),MATCH(AF$1,[1]characters!$1:$1,0)-MATCH($A$1,[1]characters!$1:$1,0)+1),MATCH(AF$1,[1]characters!$1:$1,0)-MATCH($A$1,[1]characters!$1:$1,0)+1,FALSE))</f>
        <v/>
      </c>
      <c r="AG18" s="187">
        <v>543</v>
      </c>
      <c r="AH18" s="58" t="str">
        <f ca="1">VLOOKUP($AG18,OFFSET([1]characters!$A$1,0,0,COUNTA([1]characters!$A:$A),MATCH(AH$1,[1]characters!$1:$1,0)-MATCH($A$1,[1]characters!$1:$1,0)+1),MATCH(AH$1,[1]characters!$1:$1,0)-MATCH($A$1,[1]characters!$1:$1,0)+1,FALSE)</f>
        <v>鏡音リン</v>
      </c>
      <c r="AI18" s="10" t="str">
        <f>IF(AE18="NULL","NULL",VLOOKUP(G18,ビット!$A$2:$B$7,2))</f>
        <v>NULL</v>
      </c>
      <c r="AJ18" s="6">
        <v>2</v>
      </c>
      <c r="AK18" s="7" t="str">
        <f t="shared" si="36"/>
        <v>普通</v>
      </c>
      <c r="AL18" s="10" t="str">
        <f ca="1">INDEX(経験値!$A$1:$I$21,MATCH(H18,経験値!$A$1:$A$21,FALSE),MATCH(G18,経験値!$A$1:$I$1,FALSE))</f>
        <v>required_exp_250</v>
      </c>
      <c r="AM18" s="8">
        <f ca="1">VLOOKUP(G18,経験値!$A$28:$B$32,2)</f>
        <v>6400</v>
      </c>
      <c r="AN18" s="16">
        <f ca="1">VLOOKUP(G18,ビット!$G$2:$H$7,2)</f>
        <v>900</v>
      </c>
      <c r="AO18" s="41"/>
      <c r="AP18" s="63">
        <v>1311</v>
      </c>
      <c r="AQ18" s="53" t="str">
        <f ca="1">VLOOKUP($AP18,OFFSET(unit_skills!$A$1,0,0,COUNTA(unit_skills!$A:$A),MATCH(AQ$1,unit_skills!$1:$1,0)-MATCH($AP$1,unit_skills!$1:$1,0)+1),MATCH(AQ$1,unit_skills!$1:$1,0)-MATCH($AP$1,unit_skills!$1:$1,0)+1,FALSE)</f>
        <v>アンサンブル・ダブルシャープ</v>
      </c>
      <c r="AR18" s="53" t="str">
        <f ca="1">VLOOKUP($AP18,OFFSET(unit_skills!$A$1,0,0,COUNTA(unit_skills!$A:$A),MATCH(AR$1,unit_skills!$1:$1,0)-MATCH($AP$1,unit_skills!$1:$1,0)+1),MATCH(AR$1,unit_skills!$1:$1,0)-MATCH($AP$1,unit_skills!$1:$1,0)+1,FALSE)</f>
        <v>4ターン黄属性ユニットの攻撃力と回復力を特大UPし、青パネルの出現率DOWN</v>
      </c>
      <c r="AS18" s="53">
        <f ca="1">VLOOKUP($AP18,OFFSET(unit_skills!$A$1,0,0,COUNTA(unit_skills!$A:$A),MATCH(AS$1,unit_skills!$1:$1,0)-MATCH($AP$1,unit_skills!$1:$1,0)+1),MATCH(AS$1,unit_skills!$1:$1,0)-MATCH($AP$1,unit_skills!$1:$1,0)+1,FALSE)</f>
        <v>0</v>
      </c>
      <c r="AT18" s="63">
        <v>1311</v>
      </c>
      <c r="AU18" s="53" t="str">
        <f ca="1">VLOOKUP($AT18,OFFSET(crash_skills!$A$1,0,0,COUNTA(crash_skills!$A:$A),MATCH(AU$1,crash_skills!$1:$1,0)-MATCH($AT$1,crash_skills!$1:$1,0)+1),MATCH(AU$1,crash_skills!$1:$1,0)-MATCH($AT$1,crash_skills!$1:$1,0)+1,FALSE)</f>
        <v>ポップ・ポップ・エレクトロ</v>
      </c>
      <c r="AV18" s="53" t="str">
        <f ca="1">VLOOKUP($AT18,OFFSET(crash_skills!$A$1,0,0,COUNTA(crash_skills!$A:$A),MATCH(AV$1,crash_skills!$1:$1,0)-MATCH($AT$1,crash_skills!$1:$1,0)+1),MATCH(AV$1,crash_skills!$1:$1,0)-MATCH($AT$1,crash_skills!$1:$1,0)+1,FALSE)</f>
        <v>1体に特大ダメージ</v>
      </c>
      <c r="AW18" s="53">
        <f ca="1">VLOOKUP($AT18,OFFSET(crash_skills!$A$1,0,0,COUNTA(crash_skills!$A:$A),MATCH(AW$1,crash_skills!$1:$1,0)-MATCH($AT$1,crash_skills!$1:$1,0)+1),MATCH(AW$1,crash_skills!$1:$1,0)-MATCH($AT$1,crash_skills!$1:$1,0)+1,FALSE)</f>
        <v>0</v>
      </c>
      <c r="AX18" s="54">
        <f ca="1">VLOOKUP($A18,OFFSET([1]characters!$A$1,0,0,COUNTA([1]characters!$A:$A),MATCH(AX$1,[1]characters!$1:$1,0)-MATCH($A$1,[1]characters!$1:$1,0)+1),MATCH(AX$1,[1]characters!$1:$1,0)-MATCH($A$1,[1]characters!$1:$1,0)+1,FALSE)</f>
        <v>3</v>
      </c>
      <c r="AY18" s="64">
        <v>1</v>
      </c>
      <c r="AZ18" s="64">
        <v>1</v>
      </c>
      <c r="BA18" s="64">
        <v>0</v>
      </c>
      <c r="BB18" s="64">
        <v>1</v>
      </c>
      <c r="BC18" s="10">
        <f ca="1">INDEX('RC6SV'!$A$1:$G$21,MATCH(H18,'RC6SV'!$A$1:$A$21,FALSE),MATCH(G18,'RC6SV'!$A$1:$G$1,FALSE))</f>
        <v>13000</v>
      </c>
      <c r="BD18" s="44">
        <f t="shared" ca="1" si="37"/>
        <v>13000</v>
      </c>
      <c r="BE18" s="10">
        <f t="shared" ca="1" si="2"/>
        <v>0</v>
      </c>
      <c r="BF18" s="10">
        <f t="shared" ca="1" si="3"/>
        <v>1</v>
      </c>
      <c r="BG18" s="15">
        <f ca="1">IF($BE18&lt;=0,ROUND(BK18*0.5,0), ROUND($BE18*S18*AA18*J18*AY18*0.8*[1]ステータス!$B$2,0))</f>
        <v>3185</v>
      </c>
      <c r="BH18" s="15">
        <f ca="1">IF($BE18&lt;=0,ROUND(BL18*0.5,0), ROUND($BE18*T18*AB18*K18*AZ18*0.8*[1]ステータス!$C$2,0))</f>
        <v>1970</v>
      </c>
      <c r="BI18" s="15">
        <f ca="1">IF($BE18&lt;=0,ROUND(BM18*0.5,0), ROUND($BE18*U18*AC18*L18*BA18*0.8*[1]ステータス!$D$2,0))</f>
        <v>0</v>
      </c>
      <c r="BJ18" s="15">
        <f ca="1">IF($BE18&lt;=0,ROUND(BN18*0.5,0), ROUND($BE18*V18*AD18*M18*BB18*0.8*[1]ステータス!$E$2,0))</f>
        <v>1642</v>
      </c>
      <c r="BK18" s="10">
        <f ca="1">ROUND(BD18*S18*AA18*J18*AY18*[1]ステータス!$B$2,0)</f>
        <v>6370</v>
      </c>
      <c r="BL18" s="10">
        <f ca="1">ROUND(BD18*T18*AB18*K18*AZ18*[1]ステータス!$C$2,0)</f>
        <v>3939</v>
      </c>
      <c r="BM18" s="10">
        <f ca="1">ROUND(BD18*U18*AC18*L18*BA18*[1]ステータス!$D$2,0)</f>
        <v>0</v>
      </c>
      <c r="BN18" s="10">
        <f ca="1">ROUND(BD18*V18*AD18*M18*BB18*[1]ステータス!$E$2,0)</f>
        <v>3283</v>
      </c>
      <c r="BO18" s="9">
        <v>0</v>
      </c>
      <c r="BP18" s="9">
        <v>1</v>
      </c>
      <c r="BQ18" s="9" t="s">
        <v>47</v>
      </c>
      <c r="BR18" s="202">
        <v>1100</v>
      </c>
    </row>
    <row r="19" spans="1:70" ht="26" customHeight="1" x14ac:dyDescent="0.15">
      <c r="A19" s="186">
        <v>1312</v>
      </c>
      <c r="B19" s="53" t="str">
        <f ca="1">VLOOKUP($A19,OFFSET([1]characters!$A$1,0,0,COUNTA([1]characters!$A:$A),MATCH(B$1,[1]characters!$1:$1,0)-MATCH($A$1,[1]characters!$1:$1,0)+1),MATCH(B$1,[1]characters!$1:$1,0)-MATCH($A$1,[1]characters!$1:$1,0)+1,FALSE)</f>
        <v>連譜する大残響 鏡音レン</v>
      </c>
      <c r="C19" s="53">
        <f ca="1">VLOOKUP($A19,OFFSET([1]characters!$A$1,0,0,COUNTA([1]characters!$A:$A),MATCH(C$1,[1]characters!$1:$1,0)-MATCH($A$1,[1]characters!$1:$1,0)+1),MATCH(C$1,[1]characters!$1:$1,0)-MATCH($A$1,[1]characters!$1:$1,0)+1,FALSE)</f>
        <v>0</v>
      </c>
      <c r="D19" s="53">
        <f ca="1">VLOOKUP($A19,OFFSET([1]characters!$A$1,0,0,COUNTA([1]characters!$A:$A),MATCH(D$1,[1]characters!$1:$1,0)-MATCH($A$1,[1]characters!$1:$1,0)+1),MATCH(D$1,[1]characters!$1:$1,0)-MATCH($A$1,[1]characters!$1:$1,0)+1,FALSE)</f>
        <v>0</v>
      </c>
      <c r="E19" s="53">
        <f ca="1">VLOOKUP($A19,OFFSET([1]characters!$A$1,0,0,COUNTA([1]characters!$A:$A),MATCH(E$1,[1]characters!$1:$1,0)-MATCH($A$1,[1]characters!$1:$1,0)+1),MATCH(E$1,[1]characters!$1:$1,0)-MATCH($A$1,[1]characters!$1:$1,0)+1,FALSE)</f>
        <v>0</v>
      </c>
      <c r="F19" s="53">
        <f ca="1">VLOOKUP($A19,OFFSET([1]characters!$A$1,0,0,COUNTA([1]characters!$A:$A),MATCH(F$1,[1]characters!$1:$1,0)-MATCH($A$1,[1]characters!$1:$1,0)+1),MATCH(F$1,[1]characters!$1:$1,0)-MATCH($A$1,[1]characters!$1:$1,0)+1,FALSE)</f>
        <v>0</v>
      </c>
      <c r="G19" s="53">
        <f ca="1">VLOOKUP($A19,OFFSET([1]characters!$A$1,0,0,COUNTA([1]characters!$A:$A),MATCH(G$1,[1]characters!$1:$1,0)-MATCH($A$1,[1]characters!$1:$1,0)+1),MATCH(G$1,[1]characters!$1:$1,0)-MATCH($A$1,[1]characters!$1:$1,0)+1,FALSE)</f>
        <v>6</v>
      </c>
      <c r="H19" s="53" t="str">
        <f ca="1">VLOOKUP($A19,OFFSET([1]characters!$A$1,0,0,COUNTA([1]characters!$A:$A),MATCH(H$1,[1]characters!$1:$1,0)-MATCH($A$1,[1]characters!$1:$1,0)+1),MATCH(H$1,[1]characters!$1:$1,0)-MATCH($A$1,[1]characters!$1:$1,0)+1,FALSE)</f>
        <v>PremiumSS</v>
      </c>
      <c r="I19" s="53" t="str">
        <f ca="1">VLOOKUP($A19,OFFSET([1]characters!$A$1,0,0,COUNTA([1]characters!$A:$A),MATCH(I$1,[1]characters!$1:$1,0)-MATCH($A$1,[1]characters!$1:$1,0)+1),MATCH(I$1,[1]characters!$1:$1,0)-MATCH($A$1,[1]characters!$1:$1,0)+1,FALSE)</f>
        <v>yellow</v>
      </c>
      <c r="J19" s="10">
        <f ca="1">VLOOKUP(I19,[1]属性!$A:$E,2,FALSE)</f>
        <v>0.98</v>
      </c>
      <c r="K19" s="10">
        <f ca="1">VLOOKUP(I19,[1]属性!$A:$E,3,FALSE)</f>
        <v>1.01</v>
      </c>
      <c r="L19" s="10">
        <f ca="1">VLOOKUP(I19,[1]属性!$A:$E,4,FALSE)</f>
        <v>1</v>
      </c>
      <c r="M19" s="10">
        <f ca="1">VLOOKUP(I19,[1]属性!$A:$E,5,FALSE)</f>
        <v>1.01</v>
      </c>
      <c r="N19" s="10">
        <f ca="1">INDEX(コスト!$A$1:$I$21,MATCH(H19,コスト!$A$1:$A$21,FALSE),MATCH(G19,コスト!$A$1:$I$1,FALSE))</f>
        <v>50</v>
      </c>
      <c r="O19" s="10">
        <f ca="1">INDEX(レベル!$A$1:$I$22,MATCH(H19,レベル!$A$1:$A$22,FALSE),MATCH(G19,レベル!$A$1:$I$1,FALSE))</f>
        <v>99</v>
      </c>
      <c r="P19" s="44">
        <f t="shared" ca="1" si="35"/>
        <v>99</v>
      </c>
      <c r="Q19" s="53" t="str">
        <f ca="1">VLOOKUP($A19,OFFSET([1]characters!$A$1,0,0,COUNTA([1]characters!$A:$A),MATCH(Q$1,[1]characters!$1:$1,0)-MATCH($A$1,[1]characters!$1:$1,0)+1),MATCH(Q$1,[1]characters!$1:$1,0)-MATCH($A$1,[1]characters!$1:$1,0)+1,FALSE)</f>
        <v>heal</v>
      </c>
      <c r="R19" s="5" t="str">
        <f ca="1">VLOOKUP(Q19,[1]character_type_i18n!$A:$H,3,FALSE)</f>
        <v>回復タイプ</v>
      </c>
      <c r="S19" s="10">
        <f ca="1">VLOOKUP(Q19,[1]character_type_i18n!$A:$H,4,FALSE)</f>
        <v>0.8</v>
      </c>
      <c r="T19" s="10">
        <f ca="1">VLOOKUP(Q19,[1]character_type_i18n!$A:$H,5,FALSE)</f>
        <v>0.78</v>
      </c>
      <c r="U19" s="10">
        <f ca="1">VLOOKUP(Q19,[1]character_type_i18n!$A:$H,6,FALSE)</f>
        <v>1</v>
      </c>
      <c r="V19" s="10">
        <f ca="1">VLOOKUP(Q19,[1]character_type_i18n!$A:$H,7,FALSE)</f>
        <v>1.42</v>
      </c>
      <c r="W19" s="53" t="str">
        <f ca="1">VLOOKUP($A19,OFFSET([1]characters!$A$1,0,0,COUNTA([1]characters!$A:$A),MATCH(W$1,[1]characters!$1:$1,0)-MATCH($A$1,[1]characters!$1:$1,0)+1),MATCH(W$1,[1]characters!$1:$1,0)-MATCH($A$1,[1]characters!$1:$1,0)+1,FALSE)</f>
        <v>unknown</v>
      </c>
      <c r="X19" s="5" t="str">
        <f ca="1">VLOOKUP(W19,[1]character_tribe_i18n!$A:$H,3,FALSE)</f>
        <v>Unknown</v>
      </c>
      <c r="Y19" s="53" t="str">
        <f ca="1">VLOOKUP($A19,OFFSET([1]characters!$A$1,0,0,COUNTA([1]characters!$A:$A),MATCH(Y$1,[1]characters!$1:$1,0)-MATCH($A$1,[1]characters!$1:$1,0)+1),MATCH(Y$1,[1]characters!$1:$1,0)-MATCH($A$1,[1]characters!$1:$1,0)+1,FALSE)</f>
        <v>none</v>
      </c>
      <c r="Z19" s="5" t="str">
        <f ca="1">VLOOKUP(Y19,[1]character_tribe_i18n!$A:$H,3,FALSE)</f>
        <v>種族なし</v>
      </c>
      <c r="AA19" s="10">
        <f ca="1">VLOOKUP(W19,[1]character_tribe_i18n!$A:$H,4,FALSE)</f>
        <v>1</v>
      </c>
      <c r="AB19" s="10">
        <f ca="1">VLOOKUP(W19,[1]character_tribe_i18n!$A:$H,5,FALSE)</f>
        <v>1</v>
      </c>
      <c r="AC19" s="10">
        <f ca="1">VLOOKUP(W19,[1]character_tribe_i18n!$A:$H,6,FALSE)</f>
        <v>1</v>
      </c>
      <c r="AD19" s="10">
        <f ca="1">VLOOKUP(W19,[1]character_tribe_i18n!$A:$H,7,FALSE)</f>
        <v>1</v>
      </c>
      <c r="AE19" s="187" t="s">
        <v>318</v>
      </c>
      <c r="AF19" s="58" t="str">
        <f ca="1">IF(AE19="NULL","",VLOOKUP($AE19,OFFSET([1]characters!$A$1,0,0,COUNTA([1]characters!$A:$A),MATCH(AF$1,[1]characters!$1:$1,0)-MATCH($A$1,[1]characters!$1:$1,0)+1),MATCH(AF$1,[1]characters!$1:$1,0)-MATCH($A$1,[1]characters!$1:$1,0)+1,FALSE))</f>
        <v/>
      </c>
      <c r="AG19" s="187">
        <v>545</v>
      </c>
      <c r="AH19" s="58" t="str">
        <f ca="1">VLOOKUP($AG19,OFFSET([1]characters!$A$1,0,0,COUNTA([1]characters!$A:$A),MATCH(AH$1,[1]characters!$1:$1,0)-MATCH($A$1,[1]characters!$1:$1,0)+1),MATCH(AH$1,[1]characters!$1:$1,0)-MATCH($A$1,[1]characters!$1:$1,0)+1,FALSE)</f>
        <v>鏡音レン</v>
      </c>
      <c r="AI19" s="10" t="str">
        <f>IF(AE19="NULL","NULL",VLOOKUP(G19,ビット!$A$2:$B$7,2))</f>
        <v>NULL</v>
      </c>
      <c r="AJ19" s="6">
        <v>2</v>
      </c>
      <c r="AK19" s="7" t="str">
        <f t="shared" si="36"/>
        <v>普通</v>
      </c>
      <c r="AL19" s="10" t="str">
        <f ca="1">INDEX(経験値!$A$1:$I$21,MATCH(H19,経験値!$A$1:$A$21,FALSE),MATCH(G19,経験値!$A$1:$I$1,FALSE))</f>
        <v>required_exp_250</v>
      </c>
      <c r="AM19" s="8">
        <f ca="1">VLOOKUP(G19,経験値!$A$28:$B$32,2)</f>
        <v>6400</v>
      </c>
      <c r="AN19" s="16">
        <f ca="1">VLOOKUP(G19,ビット!$G$2:$H$7,2)</f>
        <v>900</v>
      </c>
      <c r="AO19" s="41"/>
      <c r="AP19" s="63">
        <v>1312</v>
      </c>
      <c r="AQ19" s="53" t="str">
        <f ca="1">VLOOKUP($AP19,OFFSET(unit_skills!$A$1,0,0,COUNTA(unit_skills!$A:$A),MATCH(AQ$1,unit_skills!$1:$1,0)-MATCH($AP$1,unit_skills!$1:$1,0)+1),MATCH(AQ$1,unit_skills!$1:$1,0)-MATCH($AP$1,unit_skills!$1:$1,0)+1,FALSE)</f>
        <v>アンサンブル・ダブルフラット</v>
      </c>
      <c r="AR19" s="53" t="str">
        <f ca="1">VLOOKUP($AP19,OFFSET(unit_skills!$A$1,0,0,COUNTA(unit_skills!$A:$A),MATCH(AR$1,unit_skills!$1:$1,0)-MATCH($AP$1,unit_skills!$1:$1,0)+1),MATCH(AR$1,unit_skills!$1:$1,0)-MATCH($AP$1,unit_skills!$1:$1,0)+1,FALSE)</f>
        <v>HP大回復し、ハート無効解除+3ターンハートパネルの出現率大UP</v>
      </c>
      <c r="AS19" s="53">
        <f ca="1">VLOOKUP($AP19,OFFSET(unit_skills!$A$1,0,0,COUNTA(unit_skills!$A:$A),MATCH(AS$1,unit_skills!$1:$1,0)-MATCH($AP$1,unit_skills!$1:$1,0)+1),MATCH(AS$1,unit_skills!$1:$1,0)-MATCH($AP$1,unit_skills!$1:$1,0)+1,FALSE)</f>
        <v>0</v>
      </c>
      <c r="AT19" s="63">
        <v>1312</v>
      </c>
      <c r="AU19" s="53" t="str">
        <f ca="1">VLOOKUP($AT19,OFFSET(crash_skills!$A$1,0,0,COUNTA(crash_skills!$A:$A),MATCH(AU$1,crash_skills!$1:$1,0)-MATCH($AT$1,crash_skills!$1:$1,0)+1),MATCH(AU$1,crash_skills!$1:$1,0)-MATCH($AT$1,crash_skills!$1:$1,0)+1,FALSE)</f>
        <v>ロック・ロック・ダンシング</v>
      </c>
      <c r="AV19" s="53" t="str">
        <f ca="1">VLOOKUP($AT19,OFFSET(crash_skills!$A$1,0,0,COUNTA(crash_skills!$A:$A),MATCH(AV$1,crash_skills!$1:$1,0)-MATCH($AT$1,crash_skills!$1:$1,0)+1),MATCH(AV$1,crash_skills!$1:$1,0)-MATCH($AT$1,crash_skills!$1:$1,0)+1,FALSE)</f>
        <v>1体に特大ダメージ+_x000D_HP大回復</v>
      </c>
      <c r="AW19" s="53">
        <f ca="1">VLOOKUP($AT19,OFFSET(crash_skills!$A$1,0,0,COUNTA(crash_skills!$A:$A),MATCH(AW$1,crash_skills!$1:$1,0)-MATCH($AT$1,crash_skills!$1:$1,0)+1),MATCH(AW$1,crash_skills!$1:$1,0)-MATCH($AT$1,crash_skills!$1:$1,0)+1,FALSE)</f>
        <v>0</v>
      </c>
      <c r="AX19" s="54">
        <f ca="1">VLOOKUP($A19,OFFSET([1]characters!$A$1,0,0,COUNTA([1]characters!$A:$A),MATCH(AX$1,[1]characters!$1:$1,0)-MATCH($A$1,[1]characters!$1:$1,0)+1),MATCH(AX$1,[1]characters!$1:$1,0)-MATCH($A$1,[1]characters!$1:$1,0)+1,FALSE)</f>
        <v>3</v>
      </c>
      <c r="AY19" s="64">
        <v>0.96099999999999997</v>
      </c>
      <c r="AZ19" s="64">
        <v>1.032</v>
      </c>
      <c r="BA19" s="64">
        <v>0</v>
      </c>
      <c r="BB19" s="64">
        <v>0.98899999999999999</v>
      </c>
      <c r="BC19" s="10">
        <f ca="1">INDEX('RC6SV'!$A$1:$G$21,MATCH(H19,'RC6SV'!$A$1:$A$21,FALSE),MATCH(G19,'RC6SV'!$A$1:$G$1,FALSE))</f>
        <v>13000</v>
      </c>
      <c r="BD19" s="44">
        <f t="shared" ca="1" si="37"/>
        <v>13000</v>
      </c>
      <c r="BE19" s="10">
        <f t="shared" ca="1" si="2"/>
        <v>0</v>
      </c>
      <c r="BF19" s="10">
        <f t="shared" ca="1" si="3"/>
        <v>1</v>
      </c>
      <c r="BG19" s="15">
        <f ca="1">IF($BE19&lt;=0,ROUND(BK19*0.5,0), ROUND($BE19*S19*AA19*J19*AY19*0.8*[1]ステータス!$B$2,0))</f>
        <v>2449</v>
      </c>
      <c r="BH19" s="15">
        <f ca="1">IF($BE19&lt;=0,ROUND(BL19*0.5,0), ROUND($BE19*T19*AB19*K19*AZ19*0.8*[1]ステータス!$C$2,0))</f>
        <v>1586</v>
      </c>
      <c r="BI19" s="15">
        <f ca="1">IF($BE19&lt;=0,ROUND(BM19*0.5,0), ROUND($BE19*U19*AC19*L19*BA19*0.8*[1]ステータス!$D$2,0))</f>
        <v>0</v>
      </c>
      <c r="BJ19" s="15">
        <f ca="1">IF($BE19&lt;=0,ROUND(BN19*0.5,0), ROUND($BE19*V19*AD19*M19*BB19*0.8*[1]ステータス!$E$2,0))</f>
        <v>2305</v>
      </c>
      <c r="BK19" s="10">
        <f ca="1">ROUND(BD19*S19*AA19*J19*AY19*[1]ステータス!$B$2,0)</f>
        <v>4897</v>
      </c>
      <c r="BL19" s="10">
        <f ca="1">ROUND(BD19*T19*AB19*K19*AZ19*[1]ステータス!$C$2,0)</f>
        <v>3171</v>
      </c>
      <c r="BM19" s="10">
        <f ca="1">ROUND(BD19*U19*AC19*L19*BA19*[1]ステータス!$D$2,0)</f>
        <v>0</v>
      </c>
      <c r="BN19" s="10">
        <f ca="1">ROUND(BD19*V19*AD19*M19*BB19*[1]ステータス!$E$2,0)</f>
        <v>4610</v>
      </c>
      <c r="BO19" s="9">
        <v>0</v>
      </c>
      <c r="BP19" s="9">
        <v>1</v>
      </c>
      <c r="BQ19" s="9" t="s">
        <v>47</v>
      </c>
      <c r="BR19" s="202">
        <v>1100</v>
      </c>
    </row>
    <row r="20" spans="1:70" ht="26" customHeight="1" x14ac:dyDescent="0.15">
      <c r="A20" s="186">
        <v>1313</v>
      </c>
      <c r="B20" s="53" t="str">
        <f ca="1">VLOOKUP($A20,OFFSET([1]characters!$A$1,0,0,COUNTA([1]characters!$A:$A),MATCH(B$1,[1]characters!$1:$1,0)-MATCH($A$1,[1]characters!$1:$1,0)+1),MATCH(B$1,[1]characters!$1:$1,0)-MATCH($A$1,[1]characters!$1:$1,0)+1,FALSE)</f>
        <v>旋律する音廻 巡音ルカ</v>
      </c>
      <c r="C20" s="53">
        <f ca="1">VLOOKUP($A20,OFFSET([1]characters!$A$1,0,0,COUNTA([1]characters!$A:$A),MATCH(C$1,[1]characters!$1:$1,0)-MATCH($A$1,[1]characters!$1:$1,0)+1),MATCH(C$1,[1]characters!$1:$1,0)-MATCH($A$1,[1]characters!$1:$1,0)+1,FALSE)</f>
        <v>0</v>
      </c>
      <c r="D20" s="53">
        <f ca="1">VLOOKUP($A20,OFFSET([1]characters!$A$1,0,0,COUNTA([1]characters!$A:$A),MATCH(D$1,[1]characters!$1:$1,0)-MATCH($A$1,[1]characters!$1:$1,0)+1),MATCH(D$1,[1]characters!$1:$1,0)-MATCH($A$1,[1]characters!$1:$1,0)+1,FALSE)</f>
        <v>0</v>
      </c>
      <c r="E20" s="53">
        <f ca="1">VLOOKUP($A20,OFFSET([1]characters!$A$1,0,0,COUNTA([1]characters!$A:$A),MATCH(E$1,[1]characters!$1:$1,0)-MATCH($A$1,[1]characters!$1:$1,0)+1),MATCH(E$1,[1]characters!$1:$1,0)-MATCH($A$1,[1]characters!$1:$1,0)+1,FALSE)</f>
        <v>0</v>
      </c>
      <c r="F20" s="53">
        <f ca="1">VLOOKUP($A20,OFFSET([1]characters!$A$1,0,0,COUNTA([1]characters!$A:$A),MATCH(F$1,[1]characters!$1:$1,0)-MATCH($A$1,[1]characters!$1:$1,0)+1),MATCH(F$1,[1]characters!$1:$1,0)-MATCH($A$1,[1]characters!$1:$1,0)+1,FALSE)</f>
        <v>0</v>
      </c>
      <c r="G20" s="53">
        <f ca="1">VLOOKUP($A20,OFFSET([1]characters!$A$1,0,0,COUNTA([1]characters!$A:$A),MATCH(G$1,[1]characters!$1:$1,0)-MATCH($A$1,[1]characters!$1:$1,0)+1),MATCH(G$1,[1]characters!$1:$1,0)-MATCH($A$1,[1]characters!$1:$1,0)+1,FALSE)</f>
        <v>5</v>
      </c>
      <c r="H20" s="53" t="str">
        <f ca="1">VLOOKUP($A20,OFFSET([1]characters!$A$1,0,0,COUNTA([1]characters!$A:$A),MATCH(H$1,[1]characters!$1:$1,0)-MATCH($A$1,[1]characters!$1:$1,0)+1),MATCH(H$1,[1]characters!$1:$1,0)-MATCH($A$1,[1]characters!$1:$1,0)+1,FALSE)</f>
        <v>PremiumS</v>
      </c>
      <c r="I20" s="53" t="str">
        <f ca="1">VLOOKUP($A20,OFFSET([1]characters!$A$1,0,0,COUNTA([1]characters!$A:$A),MATCH(I$1,[1]characters!$1:$1,0)-MATCH($A$1,[1]characters!$1:$1,0)+1),MATCH(I$1,[1]characters!$1:$1,0)-MATCH($A$1,[1]characters!$1:$1,0)+1,FALSE)</f>
        <v>red</v>
      </c>
      <c r="J20" s="10">
        <f ca="1">VLOOKUP(I20,[1]属性!$A:$E,2,FALSE)</f>
        <v>1</v>
      </c>
      <c r="K20" s="10">
        <f ca="1">VLOOKUP(I20,[1]属性!$A:$E,3,FALSE)</f>
        <v>1.02</v>
      </c>
      <c r="L20" s="10">
        <f ca="1">VLOOKUP(I20,[1]属性!$A:$E,4,FALSE)</f>
        <v>1</v>
      </c>
      <c r="M20" s="10">
        <f ca="1">VLOOKUP(I20,[1]属性!$A:$E,5,FALSE)</f>
        <v>0.98</v>
      </c>
      <c r="N20" s="10">
        <f ca="1">INDEX(コスト!$A$1:$I$21,MATCH(H20,コスト!$A$1:$A$21,FALSE),MATCH(G20,コスト!$A$1:$I$1,FALSE))</f>
        <v>30</v>
      </c>
      <c r="O20" s="10">
        <f ca="1">INDEX(レベル!$A$1:$I$22,MATCH(H20,レベル!$A$1:$A$22,FALSE),MATCH(G20,レベル!$A$1:$I$1,FALSE))</f>
        <v>80</v>
      </c>
      <c r="P20" s="44">
        <f t="shared" ca="1" si="35"/>
        <v>75</v>
      </c>
      <c r="Q20" s="53" t="str">
        <f ca="1">VLOOKUP($A20,OFFSET([1]characters!$A$1,0,0,COUNTA([1]characters!$A:$A),MATCH(Q$1,[1]characters!$1:$1,0)-MATCH($A$1,[1]characters!$1:$1,0)+1),MATCH(Q$1,[1]characters!$1:$1,0)-MATCH($A$1,[1]characters!$1:$1,0)+1,FALSE)</f>
        <v>attack</v>
      </c>
      <c r="R20" s="5" t="str">
        <f ca="1">VLOOKUP(Q20,[1]character_type_i18n!$A:$H,3,FALSE)</f>
        <v>攻撃タイプ</v>
      </c>
      <c r="S20" s="10">
        <f ca="1">VLOOKUP(Q20,[1]character_type_i18n!$A:$H,4,FALSE)</f>
        <v>1</v>
      </c>
      <c r="T20" s="10">
        <f ca="1">VLOOKUP(Q20,[1]character_type_i18n!$A:$H,5,FALSE)</f>
        <v>1.33</v>
      </c>
      <c r="U20" s="10">
        <f ca="1">VLOOKUP(Q20,[1]character_type_i18n!$A:$H,6,FALSE)</f>
        <v>1</v>
      </c>
      <c r="V20" s="10">
        <f ca="1">VLOOKUP(Q20,[1]character_type_i18n!$A:$H,7,FALSE)</f>
        <v>0.67</v>
      </c>
      <c r="W20" s="53" t="str">
        <f ca="1">VLOOKUP($A20,OFFSET([1]characters!$A$1,0,0,COUNTA([1]characters!$A:$A),MATCH(W$1,[1]characters!$1:$1,0)-MATCH($A$1,[1]characters!$1:$1,0)+1),MATCH(W$1,[1]characters!$1:$1,0)-MATCH($A$1,[1]characters!$1:$1,0)+1,FALSE)</f>
        <v>unknown</v>
      </c>
      <c r="X20" s="5" t="str">
        <f ca="1">VLOOKUP(W20,[1]character_tribe_i18n!$A:$H,3,FALSE)</f>
        <v>Unknown</v>
      </c>
      <c r="Y20" s="53" t="str">
        <f ca="1">VLOOKUP($A20,OFFSET([1]characters!$A$1,0,0,COUNTA([1]characters!$A:$A),MATCH(Y$1,[1]characters!$1:$1,0)-MATCH($A$1,[1]characters!$1:$1,0)+1),MATCH(Y$1,[1]characters!$1:$1,0)-MATCH($A$1,[1]characters!$1:$1,0)+1,FALSE)</f>
        <v>none</v>
      </c>
      <c r="Z20" s="5" t="str">
        <f ca="1">VLOOKUP(Y20,[1]character_tribe_i18n!$A:$H,3,FALSE)</f>
        <v>種族なし</v>
      </c>
      <c r="AA20" s="10">
        <f ca="1">VLOOKUP(W20,[1]character_tribe_i18n!$A:$H,4,FALSE)</f>
        <v>1</v>
      </c>
      <c r="AB20" s="10">
        <f ca="1">VLOOKUP(W20,[1]character_tribe_i18n!$A:$H,5,FALSE)</f>
        <v>1</v>
      </c>
      <c r="AC20" s="10">
        <f ca="1">VLOOKUP(W20,[1]character_tribe_i18n!$A:$H,6,FALSE)</f>
        <v>1</v>
      </c>
      <c r="AD20" s="10">
        <f ca="1">VLOOKUP(W20,[1]character_tribe_i18n!$A:$H,7,FALSE)</f>
        <v>1</v>
      </c>
      <c r="AE20" s="187" t="s">
        <v>318</v>
      </c>
      <c r="AF20" s="58" t="str">
        <f ca="1">IF(AE20="NULL","",VLOOKUP($AE20,OFFSET([1]characters!$A$1,0,0,COUNTA([1]characters!$A:$A),MATCH(AF$1,[1]characters!$1:$1,0)-MATCH($A$1,[1]characters!$1:$1,0)+1),MATCH(AF$1,[1]characters!$1:$1,0)-MATCH($A$1,[1]characters!$1:$1,0)+1,FALSE))</f>
        <v/>
      </c>
      <c r="AG20" s="187">
        <v>547</v>
      </c>
      <c r="AH20" s="58" t="str">
        <f ca="1">VLOOKUP($AG20,OFFSET([1]characters!$A$1,0,0,COUNTA([1]characters!$A:$A),MATCH(AH$1,[1]characters!$1:$1,0)-MATCH($A$1,[1]characters!$1:$1,0)+1),MATCH(AH$1,[1]characters!$1:$1,0)-MATCH($A$1,[1]characters!$1:$1,0)+1,FALSE)</f>
        <v>巡音ルカ</v>
      </c>
      <c r="AI20" s="10" t="str">
        <f>IF(AE20="NULL","NULL",VLOOKUP(G20,ビット!$A$2:$B$7,2))</f>
        <v>NULL</v>
      </c>
      <c r="AJ20" s="6">
        <v>2</v>
      </c>
      <c r="AK20" s="7" t="str">
        <f t="shared" si="36"/>
        <v>普通</v>
      </c>
      <c r="AL20" s="10" t="str">
        <f ca="1">INDEX(経験値!$A$1:$I$21,MATCH(H20,経験値!$A$1:$A$21,FALSE),MATCH(G20,経験値!$A$1:$I$1,FALSE))</f>
        <v>required_exp_200</v>
      </c>
      <c r="AM20" s="8">
        <f ca="1">VLOOKUP(G20,経験値!$A$28:$B$32,2)</f>
        <v>6400</v>
      </c>
      <c r="AN20" s="16">
        <f ca="1">VLOOKUP(G20,ビット!$G$2:$H$7,2)</f>
        <v>900</v>
      </c>
      <c r="AO20" s="41"/>
      <c r="AP20" s="63">
        <v>1313</v>
      </c>
      <c r="AQ20" s="53" t="str">
        <f ca="1">VLOOKUP($AP20,OFFSET(unit_skills!$A$1,0,0,COUNTA(unit_skills!$A:$A),MATCH(AQ$1,unit_skills!$1:$1,0)-MATCH($AP$1,unit_skills!$1:$1,0)+1),MATCH(AQ$1,unit_skills!$1:$1,0)-MATCH($AP$1,unit_skills!$1:$1,0)+1,FALSE)</f>
        <v>サウンディング･バイリンガル</v>
      </c>
      <c r="AR20" s="53" t="str">
        <f ca="1">VLOOKUP($AP20,OFFSET(unit_skills!$A$1,0,0,COUNTA(unit_skills!$A:$A),MATCH(AR$1,unit_skills!$1:$1,0)-MATCH($AP$1,unit_skills!$1:$1,0)+1),MATCH(AR$1,unit_skills!$1:$1,0)-MATCH($AP$1,unit_skills!$1:$1,0)+1,FALSE)</f>
        <v>赤パネルをCパネルに変換し、1体に特大ダメージ</v>
      </c>
      <c r="AS20" s="53">
        <f ca="1">VLOOKUP($AP20,OFFSET(unit_skills!$A$1,0,0,COUNTA(unit_skills!$A:$A),MATCH(AS$1,unit_skills!$1:$1,0)-MATCH($AP$1,unit_skills!$1:$1,0)+1),MATCH(AS$1,unit_skills!$1:$1,0)-MATCH($AP$1,unit_skills!$1:$1,0)+1,FALSE)</f>
        <v>0</v>
      </c>
      <c r="AT20" s="63">
        <v>1313</v>
      </c>
      <c r="AU20" s="53" t="str">
        <f ca="1">VLOOKUP($AT20,OFFSET(crash_skills!$A$1,0,0,COUNTA(crash_skills!$A:$A),MATCH(AU$1,crash_skills!$1:$1,0)-MATCH($AT$1,crash_skills!$1:$1,0)+1),MATCH(AU$1,crash_skills!$1:$1,0)-MATCH($AT$1,crash_skills!$1:$1,0)+1,FALSE)</f>
        <v>ジャジー・ダンスフロア</v>
      </c>
      <c r="AV20" s="53" t="str">
        <f ca="1">VLOOKUP($AT20,OFFSET(crash_skills!$A$1,0,0,COUNTA(crash_skills!$A:$A),MATCH(AV$1,crash_skills!$1:$1,0)-MATCH($AT$1,crash_skills!$1:$1,0)+1),MATCH(AV$1,crash_skills!$1:$1,0)-MATCH($AT$1,crash_skills!$1:$1,0)+1,FALSE)</f>
        <v>1体に特大ダメージ</v>
      </c>
      <c r="AW20" s="53">
        <f ca="1">VLOOKUP($AT20,OFFSET(crash_skills!$A$1,0,0,COUNTA(crash_skills!$A:$A),MATCH(AW$1,crash_skills!$1:$1,0)-MATCH($AT$1,crash_skills!$1:$1,0)+1),MATCH(AW$1,crash_skills!$1:$1,0)-MATCH($AT$1,crash_skills!$1:$1,0)+1,FALSE)</f>
        <v>0</v>
      </c>
      <c r="AX20" s="54">
        <f ca="1">VLOOKUP($A20,OFFSET([1]characters!$A$1,0,0,COUNTA([1]characters!$A:$A),MATCH(AX$1,[1]characters!$1:$1,0)-MATCH($A$1,[1]characters!$1:$1,0)+1),MATCH(AX$1,[1]characters!$1:$1,0)-MATCH($A$1,[1]characters!$1:$1,0)+1,FALSE)</f>
        <v>3</v>
      </c>
      <c r="AY20" s="64">
        <v>0.94</v>
      </c>
      <c r="AZ20" s="64">
        <v>0.98</v>
      </c>
      <c r="BA20" s="64">
        <v>0</v>
      </c>
      <c r="BB20" s="64">
        <v>1.36</v>
      </c>
      <c r="BC20" s="10">
        <f ca="1">INDEX('RC6SV'!$A$1:$G$21,MATCH(H20,'RC6SV'!$A$1:$A$21,FALSE),MATCH(G20,'RC6SV'!$A$1:$G$1,FALSE))</f>
        <v>9000</v>
      </c>
      <c r="BD20" s="44">
        <f t="shared" ca="1" si="37"/>
        <v>9000</v>
      </c>
      <c r="BE20" s="10">
        <f t="shared" ca="1" si="2"/>
        <v>0</v>
      </c>
      <c r="BF20" s="10">
        <f t="shared" ca="1" si="3"/>
        <v>1</v>
      </c>
      <c r="BG20" s="15">
        <f ca="1">IF($BE20&lt;=0,ROUND(BK20*0.5,0), ROUND($BE20*S20*AA20*J20*AY20*0.8*[1]ステータス!$B$2,0))</f>
        <v>2115</v>
      </c>
      <c r="BH20" s="15">
        <f ca="1">IF($BE20&lt;=0,ROUND(BL20*0.5,0), ROUND($BE20*T20*AB20*K20*AZ20*0.8*[1]ステータス!$C$2,0))</f>
        <v>1795</v>
      </c>
      <c r="BI20" s="15">
        <f ca="1">IF($BE20&lt;=0,ROUND(BM20*0.5,0), ROUND($BE20*U20*AC20*L20*BA20*0.8*[1]ステータス!$D$2,0))</f>
        <v>0</v>
      </c>
      <c r="BJ20" s="15">
        <f ca="1">IF($BE20&lt;=0,ROUND(BN20*0.5,0), ROUND($BE20*V20*AD20*M20*BB20*0.8*[1]ステータス!$E$2,0))</f>
        <v>1005</v>
      </c>
      <c r="BK20" s="10">
        <f ca="1">ROUND(BD20*S20*AA20*J20*AY20*[1]ステータス!$B$2,0)</f>
        <v>4230</v>
      </c>
      <c r="BL20" s="10">
        <f ca="1">ROUND(BD20*T20*AB20*K20*AZ20*[1]ステータス!$C$2,0)</f>
        <v>3590</v>
      </c>
      <c r="BM20" s="10">
        <f ca="1">ROUND(BD20*U20*AC20*L20*BA20*[1]ステータス!$D$2,0)</f>
        <v>0</v>
      </c>
      <c r="BN20" s="10">
        <f ca="1">ROUND(BD20*V20*AD20*M20*BB20*[1]ステータス!$E$2,0)</f>
        <v>2009</v>
      </c>
      <c r="BO20" s="9">
        <v>0</v>
      </c>
      <c r="BP20" s="9">
        <v>1</v>
      </c>
      <c r="BQ20" s="9" t="s">
        <v>47</v>
      </c>
      <c r="BR20" s="202">
        <v>140</v>
      </c>
    </row>
    <row r="21" spans="1:70" ht="26" customHeight="1" x14ac:dyDescent="0.15">
      <c r="A21" s="186">
        <v>1314</v>
      </c>
      <c r="B21" s="53" t="str">
        <f ca="1">VLOOKUP($A21,OFFSET([1]characters!$A$1,0,0,COUNTA([1]characters!$A:$A),MATCH(B$1,[1]characters!$1:$1,0)-MATCH($A$1,[1]characters!$1:$1,0)+1),MATCH(B$1,[1]characters!$1:$1,0)-MATCH($A$1,[1]characters!$1:$1,0)+1,FALSE)</f>
        <v>救声の唱動 MEIKO</v>
      </c>
      <c r="C21" s="53">
        <f ca="1">VLOOKUP($A21,OFFSET([1]characters!$A$1,0,0,COUNTA([1]characters!$A:$A),MATCH(C$1,[1]characters!$1:$1,0)-MATCH($A$1,[1]characters!$1:$1,0)+1),MATCH(C$1,[1]characters!$1:$1,0)-MATCH($A$1,[1]characters!$1:$1,0)+1,FALSE)</f>
        <v>0</v>
      </c>
      <c r="D21" s="53">
        <f ca="1">VLOOKUP($A21,OFFSET([1]characters!$A$1,0,0,COUNTA([1]characters!$A:$A),MATCH(D$1,[1]characters!$1:$1,0)-MATCH($A$1,[1]characters!$1:$1,0)+1),MATCH(D$1,[1]characters!$1:$1,0)-MATCH($A$1,[1]characters!$1:$1,0)+1,FALSE)</f>
        <v>0</v>
      </c>
      <c r="E21" s="53">
        <f ca="1">VLOOKUP($A21,OFFSET([1]characters!$A$1,0,0,COUNTA([1]characters!$A:$A),MATCH(E$1,[1]characters!$1:$1,0)-MATCH($A$1,[1]characters!$1:$1,0)+1),MATCH(E$1,[1]characters!$1:$1,0)-MATCH($A$1,[1]characters!$1:$1,0)+1,FALSE)</f>
        <v>0</v>
      </c>
      <c r="F21" s="53">
        <f ca="1">VLOOKUP($A21,OFFSET([1]characters!$A$1,0,0,COUNTA([1]characters!$A:$A),MATCH(F$1,[1]characters!$1:$1,0)-MATCH($A$1,[1]characters!$1:$1,0)+1),MATCH(F$1,[1]characters!$1:$1,0)-MATCH($A$1,[1]characters!$1:$1,0)+1,FALSE)</f>
        <v>0</v>
      </c>
      <c r="G21" s="53">
        <f ca="1">VLOOKUP($A21,OFFSET([1]characters!$A$1,0,0,COUNTA([1]characters!$A:$A),MATCH(G$1,[1]characters!$1:$1,0)-MATCH($A$1,[1]characters!$1:$1,0)+1),MATCH(G$1,[1]characters!$1:$1,0)-MATCH($A$1,[1]characters!$1:$1,0)+1,FALSE)</f>
        <v>5</v>
      </c>
      <c r="H21" s="53" t="str">
        <f ca="1">VLOOKUP($A21,OFFSET([1]characters!$A$1,0,0,COUNTA([1]characters!$A:$A),MATCH(H$1,[1]characters!$1:$1,0)-MATCH($A$1,[1]characters!$1:$1,0)+1),MATCH(H$1,[1]characters!$1:$1,0)-MATCH($A$1,[1]characters!$1:$1,0)+1,FALSE)</f>
        <v>PremiumS</v>
      </c>
      <c r="I21" s="53" t="str">
        <f ca="1">VLOOKUP($A21,OFFSET([1]characters!$A$1,0,0,COUNTA([1]characters!$A:$A),MATCH(I$1,[1]characters!$1:$1,0)-MATCH($A$1,[1]characters!$1:$1,0)+1),MATCH(I$1,[1]characters!$1:$1,0)-MATCH($A$1,[1]characters!$1:$1,0)+1,FALSE)</f>
        <v>red</v>
      </c>
      <c r="J21" s="10">
        <f ca="1">VLOOKUP(I21,[1]属性!$A:$E,2,FALSE)</f>
        <v>1</v>
      </c>
      <c r="K21" s="10">
        <f ca="1">VLOOKUP(I21,[1]属性!$A:$E,3,FALSE)</f>
        <v>1.02</v>
      </c>
      <c r="L21" s="10">
        <f ca="1">VLOOKUP(I21,[1]属性!$A:$E,4,FALSE)</f>
        <v>1</v>
      </c>
      <c r="M21" s="10">
        <f ca="1">VLOOKUP(I21,[1]属性!$A:$E,5,FALSE)</f>
        <v>0.98</v>
      </c>
      <c r="N21" s="10">
        <f ca="1">INDEX(コスト!$A$1:$I$21,MATCH(H21,コスト!$A$1:$A$21,FALSE),MATCH(G21,コスト!$A$1:$I$1,FALSE))</f>
        <v>30</v>
      </c>
      <c r="O21" s="10">
        <f ca="1">INDEX(レベル!$A$1:$I$22,MATCH(H21,レベル!$A$1:$A$22,FALSE),MATCH(G21,レベル!$A$1:$I$1,FALSE))</f>
        <v>80</v>
      </c>
      <c r="P21" s="44">
        <f t="shared" ca="1" si="35"/>
        <v>75</v>
      </c>
      <c r="Q21" s="53" t="str">
        <f ca="1">VLOOKUP($A21,OFFSET([1]characters!$A$1,0,0,COUNTA([1]characters!$A:$A),MATCH(Q$1,[1]characters!$1:$1,0)-MATCH($A$1,[1]characters!$1:$1,0)+1),MATCH(Q$1,[1]characters!$1:$1,0)-MATCH($A$1,[1]characters!$1:$1,0)+1,FALSE)</f>
        <v>hp</v>
      </c>
      <c r="R21" s="5" t="str">
        <f ca="1">VLOOKUP(Q21,[1]character_type_i18n!$A:$H,3,FALSE)</f>
        <v>体力タイプ</v>
      </c>
      <c r="S21" s="10">
        <f ca="1">VLOOKUP(Q21,[1]character_type_i18n!$A:$H,4,FALSE)</f>
        <v>1.45</v>
      </c>
      <c r="T21" s="10">
        <f ca="1">VLOOKUP(Q21,[1]character_type_i18n!$A:$H,5,FALSE)</f>
        <v>0.85</v>
      </c>
      <c r="U21" s="10">
        <f ca="1">VLOOKUP(Q21,[1]character_type_i18n!$A:$H,6,FALSE)</f>
        <v>1</v>
      </c>
      <c r="V21" s="10">
        <f ca="1">VLOOKUP(Q21,[1]character_type_i18n!$A:$H,7,FALSE)</f>
        <v>0.7</v>
      </c>
      <c r="W21" s="53" t="str">
        <f ca="1">VLOOKUP($A21,OFFSET([1]characters!$A$1,0,0,COUNTA([1]characters!$A:$A),MATCH(W$1,[1]characters!$1:$1,0)-MATCH($A$1,[1]characters!$1:$1,0)+1),MATCH(W$1,[1]characters!$1:$1,0)-MATCH($A$1,[1]characters!$1:$1,0)+1,FALSE)</f>
        <v>unknown</v>
      </c>
      <c r="X21" s="5" t="str">
        <f ca="1">VLOOKUP(W21,[1]character_tribe_i18n!$A:$H,3,FALSE)</f>
        <v>Unknown</v>
      </c>
      <c r="Y21" s="53" t="str">
        <f ca="1">VLOOKUP($A21,OFFSET([1]characters!$A$1,0,0,COUNTA([1]characters!$A:$A),MATCH(Y$1,[1]characters!$1:$1,0)-MATCH($A$1,[1]characters!$1:$1,0)+1),MATCH(Y$1,[1]characters!$1:$1,0)-MATCH($A$1,[1]characters!$1:$1,0)+1,FALSE)</f>
        <v>none</v>
      </c>
      <c r="Z21" s="5" t="str">
        <f ca="1">VLOOKUP(Y21,[1]character_tribe_i18n!$A:$H,3,FALSE)</f>
        <v>種族なし</v>
      </c>
      <c r="AA21" s="10">
        <f ca="1">VLOOKUP(W21,[1]character_tribe_i18n!$A:$H,4,FALSE)</f>
        <v>1</v>
      </c>
      <c r="AB21" s="10">
        <f ca="1">VLOOKUP(W21,[1]character_tribe_i18n!$A:$H,5,FALSE)</f>
        <v>1</v>
      </c>
      <c r="AC21" s="10">
        <f ca="1">VLOOKUP(W21,[1]character_tribe_i18n!$A:$H,6,FALSE)</f>
        <v>1</v>
      </c>
      <c r="AD21" s="10">
        <f ca="1">VLOOKUP(W21,[1]character_tribe_i18n!$A:$H,7,FALSE)</f>
        <v>1</v>
      </c>
      <c r="AE21" s="187" t="s">
        <v>318</v>
      </c>
      <c r="AF21" s="58" t="str">
        <f ca="1">IF(AE21="NULL","",VLOOKUP($AE21,OFFSET([1]characters!$A$1,0,0,COUNTA([1]characters!$A:$A),MATCH(AF$1,[1]characters!$1:$1,0)-MATCH($A$1,[1]characters!$1:$1,0)+1),MATCH(AF$1,[1]characters!$1:$1,0)-MATCH($A$1,[1]characters!$1:$1,0)+1,FALSE))</f>
        <v/>
      </c>
      <c r="AG21" s="187">
        <v>549</v>
      </c>
      <c r="AH21" s="58" t="str">
        <f ca="1">VLOOKUP($AG21,OFFSET([1]characters!$A$1,0,0,COUNTA([1]characters!$A:$A),MATCH(AH$1,[1]characters!$1:$1,0)-MATCH($A$1,[1]characters!$1:$1,0)+1),MATCH(AH$1,[1]characters!$1:$1,0)-MATCH($A$1,[1]characters!$1:$1,0)+1,FALSE)</f>
        <v>MEIKO</v>
      </c>
      <c r="AI21" s="10" t="str">
        <f>IF(AE21="NULL","NULL",VLOOKUP(G21,ビット!$A$2:$B$7,2))</f>
        <v>NULL</v>
      </c>
      <c r="AJ21" s="6">
        <v>2</v>
      </c>
      <c r="AK21" s="7" t="str">
        <f t="shared" si="36"/>
        <v>普通</v>
      </c>
      <c r="AL21" s="10" t="str">
        <f ca="1">INDEX(経験値!$A$1:$I$21,MATCH(H21,経験値!$A$1:$A$21,FALSE),MATCH(G21,経験値!$A$1:$I$1,FALSE))</f>
        <v>required_exp_200</v>
      </c>
      <c r="AM21" s="8">
        <f ca="1">VLOOKUP(G21,経験値!$A$28:$B$32,2)</f>
        <v>6400</v>
      </c>
      <c r="AN21" s="16">
        <f ca="1">VLOOKUP(G21,ビット!$G$2:$H$7,2)</f>
        <v>900</v>
      </c>
      <c r="AO21" s="41"/>
      <c r="AP21" s="63">
        <v>1314</v>
      </c>
      <c r="AQ21" s="53" t="str">
        <f ca="1">VLOOKUP($AP21,OFFSET(unit_skills!$A$1,0,0,COUNTA(unit_skills!$A:$A),MATCH(AQ$1,unit_skills!$1:$1,0)-MATCH($AP$1,unit_skills!$1:$1,0)+1),MATCH(AQ$1,unit_skills!$1:$1,0)-MATCH($AP$1,unit_skills!$1:$1,0)+1,FALSE)</f>
        <v>レッドスケール･オルタナティヴ</v>
      </c>
      <c r="AR21" s="53" t="str">
        <f ca="1">VLOOKUP($AP21,OFFSET(unit_skills!$A$1,0,0,COUNTA(unit_skills!$A:$A),MATCH(AR$1,unit_skills!$1:$1,0)-MATCH($AP$1,unit_skills!$1:$1,0)+1),MATCH(AR$1,unit_skills!$1:$1,0)-MATCH($AP$1,unit_skills!$1:$1,0)+1,FALSE)</f>
        <v>1体に特大ダメージ+3ターン赤属性ユニットの攻撃力と防御力と回復力を特大UP</v>
      </c>
      <c r="AS21" s="53">
        <f ca="1">VLOOKUP($AP21,OFFSET(unit_skills!$A$1,0,0,COUNTA(unit_skills!$A:$A),MATCH(AS$1,unit_skills!$1:$1,0)-MATCH($AP$1,unit_skills!$1:$1,0)+1),MATCH(AS$1,unit_skills!$1:$1,0)-MATCH($AP$1,unit_skills!$1:$1,0)+1,FALSE)</f>
        <v>0</v>
      </c>
      <c r="AT21" s="63">
        <v>1314</v>
      </c>
      <c r="AU21" s="53" t="str">
        <f ca="1">VLOOKUP($AT21,OFFSET(crash_skills!$A$1,0,0,COUNTA(crash_skills!$A:$A),MATCH(AU$1,crash_skills!$1:$1,0)-MATCH($AT$1,crash_skills!$1:$1,0)+1),MATCH(AU$1,crash_skills!$1:$1,0)-MATCH($AT$1,crash_skills!$1:$1,0)+1,FALSE)</f>
        <v>プロトボイス・ダイナミック</v>
      </c>
      <c r="AV21" s="53" t="str">
        <f ca="1">VLOOKUP($AT21,OFFSET(crash_skills!$A$1,0,0,COUNTA(crash_skills!$A:$A),MATCH(AV$1,crash_skills!$1:$1,0)-MATCH($AT$1,crash_skills!$1:$1,0)+1),MATCH(AV$1,crash_skills!$1:$1,0)-MATCH($AT$1,crash_skills!$1:$1,0)+1,FALSE)</f>
        <v>全体に大ダメージ_x000D_種族Unknownに効果超大</v>
      </c>
      <c r="AW21" s="53">
        <f ca="1">VLOOKUP($AT21,OFFSET(crash_skills!$A$1,0,0,COUNTA(crash_skills!$A:$A),MATCH(AW$1,crash_skills!$1:$1,0)-MATCH($AT$1,crash_skills!$1:$1,0)+1),MATCH(AW$1,crash_skills!$1:$1,0)-MATCH($AT$1,crash_skills!$1:$1,0)+1,FALSE)</f>
        <v>0</v>
      </c>
      <c r="AX21" s="54">
        <f ca="1">VLOOKUP($A21,OFFSET([1]characters!$A$1,0,0,COUNTA([1]characters!$A:$A),MATCH(AX$1,[1]characters!$1:$1,0)-MATCH($A$1,[1]characters!$1:$1,0)+1),MATCH(AX$1,[1]characters!$1:$1,0)-MATCH($A$1,[1]characters!$1:$1,0)+1,FALSE)</f>
        <v>3</v>
      </c>
      <c r="AY21" s="64">
        <v>1.034</v>
      </c>
      <c r="AZ21" s="64">
        <v>0.96</v>
      </c>
      <c r="BA21" s="64">
        <v>0</v>
      </c>
      <c r="BB21" s="64">
        <v>1.32</v>
      </c>
      <c r="BC21" s="10">
        <f ca="1">INDEX('RC6SV'!$A$1:$G$21,MATCH(H21,'RC6SV'!$A$1:$A$21,FALSE),MATCH(G21,'RC6SV'!$A$1:$G$1,FALSE))</f>
        <v>9000</v>
      </c>
      <c r="BD21" s="44">
        <f t="shared" ca="1" si="37"/>
        <v>9000</v>
      </c>
      <c r="BE21" s="10">
        <f t="shared" ca="1" si="2"/>
        <v>0</v>
      </c>
      <c r="BF21" s="10">
        <f t="shared" ca="1" si="3"/>
        <v>1</v>
      </c>
      <c r="BG21" s="15">
        <f ca="1">IF($BE21&lt;=0,ROUND(BK21*0.5,0), ROUND($BE21*S21*AA21*J21*AY21*0.8*[1]ステータス!$B$2,0))</f>
        <v>3374</v>
      </c>
      <c r="BH21" s="15">
        <f ca="1">IF($BE21&lt;=0,ROUND(BL21*0.5,0), ROUND($BE21*T21*AB21*K21*AZ21*0.8*[1]ステータス!$C$2,0))</f>
        <v>1124</v>
      </c>
      <c r="BI21" s="15">
        <f ca="1">IF($BE21&lt;=0,ROUND(BM21*0.5,0), ROUND($BE21*U21*AC21*L21*BA21*0.8*[1]ステータス!$D$2,0))</f>
        <v>0</v>
      </c>
      <c r="BJ21" s="15">
        <f ca="1">IF($BE21&lt;=0,ROUND(BN21*0.5,0), ROUND($BE21*V21*AD21*M21*BB21*0.8*[1]ステータス!$E$2,0))</f>
        <v>1019</v>
      </c>
      <c r="BK21" s="10">
        <f ca="1">ROUND(BD21*S21*AA21*J21*AY21*[1]ステータス!$B$2,0)</f>
        <v>6747</v>
      </c>
      <c r="BL21" s="10">
        <f ca="1">ROUND(BD21*T21*AB21*K21*AZ21*[1]ステータス!$C$2,0)</f>
        <v>2247</v>
      </c>
      <c r="BM21" s="10">
        <f ca="1">ROUND(BD21*U21*AC21*L21*BA21*[1]ステータス!$D$2,0)</f>
        <v>0</v>
      </c>
      <c r="BN21" s="10">
        <f ca="1">ROUND(BD21*V21*AD21*M21*BB21*[1]ステータス!$E$2,0)</f>
        <v>2037</v>
      </c>
      <c r="BO21" s="9">
        <v>0</v>
      </c>
      <c r="BP21" s="9">
        <v>1</v>
      </c>
      <c r="BQ21" s="9" t="s">
        <v>47</v>
      </c>
      <c r="BR21" s="202">
        <v>140</v>
      </c>
    </row>
    <row r="22" spans="1:70" ht="26" customHeight="1" x14ac:dyDescent="0.15">
      <c r="A22" s="186">
        <v>1315</v>
      </c>
      <c r="B22" s="53" t="str">
        <f ca="1">VLOOKUP($A22,OFFSET([1]characters!$A$1,0,0,COUNTA([1]characters!$A:$A),MATCH(B$1,[1]characters!$1:$1,0)-MATCH($A$1,[1]characters!$1:$1,0)+1),MATCH(B$1,[1]characters!$1:$1,0)-MATCH($A$1,[1]characters!$1:$1,0)+1,FALSE)</f>
        <v>快響の楽唱歌 KAITO</v>
      </c>
      <c r="C22" s="53">
        <f ca="1">VLOOKUP($A22,OFFSET([1]characters!$A$1,0,0,COUNTA([1]characters!$A:$A),MATCH(C$1,[1]characters!$1:$1,0)-MATCH($A$1,[1]characters!$1:$1,0)+1),MATCH(C$1,[1]characters!$1:$1,0)-MATCH($A$1,[1]characters!$1:$1,0)+1,FALSE)</f>
        <v>0</v>
      </c>
      <c r="D22" s="53">
        <f ca="1">VLOOKUP($A22,OFFSET([1]characters!$A$1,0,0,COUNTA([1]characters!$A:$A),MATCH(D$1,[1]characters!$1:$1,0)-MATCH($A$1,[1]characters!$1:$1,0)+1),MATCH(D$1,[1]characters!$1:$1,0)-MATCH($A$1,[1]characters!$1:$1,0)+1,FALSE)</f>
        <v>0</v>
      </c>
      <c r="E22" s="53">
        <f ca="1">VLOOKUP($A22,OFFSET([1]characters!$A$1,0,0,COUNTA([1]characters!$A:$A),MATCH(E$1,[1]characters!$1:$1,0)-MATCH($A$1,[1]characters!$1:$1,0)+1),MATCH(E$1,[1]characters!$1:$1,0)-MATCH($A$1,[1]characters!$1:$1,0)+1,FALSE)</f>
        <v>0</v>
      </c>
      <c r="F22" s="53">
        <f ca="1">VLOOKUP($A22,OFFSET([1]characters!$A$1,0,0,COUNTA([1]characters!$A:$A),MATCH(F$1,[1]characters!$1:$1,0)-MATCH($A$1,[1]characters!$1:$1,0)+1),MATCH(F$1,[1]characters!$1:$1,0)-MATCH($A$1,[1]characters!$1:$1,0)+1,FALSE)</f>
        <v>0</v>
      </c>
      <c r="G22" s="53">
        <f ca="1">VLOOKUP($A22,OFFSET([1]characters!$A$1,0,0,COUNTA([1]characters!$A:$A),MATCH(G$1,[1]characters!$1:$1,0)-MATCH($A$1,[1]characters!$1:$1,0)+1),MATCH(G$1,[1]characters!$1:$1,0)-MATCH($A$1,[1]characters!$1:$1,0)+1,FALSE)</f>
        <v>5</v>
      </c>
      <c r="H22" s="53" t="str">
        <f ca="1">VLOOKUP($A22,OFFSET([1]characters!$A$1,0,0,COUNTA([1]characters!$A:$A),MATCH(H$1,[1]characters!$1:$1,0)-MATCH($A$1,[1]characters!$1:$1,0)+1),MATCH(H$1,[1]characters!$1:$1,0)-MATCH($A$1,[1]characters!$1:$1,0)+1,FALSE)</f>
        <v>PremiumS</v>
      </c>
      <c r="I22" s="53" t="str">
        <f ca="1">VLOOKUP($A22,OFFSET([1]characters!$A$1,0,0,COUNTA([1]characters!$A:$A),MATCH(I$1,[1]characters!$1:$1,0)-MATCH($A$1,[1]characters!$1:$1,0)+1),MATCH(I$1,[1]characters!$1:$1,0)-MATCH($A$1,[1]characters!$1:$1,0)+1,FALSE)</f>
        <v>blue</v>
      </c>
      <c r="J22" s="10">
        <f ca="1">VLOOKUP(I22,[1]属性!$A:$E,2,FALSE)</f>
        <v>1</v>
      </c>
      <c r="K22" s="10">
        <f ca="1">VLOOKUP(I22,[1]属性!$A:$E,3,FALSE)</f>
        <v>0.98</v>
      </c>
      <c r="L22" s="10">
        <f ca="1">VLOOKUP(I22,[1]属性!$A:$E,4,FALSE)</f>
        <v>1</v>
      </c>
      <c r="M22" s="10">
        <f ca="1">VLOOKUP(I22,[1]属性!$A:$E,5,FALSE)</f>
        <v>1.02</v>
      </c>
      <c r="N22" s="10">
        <f ca="1">INDEX(コスト!$A$1:$I$21,MATCH(H22,コスト!$A$1:$A$21,FALSE),MATCH(G22,コスト!$A$1:$I$1,FALSE))</f>
        <v>30</v>
      </c>
      <c r="O22" s="10">
        <f ca="1">INDEX(レベル!$A$1:$I$22,MATCH(H22,レベル!$A$1:$A$22,FALSE),MATCH(G22,レベル!$A$1:$I$1,FALSE))</f>
        <v>80</v>
      </c>
      <c r="P22" s="44">
        <f t="shared" ca="1" si="35"/>
        <v>75</v>
      </c>
      <c r="Q22" s="53" t="str">
        <f ca="1">VLOOKUP($A22,OFFSET([1]characters!$A$1,0,0,COUNTA([1]characters!$A:$A),MATCH(Q$1,[1]characters!$1:$1,0)-MATCH($A$1,[1]characters!$1:$1,0)+1),MATCH(Q$1,[1]characters!$1:$1,0)-MATCH($A$1,[1]characters!$1:$1,0)+1,FALSE)</f>
        <v>technical</v>
      </c>
      <c r="R22" s="5" t="str">
        <f ca="1">VLOOKUP(Q22,[1]character_type_i18n!$A:$H,3,FALSE)</f>
        <v>テクニカルタイプ</v>
      </c>
      <c r="S22" s="10">
        <f ca="1">VLOOKUP(Q22,[1]character_type_i18n!$A:$H,4,FALSE)</f>
        <v>0.9</v>
      </c>
      <c r="T22" s="10">
        <f ca="1">VLOOKUP(Q22,[1]character_type_i18n!$A:$H,5,FALSE)</f>
        <v>0.9</v>
      </c>
      <c r="U22" s="10">
        <f ca="1">VLOOKUP(Q22,[1]character_type_i18n!$A:$H,6,FALSE)</f>
        <v>1</v>
      </c>
      <c r="V22" s="10">
        <f ca="1">VLOOKUP(Q22,[1]character_type_i18n!$A:$H,7,FALSE)</f>
        <v>0.9</v>
      </c>
      <c r="W22" s="53" t="str">
        <f ca="1">VLOOKUP($A22,OFFSET([1]characters!$A$1,0,0,COUNTA([1]characters!$A:$A),MATCH(W$1,[1]characters!$1:$1,0)-MATCH($A$1,[1]characters!$1:$1,0)+1),MATCH(W$1,[1]characters!$1:$1,0)-MATCH($A$1,[1]characters!$1:$1,0)+1,FALSE)</f>
        <v>unknown</v>
      </c>
      <c r="X22" s="5" t="str">
        <f ca="1">VLOOKUP(W22,[1]character_tribe_i18n!$A:$H,3,FALSE)</f>
        <v>Unknown</v>
      </c>
      <c r="Y22" s="53" t="str">
        <f ca="1">VLOOKUP($A22,OFFSET([1]characters!$A$1,0,0,COUNTA([1]characters!$A:$A),MATCH(Y$1,[1]characters!$1:$1,0)-MATCH($A$1,[1]characters!$1:$1,0)+1),MATCH(Y$1,[1]characters!$1:$1,0)-MATCH($A$1,[1]characters!$1:$1,0)+1,FALSE)</f>
        <v>none</v>
      </c>
      <c r="Z22" s="5" t="str">
        <f ca="1">VLOOKUP(Y22,[1]character_tribe_i18n!$A:$H,3,FALSE)</f>
        <v>種族なし</v>
      </c>
      <c r="AA22" s="10">
        <f ca="1">VLOOKUP(W22,[1]character_tribe_i18n!$A:$H,4,FALSE)</f>
        <v>1</v>
      </c>
      <c r="AB22" s="10">
        <f ca="1">VLOOKUP(W22,[1]character_tribe_i18n!$A:$H,5,FALSE)</f>
        <v>1</v>
      </c>
      <c r="AC22" s="10">
        <f ca="1">VLOOKUP(W22,[1]character_tribe_i18n!$A:$H,6,FALSE)</f>
        <v>1</v>
      </c>
      <c r="AD22" s="10">
        <f ca="1">VLOOKUP(W22,[1]character_tribe_i18n!$A:$H,7,FALSE)</f>
        <v>1</v>
      </c>
      <c r="AE22" s="187" t="s">
        <v>318</v>
      </c>
      <c r="AF22" s="58" t="str">
        <f ca="1">IF(AE22="NULL","",VLOOKUP($AE22,OFFSET([1]characters!$A$1,0,0,COUNTA([1]characters!$A:$A),MATCH(AF$1,[1]characters!$1:$1,0)-MATCH($A$1,[1]characters!$1:$1,0)+1),MATCH(AF$1,[1]characters!$1:$1,0)-MATCH($A$1,[1]characters!$1:$1,0)+1,FALSE))</f>
        <v/>
      </c>
      <c r="AG22" s="187">
        <v>551</v>
      </c>
      <c r="AH22" s="58" t="str">
        <f ca="1">VLOOKUP($AG22,OFFSET([1]characters!$A$1,0,0,COUNTA([1]characters!$A:$A),MATCH(AH$1,[1]characters!$1:$1,0)-MATCH($A$1,[1]characters!$1:$1,0)+1),MATCH(AH$1,[1]characters!$1:$1,0)-MATCH($A$1,[1]characters!$1:$1,0)+1,FALSE)</f>
        <v>KAITO</v>
      </c>
      <c r="AI22" s="10" t="str">
        <f>IF(AE22="NULL","NULL",VLOOKUP(G22,ビット!$A$2:$B$7,2))</f>
        <v>NULL</v>
      </c>
      <c r="AJ22" s="6">
        <v>2</v>
      </c>
      <c r="AK22" s="7" t="str">
        <f t="shared" si="36"/>
        <v>普通</v>
      </c>
      <c r="AL22" s="10" t="str">
        <f ca="1">INDEX(経験値!$A$1:$I$21,MATCH(H22,経験値!$A$1:$A$21,FALSE),MATCH(G22,経験値!$A$1:$I$1,FALSE))</f>
        <v>required_exp_200</v>
      </c>
      <c r="AM22" s="8">
        <f ca="1">VLOOKUP(G22,経験値!$A$28:$B$32,2)</f>
        <v>6400</v>
      </c>
      <c r="AN22" s="16">
        <f ca="1">VLOOKUP(G22,ビット!$G$2:$H$7,2)</f>
        <v>900</v>
      </c>
      <c r="AO22" s="41"/>
      <c r="AP22" s="63">
        <v>1315</v>
      </c>
      <c r="AQ22" s="53" t="str">
        <f ca="1">VLOOKUP($AP22,OFFSET(unit_skills!$A$1,0,0,COUNTA(unit_skills!$A:$A),MATCH(AQ$1,unit_skills!$1:$1,0)-MATCH($AP$1,unit_skills!$1:$1,0)+1),MATCH(AQ$1,unit_skills!$1:$1,0)-MATCH($AP$1,unit_skills!$1:$1,0)+1,FALSE)</f>
        <v>ブルースケール・オールマイティ</v>
      </c>
      <c r="AR22" s="53" t="str">
        <f ca="1">VLOOKUP($AP22,OFFSET(unit_skills!$A$1,0,0,COUNTA(unit_skills!$A:$A),MATCH(AR$1,unit_skills!$1:$1,0)-MATCH($AP$1,unit_skills!$1:$1,0)+1),MATCH(AR$1,unit_skills!$1:$1,0)-MATCH($AP$1,unit_skills!$1:$1,0)+1,FALSE)</f>
        <v>緑パネルを青パネルに変換+3ターン青属性ユニットのタップ回数を1増やし、攻撃力を大UP</v>
      </c>
      <c r="AS22" s="53">
        <f ca="1">VLOOKUP($AP22,OFFSET(unit_skills!$A$1,0,0,COUNTA(unit_skills!$A:$A),MATCH(AS$1,unit_skills!$1:$1,0)-MATCH($AP$1,unit_skills!$1:$1,0)+1),MATCH(AS$1,unit_skills!$1:$1,0)-MATCH($AP$1,unit_skills!$1:$1,0)+1,FALSE)</f>
        <v>0</v>
      </c>
      <c r="AT22" s="63">
        <v>1315</v>
      </c>
      <c r="AU22" s="53" t="str">
        <f ca="1">VLOOKUP($AT22,OFFSET(crash_skills!$A$1,0,0,COUNTA(crash_skills!$A:$A),MATCH(AU$1,crash_skills!$1:$1,0)-MATCH($AT$1,crash_skills!$1:$1,0)+1),MATCH(AU$1,crash_skills!$1:$1,0)-MATCH($AT$1,crash_skills!$1:$1,0)+1,FALSE)</f>
        <v>プロトボイス・スタンダード</v>
      </c>
      <c r="AV22" s="53" t="str">
        <f ca="1">VLOOKUP($AT22,OFFSET(crash_skills!$A$1,0,0,COUNTA(crash_skills!$A:$A),MATCH(AV$1,crash_skills!$1:$1,0)-MATCH($AT$1,crash_skills!$1:$1,0)+1),MATCH(AV$1,crash_skills!$1:$1,0)-MATCH($AT$1,crash_skills!$1:$1,0)+1,FALSE)</f>
        <v>1体に特大ダメージ+_x000D_1ターン全ユニットの回復力小UP</v>
      </c>
      <c r="AW22" s="53">
        <f ca="1">VLOOKUP($AT22,OFFSET(crash_skills!$A$1,0,0,COUNTA(crash_skills!$A:$A),MATCH(AW$1,crash_skills!$1:$1,0)-MATCH($AT$1,crash_skills!$1:$1,0)+1),MATCH(AW$1,crash_skills!$1:$1,0)-MATCH($AT$1,crash_skills!$1:$1,0)+1,FALSE)</f>
        <v>0</v>
      </c>
      <c r="AX22" s="54">
        <f ca="1">VLOOKUP($A22,OFFSET([1]characters!$A$1,0,0,COUNTA([1]characters!$A:$A),MATCH(AX$1,[1]characters!$1:$1,0)-MATCH($A$1,[1]characters!$1:$1,0)+1),MATCH(AX$1,[1]characters!$1:$1,0)-MATCH($A$1,[1]characters!$1:$1,0)+1,FALSE)</f>
        <v>3</v>
      </c>
      <c r="AY22" s="64">
        <v>1.1299999999999999</v>
      </c>
      <c r="AZ22" s="64">
        <v>1.4059999999999999</v>
      </c>
      <c r="BA22" s="64">
        <v>0</v>
      </c>
      <c r="BB22" s="64">
        <v>1.1299999999999999</v>
      </c>
      <c r="BC22" s="10">
        <f ca="1">INDEX('RC6SV'!$A$1:$G$21,MATCH(H22,'RC6SV'!$A$1:$A$21,FALSE),MATCH(G22,'RC6SV'!$A$1:$G$1,FALSE))</f>
        <v>9000</v>
      </c>
      <c r="BD22" s="44">
        <f t="shared" ca="1" si="37"/>
        <v>9000</v>
      </c>
      <c r="BE22" s="10">
        <f t="shared" ca="1" si="2"/>
        <v>0</v>
      </c>
      <c r="BF22" s="10">
        <f t="shared" ca="1" si="3"/>
        <v>1</v>
      </c>
      <c r="BG22" s="15">
        <f ca="1">IF($BE22&lt;=0,ROUND(BK22*0.5,0), ROUND($BE22*S22*AA22*J22*AY22*0.8*[1]ステータス!$B$2,0))</f>
        <v>2289</v>
      </c>
      <c r="BH22" s="15">
        <f ca="1">IF($BE22&lt;=0,ROUND(BL22*0.5,0), ROUND($BE22*T22*AB22*K22*AZ22*0.8*[1]ステータス!$C$2,0))</f>
        <v>1674</v>
      </c>
      <c r="BI22" s="15">
        <f ca="1">IF($BE22&lt;=0,ROUND(BM22*0.5,0), ROUND($BE22*U22*AC22*L22*BA22*0.8*[1]ステータス!$D$2,0))</f>
        <v>0</v>
      </c>
      <c r="BJ22" s="15">
        <f ca="1">IF($BE22&lt;=0,ROUND(BN22*0.5,0), ROUND($BE22*V22*AD22*M22*BB22*0.8*[1]ステータス!$E$2,0))</f>
        <v>1167</v>
      </c>
      <c r="BK22" s="10">
        <f ca="1">ROUND(BD22*S22*AA22*J22*AY22*[1]ステータス!$B$2,0)</f>
        <v>4577</v>
      </c>
      <c r="BL22" s="10">
        <f ca="1">ROUND(BD22*T22*AB22*K22*AZ22*[1]ステータス!$C$2,0)</f>
        <v>3348</v>
      </c>
      <c r="BM22" s="10">
        <f ca="1">ROUND(BD22*U22*AC22*L22*BA22*[1]ステータス!$D$2,0)</f>
        <v>0</v>
      </c>
      <c r="BN22" s="10">
        <f ca="1">ROUND(BD22*V22*AD22*M22*BB22*[1]ステータス!$E$2,0)</f>
        <v>2334</v>
      </c>
      <c r="BO22" s="9">
        <v>0</v>
      </c>
      <c r="BP22" s="9">
        <v>1</v>
      </c>
      <c r="BQ22" s="9" t="s">
        <v>47</v>
      </c>
      <c r="BR22" s="202">
        <v>140</v>
      </c>
    </row>
    <row r="23" spans="1:70" ht="26" customHeight="1" x14ac:dyDescent="0.15">
      <c r="A23" s="186">
        <v>1316</v>
      </c>
      <c r="B23" s="53" t="str">
        <f ca="1">VLOOKUP($A23,OFFSET([1]characters!$A$1,0,0,COUNTA([1]characters!$A:$A),MATCH(B$1,[1]characters!$1:$1,0)-MATCH($A$1,[1]characters!$1:$1,0)+1),MATCH(B$1,[1]characters!$1:$1,0)-MATCH($A$1,[1]characters!$1:$1,0)+1,FALSE)</f>
        <v>初音ミクV4X</v>
      </c>
      <c r="C23" s="53">
        <f ca="1">VLOOKUP($A23,OFFSET([1]characters!$A$1,0,0,COUNTA([1]characters!$A:$A),MATCH(C$1,[1]characters!$1:$1,0)-MATCH($A$1,[1]characters!$1:$1,0)+1),MATCH(C$1,[1]characters!$1:$1,0)-MATCH($A$1,[1]characters!$1:$1,0)+1,FALSE)</f>
        <v>0</v>
      </c>
      <c r="D23" s="53">
        <f ca="1">VLOOKUP($A23,OFFSET([1]characters!$A$1,0,0,COUNTA([1]characters!$A:$A),MATCH(D$1,[1]characters!$1:$1,0)-MATCH($A$1,[1]characters!$1:$1,0)+1),MATCH(D$1,[1]characters!$1:$1,0)-MATCH($A$1,[1]characters!$1:$1,0)+1,FALSE)</f>
        <v>0</v>
      </c>
      <c r="E23" s="53">
        <f ca="1">VLOOKUP($A23,OFFSET([1]characters!$A$1,0,0,COUNTA([1]characters!$A:$A),MATCH(E$1,[1]characters!$1:$1,0)-MATCH($A$1,[1]characters!$1:$1,0)+1),MATCH(E$1,[1]characters!$1:$1,0)-MATCH($A$1,[1]characters!$1:$1,0)+1,FALSE)</f>
        <v>0</v>
      </c>
      <c r="F23" s="53">
        <f ca="1">VLOOKUP($A23,OFFSET([1]characters!$A$1,0,0,COUNTA([1]characters!$A:$A),MATCH(F$1,[1]characters!$1:$1,0)-MATCH($A$1,[1]characters!$1:$1,0)+1),MATCH(F$1,[1]characters!$1:$1,0)-MATCH($A$1,[1]characters!$1:$1,0)+1,FALSE)</f>
        <v>0</v>
      </c>
      <c r="G23" s="53">
        <f ca="1">VLOOKUP($A23,OFFSET([1]characters!$A$1,0,0,COUNTA([1]characters!$A:$A),MATCH(G$1,[1]characters!$1:$1,0)-MATCH($A$1,[1]characters!$1:$1,0)+1),MATCH(G$1,[1]characters!$1:$1,0)-MATCH($A$1,[1]characters!$1:$1,0)+1,FALSE)</f>
        <v>5</v>
      </c>
      <c r="H23" s="53" t="str">
        <f ca="1">VLOOKUP($A23,OFFSET([1]characters!$A$1,0,0,COUNTA([1]characters!$A:$A),MATCH(H$1,[1]characters!$1:$1,0)-MATCH($A$1,[1]characters!$1:$1,0)+1),MATCH(H$1,[1]characters!$1:$1,0)-MATCH($A$1,[1]characters!$1:$1,0)+1,FALSE)</f>
        <v>PremiumSSS</v>
      </c>
      <c r="I23" s="53" t="str">
        <f ca="1">VLOOKUP($A23,OFFSET([1]characters!$A$1,0,0,COUNTA([1]characters!$A:$A),MATCH(I$1,[1]characters!$1:$1,0)-MATCH($A$1,[1]characters!$1:$1,0)+1),MATCH(I$1,[1]characters!$1:$1,0)-MATCH($A$1,[1]characters!$1:$1,0)+1,FALSE)</f>
        <v>green</v>
      </c>
      <c r="J23" s="10">
        <f ca="1">VLOOKUP(I23,[1]属性!$A:$E,2,FALSE)</f>
        <v>1.02</v>
      </c>
      <c r="K23" s="10">
        <f ca="1">VLOOKUP(I23,[1]属性!$A:$E,3,FALSE)</f>
        <v>0.98</v>
      </c>
      <c r="L23" s="10">
        <f ca="1">VLOOKUP(I23,[1]属性!$A:$E,4,FALSE)</f>
        <v>1</v>
      </c>
      <c r="M23" s="10">
        <f ca="1">VLOOKUP(I23,[1]属性!$A:$E,5,FALSE)</f>
        <v>1</v>
      </c>
      <c r="N23" s="10">
        <f ca="1">INDEX(コスト!$A$1:$I$21,MATCH(H23,コスト!$A$1:$A$21,FALSE),MATCH(G23,コスト!$A$1:$I$1,FALSE))</f>
        <v>40</v>
      </c>
      <c r="O23" s="10">
        <f ca="1">INDEX(レベル!$A$1:$I$22,MATCH(H23,レベル!$A$1:$A$22,FALSE),MATCH(G23,レベル!$A$1:$I$1,FALSE))</f>
        <v>80</v>
      </c>
      <c r="P23" s="44">
        <f t="shared" ca="1" si="35"/>
        <v>75</v>
      </c>
      <c r="Q23" s="53" t="str">
        <f ca="1">VLOOKUP($A23,OFFSET([1]characters!$A$1,0,0,COUNTA([1]characters!$A:$A),MATCH(Q$1,[1]characters!$1:$1,0)-MATCH($A$1,[1]characters!$1:$1,0)+1),MATCH(Q$1,[1]characters!$1:$1,0)-MATCH($A$1,[1]characters!$1:$1,0)+1,FALSE)</f>
        <v>balance</v>
      </c>
      <c r="R23" s="5" t="str">
        <f ca="1">VLOOKUP(Q23,[1]character_type_i18n!$A:$H,3,FALSE)</f>
        <v>バランスタイプ</v>
      </c>
      <c r="S23" s="10">
        <f ca="1">VLOOKUP(Q23,[1]character_type_i18n!$A:$H,4,FALSE)</f>
        <v>1</v>
      </c>
      <c r="T23" s="10">
        <f ca="1">VLOOKUP(Q23,[1]character_type_i18n!$A:$H,5,FALSE)</f>
        <v>1</v>
      </c>
      <c r="U23" s="10">
        <f ca="1">VLOOKUP(Q23,[1]character_type_i18n!$A:$H,6,FALSE)</f>
        <v>1</v>
      </c>
      <c r="V23" s="10">
        <f ca="1">VLOOKUP(Q23,[1]character_type_i18n!$A:$H,7,FALSE)</f>
        <v>1</v>
      </c>
      <c r="W23" s="53" t="str">
        <f ca="1">VLOOKUP($A23,OFFSET([1]characters!$A$1,0,0,COUNTA([1]characters!$A:$A),MATCH(W$1,[1]characters!$1:$1,0)-MATCH($A$1,[1]characters!$1:$1,0)+1),MATCH(W$1,[1]characters!$1:$1,0)-MATCH($A$1,[1]characters!$1:$1,0)+1,FALSE)</f>
        <v>unknown</v>
      </c>
      <c r="X23" s="5" t="str">
        <f ca="1">VLOOKUP(W23,[1]character_tribe_i18n!$A:$H,3,FALSE)</f>
        <v>Unknown</v>
      </c>
      <c r="Y23" s="53" t="str">
        <f ca="1">VLOOKUP($A23,OFFSET([1]characters!$A$1,0,0,COUNTA([1]characters!$A:$A),MATCH(Y$1,[1]characters!$1:$1,0)-MATCH($A$1,[1]characters!$1:$1,0)+1),MATCH(Y$1,[1]characters!$1:$1,0)-MATCH($A$1,[1]characters!$1:$1,0)+1,FALSE)</f>
        <v>none</v>
      </c>
      <c r="Z23" s="5" t="str">
        <f ca="1">VLOOKUP(Y23,[1]character_tribe_i18n!$A:$H,3,FALSE)</f>
        <v>種族なし</v>
      </c>
      <c r="AA23" s="10">
        <f ca="1">VLOOKUP(W23,[1]character_tribe_i18n!$A:$H,4,FALSE)</f>
        <v>1</v>
      </c>
      <c r="AB23" s="10">
        <f ca="1">VLOOKUP(W23,[1]character_tribe_i18n!$A:$H,5,FALSE)</f>
        <v>1</v>
      </c>
      <c r="AC23" s="10">
        <f ca="1">VLOOKUP(W23,[1]character_tribe_i18n!$A:$H,6,FALSE)</f>
        <v>1</v>
      </c>
      <c r="AD23" s="10">
        <f ca="1">VLOOKUP(W23,[1]character_tribe_i18n!$A:$H,7,FALSE)</f>
        <v>1</v>
      </c>
      <c r="AE23" s="187">
        <v>1317</v>
      </c>
      <c r="AF23" s="58" t="str">
        <f ca="1">IF(AE23="NULL","",VLOOKUP($AE23,OFFSET([1]characters!$A$1,0,0,COUNTA([1]characters!$A:$A),MATCH(AF$1,[1]characters!$1:$1,0)-MATCH($A$1,[1]characters!$1:$1,0)+1),MATCH(AF$1,[1]characters!$1:$1,0)-MATCH($A$1,[1]characters!$1:$1,0)+1,FALSE))</f>
        <v>進歌する声域 初音ミクV4X</v>
      </c>
      <c r="AG23" s="187">
        <v>1316</v>
      </c>
      <c r="AH23" s="58" t="str">
        <f ca="1">VLOOKUP($AG23,OFFSET([1]characters!$A$1,0,0,COUNTA([1]characters!$A:$A),MATCH(AH$1,[1]characters!$1:$1,0)-MATCH($A$1,[1]characters!$1:$1,0)+1),MATCH(AH$1,[1]characters!$1:$1,0)-MATCH($A$1,[1]characters!$1:$1,0)+1,FALSE)</f>
        <v>初音ミクV4X</v>
      </c>
      <c r="AI23" s="10">
        <f ca="1">IF(AE23="NULL","NULL",VLOOKUP(G23,ビット!$A$2:$B$7,2))</f>
        <v>200000</v>
      </c>
      <c r="AJ23" s="6">
        <v>2</v>
      </c>
      <c r="AK23" s="7" t="str">
        <f t="shared" si="36"/>
        <v>普通</v>
      </c>
      <c r="AL23" s="10" t="str">
        <f ca="1">INDEX(経験値!$A$1:$I$21,MATCH(H23,経験値!$A$1:$A$21,FALSE),MATCH(G23,経験値!$A$1:$I$1,FALSE))</f>
        <v>required_exp_250</v>
      </c>
      <c r="AM23" s="8">
        <f ca="1">VLOOKUP(G23,経験値!$A$28:$B$32,2)</f>
        <v>6400</v>
      </c>
      <c r="AN23" s="16">
        <f ca="1">VLOOKUP(G23,ビット!$G$2:$H$7,2)</f>
        <v>900</v>
      </c>
      <c r="AO23" s="41"/>
      <c r="AP23" s="63">
        <v>1316</v>
      </c>
      <c r="AQ23" s="53" t="str">
        <f ca="1">VLOOKUP($AP23,OFFSET(unit_skills!$A$1,0,0,COUNTA(unit_skills!$A:$A),MATCH(AQ$1,unit_skills!$1:$1,0)-MATCH($AP$1,unit_skills!$1:$1,0)+1),MATCH(AQ$1,unit_skills!$1:$1,0)-MATCH($AP$1,unit_skills!$1:$1,0)+1,FALSE)</f>
        <v>カラフル･エボリューション</v>
      </c>
      <c r="AR23" s="53" t="str">
        <f ca="1">VLOOKUP($AP23,OFFSET(unit_skills!$A$1,0,0,COUNTA(unit_skills!$A:$A),MATCH(AR$1,unit_skills!$1:$1,0)-MATCH($AP$1,unit_skills!$1:$1,0)+1),MATCH(AR$1,unit_skills!$1:$1,0)-MATCH($AP$1,unit_skills!$1:$1,0)+1,FALSE)</f>
        <v>マグネットパネル(緑→黄→ハート→赤)1個、青をハート、赤を黄パネルに変換+1ターン全ユニットCパネル生成短縮超大</v>
      </c>
      <c r="AS23" s="53">
        <f ca="1">VLOOKUP($AP23,OFFSET(unit_skills!$A$1,0,0,COUNTA(unit_skills!$A:$A),MATCH(AS$1,unit_skills!$1:$1,0)-MATCH($AP$1,unit_skills!$1:$1,0)+1),MATCH(AS$1,unit_skills!$1:$1,0)-MATCH($AP$1,unit_skills!$1:$1,0)+1,FALSE)</f>
        <v>0</v>
      </c>
      <c r="AT23" s="63">
        <v>1316</v>
      </c>
      <c r="AU23" s="53" t="str">
        <f ca="1">VLOOKUP($AT23,OFFSET(crash_skills!$A$1,0,0,COUNTA(crash_skills!$A:$A),MATCH(AU$1,crash_skills!$1:$1,0)-MATCH($AT$1,crash_skills!$1:$1,0)+1),MATCH(AU$1,crash_skills!$1:$1,0)-MATCH($AT$1,crash_skills!$1:$1,0)+1,FALSE)</f>
        <v>ナチュラルノーツ・リファイン</v>
      </c>
      <c r="AV23" s="53" t="str">
        <f ca="1">VLOOKUP($AT23,OFFSET(crash_skills!$A$1,0,0,COUNTA(crash_skills!$A:$A),MATCH(AV$1,crash_skills!$1:$1,0)-MATCH($AT$1,crash_skills!$1:$1,0)+1),MATCH(AV$1,crash_skills!$1:$1,0)-MATCH($AT$1,crash_skills!$1:$1,0)+1,FALSE)</f>
        <v>1体に超大ダメージ</v>
      </c>
      <c r="AW23" s="53">
        <f ca="1">VLOOKUP($AT23,OFFSET(crash_skills!$A$1,0,0,COUNTA(crash_skills!$A:$A),MATCH(AW$1,crash_skills!$1:$1,0)-MATCH($AT$1,crash_skills!$1:$1,0)+1),MATCH(AW$1,crash_skills!$1:$1,0)-MATCH($AT$1,crash_skills!$1:$1,0)+1,FALSE)</f>
        <v>0</v>
      </c>
      <c r="AX23" s="54">
        <f ca="1">VLOOKUP($A23,OFFSET([1]characters!$A$1,0,0,COUNTA([1]characters!$A:$A),MATCH(AX$1,[1]characters!$1:$1,0)-MATCH($A$1,[1]characters!$1:$1,0)+1),MATCH(AX$1,[1]characters!$1:$1,0)-MATCH($A$1,[1]characters!$1:$1,0)+1,FALSE)</f>
        <v>3</v>
      </c>
      <c r="AY23" s="64">
        <v>0.90400000000000003</v>
      </c>
      <c r="AZ23" s="64">
        <v>1.1559999999999999</v>
      </c>
      <c r="BA23" s="64">
        <v>0</v>
      </c>
      <c r="BB23" s="64">
        <v>1</v>
      </c>
      <c r="BC23" s="10">
        <f ca="1">INDEX('RC6SV'!$A$1:$G$21,MATCH(H23,'RC6SV'!$A$1:$A$21,FALSE),MATCH(G23,'RC6SV'!$A$1:$G$1,FALSE))</f>
        <v>10000</v>
      </c>
      <c r="BD23" s="44">
        <f t="shared" ca="1" si="37"/>
        <v>10000</v>
      </c>
      <c r="BE23" s="10">
        <f t="shared" ca="1" si="2"/>
        <v>0</v>
      </c>
      <c r="BF23" s="10">
        <f t="shared" ca="1" si="3"/>
        <v>1</v>
      </c>
      <c r="BG23" s="15">
        <f ca="1">IF($BE23&lt;=0,ROUND(BK23*0.5,0), ROUND($BE23*S23*AA23*J23*AY23*0.8*[1]ステータス!$B$2,0))</f>
        <v>2305</v>
      </c>
      <c r="BH23" s="15">
        <f ca="1">IF($BE23&lt;=0,ROUND(BL23*0.5,0), ROUND($BE23*T23*AB23*K23*AZ23*0.8*[1]ステータス!$C$2,0))</f>
        <v>1700</v>
      </c>
      <c r="BI23" s="15">
        <f ca="1">IF($BE23&lt;=0,ROUND(BM23*0.5,0), ROUND($BE23*U23*AC23*L23*BA23*0.8*[1]ステータス!$D$2,0))</f>
        <v>0</v>
      </c>
      <c r="BJ23" s="15">
        <f ca="1">IF($BE23&lt;=0,ROUND(BN23*0.5,0), ROUND($BE23*V23*AD23*M23*BB23*0.8*[1]ステータス!$E$2,0))</f>
        <v>1250</v>
      </c>
      <c r="BK23" s="10">
        <f ca="1">ROUND(BD23*S23*AA23*J23*AY23*[1]ステータス!$B$2,0)</f>
        <v>4610</v>
      </c>
      <c r="BL23" s="10">
        <f ca="1">ROUND(BD23*T23*AB23*K23*AZ23*[1]ステータス!$C$2,0)</f>
        <v>3399</v>
      </c>
      <c r="BM23" s="10">
        <f ca="1">ROUND(BD23*U23*AC23*L23*BA23*[1]ステータス!$D$2,0)</f>
        <v>0</v>
      </c>
      <c r="BN23" s="10">
        <f ca="1">ROUND(BD23*V23*AD23*M23*BB23*[1]ステータス!$E$2,0)</f>
        <v>2500</v>
      </c>
      <c r="BO23" s="9">
        <v>0</v>
      </c>
      <c r="BP23" s="9">
        <v>1</v>
      </c>
      <c r="BQ23" s="9" t="s">
        <v>47</v>
      </c>
      <c r="BR23" s="202">
        <v>6000</v>
      </c>
    </row>
    <row r="24" spans="1:70" ht="26" customHeight="1" x14ac:dyDescent="0.15">
      <c r="A24" s="186">
        <v>1317</v>
      </c>
      <c r="B24" s="53" t="str">
        <f ca="1">VLOOKUP($A24,OFFSET([1]characters!$A$1,0,0,COUNTA([1]characters!$A:$A),MATCH(B$1,[1]characters!$1:$1,0)-MATCH($A$1,[1]characters!$1:$1,0)+1),MATCH(B$1,[1]characters!$1:$1,0)-MATCH($A$1,[1]characters!$1:$1,0)+1,FALSE)</f>
        <v>進歌する声域 初音ミクV4X</v>
      </c>
      <c r="C24" s="53">
        <f ca="1">VLOOKUP($A24,OFFSET([1]characters!$A$1,0,0,COUNTA([1]characters!$A:$A),MATCH(C$1,[1]characters!$1:$1,0)-MATCH($A$1,[1]characters!$1:$1,0)+1),MATCH(C$1,[1]characters!$1:$1,0)-MATCH($A$1,[1]characters!$1:$1,0)+1,FALSE)</f>
        <v>0</v>
      </c>
      <c r="D24" s="53">
        <f ca="1">VLOOKUP($A24,OFFSET([1]characters!$A$1,0,0,COUNTA([1]characters!$A:$A),MATCH(D$1,[1]characters!$1:$1,0)-MATCH($A$1,[1]characters!$1:$1,0)+1),MATCH(D$1,[1]characters!$1:$1,0)-MATCH($A$1,[1]characters!$1:$1,0)+1,FALSE)</f>
        <v>0</v>
      </c>
      <c r="E24" s="53">
        <f ca="1">VLOOKUP($A24,OFFSET([1]characters!$A$1,0,0,COUNTA([1]characters!$A:$A),MATCH(E$1,[1]characters!$1:$1,0)-MATCH($A$1,[1]characters!$1:$1,0)+1),MATCH(E$1,[1]characters!$1:$1,0)-MATCH($A$1,[1]characters!$1:$1,0)+1,FALSE)</f>
        <v>0</v>
      </c>
      <c r="F24" s="53">
        <f ca="1">VLOOKUP($A24,OFFSET([1]characters!$A$1,0,0,COUNTA([1]characters!$A:$A),MATCH(F$1,[1]characters!$1:$1,0)-MATCH($A$1,[1]characters!$1:$1,0)+1),MATCH(F$1,[1]characters!$1:$1,0)-MATCH($A$1,[1]characters!$1:$1,0)+1,FALSE)</f>
        <v>0</v>
      </c>
      <c r="G24" s="53">
        <f ca="1">VLOOKUP($A24,OFFSET([1]characters!$A$1,0,0,COUNTA([1]characters!$A:$A),MATCH(G$1,[1]characters!$1:$1,0)-MATCH($A$1,[1]characters!$1:$1,0)+1),MATCH(G$1,[1]characters!$1:$1,0)-MATCH($A$1,[1]characters!$1:$1,0)+1,FALSE)</f>
        <v>6</v>
      </c>
      <c r="H24" s="53" t="str">
        <f ca="1">VLOOKUP($A24,OFFSET([1]characters!$A$1,0,0,COUNTA([1]characters!$A:$A),MATCH(H$1,[1]characters!$1:$1,0)-MATCH($A$1,[1]characters!$1:$1,0)+1),MATCH(H$1,[1]characters!$1:$1,0)-MATCH($A$1,[1]characters!$1:$1,0)+1,FALSE)</f>
        <v>PremiumSSS</v>
      </c>
      <c r="I24" s="53" t="str">
        <f ca="1">VLOOKUP($A24,OFFSET([1]characters!$A$1,0,0,COUNTA([1]characters!$A:$A),MATCH(I$1,[1]characters!$1:$1,0)-MATCH($A$1,[1]characters!$1:$1,0)+1),MATCH(I$1,[1]characters!$1:$1,0)-MATCH($A$1,[1]characters!$1:$1,0)+1,FALSE)</f>
        <v>green</v>
      </c>
      <c r="J24" s="10">
        <f ca="1">VLOOKUP(I24,[1]属性!$A:$E,2,FALSE)</f>
        <v>1.02</v>
      </c>
      <c r="K24" s="10">
        <f ca="1">VLOOKUP(I24,[1]属性!$A:$E,3,FALSE)</f>
        <v>0.98</v>
      </c>
      <c r="L24" s="10">
        <f ca="1">VLOOKUP(I24,[1]属性!$A:$E,4,FALSE)</f>
        <v>1</v>
      </c>
      <c r="M24" s="10">
        <f ca="1">VLOOKUP(I24,[1]属性!$A:$E,5,FALSE)</f>
        <v>1</v>
      </c>
      <c r="N24" s="10">
        <f ca="1">INDEX(コスト!$A$1:$I$21,MATCH(H24,コスト!$A$1:$A$21,FALSE),MATCH(G24,コスト!$A$1:$I$1,FALSE))</f>
        <v>55</v>
      </c>
      <c r="O24" s="10">
        <f ca="1">INDEX(レベル!$A$1:$I$22,MATCH(H24,レベル!$A$1:$A$22,FALSE),MATCH(G24,レベル!$A$1:$I$1,FALSE))</f>
        <v>99</v>
      </c>
      <c r="P24" s="44">
        <f t="shared" ca="1" si="35"/>
        <v>99</v>
      </c>
      <c r="Q24" s="53" t="str">
        <f ca="1">VLOOKUP($A24,OFFSET([1]characters!$A$1,0,0,COUNTA([1]characters!$A:$A),MATCH(Q$1,[1]characters!$1:$1,0)-MATCH($A$1,[1]characters!$1:$1,0)+1),MATCH(Q$1,[1]characters!$1:$1,0)-MATCH($A$1,[1]characters!$1:$1,0)+1,FALSE)</f>
        <v>balance</v>
      </c>
      <c r="R24" s="5" t="str">
        <f ca="1">VLOOKUP(Q24,[1]character_type_i18n!$A:$H,3,FALSE)</f>
        <v>バランスタイプ</v>
      </c>
      <c r="S24" s="10">
        <f ca="1">VLOOKUP(Q24,[1]character_type_i18n!$A:$H,4,FALSE)</f>
        <v>1</v>
      </c>
      <c r="T24" s="10">
        <f ca="1">VLOOKUP(Q24,[1]character_type_i18n!$A:$H,5,FALSE)</f>
        <v>1</v>
      </c>
      <c r="U24" s="10">
        <f ca="1">VLOOKUP(Q24,[1]character_type_i18n!$A:$H,6,FALSE)</f>
        <v>1</v>
      </c>
      <c r="V24" s="10">
        <f ca="1">VLOOKUP(Q24,[1]character_type_i18n!$A:$H,7,FALSE)</f>
        <v>1</v>
      </c>
      <c r="W24" s="53" t="str">
        <f ca="1">VLOOKUP($A24,OFFSET([1]characters!$A$1,0,0,COUNTA([1]characters!$A:$A),MATCH(W$1,[1]characters!$1:$1,0)-MATCH($A$1,[1]characters!$1:$1,0)+1),MATCH(W$1,[1]characters!$1:$1,0)-MATCH($A$1,[1]characters!$1:$1,0)+1,FALSE)</f>
        <v>unknown</v>
      </c>
      <c r="X24" s="5" t="str">
        <f ca="1">VLOOKUP(W24,[1]character_tribe_i18n!$A:$H,3,FALSE)</f>
        <v>Unknown</v>
      </c>
      <c r="Y24" s="53" t="str">
        <f ca="1">VLOOKUP($A24,OFFSET([1]characters!$A$1,0,0,COUNTA([1]characters!$A:$A),MATCH(Y$1,[1]characters!$1:$1,0)-MATCH($A$1,[1]characters!$1:$1,0)+1),MATCH(Y$1,[1]characters!$1:$1,0)-MATCH($A$1,[1]characters!$1:$1,0)+1,FALSE)</f>
        <v>none</v>
      </c>
      <c r="Z24" s="5" t="str">
        <f ca="1">VLOOKUP(Y24,[1]character_tribe_i18n!$A:$H,3,FALSE)</f>
        <v>種族なし</v>
      </c>
      <c r="AA24" s="10">
        <f ca="1">VLOOKUP(W24,[1]character_tribe_i18n!$A:$H,4,FALSE)</f>
        <v>1</v>
      </c>
      <c r="AB24" s="10">
        <f ca="1">VLOOKUP(W24,[1]character_tribe_i18n!$A:$H,5,FALSE)</f>
        <v>1</v>
      </c>
      <c r="AC24" s="10">
        <f ca="1">VLOOKUP(W24,[1]character_tribe_i18n!$A:$H,6,FALSE)</f>
        <v>1</v>
      </c>
      <c r="AD24" s="10">
        <f ca="1">VLOOKUP(W24,[1]character_tribe_i18n!$A:$H,7,FALSE)</f>
        <v>1</v>
      </c>
      <c r="AE24" s="187" t="s">
        <v>318</v>
      </c>
      <c r="AF24" s="58" t="str">
        <f ca="1">IF(AE24="NULL","",VLOOKUP($AE24,OFFSET([1]characters!$A$1,0,0,COUNTA([1]characters!$A:$A),MATCH(AF$1,[1]characters!$1:$1,0)-MATCH($A$1,[1]characters!$1:$1,0)+1),MATCH(AF$1,[1]characters!$1:$1,0)-MATCH($A$1,[1]characters!$1:$1,0)+1,FALSE))</f>
        <v/>
      </c>
      <c r="AG24" s="187">
        <v>1316</v>
      </c>
      <c r="AH24" s="58" t="str">
        <f ca="1">VLOOKUP($AG24,OFFSET([1]characters!$A$1,0,0,COUNTA([1]characters!$A:$A),MATCH(AH$1,[1]characters!$1:$1,0)-MATCH($A$1,[1]characters!$1:$1,0)+1),MATCH(AH$1,[1]characters!$1:$1,0)-MATCH($A$1,[1]characters!$1:$1,0)+1,FALSE)</f>
        <v>初音ミクV4X</v>
      </c>
      <c r="AI24" s="10" t="str">
        <f>IF(AE24="NULL","NULL",VLOOKUP(G24,ビット!$A$2:$B$7,2))</f>
        <v>NULL</v>
      </c>
      <c r="AJ24" s="6">
        <v>2</v>
      </c>
      <c r="AK24" s="7" t="str">
        <f t="shared" si="36"/>
        <v>普通</v>
      </c>
      <c r="AL24" s="10" t="str">
        <f ca="1">INDEX(経験値!$A$1:$I$21,MATCH(H24,経験値!$A$1:$A$21,FALSE),MATCH(G24,経験値!$A$1:$I$1,FALSE))</f>
        <v>required_exp_300</v>
      </c>
      <c r="AM24" s="8">
        <f ca="1">VLOOKUP(G24,経験値!$A$28:$B$32,2)</f>
        <v>6400</v>
      </c>
      <c r="AN24" s="16">
        <f ca="1">VLOOKUP(G24,ビット!$G$2:$H$7,2)</f>
        <v>900</v>
      </c>
      <c r="AO24" s="41"/>
      <c r="AP24" s="63">
        <v>1317</v>
      </c>
      <c r="AQ24" s="53" t="str">
        <f ca="1">VLOOKUP($AP24,OFFSET(unit_skills!$A$1,0,0,COUNTA(unit_skills!$A:$A),MATCH(AQ$1,unit_skills!$1:$1,0)-MATCH($AP$1,unit_skills!$1:$1,0)+1),MATCH(AQ$1,unit_skills!$1:$1,0)-MATCH($AP$1,unit_skills!$1:$1,0)+1,FALSE)</f>
        <v>ビビッドネス･エボリューション</v>
      </c>
      <c r="AR24" s="53" t="str">
        <f ca="1">VLOOKUP($AP24,OFFSET(unit_skills!$A$1,0,0,COUNTA(unit_skills!$A:$A),MATCH(AR$1,unit_skills!$1:$1,0)-MATCH($AP$1,unit_skills!$1:$1,0)+1),MATCH(AR$1,unit_skills!$1:$1,0)-MATCH($AP$1,unit_skills!$1:$1,0)+1,FALSE)</f>
        <v>マグネットパネル(緑→黄→ハート→赤)1個、青をハート、赤を黄パネルに変換+2ターン全ユニットCパネル生成短縮激烈</v>
      </c>
      <c r="AS24" s="53">
        <f ca="1">VLOOKUP($AP24,OFFSET(unit_skills!$A$1,0,0,COUNTA(unit_skills!$A:$A),MATCH(AS$1,unit_skills!$1:$1,0)-MATCH($AP$1,unit_skills!$1:$1,0)+1),MATCH(AS$1,unit_skills!$1:$1,0)-MATCH($AP$1,unit_skills!$1:$1,0)+1,FALSE)</f>
        <v>0</v>
      </c>
      <c r="AT24" s="63">
        <v>1317</v>
      </c>
      <c r="AU24" s="53" t="str">
        <f ca="1">VLOOKUP($AT24,OFFSET(crash_skills!$A$1,0,0,COUNTA(crash_skills!$A:$A),MATCH(AU$1,crash_skills!$1:$1,0)-MATCH($AT$1,crash_skills!$1:$1,0)+1),MATCH(AU$1,crash_skills!$1:$1,0)-MATCH($AT$1,crash_skills!$1:$1,0)+1,FALSE)</f>
        <v>ナチュラルノーツ・リファイン</v>
      </c>
      <c r="AV24" s="53" t="str">
        <f ca="1">VLOOKUP($AT24,OFFSET(crash_skills!$A$1,0,0,COUNTA(crash_skills!$A:$A),MATCH(AV$1,crash_skills!$1:$1,0)-MATCH($AT$1,crash_skills!$1:$1,0)+1),MATCH(AV$1,crash_skills!$1:$1,0)-MATCH($AT$1,crash_skills!$1:$1,0)+1,FALSE)</f>
        <v>1体に超大ダメージ</v>
      </c>
      <c r="AW24" s="53">
        <f ca="1">VLOOKUP($AT24,OFFSET(crash_skills!$A$1,0,0,COUNTA(crash_skills!$A:$A),MATCH(AW$1,crash_skills!$1:$1,0)-MATCH($AT$1,crash_skills!$1:$1,0)+1),MATCH(AW$1,crash_skills!$1:$1,0)-MATCH($AT$1,crash_skills!$1:$1,0)+1,FALSE)</f>
        <v>0</v>
      </c>
      <c r="AX24" s="54">
        <f ca="1">VLOOKUP($A24,OFFSET([1]characters!$A$1,0,0,COUNTA([1]characters!$A:$A),MATCH(AX$1,[1]characters!$1:$1,0)-MATCH($A$1,[1]characters!$1:$1,0)+1),MATCH(AX$1,[1]characters!$1:$1,0)-MATCH($A$1,[1]characters!$1:$1,0)+1,FALSE)</f>
        <v>3</v>
      </c>
      <c r="AY24" s="64">
        <v>0.90400000000000003</v>
      </c>
      <c r="AZ24" s="64">
        <v>1.1559999999999999</v>
      </c>
      <c r="BA24" s="64">
        <v>0</v>
      </c>
      <c r="BB24" s="64">
        <v>1</v>
      </c>
      <c r="BC24" s="10">
        <f ca="1">INDEX('RC6SV'!$A$1:$G$21,MATCH(H24,'RC6SV'!$A$1:$A$21,FALSE),MATCH(G24,'RC6SV'!$A$1:$G$1,FALSE))</f>
        <v>14000</v>
      </c>
      <c r="BD24" s="44">
        <f t="shared" ca="1" si="37"/>
        <v>14000</v>
      </c>
      <c r="BE24" s="10">
        <f t="shared" ca="1" si="2"/>
        <v>10000</v>
      </c>
      <c r="BF24" s="10">
        <f t="shared" ca="1" si="3"/>
        <v>1</v>
      </c>
      <c r="BG24" s="15">
        <f ca="1">IF($BE24&lt;=0,ROUND(BK24*0.5,0), ROUND($BE24*S24*AA24*J24*AY24*0.8*[1]ステータス!$B$2,0))</f>
        <v>3688</v>
      </c>
      <c r="BH24" s="15">
        <f ca="1">IF($BE24&lt;=0,ROUND(BL24*0.5,0), ROUND($BE24*T24*AB24*K24*AZ24*0.8*[1]ステータス!$C$2,0))</f>
        <v>2719</v>
      </c>
      <c r="BI24" s="15">
        <f ca="1">IF($BE24&lt;=0,ROUND(BM24*0.5,0), ROUND($BE24*U24*AC24*L24*BA24*0.8*[1]ステータス!$D$2,0))</f>
        <v>0</v>
      </c>
      <c r="BJ24" s="15">
        <f ca="1">IF($BE24&lt;=0,ROUND(BN24*0.5,0), ROUND($BE24*V24*AD24*M24*BB24*0.8*[1]ステータス!$E$2,0))</f>
        <v>2000</v>
      </c>
      <c r="BK24" s="10">
        <f ca="1">ROUND(BD24*S24*AA24*J24*AY24*[1]ステータス!$B$2,0)</f>
        <v>6455</v>
      </c>
      <c r="BL24" s="10">
        <f ca="1">ROUND(BD24*T24*AB24*K24*AZ24*[1]ステータス!$C$2,0)</f>
        <v>4758</v>
      </c>
      <c r="BM24" s="10">
        <f ca="1">ROUND(BD24*U24*AC24*L24*BA24*[1]ステータス!$D$2,0)</f>
        <v>0</v>
      </c>
      <c r="BN24" s="10">
        <f ca="1">ROUND(BD24*V24*AD24*M24*BB24*[1]ステータス!$E$2,0)</f>
        <v>3500</v>
      </c>
      <c r="BO24" s="9">
        <v>0</v>
      </c>
      <c r="BP24" s="9">
        <v>1</v>
      </c>
      <c r="BQ24" s="9" t="s">
        <v>47</v>
      </c>
      <c r="BR24" s="202">
        <v>6000</v>
      </c>
    </row>
    <row r="25" spans="1:70" ht="26" customHeight="1" x14ac:dyDescent="0.15">
      <c r="A25" s="186">
        <v>1318</v>
      </c>
      <c r="B25" s="53" t="str">
        <f ca="1">VLOOKUP($A25,OFFSET([1]characters!$A$1,0,0,COUNTA([1]characters!$A:$A),MATCH(B$1,[1]characters!$1:$1,0)-MATCH($A$1,[1]characters!$1:$1,0)+1),MATCH(B$1,[1]characters!$1:$1,0)-MATCH($A$1,[1]characters!$1:$1,0)+1,FALSE)</f>
        <v>鏡音リンV4X</v>
      </c>
      <c r="C25" s="53">
        <f ca="1">VLOOKUP($A25,OFFSET([1]characters!$A$1,0,0,COUNTA([1]characters!$A:$A),MATCH(C$1,[1]characters!$1:$1,0)-MATCH($A$1,[1]characters!$1:$1,0)+1),MATCH(C$1,[1]characters!$1:$1,0)-MATCH($A$1,[1]characters!$1:$1,0)+1,FALSE)</f>
        <v>0</v>
      </c>
      <c r="D25" s="53">
        <f ca="1">VLOOKUP($A25,OFFSET([1]characters!$A$1,0,0,COUNTA([1]characters!$A:$A),MATCH(D$1,[1]characters!$1:$1,0)-MATCH($A$1,[1]characters!$1:$1,0)+1),MATCH(D$1,[1]characters!$1:$1,0)-MATCH($A$1,[1]characters!$1:$1,0)+1,FALSE)</f>
        <v>0</v>
      </c>
      <c r="E25" s="53">
        <f ca="1">VLOOKUP($A25,OFFSET([1]characters!$A$1,0,0,COUNTA([1]characters!$A:$A),MATCH(E$1,[1]characters!$1:$1,0)-MATCH($A$1,[1]characters!$1:$1,0)+1),MATCH(E$1,[1]characters!$1:$1,0)-MATCH($A$1,[1]characters!$1:$1,0)+1,FALSE)</f>
        <v>0</v>
      </c>
      <c r="F25" s="53">
        <f ca="1">VLOOKUP($A25,OFFSET([1]characters!$A$1,0,0,COUNTA([1]characters!$A:$A),MATCH(F$1,[1]characters!$1:$1,0)-MATCH($A$1,[1]characters!$1:$1,0)+1),MATCH(F$1,[1]characters!$1:$1,0)-MATCH($A$1,[1]characters!$1:$1,0)+1,FALSE)</f>
        <v>0</v>
      </c>
      <c r="G25" s="53">
        <f ca="1">VLOOKUP($A25,OFFSET([1]characters!$A$1,0,0,COUNTA([1]characters!$A:$A),MATCH(G$1,[1]characters!$1:$1,0)-MATCH($A$1,[1]characters!$1:$1,0)+1),MATCH(G$1,[1]characters!$1:$1,0)-MATCH($A$1,[1]characters!$1:$1,0)+1,FALSE)</f>
        <v>5</v>
      </c>
      <c r="H25" s="53" t="str">
        <f ca="1">VLOOKUP($A25,OFFSET([1]characters!$A$1,0,0,COUNTA([1]characters!$A:$A),MATCH(H$1,[1]characters!$1:$1,0)-MATCH($A$1,[1]characters!$1:$1,0)+1),MATCH(H$1,[1]characters!$1:$1,0)-MATCH($A$1,[1]characters!$1:$1,0)+1,FALSE)</f>
        <v>PremiumSS</v>
      </c>
      <c r="I25" s="53" t="str">
        <f ca="1">VLOOKUP($A25,OFFSET([1]characters!$A$1,0,0,COUNTA([1]characters!$A:$A),MATCH(I$1,[1]characters!$1:$1,0)-MATCH($A$1,[1]characters!$1:$1,0)+1),MATCH(I$1,[1]characters!$1:$1,0)-MATCH($A$1,[1]characters!$1:$1,0)+1,FALSE)</f>
        <v>yellow</v>
      </c>
      <c r="J25" s="10">
        <f ca="1">VLOOKUP(I25,[1]属性!$A:$E,2,FALSE)</f>
        <v>0.98</v>
      </c>
      <c r="K25" s="10">
        <f ca="1">VLOOKUP(I25,[1]属性!$A:$E,3,FALSE)</f>
        <v>1.01</v>
      </c>
      <c r="L25" s="10">
        <f ca="1">VLOOKUP(I25,[1]属性!$A:$E,4,FALSE)</f>
        <v>1</v>
      </c>
      <c r="M25" s="10">
        <f ca="1">VLOOKUP(I25,[1]属性!$A:$E,5,FALSE)</f>
        <v>1.01</v>
      </c>
      <c r="N25" s="10">
        <f ca="1">INDEX(コスト!$A$1:$I$21,MATCH(H25,コスト!$A$1:$A$21,FALSE),MATCH(G25,コスト!$A$1:$I$1,FALSE))</f>
        <v>35</v>
      </c>
      <c r="O25" s="10">
        <f ca="1">INDEX(レベル!$A$1:$I$22,MATCH(H25,レベル!$A$1:$A$22,FALSE),MATCH(G25,レベル!$A$1:$I$1,FALSE))</f>
        <v>80</v>
      </c>
      <c r="P25" s="44">
        <f t="shared" ca="1" si="35"/>
        <v>75</v>
      </c>
      <c r="Q25" s="53" t="str">
        <f ca="1">VLOOKUP($A25,OFFSET([1]characters!$A$1,0,0,COUNTA([1]characters!$A:$A),MATCH(Q$1,[1]characters!$1:$1,0)-MATCH($A$1,[1]characters!$1:$1,0)+1),MATCH(Q$1,[1]characters!$1:$1,0)-MATCH($A$1,[1]characters!$1:$1,0)+1,FALSE)</f>
        <v>heal</v>
      </c>
      <c r="R25" s="5" t="str">
        <f ca="1">VLOOKUP(Q25,[1]character_type_i18n!$A:$H,3,FALSE)</f>
        <v>回復タイプ</v>
      </c>
      <c r="S25" s="10">
        <f ca="1">VLOOKUP(Q25,[1]character_type_i18n!$A:$H,4,FALSE)</f>
        <v>0.8</v>
      </c>
      <c r="T25" s="10">
        <f ca="1">VLOOKUP(Q25,[1]character_type_i18n!$A:$H,5,FALSE)</f>
        <v>0.78</v>
      </c>
      <c r="U25" s="10">
        <f ca="1">VLOOKUP(Q25,[1]character_type_i18n!$A:$H,6,FALSE)</f>
        <v>1</v>
      </c>
      <c r="V25" s="10">
        <f ca="1">VLOOKUP(Q25,[1]character_type_i18n!$A:$H,7,FALSE)</f>
        <v>1.42</v>
      </c>
      <c r="W25" s="53" t="str">
        <f ca="1">VLOOKUP($A25,OFFSET([1]characters!$A$1,0,0,COUNTA([1]characters!$A:$A),MATCH(W$1,[1]characters!$1:$1,0)-MATCH($A$1,[1]characters!$1:$1,0)+1),MATCH(W$1,[1]characters!$1:$1,0)-MATCH($A$1,[1]characters!$1:$1,0)+1,FALSE)</f>
        <v>unknown</v>
      </c>
      <c r="X25" s="5" t="str">
        <f ca="1">VLOOKUP(W25,[1]character_tribe_i18n!$A:$H,3,FALSE)</f>
        <v>Unknown</v>
      </c>
      <c r="Y25" s="53" t="str">
        <f ca="1">VLOOKUP($A25,OFFSET([1]characters!$A$1,0,0,COUNTA([1]characters!$A:$A),MATCH(Y$1,[1]characters!$1:$1,0)-MATCH($A$1,[1]characters!$1:$1,0)+1),MATCH(Y$1,[1]characters!$1:$1,0)-MATCH($A$1,[1]characters!$1:$1,0)+1,FALSE)</f>
        <v>none</v>
      </c>
      <c r="Z25" s="5" t="str">
        <f ca="1">VLOOKUP(Y25,[1]character_tribe_i18n!$A:$H,3,FALSE)</f>
        <v>種族なし</v>
      </c>
      <c r="AA25" s="10">
        <f ca="1">VLOOKUP(W25,[1]character_tribe_i18n!$A:$H,4,FALSE)</f>
        <v>1</v>
      </c>
      <c r="AB25" s="10">
        <f ca="1">VLOOKUP(W25,[1]character_tribe_i18n!$A:$H,5,FALSE)</f>
        <v>1</v>
      </c>
      <c r="AC25" s="10">
        <f ca="1">VLOOKUP(W25,[1]character_tribe_i18n!$A:$H,6,FALSE)</f>
        <v>1</v>
      </c>
      <c r="AD25" s="10">
        <f ca="1">VLOOKUP(W25,[1]character_tribe_i18n!$A:$H,7,FALSE)</f>
        <v>1</v>
      </c>
      <c r="AE25" s="187">
        <v>1319</v>
      </c>
      <c r="AF25" s="58" t="str">
        <f ca="1">IF(AE25="NULL","",VLOOKUP($AE25,OFFSET([1]characters!$A$1,0,0,COUNTA([1]characters!$A:$A),MATCH(AF$1,[1]characters!$1:$1,0)-MATCH($A$1,[1]characters!$1:$1,0)+1),MATCH(AF$1,[1]characters!$1:$1,0)-MATCH($A$1,[1]characters!$1:$1,0)+1,FALSE))</f>
        <v>甘恋の激唱歌 鏡音リンV4X</v>
      </c>
      <c r="AG25" s="187">
        <v>1318</v>
      </c>
      <c r="AH25" s="58" t="str">
        <f ca="1">VLOOKUP($AG25,OFFSET([1]characters!$A$1,0,0,COUNTA([1]characters!$A:$A),MATCH(AH$1,[1]characters!$1:$1,0)-MATCH($A$1,[1]characters!$1:$1,0)+1),MATCH(AH$1,[1]characters!$1:$1,0)-MATCH($A$1,[1]characters!$1:$1,0)+1,FALSE)</f>
        <v>鏡音リンV4X</v>
      </c>
      <c r="AI25" s="10">
        <f ca="1">IF(AE25="NULL","NULL",VLOOKUP(G25,ビット!$A$2:$B$7,2))</f>
        <v>200000</v>
      </c>
      <c r="AJ25" s="6">
        <v>2</v>
      </c>
      <c r="AK25" s="7" t="str">
        <f t="shared" si="36"/>
        <v>普通</v>
      </c>
      <c r="AL25" s="10" t="str">
        <f ca="1">INDEX(経験値!$A$1:$I$21,MATCH(H25,経験値!$A$1:$A$21,FALSE),MATCH(G25,経験値!$A$1:$I$1,FALSE))</f>
        <v>required_exp_200</v>
      </c>
      <c r="AM25" s="8">
        <f ca="1">VLOOKUP(G25,経験値!$A$28:$B$32,2)</f>
        <v>6400</v>
      </c>
      <c r="AN25" s="16">
        <f ca="1">VLOOKUP(G25,ビット!$G$2:$H$7,2)</f>
        <v>900</v>
      </c>
      <c r="AO25" s="41"/>
      <c r="AP25" s="63">
        <v>1318</v>
      </c>
      <c r="AQ25" s="53" t="str">
        <f ca="1">VLOOKUP($AP25,OFFSET(unit_skills!$A$1,0,0,COUNTA(unit_skills!$A:$A),MATCH(AQ$1,unit_skills!$1:$1,0)-MATCH($AP$1,unit_skills!$1:$1,0)+1),MATCH(AQ$1,unit_skills!$1:$1,0)-MATCH($AP$1,unit_skills!$1:$1,0)+1,FALSE)</f>
        <v>愛唱イリュージョン</v>
      </c>
      <c r="AR25" s="53" t="str">
        <f ca="1">VLOOKUP($AP25,OFFSET(unit_skills!$A$1,0,0,COUNTA(unit_skills!$A:$A),MATCH(AR$1,unit_skills!$1:$1,0)-MATCH($AP$1,unit_skills!$1:$1,0)+1),MATCH(AR$1,unit_skills!$1:$1,0)-MATCH($AP$1,unit_skills!$1:$1,0)+1,FALSE)</f>
        <v>赤・緑パネルをCパネルに変換+2ターン黄属性ユニットと種族Unknownの防御力を特大UP</v>
      </c>
      <c r="AS25" s="53">
        <f ca="1">VLOOKUP($AP25,OFFSET(unit_skills!$A$1,0,0,COUNTA(unit_skills!$A:$A),MATCH(AS$1,unit_skills!$1:$1,0)-MATCH($AP$1,unit_skills!$1:$1,0)+1),MATCH(AS$1,unit_skills!$1:$1,0)-MATCH($AP$1,unit_skills!$1:$1,0)+1,FALSE)</f>
        <v>0</v>
      </c>
      <c r="AT25" s="63">
        <v>1318</v>
      </c>
      <c r="AU25" s="53" t="str">
        <f ca="1">VLOOKUP($AT25,OFFSET(crash_skills!$A$1,0,0,COUNTA(crash_skills!$A:$A),MATCH(AU$1,crash_skills!$1:$1,0)-MATCH($AT$1,crash_skills!$1:$1,0)+1),MATCH(AU$1,crash_skills!$1:$1,0)-MATCH($AT$1,crash_skills!$1:$1,0)+1,FALSE)</f>
        <v>双奏・愛唱宣言☆☆</v>
      </c>
      <c r="AV25" s="53" t="str">
        <f ca="1">VLOOKUP($AT25,OFFSET(crash_skills!$A$1,0,0,COUNTA(crash_skills!$A:$A),MATCH(AV$1,crash_skills!$1:$1,0)-MATCH($AT$1,crash_skills!$1:$1,0)+1),MATCH(AV$1,crash_skills!$1:$1,0)-MATCH($AT$1,crash_skills!$1:$1,0)+1,FALSE)</f>
        <v>1体に特大ダメージ+_x000D_HP回復</v>
      </c>
      <c r="AW25" s="53">
        <f ca="1">VLOOKUP($AT25,OFFSET(crash_skills!$A$1,0,0,COUNTA(crash_skills!$A:$A),MATCH(AW$1,crash_skills!$1:$1,0)-MATCH($AT$1,crash_skills!$1:$1,0)+1),MATCH(AW$1,crash_skills!$1:$1,0)-MATCH($AT$1,crash_skills!$1:$1,0)+1,FALSE)</f>
        <v>0</v>
      </c>
      <c r="AX25" s="54">
        <f ca="1">VLOOKUP($A25,OFFSET([1]characters!$A$1,0,0,COUNTA([1]characters!$A:$A),MATCH(AX$1,[1]characters!$1:$1,0)-MATCH($A$1,[1]characters!$1:$1,0)+1),MATCH(AX$1,[1]characters!$1:$1,0)-MATCH($A$1,[1]characters!$1:$1,0)+1,FALSE)</f>
        <v>3</v>
      </c>
      <c r="AY25" s="64">
        <v>1.07</v>
      </c>
      <c r="AZ25" s="64">
        <v>1.2629999999999999</v>
      </c>
      <c r="BA25" s="64">
        <v>0</v>
      </c>
      <c r="BB25" s="64">
        <v>0.93600000000000005</v>
      </c>
      <c r="BC25" s="10">
        <f ca="1">INDEX('RC6SV'!$A$1:$G$21,MATCH(H25,'RC6SV'!$A$1:$A$21,FALSE),MATCH(G25,'RC6SV'!$A$1:$G$1,FALSE))</f>
        <v>9500</v>
      </c>
      <c r="BD25" s="44">
        <f t="shared" ca="1" si="37"/>
        <v>9500</v>
      </c>
      <c r="BE25" s="10">
        <f t="shared" ca="1" si="2"/>
        <v>0</v>
      </c>
      <c r="BF25" s="10">
        <f t="shared" ca="1" si="3"/>
        <v>1</v>
      </c>
      <c r="BG25" s="15">
        <f ca="1">IF($BE25&lt;=0,ROUND(BK25*0.5,0), ROUND($BE25*S25*AA25*J25*AY25*0.8*[1]ステータス!$B$2,0))</f>
        <v>1993</v>
      </c>
      <c r="BH25" s="15">
        <f ca="1">IF($BE25&lt;=0,ROUND(BL25*0.5,0), ROUND($BE25*T25*AB25*K25*AZ25*0.8*[1]ステータス!$C$2,0))</f>
        <v>1418</v>
      </c>
      <c r="BI25" s="15">
        <f ca="1">IF($BE25&lt;=0,ROUND(BM25*0.5,0), ROUND($BE25*U25*AC25*L25*BA25*0.8*[1]ステータス!$D$2,0))</f>
        <v>0</v>
      </c>
      <c r="BJ25" s="15">
        <f ca="1">IF($BE25&lt;=0,ROUND(BN25*0.5,0), ROUND($BE25*V25*AD25*M25*BB25*0.8*[1]ステータス!$E$2,0))</f>
        <v>1594</v>
      </c>
      <c r="BK25" s="10">
        <f ca="1">ROUND(BD25*S25*AA25*J25*AY25*[1]ステータス!$B$2,0)</f>
        <v>3985</v>
      </c>
      <c r="BL25" s="10">
        <f ca="1">ROUND(BD25*T25*AB25*K25*AZ25*[1]ステータス!$C$2,0)</f>
        <v>2836</v>
      </c>
      <c r="BM25" s="10">
        <f ca="1">ROUND(BD25*U25*AC25*L25*BA25*[1]ステータス!$D$2,0)</f>
        <v>0</v>
      </c>
      <c r="BN25" s="10">
        <f ca="1">ROUND(BD25*V25*AD25*M25*BB25*[1]ステータス!$E$2,0)</f>
        <v>3188</v>
      </c>
      <c r="BO25" s="9">
        <v>0</v>
      </c>
      <c r="BP25" s="9">
        <v>1</v>
      </c>
      <c r="BQ25" s="9" t="s">
        <v>47</v>
      </c>
      <c r="BR25" s="202">
        <v>1100</v>
      </c>
    </row>
    <row r="26" spans="1:70" ht="26" customHeight="1" x14ac:dyDescent="0.15">
      <c r="A26" s="186">
        <v>1319</v>
      </c>
      <c r="B26" s="53" t="str">
        <f ca="1">VLOOKUP($A26,OFFSET([1]characters!$A$1,0,0,COUNTA([1]characters!$A:$A),MATCH(B$1,[1]characters!$1:$1,0)-MATCH($A$1,[1]characters!$1:$1,0)+1),MATCH(B$1,[1]characters!$1:$1,0)-MATCH($A$1,[1]characters!$1:$1,0)+1,FALSE)</f>
        <v>甘恋の激唱歌 鏡音リンV4X</v>
      </c>
      <c r="C26" s="53">
        <f ca="1">VLOOKUP($A26,OFFSET([1]characters!$A$1,0,0,COUNTA([1]characters!$A:$A),MATCH(C$1,[1]characters!$1:$1,0)-MATCH($A$1,[1]characters!$1:$1,0)+1),MATCH(C$1,[1]characters!$1:$1,0)-MATCH($A$1,[1]characters!$1:$1,0)+1,FALSE)</f>
        <v>0</v>
      </c>
      <c r="D26" s="53">
        <f ca="1">VLOOKUP($A26,OFFSET([1]characters!$A$1,0,0,COUNTA([1]characters!$A:$A),MATCH(D$1,[1]characters!$1:$1,0)-MATCH($A$1,[1]characters!$1:$1,0)+1),MATCH(D$1,[1]characters!$1:$1,0)-MATCH($A$1,[1]characters!$1:$1,0)+1,FALSE)</f>
        <v>0</v>
      </c>
      <c r="E26" s="53">
        <f ca="1">VLOOKUP($A26,OFFSET([1]characters!$A$1,0,0,COUNTA([1]characters!$A:$A),MATCH(E$1,[1]characters!$1:$1,0)-MATCH($A$1,[1]characters!$1:$1,0)+1),MATCH(E$1,[1]characters!$1:$1,0)-MATCH($A$1,[1]characters!$1:$1,0)+1,FALSE)</f>
        <v>0</v>
      </c>
      <c r="F26" s="53">
        <f ca="1">VLOOKUP($A26,OFFSET([1]characters!$A$1,0,0,COUNTA([1]characters!$A:$A),MATCH(F$1,[1]characters!$1:$1,0)-MATCH($A$1,[1]characters!$1:$1,0)+1),MATCH(F$1,[1]characters!$1:$1,0)-MATCH($A$1,[1]characters!$1:$1,0)+1,FALSE)</f>
        <v>0</v>
      </c>
      <c r="G26" s="53">
        <f ca="1">VLOOKUP($A26,OFFSET([1]characters!$A$1,0,0,COUNTA([1]characters!$A:$A),MATCH(G$1,[1]characters!$1:$1,0)-MATCH($A$1,[1]characters!$1:$1,0)+1),MATCH(G$1,[1]characters!$1:$1,0)-MATCH($A$1,[1]characters!$1:$1,0)+1,FALSE)</f>
        <v>6</v>
      </c>
      <c r="H26" s="53" t="str">
        <f ca="1">VLOOKUP($A26,OFFSET([1]characters!$A$1,0,0,COUNTA([1]characters!$A:$A),MATCH(H$1,[1]characters!$1:$1,0)-MATCH($A$1,[1]characters!$1:$1,0)+1),MATCH(H$1,[1]characters!$1:$1,0)-MATCH($A$1,[1]characters!$1:$1,0)+1,FALSE)</f>
        <v>PremiumSS</v>
      </c>
      <c r="I26" s="53" t="str">
        <f ca="1">VLOOKUP($A26,OFFSET([1]characters!$A$1,0,0,COUNTA([1]characters!$A:$A),MATCH(I$1,[1]characters!$1:$1,0)-MATCH($A$1,[1]characters!$1:$1,0)+1),MATCH(I$1,[1]characters!$1:$1,0)-MATCH($A$1,[1]characters!$1:$1,0)+1,FALSE)</f>
        <v>yellow</v>
      </c>
      <c r="J26" s="10">
        <f ca="1">VLOOKUP(I26,[1]属性!$A:$E,2,FALSE)</f>
        <v>0.98</v>
      </c>
      <c r="K26" s="10">
        <f ca="1">VLOOKUP(I26,[1]属性!$A:$E,3,FALSE)</f>
        <v>1.01</v>
      </c>
      <c r="L26" s="10">
        <f ca="1">VLOOKUP(I26,[1]属性!$A:$E,4,FALSE)</f>
        <v>1</v>
      </c>
      <c r="M26" s="10">
        <f ca="1">VLOOKUP(I26,[1]属性!$A:$E,5,FALSE)</f>
        <v>1.01</v>
      </c>
      <c r="N26" s="10">
        <f ca="1">INDEX(コスト!$A$1:$I$21,MATCH(H26,コスト!$A$1:$A$21,FALSE),MATCH(G26,コスト!$A$1:$I$1,FALSE))</f>
        <v>50</v>
      </c>
      <c r="O26" s="10">
        <f ca="1">INDEX(レベル!$A$1:$I$22,MATCH(H26,レベル!$A$1:$A$22,FALSE),MATCH(G26,レベル!$A$1:$I$1,FALSE))</f>
        <v>99</v>
      </c>
      <c r="P26" s="44">
        <f t="shared" ca="1" si="35"/>
        <v>99</v>
      </c>
      <c r="Q26" s="53" t="str">
        <f ca="1">VLOOKUP($A26,OFFSET([1]characters!$A$1,0,0,COUNTA([1]characters!$A:$A),MATCH(Q$1,[1]characters!$1:$1,0)-MATCH($A$1,[1]characters!$1:$1,0)+1),MATCH(Q$1,[1]characters!$1:$1,0)-MATCH($A$1,[1]characters!$1:$1,0)+1,FALSE)</f>
        <v>heal</v>
      </c>
      <c r="R26" s="5" t="str">
        <f ca="1">VLOOKUP(Q26,[1]character_type_i18n!$A:$H,3,FALSE)</f>
        <v>回復タイプ</v>
      </c>
      <c r="S26" s="10">
        <f ca="1">VLOOKUP(Q26,[1]character_type_i18n!$A:$H,4,FALSE)</f>
        <v>0.8</v>
      </c>
      <c r="T26" s="10">
        <f ca="1">VLOOKUP(Q26,[1]character_type_i18n!$A:$H,5,FALSE)</f>
        <v>0.78</v>
      </c>
      <c r="U26" s="10">
        <f ca="1">VLOOKUP(Q26,[1]character_type_i18n!$A:$H,6,FALSE)</f>
        <v>1</v>
      </c>
      <c r="V26" s="10">
        <f ca="1">VLOOKUP(Q26,[1]character_type_i18n!$A:$H,7,FALSE)</f>
        <v>1.42</v>
      </c>
      <c r="W26" s="53" t="str">
        <f ca="1">VLOOKUP($A26,OFFSET([1]characters!$A$1,0,0,COUNTA([1]characters!$A:$A),MATCH(W$1,[1]characters!$1:$1,0)-MATCH($A$1,[1]characters!$1:$1,0)+1),MATCH(W$1,[1]characters!$1:$1,0)-MATCH($A$1,[1]characters!$1:$1,0)+1,FALSE)</f>
        <v>unknown</v>
      </c>
      <c r="X26" s="5" t="str">
        <f ca="1">VLOOKUP(W26,[1]character_tribe_i18n!$A:$H,3,FALSE)</f>
        <v>Unknown</v>
      </c>
      <c r="Y26" s="53" t="str">
        <f ca="1">VLOOKUP($A26,OFFSET([1]characters!$A$1,0,0,COUNTA([1]characters!$A:$A),MATCH(Y$1,[1]characters!$1:$1,0)-MATCH($A$1,[1]characters!$1:$1,0)+1),MATCH(Y$1,[1]characters!$1:$1,0)-MATCH($A$1,[1]characters!$1:$1,0)+1,FALSE)</f>
        <v>none</v>
      </c>
      <c r="Z26" s="5" t="str">
        <f ca="1">VLOOKUP(Y26,[1]character_tribe_i18n!$A:$H,3,FALSE)</f>
        <v>種族なし</v>
      </c>
      <c r="AA26" s="10">
        <f ca="1">VLOOKUP(W26,[1]character_tribe_i18n!$A:$H,4,FALSE)</f>
        <v>1</v>
      </c>
      <c r="AB26" s="10">
        <f ca="1">VLOOKUP(W26,[1]character_tribe_i18n!$A:$H,5,FALSE)</f>
        <v>1</v>
      </c>
      <c r="AC26" s="10">
        <f ca="1">VLOOKUP(W26,[1]character_tribe_i18n!$A:$H,6,FALSE)</f>
        <v>1</v>
      </c>
      <c r="AD26" s="10">
        <f ca="1">VLOOKUP(W26,[1]character_tribe_i18n!$A:$H,7,FALSE)</f>
        <v>1</v>
      </c>
      <c r="AE26" s="187" t="s">
        <v>318</v>
      </c>
      <c r="AF26" s="58" t="str">
        <f ca="1">IF(AE26="NULL","",VLOOKUP($AE26,OFFSET([1]characters!$A$1,0,0,COUNTA([1]characters!$A:$A),MATCH(AF$1,[1]characters!$1:$1,0)-MATCH($A$1,[1]characters!$1:$1,0)+1),MATCH(AF$1,[1]characters!$1:$1,0)-MATCH($A$1,[1]characters!$1:$1,0)+1,FALSE))</f>
        <v/>
      </c>
      <c r="AG26" s="187">
        <v>1318</v>
      </c>
      <c r="AH26" s="58" t="str">
        <f ca="1">VLOOKUP($AG26,OFFSET([1]characters!$A$1,0,0,COUNTA([1]characters!$A:$A),MATCH(AH$1,[1]characters!$1:$1,0)-MATCH($A$1,[1]characters!$1:$1,0)+1),MATCH(AH$1,[1]characters!$1:$1,0)-MATCH($A$1,[1]characters!$1:$1,0)+1,FALSE)</f>
        <v>鏡音リンV4X</v>
      </c>
      <c r="AI26" s="10" t="str">
        <f>IF(AE26="NULL","NULL",VLOOKUP(G26,ビット!$A$2:$B$7,2))</f>
        <v>NULL</v>
      </c>
      <c r="AJ26" s="6">
        <v>2</v>
      </c>
      <c r="AK26" s="7" t="str">
        <f t="shared" si="36"/>
        <v>普通</v>
      </c>
      <c r="AL26" s="10" t="str">
        <f ca="1">INDEX(経験値!$A$1:$I$21,MATCH(H26,経験値!$A$1:$A$21,FALSE),MATCH(G26,経験値!$A$1:$I$1,FALSE))</f>
        <v>required_exp_250</v>
      </c>
      <c r="AM26" s="8">
        <f ca="1">VLOOKUP(G26,経験値!$A$28:$B$32,2)</f>
        <v>6400</v>
      </c>
      <c r="AN26" s="16">
        <f ca="1">VLOOKUP(G26,ビット!$G$2:$H$7,2)</f>
        <v>900</v>
      </c>
      <c r="AO26" s="41"/>
      <c r="AP26" s="63">
        <v>1319</v>
      </c>
      <c r="AQ26" s="53" t="str">
        <f ca="1">VLOOKUP($AP26,OFFSET(unit_skills!$A$1,0,0,COUNTA(unit_skills!$A:$A),MATCH(AQ$1,unit_skills!$1:$1,0)-MATCH($AP$1,unit_skills!$1:$1,0)+1),MATCH(AQ$1,unit_skills!$1:$1,0)-MATCH($AP$1,unit_skills!$1:$1,0)+1,FALSE)</f>
        <v>愛唱恋歌イリュージョン</v>
      </c>
      <c r="AR26" s="53" t="str">
        <f ca="1">VLOOKUP($AP26,OFFSET(unit_skills!$A$1,0,0,COUNTA(unit_skills!$A:$A),MATCH(AR$1,unit_skills!$1:$1,0)-MATCH($AP$1,unit_skills!$1:$1,0)+1),MATCH(AR$1,unit_skills!$1:$1,0)-MATCH($AP$1,unit_skills!$1:$1,0)+1,FALSE)</f>
        <v>赤・緑パネルをCパネルに変換+2ターン黄属性ユニットと種族Unknownの防御力を超大UP</v>
      </c>
      <c r="AS26" s="53">
        <f ca="1">VLOOKUP($AP26,OFFSET(unit_skills!$A$1,0,0,COUNTA(unit_skills!$A:$A),MATCH(AS$1,unit_skills!$1:$1,0)-MATCH($AP$1,unit_skills!$1:$1,0)+1),MATCH(AS$1,unit_skills!$1:$1,0)-MATCH($AP$1,unit_skills!$1:$1,0)+1,FALSE)</f>
        <v>0</v>
      </c>
      <c r="AT26" s="63">
        <v>1319</v>
      </c>
      <c r="AU26" s="53" t="str">
        <f ca="1">VLOOKUP($AT26,OFFSET(crash_skills!$A$1,0,0,COUNTA(crash_skills!$A:$A),MATCH(AU$1,crash_skills!$1:$1,0)-MATCH($AT$1,crash_skills!$1:$1,0)+1),MATCH(AU$1,crash_skills!$1:$1,0)-MATCH($AT$1,crash_skills!$1:$1,0)+1,FALSE)</f>
        <v>双奏・愛唱宣言☆☆</v>
      </c>
      <c r="AV26" s="53" t="str">
        <f ca="1">VLOOKUP($AT26,OFFSET(crash_skills!$A$1,0,0,COUNTA(crash_skills!$A:$A),MATCH(AV$1,crash_skills!$1:$1,0)-MATCH($AT$1,crash_skills!$1:$1,0)+1),MATCH(AV$1,crash_skills!$1:$1,0)-MATCH($AT$1,crash_skills!$1:$1,0)+1,FALSE)</f>
        <v>1体に特大ダメージ+_x000D_HP回復</v>
      </c>
      <c r="AW26" s="53">
        <f ca="1">VLOOKUP($AT26,OFFSET(crash_skills!$A$1,0,0,COUNTA(crash_skills!$A:$A),MATCH(AW$1,crash_skills!$1:$1,0)-MATCH($AT$1,crash_skills!$1:$1,0)+1),MATCH(AW$1,crash_skills!$1:$1,0)-MATCH($AT$1,crash_skills!$1:$1,0)+1,FALSE)</f>
        <v>0</v>
      </c>
      <c r="AX26" s="54">
        <f ca="1">VLOOKUP($A26,OFFSET([1]characters!$A$1,0,0,COUNTA([1]characters!$A:$A),MATCH(AX$1,[1]characters!$1:$1,0)-MATCH($A$1,[1]characters!$1:$1,0)+1),MATCH(AX$1,[1]characters!$1:$1,0)-MATCH($A$1,[1]characters!$1:$1,0)+1,FALSE)</f>
        <v>3</v>
      </c>
      <c r="AY26" s="64">
        <v>1.07</v>
      </c>
      <c r="AZ26" s="64">
        <v>1.2629999999999999</v>
      </c>
      <c r="BA26" s="64">
        <v>0</v>
      </c>
      <c r="BB26" s="64">
        <v>0.93600000000000005</v>
      </c>
      <c r="BC26" s="10">
        <f ca="1">INDEX('RC6SV'!$A$1:$G$21,MATCH(H26,'RC6SV'!$A$1:$A$21,FALSE),MATCH(G26,'RC6SV'!$A$1:$G$1,FALSE))</f>
        <v>13000</v>
      </c>
      <c r="BD26" s="44">
        <f t="shared" ca="1" si="37"/>
        <v>13000</v>
      </c>
      <c r="BE26" s="10">
        <f t="shared" ca="1" si="2"/>
        <v>9500</v>
      </c>
      <c r="BF26" s="10">
        <f t="shared" ca="1" si="3"/>
        <v>1</v>
      </c>
      <c r="BG26" s="15">
        <f ca="1">IF($BE26&lt;=0,ROUND(BK26*0.5,0), ROUND($BE26*S26*AA26*J26*AY26*0.8*[1]ステータス!$B$2,0))</f>
        <v>3188</v>
      </c>
      <c r="BH26" s="15">
        <f ca="1">IF($BE26&lt;=0,ROUND(BL26*0.5,0), ROUND($BE26*T26*AB26*K26*AZ26*0.8*[1]ステータス!$C$2,0))</f>
        <v>2269</v>
      </c>
      <c r="BI26" s="15">
        <f ca="1">IF($BE26&lt;=0,ROUND(BM26*0.5,0), ROUND($BE26*U26*AC26*L26*BA26*0.8*[1]ステータス!$D$2,0))</f>
        <v>0</v>
      </c>
      <c r="BJ26" s="15">
        <f ca="1">IF($BE26&lt;=0,ROUND(BN26*0.5,0), ROUND($BE26*V26*AD26*M26*BB26*0.8*[1]ステータス!$E$2,0))</f>
        <v>2551</v>
      </c>
      <c r="BK26" s="10">
        <f ca="1">ROUND(BD26*S26*AA26*J26*AY26*[1]ステータス!$B$2,0)</f>
        <v>5453</v>
      </c>
      <c r="BL26" s="10">
        <f ca="1">ROUND(BD26*T26*AB26*K26*AZ26*[1]ステータス!$C$2,0)</f>
        <v>3880</v>
      </c>
      <c r="BM26" s="10">
        <f ca="1">ROUND(BD26*U26*AC26*L26*BA26*[1]ステータス!$D$2,0)</f>
        <v>0</v>
      </c>
      <c r="BN26" s="10">
        <f ca="1">ROUND(BD26*V26*AD26*M26*BB26*[1]ステータス!$E$2,0)</f>
        <v>4363</v>
      </c>
      <c r="BO26" s="9">
        <v>0</v>
      </c>
      <c r="BP26" s="9">
        <v>1</v>
      </c>
      <c r="BQ26" s="9" t="s">
        <v>47</v>
      </c>
      <c r="BR26" s="202">
        <v>1100</v>
      </c>
    </row>
    <row r="27" spans="1:70" ht="26" customHeight="1" x14ac:dyDescent="0.15">
      <c r="A27" s="186">
        <v>1320</v>
      </c>
      <c r="B27" s="53" t="str">
        <f ca="1">VLOOKUP($A27,OFFSET([1]characters!$A$1,0,0,COUNTA([1]characters!$A:$A),MATCH(B$1,[1]characters!$1:$1,0)-MATCH($A$1,[1]characters!$1:$1,0)+1),MATCH(B$1,[1]characters!$1:$1,0)-MATCH($A$1,[1]characters!$1:$1,0)+1,FALSE)</f>
        <v>鏡音レンV4X</v>
      </c>
      <c r="C27" s="53">
        <f ca="1">VLOOKUP($A27,OFFSET([1]characters!$A$1,0,0,COUNTA([1]characters!$A:$A),MATCH(C$1,[1]characters!$1:$1,0)-MATCH($A$1,[1]characters!$1:$1,0)+1),MATCH(C$1,[1]characters!$1:$1,0)-MATCH($A$1,[1]characters!$1:$1,0)+1,FALSE)</f>
        <v>0</v>
      </c>
      <c r="D27" s="53">
        <f ca="1">VLOOKUP($A27,OFFSET([1]characters!$A$1,0,0,COUNTA([1]characters!$A:$A),MATCH(D$1,[1]characters!$1:$1,0)-MATCH($A$1,[1]characters!$1:$1,0)+1),MATCH(D$1,[1]characters!$1:$1,0)-MATCH($A$1,[1]characters!$1:$1,0)+1,FALSE)</f>
        <v>0</v>
      </c>
      <c r="E27" s="53">
        <f ca="1">VLOOKUP($A27,OFFSET([1]characters!$A$1,0,0,COUNTA([1]characters!$A:$A),MATCH(E$1,[1]characters!$1:$1,0)-MATCH($A$1,[1]characters!$1:$1,0)+1),MATCH(E$1,[1]characters!$1:$1,0)-MATCH($A$1,[1]characters!$1:$1,0)+1,FALSE)</f>
        <v>0</v>
      </c>
      <c r="F27" s="53">
        <f ca="1">VLOOKUP($A27,OFFSET([1]characters!$A$1,0,0,COUNTA([1]characters!$A:$A),MATCH(F$1,[1]characters!$1:$1,0)-MATCH($A$1,[1]characters!$1:$1,0)+1),MATCH(F$1,[1]characters!$1:$1,0)-MATCH($A$1,[1]characters!$1:$1,0)+1,FALSE)</f>
        <v>0</v>
      </c>
      <c r="G27" s="53">
        <f ca="1">VLOOKUP($A27,OFFSET([1]characters!$A$1,0,0,COUNTA([1]characters!$A:$A),MATCH(G$1,[1]characters!$1:$1,0)-MATCH($A$1,[1]characters!$1:$1,0)+1),MATCH(G$1,[1]characters!$1:$1,0)-MATCH($A$1,[1]characters!$1:$1,0)+1,FALSE)</f>
        <v>5</v>
      </c>
      <c r="H27" s="53" t="str">
        <f ca="1">VLOOKUP($A27,OFFSET([1]characters!$A$1,0,0,COUNTA([1]characters!$A:$A),MATCH(H$1,[1]characters!$1:$1,0)-MATCH($A$1,[1]characters!$1:$1,0)+1),MATCH(H$1,[1]characters!$1:$1,0)-MATCH($A$1,[1]characters!$1:$1,0)+1,FALSE)</f>
        <v>PremiumSS</v>
      </c>
      <c r="I27" s="53" t="str">
        <f ca="1">VLOOKUP($A27,OFFSET([1]characters!$A$1,0,0,COUNTA([1]characters!$A:$A),MATCH(I$1,[1]characters!$1:$1,0)-MATCH($A$1,[1]characters!$1:$1,0)+1),MATCH(I$1,[1]characters!$1:$1,0)-MATCH($A$1,[1]characters!$1:$1,0)+1,FALSE)</f>
        <v>yellow</v>
      </c>
      <c r="J27" s="10">
        <f ca="1">VLOOKUP(I27,[1]属性!$A:$E,2,FALSE)</f>
        <v>0.98</v>
      </c>
      <c r="K27" s="10">
        <f ca="1">VLOOKUP(I27,[1]属性!$A:$E,3,FALSE)</f>
        <v>1.01</v>
      </c>
      <c r="L27" s="10">
        <f ca="1">VLOOKUP(I27,[1]属性!$A:$E,4,FALSE)</f>
        <v>1</v>
      </c>
      <c r="M27" s="10">
        <f ca="1">VLOOKUP(I27,[1]属性!$A:$E,5,FALSE)</f>
        <v>1.01</v>
      </c>
      <c r="N27" s="10">
        <f ca="1">INDEX(コスト!$A$1:$I$21,MATCH(H27,コスト!$A$1:$A$21,FALSE),MATCH(G27,コスト!$A$1:$I$1,FALSE))</f>
        <v>35</v>
      </c>
      <c r="O27" s="10">
        <f ca="1">INDEX(レベル!$A$1:$I$22,MATCH(H27,レベル!$A$1:$A$22,FALSE),MATCH(G27,レベル!$A$1:$I$1,FALSE))</f>
        <v>80</v>
      </c>
      <c r="P27" s="44">
        <f t="shared" ca="1" si="35"/>
        <v>75</v>
      </c>
      <c r="Q27" s="53" t="str">
        <f ca="1">VLOOKUP($A27,OFFSET([1]characters!$A$1,0,0,COUNTA([1]characters!$A:$A),MATCH(Q$1,[1]characters!$1:$1,0)-MATCH($A$1,[1]characters!$1:$1,0)+1),MATCH(Q$1,[1]characters!$1:$1,0)-MATCH($A$1,[1]characters!$1:$1,0)+1,FALSE)</f>
        <v>balance</v>
      </c>
      <c r="R27" s="5" t="str">
        <f ca="1">VLOOKUP(Q27,[1]character_type_i18n!$A:$H,3,FALSE)</f>
        <v>バランスタイプ</v>
      </c>
      <c r="S27" s="10">
        <f ca="1">VLOOKUP(Q27,[1]character_type_i18n!$A:$H,4,FALSE)</f>
        <v>1</v>
      </c>
      <c r="T27" s="10">
        <f ca="1">VLOOKUP(Q27,[1]character_type_i18n!$A:$H,5,FALSE)</f>
        <v>1</v>
      </c>
      <c r="U27" s="10">
        <f ca="1">VLOOKUP(Q27,[1]character_type_i18n!$A:$H,6,FALSE)</f>
        <v>1</v>
      </c>
      <c r="V27" s="10">
        <f ca="1">VLOOKUP(Q27,[1]character_type_i18n!$A:$H,7,FALSE)</f>
        <v>1</v>
      </c>
      <c r="W27" s="53" t="str">
        <f ca="1">VLOOKUP($A27,OFFSET([1]characters!$A$1,0,0,COUNTA([1]characters!$A:$A),MATCH(W$1,[1]characters!$1:$1,0)-MATCH($A$1,[1]characters!$1:$1,0)+1),MATCH(W$1,[1]characters!$1:$1,0)-MATCH($A$1,[1]characters!$1:$1,0)+1,FALSE)</f>
        <v>unknown</v>
      </c>
      <c r="X27" s="5" t="str">
        <f ca="1">VLOOKUP(W27,[1]character_tribe_i18n!$A:$H,3,FALSE)</f>
        <v>Unknown</v>
      </c>
      <c r="Y27" s="53" t="str">
        <f ca="1">VLOOKUP($A27,OFFSET([1]characters!$A$1,0,0,COUNTA([1]characters!$A:$A),MATCH(Y$1,[1]characters!$1:$1,0)-MATCH($A$1,[1]characters!$1:$1,0)+1),MATCH(Y$1,[1]characters!$1:$1,0)-MATCH($A$1,[1]characters!$1:$1,0)+1,FALSE)</f>
        <v>none</v>
      </c>
      <c r="Z27" s="5" t="str">
        <f ca="1">VLOOKUP(Y27,[1]character_tribe_i18n!$A:$H,3,FALSE)</f>
        <v>種族なし</v>
      </c>
      <c r="AA27" s="10">
        <f ca="1">VLOOKUP(W27,[1]character_tribe_i18n!$A:$H,4,FALSE)</f>
        <v>1</v>
      </c>
      <c r="AB27" s="10">
        <f ca="1">VLOOKUP(W27,[1]character_tribe_i18n!$A:$H,5,FALSE)</f>
        <v>1</v>
      </c>
      <c r="AC27" s="10">
        <f ca="1">VLOOKUP(W27,[1]character_tribe_i18n!$A:$H,6,FALSE)</f>
        <v>1</v>
      </c>
      <c r="AD27" s="10">
        <f ca="1">VLOOKUP(W27,[1]character_tribe_i18n!$A:$H,7,FALSE)</f>
        <v>1</v>
      </c>
      <c r="AE27" s="187">
        <v>1321</v>
      </c>
      <c r="AF27" s="58" t="str">
        <f ca="1">IF(AE27="NULL","",VLOOKUP($AE27,OFFSET([1]characters!$A$1,0,0,COUNTA([1]characters!$A:$A),MATCH(AF$1,[1]characters!$1:$1,0)-MATCH($A$1,[1]characters!$1:$1,0)+1),MATCH(AF$1,[1]characters!$1:$1,0)-MATCH($A$1,[1]characters!$1:$1,0)+1,FALSE))</f>
        <v>純凛の柔唱歌 鏡音レンV4X</v>
      </c>
      <c r="AG27" s="187">
        <v>1320</v>
      </c>
      <c r="AH27" s="58" t="str">
        <f ca="1">VLOOKUP($AG27,OFFSET([1]characters!$A$1,0,0,COUNTA([1]characters!$A:$A),MATCH(AH$1,[1]characters!$1:$1,0)-MATCH($A$1,[1]characters!$1:$1,0)+1),MATCH(AH$1,[1]characters!$1:$1,0)-MATCH($A$1,[1]characters!$1:$1,0)+1,FALSE)</f>
        <v>鏡音レンV4X</v>
      </c>
      <c r="AI27" s="10">
        <f ca="1">IF(AE27="NULL","NULL",VLOOKUP(G27,ビット!$A$2:$B$7,2))</f>
        <v>200000</v>
      </c>
      <c r="AJ27" s="6">
        <v>2</v>
      </c>
      <c r="AK27" s="7" t="str">
        <f t="shared" si="36"/>
        <v>普通</v>
      </c>
      <c r="AL27" s="10" t="str">
        <f ca="1">INDEX(経験値!$A$1:$I$21,MATCH(H27,経験値!$A$1:$A$21,FALSE),MATCH(G27,経験値!$A$1:$I$1,FALSE))</f>
        <v>required_exp_200</v>
      </c>
      <c r="AM27" s="8">
        <f ca="1">VLOOKUP(G27,経験値!$A$28:$B$32,2)</f>
        <v>6400</v>
      </c>
      <c r="AN27" s="16">
        <f ca="1">VLOOKUP(G27,ビット!$G$2:$H$7,2)</f>
        <v>900</v>
      </c>
      <c r="AO27" s="41"/>
      <c r="AP27" s="63">
        <v>1320</v>
      </c>
      <c r="AQ27" s="53" t="str">
        <f ca="1">VLOOKUP($AP27,OFFSET(unit_skills!$A$1,0,0,COUNTA(unit_skills!$A:$A),MATCH(AQ$1,unit_skills!$1:$1,0)-MATCH($AP$1,unit_skills!$1:$1,0)+1),MATCH(AQ$1,unit_skills!$1:$1,0)-MATCH($AP$1,unit_skills!$1:$1,0)+1,FALSE)</f>
        <v>晴唱イリュージョン</v>
      </c>
      <c r="AR27" s="53" t="str">
        <f ca="1">VLOOKUP($AP27,OFFSET(unit_skills!$A$1,0,0,COUNTA(unit_skills!$A:$A),MATCH(AR$1,unit_skills!$1:$1,0)-MATCH($AP$1,unit_skills!$1:$1,0)+1),MATCH(AR$1,unit_skills!$1:$1,0)-MATCH($AP$1,unit_skills!$1:$1,0)+1,FALSE)</f>
        <v>青・ハートパネルをCパネルに変換+2ターン黄属性ユニットと種族Unknownの攻撃力を特大UP</v>
      </c>
      <c r="AS27" s="53">
        <f ca="1">VLOOKUP($AP27,OFFSET(unit_skills!$A$1,0,0,COUNTA(unit_skills!$A:$A),MATCH(AS$1,unit_skills!$1:$1,0)-MATCH($AP$1,unit_skills!$1:$1,0)+1),MATCH(AS$1,unit_skills!$1:$1,0)-MATCH($AP$1,unit_skills!$1:$1,0)+1,FALSE)</f>
        <v>0</v>
      </c>
      <c r="AT27" s="63">
        <v>1320</v>
      </c>
      <c r="AU27" s="53" t="str">
        <f ca="1">VLOOKUP($AT27,OFFSET(crash_skills!$A$1,0,0,COUNTA(crash_skills!$A:$A),MATCH(AU$1,crash_skills!$1:$1,0)-MATCH($AT$1,crash_skills!$1:$1,0)+1),MATCH(AU$1,crash_skills!$1:$1,0)-MATCH($AT$1,crash_skills!$1:$1,0)+1,FALSE)</f>
        <v>双奏・晴唱宣言！！</v>
      </c>
      <c r="AV27" s="53" t="str">
        <f ca="1">VLOOKUP($AT27,OFFSET(crash_skills!$A$1,0,0,COUNTA(crash_skills!$A:$A),MATCH(AV$1,crash_skills!$1:$1,0)-MATCH($AT$1,crash_skills!$1:$1,0)+1),MATCH(AV$1,crash_skills!$1:$1,0)-MATCH($AT$1,crash_skills!$1:$1,0)+1,FALSE)</f>
        <v>黄・緑属性で_x000D_単体に2回大ダメージ</v>
      </c>
      <c r="AW27" s="53">
        <f ca="1">VLOOKUP($AT27,OFFSET(crash_skills!$A$1,0,0,COUNTA(crash_skills!$A:$A),MATCH(AW$1,crash_skills!$1:$1,0)-MATCH($AT$1,crash_skills!$1:$1,0)+1),MATCH(AW$1,crash_skills!$1:$1,0)-MATCH($AT$1,crash_skills!$1:$1,0)+1,FALSE)</f>
        <v>0</v>
      </c>
      <c r="AX27" s="54">
        <f ca="1">VLOOKUP($A27,OFFSET([1]characters!$A$1,0,0,COUNTA([1]characters!$A:$A),MATCH(AX$1,[1]characters!$1:$1,0)-MATCH($A$1,[1]characters!$1:$1,0)+1),MATCH(AX$1,[1]characters!$1:$1,0)-MATCH($A$1,[1]characters!$1:$1,0)+1,FALSE)</f>
        <v>3</v>
      </c>
      <c r="AY27" s="64">
        <v>1.0629999999999999</v>
      </c>
      <c r="AZ27" s="64">
        <v>1.097</v>
      </c>
      <c r="BA27" s="64">
        <v>0</v>
      </c>
      <c r="BB27" s="64">
        <v>0.91900000000000004</v>
      </c>
      <c r="BC27" s="10">
        <f ca="1">INDEX('RC6SV'!$A$1:$G$21,MATCH(H27,'RC6SV'!$A$1:$A$21,FALSE),MATCH(G27,'RC6SV'!$A$1:$G$1,FALSE))</f>
        <v>9500</v>
      </c>
      <c r="BD27" s="44">
        <f t="shared" ca="1" si="37"/>
        <v>9500</v>
      </c>
      <c r="BE27" s="10">
        <f t="shared" ca="1" si="2"/>
        <v>0</v>
      </c>
      <c r="BF27" s="10">
        <f t="shared" ca="1" si="3"/>
        <v>1</v>
      </c>
      <c r="BG27" s="15">
        <f ca="1">IF($BE27&lt;=0,ROUND(BK27*0.5,0), ROUND($BE27*S27*AA27*J27*AY27*0.8*[1]ステータス!$B$2,0))</f>
        <v>2474</v>
      </c>
      <c r="BH27" s="15">
        <f ca="1">IF($BE27&lt;=0,ROUND(BL27*0.5,0), ROUND($BE27*T27*AB27*K27*AZ27*0.8*[1]ステータス!$C$2,0))</f>
        <v>1579</v>
      </c>
      <c r="BI27" s="15">
        <f ca="1">IF($BE27&lt;=0,ROUND(BM27*0.5,0), ROUND($BE27*U27*AC27*L27*BA27*0.8*[1]ステータス!$D$2,0))</f>
        <v>0</v>
      </c>
      <c r="BJ27" s="15">
        <f ca="1">IF($BE27&lt;=0,ROUND(BN27*0.5,0), ROUND($BE27*V27*AD27*M27*BB27*0.8*[1]ステータス!$E$2,0))</f>
        <v>1102</v>
      </c>
      <c r="BK27" s="10">
        <f ca="1">ROUND(BD27*S27*AA27*J27*AY27*[1]ステータス!$B$2,0)</f>
        <v>4948</v>
      </c>
      <c r="BL27" s="10">
        <f ca="1">ROUND(BD27*T27*AB27*K27*AZ27*[1]ステータス!$C$2,0)</f>
        <v>3158</v>
      </c>
      <c r="BM27" s="10">
        <f ca="1">ROUND(BD27*U27*AC27*L27*BA27*[1]ステータス!$D$2,0)</f>
        <v>0</v>
      </c>
      <c r="BN27" s="10">
        <f ca="1">ROUND(BD27*V27*AD27*M27*BB27*[1]ステータス!$E$2,0)</f>
        <v>2204</v>
      </c>
      <c r="BO27" s="9">
        <v>0</v>
      </c>
      <c r="BP27" s="9">
        <v>1</v>
      </c>
      <c r="BQ27" s="9" t="s">
        <v>47</v>
      </c>
      <c r="BR27" s="202">
        <v>1100</v>
      </c>
    </row>
    <row r="28" spans="1:70" ht="26" customHeight="1" x14ac:dyDescent="0.15">
      <c r="A28" s="186">
        <v>1321</v>
      </c>
      <c r="B28" s="53" t="str">
        <f ca="1">VLOOKUP($A28,OFFSET([1]characters!$A$1,0,0,COUNTA([1]characters!$A:$A),MATCH(B$1,[1]characters!$1:$1,0)-MATCH($A$1,[1]characters!$1:$1,0)+1),MATCH(B$1,[1]characters!$1:$1,0)-MATCH($A$1,[1]characters!$1:$1,0)+1,FALSE)</f>
        <v>純凛の柔唱歌 鏡音レンV4X</v>
      </c>
      <c r="C28" s="53">
        <f ca="1">VLOOKUP($A28,OFFSET([1]characters!$A$1,0,0,COUNTA([1]characters!$A:$A),MATCH(C$1,[1]characters!$1:$1,0)-MATCH($A$1,[1]characters!$1:$1,0)+1),MATCH(C$1,[1]characters!$1:$1,0)-MATCH($A$1,[1]characters!$1:$1,0)+1,FALSE)</f>
        <v>0</v>
      </c>
      <c r="D28" s="53">
        <f ca="1">VLOOKUP($A28,OFFSET([1]characters!$A$1,0,0,COUNTA([1]characters!$A:$A),MATCH(D$1,[1]characters!$1:$1,0)-MATCH($A$1,[1]characters!$1:$1,0)+1),MATCH(D$1,[1]characters!$1:$1,0)-MATCH($A$1,[1]characters!$1:$1,0)+1,FALSE)</f>
        <v>0</v>
      </c>
      <c r="E28" s="53">
        <f ca="1">VLOOKUP($A28,OFFSET([1]characters!$A$1,0,0,COUNTA([1]characters!$A:$A),MATCH(E$1,[1]characters!$1:$1,0)-MATCH($A$1,[1]characters!$1:$1,0)+1),MATCH(E$1,[1]characters!$1:$1,0)-MATCH($A$1,[1]characters!$1:$1,0)+1,FALSE)</f>
        <v>0</v>
      </c>
      <c r="F28" s="53">
        <f ca="1">VLOOKUP($A28,OFFSET([1]characters!$A$1,0,0,COUNTA([1]characters!$A:$A),MATCH(F$1,[1]characters!$1:$1,0)-MATCH($A$1,[1]characters!$1:$1,0)+1),MATCH(F$1,[1]characters!$1:$1,0)-MATCH($A$1,[1]characters!$1:$1,0)+1,FALSE)</f>
        <v>0</v>
      </c>
      <c r="G28" s="53">
        <f ca="1">VLOOKUP($A28,OFFSET([1]characters!$A$1,0,0,COUNTA([1]characters!$A:$A),MATCH(G$1,[1]characters!$1:$1,0)-MATCH($A$1,[1]characters!$1:$1,0)+1),MATCH(G$1,[1]characters!$1:$1,0)-MATCH($A$1,[1]characters!$1:$1,0)+1,FALSE)</f>
        <v>6</v>
      </c>
      <c r="H28" s="53" t="str">
        <f ca="1">VLOOKUP($A28,OFFSET([1]characters!$A$1,0,0,COUNTA([1]characters!$A:$A),MATCH(H$1,[1]characters!$1:$1,0)-MATCH($A$1,[1]characters!$1:$1,0)+1),MATCH(H$1,[1]characters!$1:$1,0)-MATCH($A$1,[1]characters!$1:$1,0)+1,FALSE)</f>
        <v>PremiumSS</v>
      </c>
      <c r="I28" s="53" t="str">
        <f ca="1">VLOOKUP($A28,OFFSET([1]characters!$A$1,0,0,COUNTA([1]characters!$A:$A),MATCH(I$1,[1]characters!$1:$1,0)-MATCH($A$1,[1]characters!$1:$1,0)+1),MATCH(I$1,[1]characters!$1:$1,0)-MATCH($A$1,[1]characters!$1:$1,0)+1,FALSE)</f>
        <v>yellow</v>
      </c>
      <c r="J28" s="10">
        <f ca="1">VLOOKUP(I28,[1]属性!$A:$E,2,FALSE)</f>
        <v>0.98</v>
      </c>
      <c r="K28" s="10">
        <f ca="1">VLOOKUP(I28,[1]属性!$A:$E,3,FALSE)</f>
        <v>1.01</v>
      </c>
      <c r="L28" s="10">
        <f ca="1">VLOOKUP(I28,[1]属性!$A:$E,4,FALSE)</f>
        <v>1</v>
      </c>
      <c r="M28" s="10">
        <f ca="1">VLOOKUP(I28,[1]属性!$A:$E,5,FALSE)</f>
        <v>1.01</v>
      </c>
      <c r="N28" s="10">
        <f ca="1">INDEX(コスト!$A$1:$I$21,MATCH(H28,コスト!$A$1:$A$21,FALSE),MATCH(G28,コスト!$A$1:$I$1,FALSE))</f>
        <v>50</v>
      </c>
      <c r="O28" s="10">
        <f ca="1">INDEX(レベル!$A$1:$I$22,MATCH(H28,レベル!$A$1:$A$22,FALSE),MATCH(G28,レベル!$A$1:$I$1,FALSE))</f>
        <v>99</v>
      </c>
      <c r="P28" s="44">
        <f t="shared" ca="1" si="35"/>
        <v>99</v>
      </c>
      <c r="Q28" s="53" t="str">
        <f ca="1">VLOOKUP($A28,OFFSET([1]characters!$A$1,0,0,COUNTA([1]characters!$A:$A),MATCH(Q$1,[1]characters!$1:$1,0)-MATCH($A$1,[1]characters!$1:$1,0)+1),MATCH(Q$1,[1]characters!$1:$1,0)-MATCH($A$1,[1]characters!$1:$1,0)+1,FALSE)</f>
        <v>balance</v>
      </c>
      <c r="R28" s="5" t="str">
        <f ca="1">VLOOKUP(Q28,[1]character_type_i18n!$A:$H,3,FALSE)</f>
        <v>バランスタイプ</v>
      </c>
      <c r="S28" s="10">
        <f ca="1">VLOOKUP(Q28,[1]character_type_i18n!$A:$H,4,FALSE)</f>
        <v>1</v>
      </c>
      <c r="T28" s="10">
        <f ca="1">VLOOKUP(Q28,[1]character_type_i18n!$A:$H,5,FALSE)</f>
        <v>1</v>
      </c>
      <c r="U28" s="10">
        <f ca="1">VLOOKUP(Q28,[1]character_type_i18n!$A:$H,6,FALSE)</f>
        <v>1</v>
      </c>
      <c r="V28" s="10">
        <f ca="1">VLOOKUP(Q28,[1]character_type_i18n!$A:$H,7,FALSE)</f>
        <v>1</v>
      </c>
      <c r="W28" s="53" t="str">
        <f ca="1">VLOOKUP($A28,OFFSET([1]characters!$A$1,0,0,COUNTA([1]characters!$A:$A),MATCH(W$1,[1]characters!$1:$1,0)-MATCH($A$1,[1]characters!$1:$1,0)+1),MATCH(W$1,[1]characters!$1:$1,0)-MATCH($A$1,[1]characters!$1:$1,0)+1,FALSE)</f>
        <v>unknown</v>
      </c>
      <c r="X28" s="5" t="str">
        <f ca="1">VLOOKUP(W28,[1]character_tribe_i18n!$A:$H,3,FALSE)</f>
        <v>Unknown</v>
      </c>
      <c r="Y28" s="53" t="str">
        <f ca="1">VLOOKUP($A28,OFFSET([1]characters!$A$1,0,0,COUNTA([1]characters!$A:$A),MATCH(Y$1,[1]characters!$1:$1,0)-MATCH($A$1,[1]characters!$1:$1,0)+1),MATCH(Y$1,[1]characters!$1:$1,0)-MATCH($A$1,[1]characters!$1:$1,0)+1,FALSE)</f>
        <v>none</v>
      </c>
      <c r="Z28" s="5" t="str">
        <f ca="1">VLOOKUP(Y28,[1]character_tribe_i18n!$A:$H,3,FALSE)</f>
        <v>種族なし</v>
      </c>
      <c r="AA28" s="10">
        <f ca="1">VLOOKUP(W28,[1]character_tribe_i18n!$A:$H,4,FALSE)</f>
        <v>1</v>
      </c>
      <c r="AB28" s="10">
        <f ca="1">VLOOKUP(W28,[1]character_tribe_i18n!$A:$H,5,FALSE)</f>
        <v>1</v>
      </c>
      <c r="AC28" s="10">
        <f ca="1">VLOOKUP(W28,[1]character_tribe_i18n!$A:$H,6,FALSE)</f>
        <v>1</v>
      </c>
      <c r="AD28" s="10">
        <f ca="1">VLOOKUP(W28,[1]character_tribe_i18n!$A:$H,7,FALSE)</f>
        <v>1</v>
      </c>
      <c r="AE28" s="187" t="s">
        <v>318</v>
      </c>
      <c r="AF28" s="58" t="str">
        <f ca="1">IF(AE28="NULL","",VLOOKUP($AE28,OFFSET([1]characters!$A$1,0,0,COUNTA([1]characters!$A:$A),MATCH(AF$1,[1]characters!$1:$1,0)-MATCH($A$1,[1]characters!$1:$1,0)+1),MATCH(AF$1,[1]characters!$1:$1,0)-MATCH($A$1,[1]characters!$1:$1,0)+1,FALSE))</f>
        <v/>
      </c>
      <c r="AG28" s="187">
        <v>1320</v>
      </c>
      <c r="AH28" s="58" t="str">
        <f ca="1">VLOOKUP($AG28,OFFSET([1]characters!$A$1,0,0,COUNTA([1]characters!$A:$A),MATCH(AH$1,[1]characters!$1:$1,0)-MATCH($A$1,[1]characters!$1:$1,0)+1),MATCH(AH$1,[1]characters!$1:$1,0)-MATCH($A$1,[1]characters!$1:$1,0)+1,FALSE)</f>
        <v>鏡音レンV4X</v>
      </c>
      <c r="AI28" s="10" t="str">
        <f>IF(AE28="NULL","NULL",VLOOKUP(G28,ビット!$A$2:$B$7,2))</f>
        <v>NULL</v>
      </c>
      <c r="AJ28" s="6">
        <v>2</v>
      </c>
      <c r="AK28" s="7" t="str">
        <f t="shared" si="36"/>
        <v>普通</v>
      </c>
      <c r="AL28" s="10" t="str">
        <f ca="1">INDEX(経験値!$A$1:$I$21,MATCH(H28,経験値!$A$1:$A$21,FALSE),MATCH(G28,経験値!$A$1:$I$1,FALSE))</f>
        <v>required_exp_250</v>
      </c>
      <c r="AM28" s="8">
        <f ca="1">VLOOKUP(G28,経験値!$A$28:$B$32,2)</f>
        <v>6400</v>
      </c>
      <c r="AN28" s="16">
        <f ca="1">VLOOKUP(G28,ビット!$G$2:$H$7,2)</f>
        <v>900</v>
      </c>
      <c r="AO28" s="41"/>
      <c r="AP28" s="63">
        <v>1321</v>
      </c>
      <c r="AQ28" s="53" t="str">
        <f ca="1">VLOOKUP($AP28,OFFSET(unit_skills!$A$1,0,0,COUNTA(unit_skills!$A:$A),MATCH(AQ$1,unit_skills!$1:$1,0)-MATCH($AP$1,unit_skills!$1:$1,0)+1),MATCH(AQ$1,unit_skills!$1:$1,0)-MATCH($AP$1,unit_skills!$1:$1,0)+1,FALSE)</f>
        <v>晴唱凛歌イリュージョン</v>
      </c>
      <c r="AR28" s="53" t="str">
        <f ca="1">VLOOKUP($AP28,OFFSET(unit_skills!$A$1,0,0,COUNTA(unit_skills!$A:$A),MATCH(AR$1,unit_skills!$1:$1,0)-MATCH($AP$1,unit_skills!$1:$1,0)+1),MATCH(AR$1,unit_skills!$1:$1,0)-MATCH($AP$1,unit_skills!$1:$1,0)+1,FALSE)</f>
        <v>青・ハートパネルをCパネルに変換+2ターン黄属性ユニットと種族Unknownの攻撃力を超大UP</v>
      </c>
      <c r="AS28" s="53">
        <f ca="1">VLOOKUP($AP28,OFFSET(unit_skills!$A$1,0,0,COUNTA(unit_skills!$A:$A),MATCH(AS$1,unit_skills!$1:$1,0)-MATCH($AP$1,unit_skills!$1:$1,0)+1),MATCH(AS$1,unit_skills!$1:$1,0)-MATCH($AP$1,unit_skills!$1:$1,0)+1,FALSE)</f>
        <v>0</v>
      </c>
      <c r="AT28" s="63">
        <v>1321</v>
      </c>
      <c r="AU28" s="53" t="str">
        <f ca="1">VLOOKUP($AT28,OFFSET(crash_skills!$A$1,0,0,COUNTA(crash_skills!$A:$A),MATCH(AU$1,crash_skills!$1:$1,0)-MATCH($AT$1,crash_skills!$1:$1,0)+1),MATCH(AU$1,crash_skills!$1:$1,0)-MATCH($AT$1,crash_skills!$1:$1,0)+1,FALSE)</f>
        <v>双奏・晴唱宣言！！</v>
      </c>
      <c r="AV28" s="53" t="str">
        <f ca="1">VLOOKUP($AT28,OFFSET(crash_skills!$A$1,0,0,COUNTA(crash_skills!$A:$A),MATCH(AV$1,crash_skills!$1:$1,0)-MATCH($AT$1,crash_skills!$1:$1,0)+1),MATCH(AV$1,crash_skills!$1:$1,0)-MATCH($AT$1,crash_skills!$1:$1,0)+1,FALSE)</f>
        <v>黄・緑属性で_x000D_単体に2回大ダメージ</v>
      </c>
      <c r="AW28" s="53">
        <f ca="1">VLOOKUP($AT28,OFFSET(crash_skills!$A$1,0,0,COUNTA(crash_skills!$A:$A),MATCH(AW$1,crash_skills!$1:$1,0)-MATCH($AT$1,crash_skills!$1:$1,0)+1),MATCH(AW$1,crash_skills!$1:$1,0)-MATCH($AT$1,crash_skills!$1:$1,0)+1,FALSE)</f>
        <v>0</v>
      </c>
      <c r="AX28" s="54">
        <f ca="1">VLOOKUP($A28,OFFSET([1]characters!$A$1,0,0,COUNTA([1]characters!$A:$A),MATCH(AX$1,[1]characters!$1:$1,0)-MATCH($A$1,[1]characters!$1:$1,0)+1),MATCH(AX$1,[1]characters!$1:$1,0)-MATCH($A$1,[1]characters!$1:$1,0)+1,FALSE)</f>
        <v>3</v>
      </c>
      <c r="AY28" s="64">
        <v>1.0629999999999999</v>
      </c>
      <c r="AZ28" s="64">
        <v>1.097</v>
      </c>
      <c r="BA28" s="64">
        <v>0</v>
      </c>
      <c r="BB28" s="64">
        <v>0.91900000000000004</v>
      </c>
      <c r="BC28" s="10">
        <f ca="1">INDEX('RC6SV'!$A$1:$G$21,MATCH(H28,'RC6SV'!$A$1:$A$21,FALSE),MATCH(G28,'RC6SV'!$A$1:$G$1,FALSE))</f>
        <v>13000</v>
      </c>
      <c r="BD28" s="44">
        <f t="shared" ca="1" si="37"/>
        <v>13000</v>
      </c>
      <c r="BE28" s="10">
        <f t="shared" ca="1" si="2"/>
        <v>9500</v>
      </c>
      <c r="BF28" s="10">
        <f t="shared" ca="1" si="3"/>
        <v>1</v>
      </c>
      <c r="BG28" s="15">
        <f ca="1">IF($BE28&lt;=0,ROUND(BK28*0.5,0), ROUND($BE28*S28*AA28*J28*AY28*0.8*[1]ステータス!$B$2,0))</f>
        <v>3959</v>
      </c>
      <c r="BH28" s="15">
        <f ca="1">IF($BE28&lt;=0,ROUND(BL28*0.5,0), ROUND($BE28*T28*AB28*K28*AZ28*0.8*[1]ステータス!$C$2,0))</f>
        <v>2526</v>
      </c>
      <c r="BI28" s="15">
        <f ca="1">IF($BE28&lt;=0,ROUND(BM28*0.5,0), ROUND($BE28*U28*AC28*L28*BA28*0.8*[1]ステータス!$D$2,0))</f>
        <v>0</v>
      </c>
      <c r="BJ28" s="15">
        <f ca="1">IF($BE28&lt;=0,ROUND(BN28*0.5,0), ROUND($BE28*V28*AD28*M28*BB28*0.8*[1]ステータス!$E$2,0))</f>
        <v>1764</v>
      </c>
      <c r="BK28" s="10">
        <f ca="1">ROUND(BD28*S28*AA28*J28*AY28*[1]ステータス!$B$2,0)</f>
        <v>6771</v>
      </c>
      <c r="BL28" s="10">
        <f ca="1">ROUND(BD28*T28*AB28*K28*AZ28*[1]ステータス!$C$2,0)</f>
        <v>4321</v>
      </c>
      <c r="BM28" s="10">
        <f ca="1">ROUND(BD28*U28*AC28*L28*BA28*[1]ステータス!$D$2,0)</f>
        <v>0</v>
      </c>
      <c r="BN28" s="10">
        <f ca="1">ROUND(BD28*V28*AD28*M28*BB28*[1]ステータス!$E$2,0)</f>
        <v>3017</v>
      </c>
      <c r="BO28" s="9">
        <v>0</v>
      </c>
      <c r="BP28" s="9">
        <v>1</v>
      </c>
      <c r="BQ28" s="9" t="s">
        <v>47</v>
      </c>
      <c r="BR28" s="202">
        <v>1100</v>
      </c>
    </row>
    <row r="29" spans="1:70" ht="26" customHeight="1" x14ac:dyDescent="0.15">
      <c r="A29" s="186">
        <v>1322</v>
      </c>
      <c r="B29" s="53" t="str">
        <f ca="1">VLOOKUP($A29,OFFSET([1]characters!$A$1,0,0,COUNTA([1]characters!$A:$A),MATCH(B$1,[1]characters!$1:$1,0)-MATCH($A$1,[1]characters!$1:$1,0)+1),MATCH(B$1,[1]characters!$1:$1,0)-MATCH($A$1,[1]characters!$1:$1,0)+1,FALSE)</f>
        <v>巡音ルカV4X</v>
      </c>
      <c r="C29" s="53">
        <f ca="1">VLOOKUP($A29,OFFSET([1]characters!$A$1,0,0,COUNTA([1]characters!$A:$A),MATCH(C$1,[1]characters!$1:$1,0)-MATCH($A$1,[1]characters!$1:$1,0)+1),MATCH(C$1,[1]characters!$1:$1,0)-MATCH($A$1,[1]characters!$1:$1,0)+1,FALSE)</f>
        <v>0</v>
      </c>
      <c r="D29" s="53">
        <f ca="1">VLOOKUP($A29,OFFSET([1]characters!$A$1,0,0,COUNTA([1]characters!$A:$A),MATCH(D$1,[1]characters!$1:$1,0)-MATCH($A$1,[1]characters!$1:$1,0)+1),MATCH(D$1,[1]characters!$1:$1,0)-MATCH($A$1,[1]characters!$1:$1,0)+1,FALSE)</f>
        <v>0</v>
      </c>
      <c r="E29" s="53">
        <f ca="1">VLOOKUP($A29,OFFSET([1]characters!$A$1,0,0,COUNTA([1]characters!$A:$A),MATCH(E$1,[1]characters!$1:$1,0)-MATCH($A$1,[1]characters!$1:$1,0)+1),MATCH(E$1,[1]characters!$1:$1,0)-MATCH($A$1,[1]characters!$1:$1,0)+1,FALSE)</f>
        <v>0</v>
      </c>
      <c r="F29" s="53">
        <f ca="1">VLOOKUP($A29,OFFSET([1]characters!$A$1,0,0,COUNTA([1]characters!$A:$A),MATCH(F$1,[1]characters!$1:$1,0)-MATCH($A$1,[1]characters!$1:$1,0)+1),MATCH(F$1,[1]characters!$1:$1,0)-MATCH($A$1,[1]characters!$1:$1,0)+1,FALSE)</f>
        <v>0</v>
      </c>
      <c r="G29" s="53">
        <f ca="1">VLOOKUP($A29,OFFSET([1]characters!$A$1,0,0,COUNTA([1]characters!$A:$A),MATCH(G$1,[1]characters!$1:$1,0)-MATCH($A$1,[1]characters!$1:$1,0)+1),MATCH(G$1,[1]characters!$1:$1,0)-MATCH($A$1,[1]characters!$1:$1,0)+1,FALSE)</f>
        <v>5</v>
      </c>
      <c r="H29" s="53" t="str">
        <f ca="1">VLOOKUP($A29,OFFSET([1]characters!$A$1,0,0,COUNTA([1]characters!$A:$A),MATCH(H$1,[1]characters!$1:$1,0)-MATCH($A$1,[1]characters!$1:$1,0)+1),MATCH(H$1,[1]characters!$1:$1,0)-MATCH($A$1,[1]characters!$1:$1,0)+1,FALSE)</f>
        <v>PremiumSS</v>
      </c>
      <c r="I29" s="53" t="str">
        <f ca="1">VLOOKUP($A29,OFFSET([1]characters!$A$1,0,0,COUNTA([1]characters!$A:$A),MATCH(I$1,[1]characters!$1:$1,0)-MATCH($A$1,[1]characters!$1:$1,0)+1),MATCH(I$1,[1]characters!$1:$1,0)-MATCH($A$1,[1]characters!$1:$1,0)+1,FALSE)</f>
        <v>red</v>
      </c>
      <c r="J29" s="10">
        <f ca="1">VLOOKUP(I29,[1]属性!$A:$E,2,FALSE)</f>
        <v>1</v>
      </c>
      <c r="K29" s="10">
        <f ca="1">VLOOKUP(I29,[1]属性!$A:$E,3,FALSE)</f>
        <v>1.02</v>
      </c>
      <c r="L29" s="10">
        <f ca="1">VLOOKUP(I29,[1]属性!$A:$E,4,FALSE)</f>
        <v>1</v>
      </c>
      <c r="M29" s="10">
        <f ca="1">VLOOKUP(I29,[1]属性!$A:$E,5,FALSE)</f>
        <v>0.98</v>
      </c>
      <c r="N29" s="10">
        <f ca="1">INDEX(コスト!$A$1:$I$21,MATCH(H29,コスト!$A$1:$A$21,FALSE),MATCH(G29,コスト!$A$1:$I$1,FALSE))</f>
        <v>35</v>
      </c>
      <c r="O29" s="10">
        <f ca="1">INDEX(レベル!$A$1:$I$22,MATCH(H29,レベル!$A$1:$A$22,FALSE),MATCH(G29,レベル!$A$1:$I$1,FALSE))</f>
        <v>80</v>
      </c>
      <c r="P29" s="44">
        <f t="shared" ref="P29" ca="1" si="38">IF(G29 &gt;= 6, 99,G29*15)</f>
        <v>75</v>
      </c>
      <c r="Q29" s="53" t="str">
        <f ca="1">VLOOKUP($A29,OFFSET([1]characters!$A$1,0,0,COUNTA([1]characters!$A:$A),MATCH(Q$1,[1]characters!$1:$1,0)-MATCH($A$1,[1]characters!$1:$1,0)+1),MATCH(Q$1,[1]characters!$1:$1,0)-MATCH($A$1,[1]characters!$1:$1,0)+1,FALSE)</f>
        <v>balance</v>
      </c>
      <c r="R29" s="5" t="str">
        <f ca="1">VLOOKUP(Q29,[1]character_type_i18n!$A:$H,3,FALSE)</f>
        <v>バランスタイプ</v>
      </c>
      <c r="S29" s="10">
        <f ca="1">VLOOKUP(Q29,[1]character_type_i18n!$A:$H,4,FALSE)</f>
        <v>1</v>
      </c>
      <c r="T29" s="10">
        <f ca="1">VLOOKUP(Q29,[1]character_type_i18n!$A:$H,5,FALSE)</f>
        <v>1</v>
      </c>
      <c r="U29" s="10">
        <f ca="1">VLOOKUP(Q29,[1]character_type_i18n!$A:$H,6,FALSE)</f>
        <v>1</v>
      </c>
      <c r="V29" s="10">
        <f ca="1">VLOOKUP(Q29,[1]character_type_i18n!$A:$H,7,FALSE)</f>
        <v>1</v>
      </c>
      <c r="W29" s="53" t="str">
        <f ca="1">VLOOKUP($A29,OFFSET([1]characters!$A$1,0,0,COUNTA([1]characters!$A:$A),MATCH(W$1,[1]characters!$1:$1,0)-MATCH($A$1,[1]characters!$1:$1,0)+1),MATCH(W$1,[1]characters!$1:$1,0)-MATCH($A$1,[1]characters!$1:$1,0)+1,FALSE)</f>
        <v>unknown</v>
      </c>
      <c r="X29" s="5" t="str">
        <f ca="1">VLOOKUP(W29,[1]character_tribe_i18n!$A:$H,3,FALSE)</f>
        <v>Unknown</v>
      </c>
      <c r="Y29" s="53" t="str">
        <f ca="1">VLOOKUP($A29,OFFSET([1]characters!$A$1,0,0,COUNTA([1]characters!$A:$A),MATCH(Y$1,[1]characters!$1:$1,0)-MATCH($A$1,[1]characters!$1:$1,0)+1),MATCH(Y$1,[1]characters!$1:$1,0)-MATCH($A$1,[1]characters!$1:$1,0)+1,FALSE)</f>
        <v>none</v>
      </c>
      <c r="Z29" s="5" t="str">
        <f ca="1">VLOOKUP(Y29,[1]character_tribe_i18n!$A:$H,3,FALSE)</f>
        <v>種族なし</v>
      </c>
      <c r="AA29" s="10">
        <f ca="1">VLOOKUP(W29,[1]character_tribe_i18n!$A:$H,4,FALSE)</f>
        <v>1</v>
      </c>
      <c r="AB29" s="10">
        <f ca="1">VLOOKUP(W29,[1]character_tribe_i18n!$A:$H,5,FALSE)</f>
        <v>1</v>
      </c>
      <c r="AC29" s="10">
        <f ca="1">VLOOKUP(W29,[1]character_tribe_i18n!$A:$H,6,FALSE)</f>
        <v>1</v>
      </c>
      <c r="AD29" s="10">
        <f ca="1">VLOOKUP(W29,[1]character_tribe_i18n!$A:$H,7,FALSE)</f>
        <v>1</v>
      </c>
      <c r="AE29" s="187">
        <v>1323</v>
      </c>
      <c r="AF29" s="58" t="str">
        <f ca="1">IF(AE29="NULL","",VLOOKUP($AE29,OFFSET([1]characters!$A$1,0,0,COUNTA([1]characters!$A:$A),MATCH(AF$1,[1]characters!$1:$1,0)-MATCH($A$1,[1]characters!$1:$1,0)+1),MATCH(AF$1,[1]characters!$1:$1,0)-MATCH($A$1,[1]characters!$1:$1,0)+1,FALSE))</f>
        <v>吐鳴する響惹 巡音ルカV4X</v>
      </c>
      <c r="AG29" s="187">
        <v>1322</v>
      </c>
      <c r="AH29" s="58" t="str">
        <f ca="1">VLOOKUP($AG29,OFFSET([1]characters!$A$1,0,0,COUNTA([1]characters!$A:$A),MATCH(AH$1,[1]characters!$1:$1,0)-MATCH($A$1,[1]characters!$1:$1,0)+1),MATCH(AH$1,[1]characters!$1:$1,0)-MATCH($A$1,[1]characters!$1:$1,0)+1,FALSE)</f>
        <v>巡音ルカV4X</v>
      </c>
      <c r="AI29" s="10">
        <f ca="1">IF(AE29="NULL","NULL",VLOOKUP(G29,ビット!$A$2:$B$7,2))</f>
        <v>200000</v>
      </c>
      <c r="AJ29" s="6">
        <v>2</v>
      </c>
      <c r="AK29" s="7" t="str">
        <f t="shared" ref="AK29" si="39">IF(AJ29=1,"早熟",IF(AJ29=2,"普通",IF(AJ29=3,"晩成","")))</f>
        <v>普通</v>
      </c>
      <c r="AL29" s="10" t="str">
        <f ca="1">INDEX(経験値!$A$1:$I$21,MATCH(H29,経験値!$A$1:$A$21,FALSE),MATCH(G29,経験値!$A$1:$I$1,FALSE))</f>
        <v>required_exp_200</v>
      </c>
      <c r="AM29" s="8">
        <f ca="1">VLOOKUP(G29,経験値!$A$28:$B$32,2)</f>
        <v>6400</v>
      </c>
      <c r="AN29" s="16">
        <f ca="1">VLOOKUP(G29,ビット!$G$2:$H$7,2)</f>
        <v>900</v>
      </c>
      <c r="AO29" s="41"/>
      <c r="AP29" s="63">
        <v>1322</v>
      </c>
      <c r="AQ29" s="53" t="str">
        <f ca="1">VLOOKUP($AP29,OFFSET(unit_skills!$A$1,0,0,COUNTA(unit_skills!$A:$A),MATCH(AQ$1,unit_skills!$1:$1,0)-MATCH($AP$1,unit_skills!$1:$1,0)+1),MATCH(AQ$1,unit_skills!$1:$1,0)-MATCH($AP$1,unit_skills!$1:$1,0)+1,FALSE)</f>
        <v>シング×シング</v>
      </c>
      <c r="AR29" s="53" t="str">
        <f ca="1">VLOOKUP($AP29,OFFSET(unit_skills!$A$1,0,0,COUNTA(unit_skills!$A:$A),MATCH(AR$1,unit_skills!$1:$1,0)-MATCH($AP$1,unit_skills!$1:$1,0)+1),MATCH(AR$1,unit_skills!$1:$1,0)-MATCH($AP$1,unit_skills!$1:$1,0)+1,FALSE)</f>
        <v>マグネットパネル(赤→青)に1個、お邪魔・緑パネルをCパネルに変換+1ターン全ユニットの攻撃力を特大UP</v>
      </c>
      <c r="AS29" s="53">
        <f ca="1">VLOOKUP($AP29,OFFSET(unit_skills!$A$1,0,0,COUNTA(unit_skills!$A:$A),MATCH(AS$1,unit_skills!$1:$1,0)-MATCH($AP$1,unit_skills!$1:$1,0)+1),MATCH(AS$1,unit_skills!$1:$1,0)-MATCH($AP$1,unit_skills!$1:$1,0)+1,FALSE)</f>
        <v>0</v>
      </c>
      <c r="AT29" s="63">
        <v>1322</v>
      </c>
      <c r="AU29" s="53" t="str">
        <f ca="1">VLOOKUP($AT29,OFFSET(crash_skills!$A$1,0,0,COUNTA(crash_skills!$A:$A),MATCH(AU$1,crash_skills!$1:$1,0)-MATCH($AT$1,crash_skills!$1:$1,0)+1),MATCH(AU$1,crash_skills!$1:$1,0)-MATCH($AT$1,crash_skills!$1:$1,0)+1,FALSE)</f>
        <v>ブリーズ・ミラージュ</v>
      </c>
      <c r="AV29" s="53" t="str">
        <f ca="1">VLOOKUP($AT29,OFFSET(crash_skills!$A$1,0,0,COUNTA(crash_skills!$A:$A),MATCH(AV$1,crash_skills!$1:$1,0)-MATCH($AT$1,crash_skills!$1:$1,0)+1),MATCH(AV$1,crash_skills!$1:$1,0)-MATCH($AT$1,crash_skills!$1:$1,0)+1,FALSE)</f>
        <v>1体に特大ダメージ</v>
      </c>
      <c r="AW29" s="53">
        <f ca="1">VLOOKUP($AT29,OFFSET(crash_skills!$A$1,0,0,COUNTA(crash_skills!$A:$A),MATCH(AW$1,crash_skills!$1:$1,0)-MATCH($AT$1,crash_skills!$1:$1,0)+1),MATCH(AW$1,crash_skills!$1:$1,0)-MATCH($AT$1,crash_skills!$1:$1,0)+1,FALSE)</f>
        <v>0</v>
      </c>
      <c r="AX29" s="54">
        <f ca="1">VLOOKUP($A29,OFFSET([1]characters!$A$1,0,0,COUNTA([1]characters!$A:$A),MATCH(AX$1,[1]characters!$1:$1,0)-MATCH($A$1,[1]characters!$1:$1,0)+1),MATCH(AX$1,[1]characters!$1:$1,0)-MATCH($A$1,[1]characters!$1:$1,0)+1,FALSE)</f>
        <v>3</v>
      </c>
      <c r="AY29" s="64">
        <v>1.03</v>
      </c>
      <c r="AZ29" s="64">
        <v>1.145</v>
      </c>
      <c r="BA29" s="64">
        <v>0</v>
      </c>
      <c r="BB29" s="64">
        <v>1.0129999999999999</v>
      </c>
      <c r="BC29" s="10">
        <f ca="1">INDEX('RC6SV'!$A$1:$G$21,MATCH(H29,'RC6SV'!$A$1:$A$21,FALSE),MATCH(G29,'RC6SV'!$A$1:$G$1,FALSE))</f>
        <v>9500</v>
      </c>
      <c r="BD29" s="44">
        <f t="shared" ref="BD29" ca="1" si="40">ROUND(BC29*IF(AJ29=1,0.95,IF(AJ29=2,1,IF(AJ29,1.05,0))),0)</f>
        <v>9500</v>
      </c>
      <c r="BE29" s="10">
        <f t="shared" ca="1" si="2"/>
        <v>0</v>
      </c>
      <c r="BF29" s="10">
        <f t="shared" ca="1" si="3"/>
        <v>1</v>
      </c>
      <c r="BG29" s="15">
        <f ca="1">IF($BE29&lt;=0,ROUND(BK29*0.5,0), ROUND($BE29*S29*AA29*J29*AY29*0.8*[1]ステータス!$B$2,0))</f>
        <v>2447</v>
      </c>
      <c r="BH29" s="15">
        <f ca="1">IF($BE29&lt;=0,ROUND(BL29*0.5,0), ROUND($BE29*T29*AB29*K29*AZ29*0.8*[1]ステータス!$C$2,0))</f>
        <v>1665</v>
      </c>
      <c r="BI29" s="15">
        <f ca="1">IF($BE29&lt;=0,ROUND(BM29*0.5,0), ROUND($BE29*U29*AC29*L29*BA29*0.8*[1]ステータス!$D$2,0))</f>
        <v>0</v>
      </c>
      <c r="BJ29" s="15">
        <f ca="1">IF($BE29&lt;=0,ROUND(BN29*0.5,0), ROUND($BE29*V29*AD29*M29*BB29*0.8*[1]ステータス!$E$2,0))</f>
        <v>1179</v>
      </c>
      <c r="BK29" s="10">
        <f ca="1">ROUND(BD29*S29*AA29*J29*AY29*[1]ステータス!$B$2,0)</f>
        <v>4893</v>
      </c>
      <c r="BL29" s="10">
        <f ca="1">ROUND(BD29*T29*AB29*K29*AZ29*[1]ステータス!$C$2,0)</f>
        <v>3329</v>
      </c>
      <c r="BM29" s="10">
        <f ca="1">ROUND(BD29*U29*AC29*L29*BA29*[1]ステータス!$D$2,0)</f>
        <v>0</v>
      </c>
      <c r="BN29" s="10">
        <f ca="1">ROUND(BD29*V29*AD29*M29*BB29*[1]ステータス!$E$2,0)</f>
        <v>2358</v>
      </c>
      <c r="BO29" s="9">
        <v>0</v>
      </c>
      <c r="BP29" s="9">
        <v>1</v>
      </c>
      <c r="BQ29" s="9" t="s">
        <v>47</v>
      </c>
      <c r="BR29" s="202">
        <v>1100</v>
      </c>
    </row>
    <row r="30" spans="1:70" ht="26" customHeight="1" x14ac:dyDescent="0.15">
      <c r="A30" s="186">
        <v>1323</v>
      </c>
      <c r="B30" s="53" t="str">
        <f ca="1">VLOOKUP($A30,OFFSET([1]characters!$A$1,0,0,COUNTA([1]characters!$A:$A),MATCH(B$1,[1]characters!$1:$1,0)-MATCH($A$1,[1]characters!$1:$1,0)+1),MATCH(B$1,[1]characters!$1:$1,0)-MATCH($A$1,[1]characters!$1:$1,0)+1,FALSE)</f>
        <v>吐鳴する響惹 巡音ルカV4X</v>
      </c>
      <c r="C30" s="53">
        <f ca="1">VLOOKUP($A30,OFFSET([1]characters!$A$1,0,0,COUNTA([1]characters!$A:$A),MATCH(C$1,[1]characters!$1:$1,0)-MATCH($A$1,[1]characters!$1:$1,0)+1),MATCH(C$1,[1]characters!$1:$1,0)-MATCH($A$1,[1]characters!$1:$1,0)+1,FALSE)</f>
        <v>0</v>
      </c>
      <c r="D30" s="53">
        <f ca="1">VLOOKUP($A30,OFFSET([1]characters!$A$1,0,0,COUNTA([1]characters!$A:$A),MATCH(D$1,[1]characters!$1:$1,0)-MATCH($A$1,[1]characters!$1:$1,0)+1),MATCH(D$1,[1]characters!$1:$1,0)-MATCH($A$1,[1]characters!$1:$1,0)+1,FALSE)</f>
        <v>0</v>
      </c>
      <c r="E30" s="53">
        <f ca="1">VLOOKUP($A30,OFFSET([1]characters!$A$1,0,0,COUNTA([1]characters!$A:$A),MATCH(E$1,[1]characters!$1:$1,0)-MATCH($A$1,[1]characters!$1:$1,0)+1),MATCH(E$1,[1]characters!$1:$1,0)-MATCH($A$1,[1]characters!$1:$1,0)+1,FALSE)</f>
        <v>0</v>
      </c>
      <c r="F30" s="53">
        <f ca="1">VLOOKUP($A30,OFFSET([1]characters!$A$1,0,0,COUNTA([1]characters!$A:$A),MATCH(F$1,[1]characters!$1:$1,0)-MATCH($A$1,[1]characters!$1:$1,0)+1),MATCH(F$1,[1]characters!$1:$1,0)-MATCH($A$1,[1]characters!$1:$1,0)+1,FALSE)</f>
        <v>0</v>
      </c>
      <c r="G30" s="53">
        <f ca="1">VLOOKUP($A30,OFFSET([1]characters!$A$1,0,0,COUNTA([1]characters!$A:$A),MATCH(G$1,[1]characters!$1:$1,0)-MATCH($A$1,[1]characters!$1:$1,0)+1),MATCH(G$1,[1]characters!$1:$1,0)-MATCH($A$1,[1]characters!$1:$1,0)+1,FALSE)</f>
        <v>6</v>
      </c>
      <c r="H30" s="53" t="str">
        <f ca="1">VLOOKUP($A30,OFFSET([1]characters!$A$1,0,0,COUNTA([1]characters!$A:$A),MATCH(H$1,[1]characters!$1:$1,0)-MATCH($A$1,[1]characters!$1:$1,0)+1),MATCH(H$1,[1]characters!$1:$1,0)-MATCH($A$1,[1]characters!$1:$1,0)+1,FALSE)</f>
        <v>PremiumSS</v>
      </c>
      <c r="I30" s="53" t="str">
        <f ca="1">VLOOKUP($A30,OFFSET([1]characters!$A$1,0,0,COUNTA([1]characters!$A:$A),MATCH(I$1,[1]characters!$1:$1,0)-MATCH($A$1,[1]characters!$1:$1,0)+1),MATCH(I$1,[1]characters!$1:$1,0)-MATCH($A$1,[1]characters!$1:$1,0)+1,FALSE)</f>
        <v>red</v>
      </c>
      <c r="J30" s="10">
        <f ca="1">VLOOKUP(I30,[1]属性!$A:$E,2,FALSE)</f>
        <v>1</v>
      </c>
      <c r="K30" s="10">
        <f ca="1">VLOOKUP(I30,[1]属性!$A:$E,3,FALSE)</f>
        <v>1.02</v>
      </c>
      <c r="L30" s="10">
        <f ca="1">VLOOKUP(I30,[1]属性!$A:$E,4,FALSE)</f>
        <v>1</v>
      </c>
      <c r="M30" s="10">
        <f ca="1">VLOOKUP(I30,[1]属性!$A:$E,5,FALSE)</f>
        <v>0.98</v>
      </c>
      <c r="N30" s="10">
        <f ca="1">INDEX(コスト!$A$1:$I$21,MATCH(H30,コスト!$A$1:$A$21,FALSE),MATCH(G30,コスト!$A$1:$I$1,FALSE))</f>
        <v>50</v>
      </c>
      <c r="O30" s="10">
        <f ca="1">INDEX(レベル!$A$1:$I$22,MATCH(H30,レベル!$A$1:$A$22,FALSE),MATCH(G30,レベル!$A$1:$I$1,FALSE))</f>
        <v>99</v>
      </c>
      <c r="P30" s="44">
        <f t="shared" ref="P30" ca="1" si="41">IF(G30 &gt;= 6, 99,G30*15)</f>
        <v>99</v>
      </c>
      <c r="Q30" s="53" t="str">
        <f ca="1">VLOOKUP($A30,OFFSET([1]characters!$A$1,0,0,COUNTA([1]characters!$A:$A),MATCH(Q$1,[1]characters!$1:$1,0)-MATCH($A$1,[1]characters!$1:$1,0)+1),MATCH(Q$1,[1]characters!$1:$1,0)-MATCH($A$1,[1]characters!$1:$1,0)+1,FALSE)</f>
        <v>balance</v>
      </c>
      <c r="R30" s="5" t="str">
        <f ca="1">VLOOKUP(Q30,[1]character_type_i18n!$A:$H,3,FALSE)</f>
        <v>バランスタイプ</v>
      </c>
      <c r="S30" s="10">
        <f ca="1">VLOOKUP(Q30,[1]character_type_i18n!$A:$H,4,FALSE)</f>
        <v>1</v>
      </c>
      <c r="T30" s="10">
        <f ca="1">VLOOKUP(Q30,[1]character_type_i18n!$A:$H,5,FALSE)</f>
        <v>1</v>
      </c>
      <c r="U30" s="10">
        <f ca="1">VLOOKUP(Q30,[1]character_type_i18n!$A:$H,6,FALSE)</f>
        <v>1</v>
      </c>
      <c r="V30" s="10">
        <f ca="1">VLOOKUP(Q30,[1]character_type_i18n!$A:$H,7,FALSE)</f>
        <v>1</v>
      </c>
      <c r="W30" s="53" t="str">
        <f ca="1">VLOOKUP($A30,OFFSET([1]characters!$A$1,0,0,COUNTA([1]characters!$A:$A),MATCH(W$1,[1]characters!$1:$1,0)-MATCH($A$1,[1]characters!$1:$1,0)+1),MATCH(W$1,[1]characters!$1:$1,0)-MATCH($A$1,[1]characters!$1:$1,0)+1,FALSE)</f>
        <v>unknown</v>
      </c>
      <c r="X30" s="5" t="str">
        <f ca="1">VLOOKUP(W30,[1]character_tribe_i18n!$A:$H,3,FALSE)</f>
        <v>Unknown</v>
      </c>
      <c r="Y30" s="53" t="str">
        <f ca="1">VLOOKUP($A30,OFFSET([1]characters!$A$1,0,0,COUNTA([1]characters!$A:$A),MATCH(Y$1,[1]characters!$1:$1,0)-MATCH($A$1,[1]characters!$1:$1,0)+1),MATCH(Y$1,[1]characters!$1:$1,0)-MATCH($A$1,[1]characters!$1:$1,0)+1,FALSE)</f>
        <v>none</v>
      </c>
      <c r="Z30" s="5" t="str">
        <f ca="1">VLOOKUP(Y30,[1]character_tribe_i18n!$A:$H,3,FALSE)</f>
        <v>種族なし</v>
      </c>
      <c r="AA30" s="10">
        <f ca="1">VLOOKUP(W30,[1]character_tribe_i18n!$A:$H,4,FALSE)</f>
        <v>1</v>
      </c>
      <c r="AB30" s="10">
        <f ca="1">VLOOKUP(W30,[1]character_tribe_i18n!$A:$H,5,FALSE)</f>
        <v>1</v>
      </c>
      <c r="AC30" s="10">
        <f ca="1">VLOOKUP(W30,[1]character_tribe_i18n!$A:$H,6,FALSE)</f>
        <v>1</v>
      </c>
      <c r="AD30" s="10">
        <f ca="1">VLOOKUP(W30,[1]character_tribe_i18n!$A:$H,7,FALSE)</f>
        <v>1</v>
      </c>
      <c r="AE30" s="187" t="s">
        <v>318</v>
      </c>
      <c r="AF30" s="58" t="str">
        <f ca="1">IF(AE30="NULL","",VLOOKUP($AE30,OFFSET([1]characters!$A$1,0,0,COUNTA([1]characters!$A:$A),MATCH(AF$1,[1]characters!$1:$1,0)-MATCH($A$1,[1]characters!$1:$1,0)+1),MATCH(AF$1,[1]characters!$1:$1,0)-MATCH($A$1,[1]characters!$1:$1,0)+1,FALSE))</f>
        <v/>
      </c>
      <c r="AG30" s="187">
        <v>1322</v>
      </c>
      <c r="AH30" s="58" t="str">
        <f ca="1">VLOOKUP($AG30,OFFSET([1]characters!$A$1,0,0,COUNTA([1]characters!$A:$A),MATCH(AH$1,[1]characters!$1:$1,0)-MATCH($A$1,[1]characters!$1:$1,0)+1),MATCH(AH$1,[1]characters!$1:$1,0)-MATCH($A$1,[1]characters!$1:$1,0)+1,FALSE)</f>
        <v>巡音ルカV4X</v>
      </c>
      <c r="AI30" s="10" t="str">
        <f>IF(AE30="NULL","NULL",VLOOKUP(G30,ビット!$A$2:$B$7,2))</f>
        <v>NULL</v>
      </c>
      <c r="AJ30" s="6">
        <v>2</v>
      </c>
      <c r="AK30" s="7" t="str">
        <f t="shared" ref="AK30" si="42">IF(AJ30=1,"早熟",IF(AJ30=2,"普通",IF(AJ30=3,"晩成","")))</f>
        <v>普通</v>
      </c>
      <c r="AL30" s="10" t="str">
        <f ca="1">INDEX(経験値!$A$1:$I$21,MATCH(H30,経験値!$A$1:$A$21,FALSE),MATCH(G30,経験値!$A$1:$I$1,FALSE))</f>
        <v>required_exp_250</v>
      </c>
      <c r="AM30" s="8">
        <f ca="1">VLOOKUP(G30,経験値!$A$28:$B$32,2)</f>
        <v>6400</v>
      </c>
      <c r="AN30" s="16">
        <f ca="1">VLOOKUP(G30,ビット!$G$2:$H$7,2)</f>
        <v>900</v>
      </c>
      <c r="AO30" s="41"/>
      <c r="AP30" s="63">
        <v>1323</v>
      </c>
      <c r="AQ30" s="53" t="str">
        <f ca="1">VLOOKUP($AP30,OFFSET(unit_skills!$A$1,0,0,COUNTA(unit_skills!$A:$A),MATCH(AQ$1,unit_skills!$1:$1,0)-MATCH($AP$1,unit_skills!$1:$1,0)+1),MATCH(AQ$1,unit_skills!$1:$1,0)-MATCH($AP$1,unit_skills!$1:$1,0)+1,FALSE)</f>
        <v>シング×ウィスパー×シング</v>
      </c>
      <c r="AR30" s="53" t="str">
        <f ca="1">VLOOKUP($AP30,OFFSET(unit_skills!$A$1,0,0,COUNTA(unit_skills!$A:$A),MATCH(AR$1,unit_skills!$1:$1,0)-MATCH($AP$1,unit_skills!$1:$1,0)+1),MATCH(AR$1,unit_skills!$1:$1,0)-MATCH($AP$1,unit_skills!$1:$1,0)+1,FALSE)</f>
        <v>マグネットパネル(赤→青)に1個、お邪魔・緑パネルをCパネルに変換+2ターン全ユニットの攻撃力を超大UP</v>
      </c>
      <c r="AS30" s="53">
        <f ca="1">VLOOKUP($AP30,OFFSET(unit_skills!$A$1,0,0,COUNTA(unit_skills!$A:$A),MATCH(AS$1,unit_skills!$1:$1,0)-MATCH($AP$1,unit_skills!$1:$1,0)+1),MATCH(AS$1,unit_skills!$1:$1,0)-MATCH($AP$1,unit_skills!$1:$1,0)+1,FALSE)</f>
        <v>0</v>
      </c>
      <c r="AT30" s="63">
        <v>1323</v>
      </c>
      <c r="AU30" s="53" t="str">
        <f ca="1">VLOOKUP($AT30,OFFSET(crash_skills!$A$1,0,0,COUNTA(crash_skills!$A:$A),MATCH(AU$1,crash_skills!$1:$1,0)-MATCH($AT$1,crash_skills!$1:$1,0)+1),MATCH(AU$1,crash_skills!$1:$1,0)-MATCH($AT$1,crash_skills!$1:$1,0)+1,FALSE)</f>
        <v>ブリーズ・ミラージュ</v>
      </c>
      <c r="AV30" s="53" t="str">
        <f ca="1">VLOOKUP($AT30,OFFSET(crash_skills!$A$1,0,0,COUNTA(crash_skills!$A:$A),MATCH(AV$1,crash_skills!$1:$1,0)-MATCH($AT$1,crash_skills!$1:$1,0)+1),MATCH(AV$1,crash_skills!$1:$1,0)-MATCH($AT$1,crash_skills!$1:$1,0)+1,FALSE)</f>
        <v>1体に特大ダメージ</v>
      </c>
      <c r="AW30" s="53">
        <f ca="1">VLOOKUP($AT30,OFFSET(crash_skills!$A$1,0,0,COUNTA(crash_skills!$A:$A),MATCH(AW$1,crash_skills!$1:$1,0)-MATCH($AT$1,crash_skills!$1:$1,0)+1),MATCH(AW$1,crash_skills!$1:$1,0)-MATCH($AT$1,crash_skills!$1:$1,0)+1,FALSE)</f>
        <v>0</v>
      </c>
      <c r="AX30" s="54">
        <f ca="1">VLOOKUP($A30,OFFSET([1]characters!$A$1,0,0,COUNTA([1]characters!$A:$A),MATCH(AX$1,[1]characters!$1:$1,0)-MATCH($A$1,[1]characters!$1:$1,0)+1),MATCH(AX$1,[1]characters!$1:$1,0)-MATCH($A$1,[1]characters!$1:$1,0)+1,FALSE)</f>
        <v>3</v>
      </c>
      <c r="AY30" s="64">
        <v>1.03</v>
      </c>
      <c r="AZ30" s="64">
        <v>1.145</v>
      </c>
      <c r="BA30" s="64">
        <v>0</v>
      </c>
      <c r="BB30" s="64">
        <v>1.0129999999999999</v>
      </c>
      <c r="BC30" s="10">
        <f ca="1">INDEX('RC6SV'!$A$1:$G$21,MATCH(H30,'RC6SV'!$A$1:$A$21,FALSE),MATCH(G30,'RC6SV'!$A$1:$G$1,FALSE))</f>
        <v>13000</v>
      </c>
      <c r="BD30" s="44">
        <f t="shared" ref="BD30" ca="1" si="43">ROUND(BC30*IF(AJ30=1,0.95,IF(AJ30=2,1,IF(AJ30,1.05,0))),0)</f>
        <v>13000</v>
      </c>
      <c r="BE30" s="10">
        <f t="shared" ca="1" si="2"/>
        <v>9500</v>
      </c>
      <c r="BF30" s="10">
        <f t="shared" ca="1" si="3"/>
        <v>1</v>
      </c>
      <c r="BG30" s="15">
        <f ca="1">IF($BE30&lt;=0,ROUND(BK30*0.5,0), ROUND($BE30*S30*AA30*J30*AY30*0.8*[1]ステータス!$B$2,0))</f>
        <v>3914</v>
      </c>
      <c r="BH30" s="15">
        <f ca="1">IF($BE30&lt;=0,ROUND(BL30*0.5,0), ROUND($BE30*T30*AB30*K30*AZ30*0.8*[1]ステータス!$C$2,0))</f>
        <v>2663</v>
      </c>
      <c r="BI30" s="15">
        <f ca="1">IF($BE30&lt;=0,ROUND(BM30*0.5,0), ROUND($BE30*U30*AC30*L30*BA30*0.8*[1]ステータス!$D$2,0))</f>
        <v>0</v>
      </c>
      <c r="BJ30" s="15">
        <f ca="1">IF($BE30&lt;=0,ROUND(BN30*0.5,0), ROUND($BE30*V30*AD30*M30*BB30*0.8*[1]ステータス!$E$2,0))</f>
        <v>1886</v>
      </c>
      <c r="BK30" s="10">
        <f ca="1">ROUND(BD30*S30*AA30*J30*AY30*[1]ステータス!$B$2,0)</f>
        <v>6695</v>
      </c>
      <c r="BL30" s="10">
        <f ca="1">ROUND(BD30*T30*AB30*K30*AZ30*[1]ステータス!$C$2,0)</f>
        <v>4555</v>
      </c>
      <c r="BM30" s="10">
        <f ca="1">ROUND(BD30*U30*AC30*L30*BA30*[1]ステータス!$D$2,0)</f>
        <v>0</v>
      </c>
      <c r="BN30" s="10">
        <f ca="1">ROUND(BD30*V30*AD30*M30*BB30*[1]ステータス!$E$2,0)</f>
        <v>3226</v>
      </c>
      <c r="BO30" s="9">
        <v>0</v>
      </c>
      <c r="BP30" s="9">
        <v>1</v>
      </c>
      <c r="BQ30" s="9" t="s">
        <v>47</v>
      </c>
      <c r="BR30" s="202">
        <v>1100</v>
      </c>
    </row>
  </sheetData>
  <autoFilter ref="A1:BQ1"/>
  <phoneticPr fontId="10"/>
  <conditionalFormatting sqref="BO1">
    <cfRule type="cellIs" dxfId="106" priority="120" stopIfTrue="1" operator="equal">
      <formula>1</formula>
    </cfRule>
  </conditionalFormatting>
  <conditionalFormatting sqref="BQ1">
    <cfRule type="cellIs" dxfId="105"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0"/>
  <sheetViews>
    <sheetView showGridLines="0" zoomScale="115" workbookViewId="0">
      <pane xSplit="4" ySplit="1" topLeftCell="E9" activePane="bottomRight" state="frozen"/>
      <selection pane="topRight" activeCell="D1" sqref="D1"/>
      <selection pane="bottomLeft" activeCell="A2" sqref="A2"/>
      <selection pane="bottomRight" activeCell="I15" sqref="I15"/>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183</v>
      </c>
      <c r="K1" s="118" t="s">
        <v>4</v>
      </c>
      <c r="L1" s="120" t="s">
        <v>167</v>
      </c>
      <c r="M1" s="121" t="s">
        <v>168</v>
      </c>
      <c r="N1" s="121" t="s">
        <v>169</v>
      </c>
      <c r="O1" s="121" t="s">
        <v>170</v>
      </c>
      <c r="P1" s="121" t="s">
        <v>171</v>
      </c>
      <c r="Q1" s="122" t="s">
        <v>172</v>
      </c>
      <c r="R1" s="123" t="s">
        <v>173</v>
      </c>
      <c r="S1" s="124" t="s">
        <v>174</v>
      </c>
    </row>
    <row r="2" spans="1:19" ht="21" customHeight="1" x14ac:dyDescent="0.15">
      <c r="A2" s="186">
        <v>1295</v>
      </c>
      <c r="B2" s="129" t="s">
        <v>184</v>
      </c>
      <c r="C2" s="188" t="s">
        <v>416</v>
      </c>
      <c r="D2" s="188" t="s">
        <v>565</v>
      </c>
      <c r="E2" s="131">
        <f t="shared" ref="E2" si="0">LEN(D2)</f>
        <v>23</v>
      </c>
      <c r="F2" s="63">
        <v>12</v>
      </c>
      <c r="G2" s="113">
        <v>5</v>
      </c>
      <c r="H2" s="132">
        <f>2001</f>
        <v>2001</v>
      </c>
      <c r="I2" s="189" t="s">
        <v>356</v>
      </c>
      <c r="J2" s="53" t="str">
        <f ca="1">VLOOKUP($A2,OFFSET([1]characters!$A$1,0,0,COUNTA([1]characters!$A:$A),MATCH("name",[1]characters!$1:$1,0)-MATCH("character_id",[1]characters!$1:$1,0)+1),MATCH("name",[1]characters!$1:$1,0)-MATCH("character_id",[1]characters!$1:$1,0)+1,FALSE)</f>
        <v>星空の舞奏 ラビット・ユキネ</v>
      </c>
      <c r="K2" s="133">
        <f>IFERROR(VLOOKUP(A2,[1]characters!$A:$R,18),0)</f>
        <v>3</v>
      </c>
      <c r="L2" s="134"/>
      <c r="M2" s="135"/>
      <c r="N2" s="135"/>
      <c r="O2" s="135"/>
      <c r="P2" s="135"/>
      <c r="Q2" s="135"/>
      <c r="R2" s="130"/>
      <c r="S2" s="136"/>
    </row>
    <row r="3" spans="1:19" ht="21" customHeight="1" x14ac:dyDescent="0.15">
      <c r="A3" s="186">
        <v>1296</v>
      </c>
      <c r="B3" s="129" t="s">
        <v>184</v>
      </c>
      <c r="C3" s="188" t="s">
        <v>417</v>
      </c>
      <c r="D3" s="188" t="s">
        <v>542</v>
      </c>
      <c r="E3" s="131">
        <f t="shared" ref="E3" si="1">LEN(D3)</f>
        <v>23</v>
      </c>
      <c r="F3" s="63">
        <v>12</v>
      </c>
      <c r="G3" s="113">
        <v>5</v>
      </c>
      <c r="H3" s="132">
        <f>2001</f>
        <v>2001</v>
      </c>
      <c r="I3" s="189" t="s">
        <v>357</v>
      </c>
      <c r="J3" s="53" t="str">
        <f ca="1">VLOOKUP($A3,OFFSET([1]characters!$A$1,0,0,COUNTA([1]characters!$A:$A),MATCH("name",[1]characters!$1:$1,0)-MATCH("character_id",[1]characters!$1:$1,0)+1),MATCH("name",[1]characters!$1:$1,0)-MATCH("character_id",[1]characters!$1:$1,0)+1,FALSE)</f>
        <v>星々駆ける乱奏 ラビット・ユキネ</v>
      </c>
      <c r="K3" s="133">
        <f>IFERROR(VLOOKUP(A3,[1]characters!$A:$R,18),0)</f>
        <v>3</v>
      </c>
      <c r="L3" s="134"/>
      <c r="M3" s="135"/>
      <c r="N3" s="135"/>
      <c r="O3" s="135"/>
      <c r="P3" s="135"/>
      <c r="Q3" s="135"/>
      <c r="R3" s="130"/>
      <c r="S3" s="136"/>
    </row>
    <row r="4" spans="1:19" ht="21" customHeight="1" x14ac:dyDescent="0.15">
      <c r="A4" s="186">
        <v>1297</v>
      </c>
      <c r="B4" s="129" t="s">
        <v>184</v>
      </c>
      <c r="C4" s="188" t="s">
        <v>419</v>
      </c>
      <c r="D4" s="199" t="s">
        <v>369</v>
      </c>
      <c r="E4" s="131">
        <f t="shared" ref="E4" si="2">LEN(D4)</f>
        <v>33</v>
      </c>
      <c r="F4" s="63">
        <v>12</v>
      </c>
      <c r="G4" s="113">
        <v>5</v>
      </c>
      <c r="H4" s="132">
        <f>2001</f>
        <v>2001</v>
      </c>
      <c r="I4" s="198" t="s">
        <v>554</v>
      </c>
      <c r="J4" s="53" t="str">
        <f ca="1">VLOOKUP($A4,OFFSET([1]characters!$A$1,0,0,COUNTA([1]characters!$A:$A),MATCH("name",[1]characters!$1:$1,0)-MATCH("character_id",[1]characters!$1:$1,0)+1),MATCH("name",[1]characters!$1:$1,0)-MATCH("character_id",[1]characters!$1:$1,0)+1,FALSE)</f>
        <v>雪ミク2017</v>
      </c>
      <c r="K4" s="133">
        <f>IFERROR(VLOOKUP(A4,[1]characters!$A:$R,18),0)</f>
        <v>3</v>
      </c>
      <c r="L4" s="134"/>
      <c r="M4" s="135"/>
      <c r="N4" s="135"/>
      <c r="O4" s="135"/>
      <c r="P4" s="135"/>
      <c r="Q4" s="135"/>
      <c r="R4" s="130"/>
      <c r="S4" s="136"/>
    </row>
    <row r="5" spans="1:19" ht="21" customHeight="1" x14ac:dyDescent="0.15">
      <c r="A5" s="186">
        <v>1298</v>
      </c>
      <c r="B5" s="129" t="s">
        <v>184</v>
      </c>
      <c r="C5" s="188" t="s">
        <v>548</v>
      </c>
      <c r="D5" s="188" t="s">
        <v>370</v>
      </c>
      <c r="E5" s="131">
        <f t="shared" ref="E5" si="3">LEN(D5)</f>
        <v>33</v>
      </c>
      <c r="F5" s="63">
        <v>12</v>
      </c>
      <c r="G5" s="113">
        <v>5</v>
      </c>
      <c r="H5" s="132">
        <f>2001</f>
        <v>2001</v>
      </c>
      <c r="I5" s="198" t="s">
        <v>555</v>
      </c>
      <c r="J5" s="53" t="str">
        <f ca="1">VLOOKUP($A5,OFFSET([1]characters!$A$1,0,0,COUNTA([1]characters!$A:$A),MATCH("name",[1]characters!$1:$1,0)-MATCH("character_id",[1]characters!$1:$1,0)+1),MATCH("name",[1]characters!$1:$1,0)-MATCH("character_id",[1]characters!$1:$1,0)+1,FALSE)</f>
        <v>星空の歌姫 雪ミク2017</v>
      </c>
      <c r="K5" s="133">
        <f>IFERROR(VLOOKUP(A5,[1]characters!$A:$R,18),0)</f>
        <v>3</v>
      </c>
      <c r="L5" s="134"/>
      <c r="M5" s="135"/>
      <c r="N5" s="135"/>
      <c r="O5" s="135"/>
      <c r="P5" s="135"/>
      <c r="Q5" s="135"/>
      <c r="R5" s="130"/>
      <c r="S5" s="136"/>
    </row>
    <row r="6" spans="1:19" ht="21" customHeight="1" x14ac:dyDescent="0.15">
      <c r="A6" s="186">
        <v>1299</v>
      </c>
      <c r="B6" s="129" t="s">
        <v>184</v>
      </c>
      <c r="C6" s="188" t="s">
        <v>430</v>
      </c>
      <c r="D6" s="199" t="s">
        <v>562</v>
      </c>
      <c r="E6" s="131">
        <f t="shared" ref="E6" si="4">LEN(D6)</f>
        <v>50</v>
      </c>
      <c r="F6" s="63">
        <v>11</v>
      </c>
      <c r="G6" s="113">
        <v>5</v>
      </c>
      <c r="H6" s="132">
        <f>2001</f>
        <v>2001</v>
      </c>
      <c r="I6" s="189" t="s">
        <v>376</v>
      </c>
      <c r="J6" s="53" t="str">
        <f ca="1">VLOOKUP($A6,OFFSET([1]characters!$A$1,0,0,COUNTA([1]characters!$A:$A),MATCH("name",[1]characters!$1:$1,0)-MATCH("character_id",[1]characters!$1:$1,0)+1),MATCH("name",[1]characters!$1:$1,0)-MATCH("character_id",[1]characters!$1:$1,0)+1,FALSE)</f>
        <v>覚世の楽聖姫 初音ミクV3</v>
      </c>
      <c r="K6" s="133">
        <f>IFERROR(VLOOKUP(A6,[1]characters!$A:$R,18),0)</f>
        <v>3</v>
      </c>
      <c r="L6" s="134"/>
      <c r="M6" s="135"/>
      <c r="N6" s="135"/>
      <c r="O6" s="135"/>
      <c r="P6" s="135"/>
      <c r="Q6" s="135"/>
      <c r="R6" s="130"/>
      <c r="S6" s="136"/>
    </row>
    <row r="7" spans="1:19" ht="21" customHeight="1" x14ac:dyDescent="0.15">
      <c r="A7" s="186">
        <v>1300</v>
      </c>
      <c r="B7" s="129" t="s">
        <v>184</v>
      </c>
      <c r="C7" s="188" t="s">
        <v>421</v>
      </c>
      <c r="D7" s="199" t="s">
        <v>544</v>
      </c>
      <c r="E7" s="131">
        <f t="shared" ref="E7" si="5">LEN(D7)</f>
        <v>47</v>
      </c>
      <c r="F7" s="63">
        <v>15</v>
      </c>
      <c r="G7" s="113">
        <v>7</v>
      </c>
      <c r="H7" s="132">
        <f>2001</f>
        <v>2001</v>
      </c>
      <c r="I7" s="189" t="s">
        <v>349</v>
      </c>
      <c r="J7" s="53" t="str">
        <f ca="1">VLOOKUP($A7,OFFSET([1]characters!$A$1,0,0,COUNTA([1]characters!$A:$A),MATCH("name",[1]characters!$1:$1,0)-MATCH("character_id",[1]characters!$1:$1,0)+1),MATCH("name",[1]characters!$1:$1,0)-MATCH("character_id",[1]characters!$1:$1,0)+1,FALSE)</f>
        <v>歌装の彩唱 紫式部</v>
      </c>
      <c r="K7" s="133">
        <f>IFERROR(VLOOKUP(A7,[1]characters!$A:$R,18),0)</f>
        <v>3</v>
      </c>
      <c r="L7" s="134"/>
      <c r="M7" s="135"/>
      <c r="N7" s="135"/>
      <c r="O7" s="135"/>
      <c r="P7" s="135"/>
      <c r="Q7" s="135"/>
      <c r="R7" s="130"/>
      <c r="S7" s="136"/>
    </row>
    <row r="8" spans="1:19" ht="21" customHeight="1" x14ac:dyDescent="0.15">
      <c r="A8" s="186">
        <v>1301</v>
      </c>
      <c r="B8" s="129" t="s">
        <v>184</v>
      </c>
      <c r="C8" s="188" t="s">
        <v>422</v>
      </c>
      <c r="D8" s="199" t="s">
        <v>545</v>
      </c>
      <c r="E8" s="131">
        <f t="shared" ref="E8" si="6">LEN(D8)</f>
        <v>47</v>
      </c>
      <c r="F8" s="63">
        <v>14</v>
      </c>
      <c r="G8" s="113">
        <v>7</v>
      </c>
      <c r="H8" s="132">
        <f>2001</f>
        <v>2001</v>
      </c>
      <c r="I8" s="189" t="s">
        <v>375</v>
      </c>
      <c r="J8" s="53" t="str">
        <f ca="1">VLOOKUP($A8,OFFSET([1]characters!$A$1,0,0,COUNTA([1]characters!$A:$A),MATCH("name",[1]characters!$1:$1,0)-MATCH("character_id",[1]characters!$1:$1,0)+1),MATCH("name",[1]characters!$1:$1,0)-MATCH("character_id",[1]characters!$1:$1,0)+1,FALSE)</f>
        <v>歌装の萌響女 紫式部</v>
      </c>
      <c r="K8" s="133">
        <f>IFERROR(VLOOKUP(A8,[1]characters!$A:$R,18),0)</f>
        <v>3</v>
      </c>
      <c r="L8" s="134"/>
      <c r="M8" s="135"/>
      <c r="N8" s="135"/>
      <c r="O8" s="135"/>
      <c r="P8" s="135"/>
      <c r="Q8" s="135"/>
      <c r="R8" s="130"/>
      <c r="S8" s="136"/>
    </row>
    <row r="9" spans="1:19" ht="21" customHeight="1" x14ac:dyDescent="0.15">
      <c r="A9" s="186">
        <v>1302</v>
      </c>
      <c r="B9" s="129" t="s">
        <v>184</v>
      </c>
      <c r="C9" s="188" t="s">
        <v>424</v>
      </c>
      <c r="D9" s="199" t="s">
        <v>365</v>
      </c>
      <c r="E9" s="131">
        <f t="shared" ref="E9:E11" si="7">LEN(D9)</f>
        <v>35</v>
      </c>
      <c r="F9" s="63">
        <v>15</v>
      </c>
      <c r="G9" s="113">
        <v>7</v>
      </c>
      <c r="H9" s="132">
        <f>2001</f>
        <v>2001</v>
      </c>
      <c r="I9" s="198" t="s">
        <v>558</v>
      </c>
      <c r="J9" s="53" t="str">
        <f ca="1">VLOOKUP($A9,OFFSET([1]characters!$A$1,0,0,COUNTA([1]characters!$A:$A),MATCH("name",[1]characters!$1:$1,0)-MATCH("character_id",[1]characters!$1:$1,0)+1),MATCH("name",[1]characters!$1:$1,0)-MATCH("character_id",[1]characters!$1:$1,0)+1,FALSE)</f>
        <v>超天突符 イナバ</v>
      </c>
      <c r="K9" s="133">
        <f>IFERROR(VLOOKUP(A9,[1]characters!$A:$R,18),0)</f>
        <v>3</v>
      </c>
      <c r="L9" s="134"/>
      <c r="M9" s="135"/>
      <c r="N9" s="135"/>
      <c r="O9" s="135"/>
      <c r="P9" s="135"/>
      <c r="Q9" s="135"/>
      <c r="R9" s="130"/>
      <c r="S9" s="136"/>
    </row>
    <row r="10" spans="1:19" ht="21" customHeight="1" x14ac:dyDescent="0.15">
      <c r="A10" s="186">
        <v>1303</v>
      </c>
      <c r="B10" s="129" t="s">
        <v>184</v>
      </c>
      <c r="C10" s="188" t="s">
        <v>425</v>
      </c>
      <c r="D10" s="199" t="s">
        <v>372</v>
      </c>
      <c r="E10" s="131">
        <f t="shared" si="7"/>
        <v>35</v>
      </c>
      <c r="F10" s="63">
        <v>14</v>
      </c>
      <c r="G10" s="113">
        <v>7</v>
      </c>
      <c r="H10" s="132">
        <f>2001</f>
        <v>2001</v>
      </c>
      <c r="I10" s="198" t="s">
        <v>559</v>
      </c>
      <c r="J10" s="53" t="str">
        <f ca="1">VLOOKUP($A10,OFFSET([1]characters!$A$1,0,0,COUNTA([1]characters!$A:$A),MATCH("name",[1]characters!$1:$1,0)-MATCH("character_id",[1]characters!$1:$1,0)+1),MATCH("name",[1]characters!$1:$1,0)-MATCH("character_id",[1]characters!$1:$1,0)+1,FALSE)</f>
        <v>転調･超天突符 イナバ</v>
      </c>
      <c r="K10" s="133">
        <f>IFERROR(VLOOKUP(A10,[1]characters!$A:$R,18),0)</f>
        <v>3</v>
      </c>
      <c r="L10" s="134"/>
      <c r="M10" s="135"/>
      <c r="N10" s="135"/>
      <c r="O10" s="135"/>
      <c r="P10" s="135"/>
      <c r="Q10" s="135"/>
      <c r="R10" s="130"/>
      <c r="S10" s="136"/>
    </row>
    <row r="11" spans="1:19" ht="21" customHeight="1" x14ac:dyDescent="0.15">
      <c r="A11" s="186">
        <v>1304</v>
      </c>
      <c r="B11" s="129" t="s">
        <v>184</v>
      </c>
      <c r="C11" s="188" t="s">
        <v>427</v>
      </c>
      <c r="D11" s="188" t="s">
        <v>373</v>
      </c>
      <c r="E11" s="131">
        <f t="shared" si="7"/>
        <v>44</v>
      </c>
      <c r="F11" s="63">
        <v>15</v>
      </c>
      <c r="G11" s="113">
        <v>7</v>
      </c>
      <c r="H11" s="132">
        <f>2001</f>
        <v>2001</v>
      </c>
      <c r="I11" s="189" t="s">
        <v>556</v>
      </c>
      <c r="J11" s="53" t="str">
        <f ca="1">VLOOKUP($A11,OFFSET([1]characters!$A$1,0,0,COUNTA([1]characters!$A:$A),MATCH("name",[1]characters!$1:$1,0)-MATCH("character_id",[1]characters!$1:$1,0)+1),MATCH("name",[1]characters!$1:$1,0)-MATCH("character_id",[1]characters!$1:$1,0)+1,FALSE)</f>
        <v>演鼠の響笛音 ハーメルン</v>
      </c>
      <c r="K11" s="133">
        <f>IFERROR(VLOOKUP(A11,[1]characters!$A:$R,18),0)</f>
        <v>3</v>
      </c>
      <c r="L11" s="134"/>
      <c r="M11" s="135"/>
      <c r="N11" s="135"/>
      <c r="O11" s="135"/>
      <c r="P11" s="135"/>
      <c r="Q11" s="135"/>
      <c r="R11" s="130"/>
      <c r="S11" s="136"/>
    </row>
    <row r="12" spans="1:19" ht="21" customHeight="1" x14ac:dyDescent="0.15">
      <c r="A12" s="186">
        <v>1305</v>
      </c>
      <c r="B12" s="129" t="s">
        <v>184</v>
      </c>
      <c r="C12" s="188" t="s">
        <v>428</v>
      </c>
      <c r="D12" s="188" t="s">
        <v>374</v>
      </c>
      <c r="E12" s="131">
        <f t="shared" ref="E12" si="8">LEN(D12)</f>
        <v>44</v>
      </c>
      <c r="F12" s="63">
        <v>14</v>
      </c>
      <c r="G12" s="113">
        <v>7</v>
      </c>
      <c r="H12" s="132">
        <f>2001</f>
        <v>2001</v>
      </c>
      <c r="I12" s="189" t="s">
        <v>557</v>
      </c>
      <c r="J12" s="53" t="str">
        <f ca="1">VLOOKUP($A12,OFFSET([1]characters!$A$1,0,0,COUNTA([1]characters!$A:$A),MATCH("name",[1]characters!$1:$1,0)-MATCH("character_id",[1]characters!$1:$1,0)+1),MATCH("name",[1]characters!$1:$1,0)-MATCH("character_id",[1]characters!$1:$1,0)+1,FALSE)</f>
        <v>響界廻る睡鼠楽 ハーメルン</v>
      </c>
      <c r="K12" s="133">
        <f>IFERROR(VLOOKUP(A12,[1]characters!$A:$R,18),0)</f>
        <v>3</v>
      </c>
      <c r="L12" s="134"/>
      <c r="M12" s="135"/>
      <c r="N12" s="135"/>
      <c r="O12" s="135"/>
      <c r="P12" s="135"/>
      <c r="Q12" s="135"/>
      <c r="R12" s="130"/>
      <c r="S12" s="136"/>
    </row>
    <row r="13" spans="1:19" ht="21" customHeight="1" x14ac:dyDescent="0.15">
      <c r="A13" s="186">
        <v>1306</v>
      </c>
      <c r="B13" s="129" t="s">
        <v>184</v>
      </c>
      <c r="C13" s="188" t="s">
        <v>432</v>
      </c>
      <c r="D13" s="199" t="s">
        <v>577</v>
      </c>
      <c r="E13" s="131">
        <f t="shared" ref="E13" si="9">LEN(D13)</f>
        <v>59</v>
      </c>
      <c r="F13" s="63">
        <v>25</v>
      </c>
      <c r="G13" s="113">
        <v>16</v>
      </c>
      <c r="H13" s="132">
        <f>2001</f>
        <v>2001</v>
      </c>
      <c r="I13" s="198" t="s">
        <v>579</v>
      </c>
      <c r="J13" s="53" t="str">
        <f ca="1">VLOOKUP($A13,OFFSET([1]characters!$A$1,0,0,COUNTA([1]characters!$A:$A),MATCH("name",[1]characters!$1:$1,0)-MATCH("character_id",[1]characters!$1:$1,0)+1),MATCH("name",[1]characters!$1:$1,0)-MATCH("character_id",[1]characters!$1:$1,0)+1,FALSE)</f>
        <v>玉響の唱天 ルシファー</v>
      </c>
      <c r="K13" s="133">
        <f>IFERROR(VLOOKUP(A13,[1]characters!$A:$R,18),0)</f>
        <v>3</v>
      </c>
      <c r="L13" s="134"/>
      <c r="M13" s="135"/>
      <c r="N13" s="135"/>
      <c r="O13" s="135"/>
      <c r="P13" s="135"/>
      <c r="Q13" s="135"/>
      <c r="R13" s="130"/>
      <c r="S13" s="136"/>
    </row>
    <row r="14" spans="1:19" ht="21" customHeight="1" x14ac:dyDescent="0.15">
      <c r="A14" s="186">
        <v>1307</v>
      </c>
      <c r="B14" s="129" t="s">
        <v>184</v>
      </c>
      <c r="C14" s="188" t="s">
        <v>433</v>
      </c>
      <c r="D14" s="199" t="s">
        <v>578</v>
      </c>
      <c r="E14" s="131">
        <f t="shared" ref="E14" si="10">LEN(D14)</f>
        <v>59</v>
      </c>
      <c r="F14" s="63">
        <v>24</v>
      </c>
      <c r="G14" s="113">
        <v>16</v>
      </c>
      <c r="H14" s="132">
        <f>2001</f>
        <v>2001</v>
      </c>
      <c r="I14" s="198" t="s">
        <v>580</v>
      </c>
      <c r="J14" s="53" t="str">
        <f ca="1">VLOOKUP($A14,OFFSET([1]characters!$A$1,0,0,COUNTA([1]characters!$A:$A),MATCH("name",[1]characters!$1:$1,0)-MATCH("character_id",[1]characters!$1:$1,0)+1),MATCH("name",[1]characters!$1:$1,0)-MATCH("character_id",[1]characters!$1:$1,0)+1,FALSE)</f>
        <v>彩翼の唱天史 ルシファー</v>
      </c>
      <c r="K14" s="133">
        <f>IFERROR(VLOOKUP(A14,[1]characters!$A:$R,18),0)</f>
        <v>3</v>
      </c>
      <c r="L14" s="134"/>
      <c r="M14" s="135"/>
      <c r="N14" s="135"/>
      <c r="O14" s="135"/>
      <c r="P14" s="135"/>
      <c r="Q14" s="135"/>
      <c r="R14" s="130"/>
      <c r="S14" s="136"/>
    </row>
    <row r="15" spans="1:19" ht="21" customHeight="1" x14ac:dyDescent="0.15">
      <c r="A15" s="186">
        <v>1308</v>
      </c>
      <c r="B15" s="129" t="s">
        <v>184</v>
      </c>
      <c r="C15" s="188" t="s">
        <v>391</v>
      </c>
      <c r="D15" s="199" t="s">
        <v>384</v>
      </c>
      <c r="E15" s="131">
        <f t="shared" ref="E15:E28" si="11">LEN(D15)</f>
        <v>40</v>
      </c>
      <c r="F15" s="63">
        <v>12</v>
      </c>
      <c r="G15" s="113">
        <v>5</v>
      </c>
      <c r="H15" s="132">
        <f>2001</f>
        <v>2001</v>
      </c>
      <c r="I15" s="189" t="s">
        <v>541</v>
      </c>
      <c r="J15" s="53" t="str">
        <f ca="1">VLOOKUP($A15,OFFSET([1]characters!$A$1,0,0,COUNTA([1]characters!$A:$A),MATCH("name",[1]characters!$1:$1,0)-MATCH("character_id",[1]characters!$1:$1,0)+1),MATCH("name",[1]characters!$1:$1,0)-MATCH("character_id",[1]characters!$1:$1,0)+1,FALSE)</f>
        <v>革鳴の響奏撃 初音ミク</v>
      </c>
      <c r="K15" s="133">
        <f>IFERROR(VLOOKUP(A15,[1]characters!$A:$R,18),0)</f>
        <v>3</v>
      </c>
      <c r="L15" s="134"/>
      <c r="M15" s="135"/>
      <c r="N15" s="135"/>
      <c r="O15" s="135"/>
      <c r="P15" s="135"/>
      <c r="Q15" s="135"/>
      <c r="R15" s="130"/>
      <c r="S15" s="136"/>
    </row>
    <row r="16" spans="1:19" ht="21" customHeight="1" x14ac:dyDescent="0.15">
      <c r="A16" s="186">
        <v>1309</v>
      </c>
      <c r="B16" s="129" t="s">
        <v>184</v>
      </c>
      <c r="C16" s="188" t="s">
        <v>388</v>
      </c>
      <c r="D16" s="199" t="s">
        <v>385</v>
      </c>
      <c r="E16" s="131">
        <f t="shared" si="11"/>
        <v>60</v>
      </c>
      <c r="F16" s="63">
        <v>11</v>
      </c>
      <c r="G16" s="113">
        <v>5</v>
      </c>
      <c r="H16" s="132">
        <f>2001</f>
        <v>2001</v>
      </c>
      <c r="I16" s="198" t="s">
        <v>379</v>
      </c>
      <c r="J16" s="53" t="str">
        <f ca="1">VLOOKUP($A16,OFFSET([1]characters!$A$1,0,0,COUNTA([1]characters!$A:$A),MATCH("name",[1]characters!$1:$1,0)-MATCH("character_id",[1]characters!$1:$1,0)+1),MATCH("name",[1]characters!$1:$1,0)-MATCH("character_id",[1]characters!$1:$1,0)+1,FALSE)</f>
        <v>虹彩の美唱姫 初音ミク・アペンド</v>
      </c>
      <c r="K16" s="133">
        <f>IFERROR(VLOOKUP(A16,[1]characters!$A:$R,18),0)</f>
        <v>3</v>
      </c>
      <c r="L16" s="134"/>
      <c r="M16" s="135"/>
      <c r="N16" s="135"/>
      <c r="O16" s="135"/>
      <c r="P16" s="135"/>
      <c r="Q16" s="135"/>
      <c r="R16" s="130"/>
      <c r="S16" s="136"/>
    </row>
    <row r="17" spans="1:19" ht="21" customHeight="1" x14ac:dyDescent="0.15">
      <c r="A17" s="186">
        <v>1310</v>
      </c>
      <c r="B17" s="129" t="s">
        <v>184</v>
      </c>
      <c r="C17" s="188" t="s">
        <v>389</v>
      </c>
      <c r="D17" s="199" t="s">
        <v>386</v>
      </c>
      <c r="E17" s="131">
        <f t="shared" si="11"/>
        <v>58</v>
      </c>
      <c r="F17" s="63">
        <v>10</v>
      </c>
      <c r="G17" s="113">
        <v>5</v>
      </c>
      <c r="H17" s="132">
        <f>2001</f>
        <v>2001</v>
      </c>
      <c r="I17" s="189" t="s">
        <v>378</v>
      </c>
      <c r="J17" s="53" t="str">
        <f ca="1">VLOOKUP($A17,OFFSET([1]characters!$A$1,0,0,COUNTA([1]characters!$A:$A),MATCH("name",[1]characters!$1:$1,0)-MATCH("character_id",[1]characters!$1:$1,0)+1),MATCH("name",[1]characters!$1:$1,0)-MATCH("character_id",[1]characters!$1:$1,0)+1,FALSE)</f>
        <v>聖律する歌姫 初音ミク・アペンド</v>
      </c>
      <c r="K17" s="133">
        <f>IFERROR(VLOOKUP(A17,[1]characters!$A:$R,18),0)</f>
        <v>3</v>
      </c>
      <c r="L17" s="134"/>
      <c r="M17" s="135"/>
      <c r="N17" s="135"/>
      <c r="O17" s="135"/>
      <c r="P17" s="135"/>
      <c r="Q17" s="135"/>
      <c r="R17" s="130"/>
      <c r="S17" s="136"/>
    </row>
    <row r="18" spans="1:19" ht="21" customHeight="1" x14ac:dyDescent="0.15">
      <c r="A18" s="186">
        <v>1311</v>
      </c>
      <c r="B18" s="129" t="s">
        <v>184</v>
      </c>
      <c r="C18" s="188" t="s">
        <v>393</v>
      </c>
      <c r="D18" s="199" t="s">
        <v>381</v>
      </c>
      <c r="E18" s="131">
        <f t="shared" si="11"/>
        <v>38</v>
      </c>
      <c r="F18" s="63">
        <v>12</v>
      </c>
      <c r="G18" s="113">
        <v>5</v>
      </c>
      <c r="H18" s="132">
        <f>2001</f>
        <v>2001</v>
      </c>
      <c r="I18" s="189" t="s">
        <v>380</v>
      </c>
      <c r="J18" s="53" t="str">
        <f ca="1">VLOOKUP($A18,OFFSET([1]characters!$A$1,0,0,COUNTA([1]characters!$A:$A),MATCH("name",[1]characters!$1:$1,0)-MATCH("character_id",[1]characters!$1:$1,0)+1),MATCH("name",[1]characters!$1:$1,0)-MATCH("character_id",[1]characters!$1:$1,0)+1,FALSE)</f>
        <v>輪音する大反響 鏡音リン</v>
      </c>
      <c r="K18" s="133">
        <f>IFERROR(VLOOKUP(A18,[1]characters!$A:$R,18),0)</f>
        <v>3</v>
      </c>
      <c r="L18" s="134"/>
      <c r="M18" s="135"/>
      <c r="N18" s="135"/>
      <c r="O18" s="135"/>
      <c r="P18" s="135"/>
      <c r="Q18" s="135"/>
      <c r="R18" s="130"/>
      <c r="S18" s="136"/>
    </row>
    <row r="19" spans="1:19" ht="21" customHeight="1" x14ac:dyDescent="0.15">
      <c r="A19" s="186">
        <v>1312</v>
      </c>
      <c r="B19" s="129" t="s">
        <v>184</v>
      </c>
      <c r="C19" s="188" t="s">
        <v>395</v>
      </c>
      <c r="D19" s="199" t="s">
        <v>550</v>
      </c>
      <c r="E19" s="131">
        <f t="shared" si="11"/>
        <v>32</v>
      </c>
      <c r="F19" s="63">
        <v>12</v>
      </c>
      <c r="G19" s="113">
        <v>5</v>
      </c>
      <c r="H19" s="132">
        <f>2001</f>
        <v>2001</v>
      </c>
      <c r="I19" s="189" t="s">
        <v>551</v>
      </c>
      <c r="J19" s="53" t="str">
        <f ca="1">VLOOKUP($A19,OFFSET([1]characters!$A$1,0,0,COUNTA([1]characters!$A:$A),MATCH("name",[1]characters!$1:$1,0)-MATCH("character_id",[1]characters!$1:$1,0)+1),MATCH("name",[1]characters!$1:$1,0)-MATCH("character_id",[1]characters!$1:$1,0)+1,FALSE)</f>
        <v>連譜する大残響 鏡音レン</v>
      </c>
      <c r="K19" s="133">
        <f>IFERROR(VLOOKUP(A19,[1]characters!$A:$R,18),0)</f>
        <v>3</v>
      </c>
      <c r="L19" s="134"/>
      <c r="M19" s="135"/>
      <c r="N19" s="135"/>
      <c r="O19" s="135"/>
      <c r="P19" s="135"/>
      <c r="Q19" s="135"/>
      <c r="R19" s="130"/>
      <c r="S19" s="136"/>
    </row>
    <row r="20" spans="1:19" ht="21" customHeight="1" x14ac:dyDescent="0.15">
      <c r="A20" s="186">
        <v>1313</v>
      </c>
      <c r="B20" s="129" t="s">
        <v>184</v>
      </c>
      <c r="C20" s="188" t="s">
        <v>397</v>
      </c>
      <c r="D20" s="199" t="s">
        <v>540</v>
      </c>
      <c r="E20" s="131">
        <f t="shared" si="11"/>
        <v>23</v>
      </c>
      <c r="F20" s="63">
        <v>13</v>
      </c>
      <c r="G20" s="113">
        <v>5</v>
      </c>
      <c r="H20" s="132">
        <f>2001</f>
        <v>2001</v>
      </c>
      <c r="I20" s="198" t="s">
        <v>539</v>
      </c>
      <c r="J20" s="53" t="str">
        <f ca="1">VLOOKUP($A20,OFFSET([1]characters!$A$1,0,0,COUNTA([1]characters!$A:$A),MATCH("name",[1]characters!$1:$1,0)-MATCH("character_id",[1]characters!$1:$1,0)+1),MATCH("name",[1]characters!$1:$1,0)-MATCH("character_id",[1]characters!$1:$1,0)+1,FALSE)</f>
        <v>旋律する音廻 巡音ルカ</v>
      </c>
      <c r="K20" s="133">
        <f>IFERROR(VLOOKUP(A20,[1]characters!$A:$R,18),0)</f>
        <v>3</v>
      </c>
      <c r="L20" s="134"/>
      <c r="M20" s="135"/>
      <c r="N20" s="135"/>
      <c r="O20" s="135"/>
      <c r="P20" s="135"/>
      <c r="Q20" s="135"/>
      <c r="R20" s="130"/>
      <c r="S20" s="136"/>
    </row>
    <row r="21" spans="1:19" ht="21" customHeight="1" x14ac:dyDescent="0.15">
      <c r="A21" s="186">
        <v>1314</v>
      </c>
      <c r="B21" s="129" t="s">
        <v>184</v>
      </c>
      <c r="C21" s="188" t="s">
        <v>399</v>
      </c>
      <c r="D21" s="199" t="s">
        <v>364</v>
      </c>
      <c r="E21" s="131">
        <f t="shared" si="11"/>
        <v>38</v>
      </c>
      <c r="F21" s="63">
        <v>13</v>
      </c>
      <c r="G21" s="113">
        <v>5</v>
      </c>
      <c r="H21" s="132">
        <f>2001</f>
        <v>2001</v>
      </c>
      <c r="I21" s="189" t="s">
        <v>316</v>
      </c>
      <c r="J21" s="53" t="str">
        <f ca="1">VLOOKUP($A21,OFFSET([1]characters!$A$1,0,0,COUNTA([1]characters!$A:$A),MATCH("name",[1]characters!$1:$1,0)-MATCH("character_id",[1]characters!$1:$1,0)+1),MATCH("name",[1]characters!$1:$1,0)-MATCH("character_id",[1]characters!$1:$1,0)+1,FALSE)</f>
        <v>救声の唱動 MEIKO</v>
      </c>
      <c r="K21" s="133">
        <f>IFERROR(VLOOKUP(A21,[1]characters!$A:$R,18),0)</f>
        <v>3</v>
      </c>
      <c r="L21" s="134"/>
      <c r="M21" s="135"/>
      <c r="N21" s="135"/>
      <c r="O21" s="135"/>
      <c r="P21" s="135"/>
      <c r="Q21" s="135"/>
      <c r="R21" s="130"/>
      <c r="S21" s="136"/>
    </row>
    <row r="22" spans="1:19" ht="21" customHeight="1" x14ac:dyDescent="0.15">
      <c r="A22" s="186">
        <v>1315</v>
      </c>
      <c r="B22" s="129" t="s">
        <v>184</v>
      </c>
      <c r="C22" s="188" t="s">
        <v>401</v>
      </c>
      <c r="D22" s="199" t="s">
        <v>362</v>
      </c>
      <c r="E22" s="131">
        <f t="shared" si="11"/>
        <v>43</v>
      </c>
      <c r="F22" s="63">
        <v>12</v>
      </c>
      <c r="G22" s="113">
        <v>5</v>
      </c>
      <c r="H22" s="132">
        <f>2001</f>
        <v>2001</v>
      </c>
      <c r="I22" s="189" t="s">
        <v>553</v>
      </c>
      <c r="J22" s="53" t="str">
        <f ca="1">VLOOKUP($A22,OFFSET([1]characters!$A$1,0,0,COUNTA([1]characters!$A:$A),MATCH("name",[1]characters!$1:$1,0)-MATCH("character_id",[1]characters!$1:$1,0)+1),MATCH("name",[1]characters!$1:$1,0)-MATCH("character_id",[1]characters!$1:$1,0)+1,FALSE)</f>
        <v>快響の楽唱歌 KAITO</v>
      </c>
      <c r="K22" s="133">
        <f>IFERROR(VLOOKUP(A22,[1]characters!$A:$R,18),0)</f>
        <v>3</v>
      </c>
      <c r="L22" s="134"/>
      <c r="M22" s="135"/>
      <c r="N22" s="135"/>
      <c r="O22" s="135"/>
      <c r="P22" s="135"/>
      <c r="Q22" s="135"/>
      <c r="R22" s="130"/>
      <c r="S22" s="136"/>
    </row>
    <row r="23" spans="1:19" ht="21" customHeight="1" x14ac:dyDescent="0.15">
      <c r="A23" s="186">
        <v>1316</v>
      </c>
      <c r="B23" s="129" t="s">
        <v>184</v>
      </c>
      <c r="C23" s="188" t="s">
        <v>403</v>
      </c>
      <c r="D23" s="199" t="s">
        <v>563</v>
      </c>
      <c r="E23" s="131">
        <f t="shared" si="11"/>
        <v>57</v>
      </c>
      <c r="F23" s="63">
        <v>15</v>
      </c>
      <c r="G23" s="113">
        <v>7</v>
      </c>
      <c r="H23" s="132">
        <f>2001</f>
        <v>2001</v>
      </c>
      <c r="I23" s="198" t="s">
        <v>368</v>
      </c>
      <c r="J23" s="53" t="str">
        <f ca="1">VLOOKUP($A23,OFFSET([1]characters!$A$1,0,0,COUNTA([1]characters!$A:$A),MATCH("name",[1]characters!$1:$1,0)-MATCH("character_id",[1]characters!$1:$1,0)+1),MATCH("name",[1]characters!$1:$1,0)-MATCH("character_id",[1]characters!$1:$1,0)+1,FALSE)</f>
        <v>初音ミクV4X</v>
      </c>
      <c r="K23" s="133">
        <f>IFERROR(VLOOKUP(A23,[1]characters!$A:$R,18),0)</f>
        <v>3</v>
      </c>
      <c r="L23" s="134"/>
      <c r="M23" s="135"/>
      <c r="N23" s="135"/>
      <c r="O23" s="135"/>
      <c r="P23" s="135"/>
      <c r="Q23" s="135"/>
      <c r="R23" s="130"/>
      <c r="S23" s="136"/>
    </row>
    <row r="24" spans="1:19" ht="21" customHeight="1" x14ac:dyDescent="0.15">
      <c r="A24" s="186">
        <v>1317</v>
      </c>
      <c r="B24" s="129" t="s">
        <v>184</v>
      </c>
      <c r="C24" s="188" t="s">
        <v>404</v>
      </c>
      <c r="D24" s="199" t="s">
        <v>573</v>
      </c>
      <c r="E24" s="131">
        <f t="shared" si="11"/>
        <v>57</v>
      </c>
      <c r="F24" s="63">
        <v>14</v>
      </c>
      <c r="G24" s="113">
        <v>7</v>
      </c>
      <c r="H24" s="132">
        <f>2001</f>
        <v>2001</v>
      </c>
      <c r="I24" s="198" t="s">
        <v>574</v>
      </c>
      <c r="J24" s="53" t="str">
        <f ca="1">VLOOKUP($A24,OFFSET([1]characters!$A$1,0,0,COUNTA([1]characters!$A:$A),MATCH("name",[1]characters!$1:$1,0)-MATCH("character_id",[1]characters!$1:$1,0)+1),MATCH("name",[1]characters!$1:$1,0)-MATCH("character_id",[1]characters!$1:$1,0)+1,FALSE)</f>
        <v>進歌する声域 初音ミクV4X</v>
      </c>
      <c r="K24" s="133">
        <f>IFERROR(VLOOKUP(A24,[1]characters!$A:$R,18),0)</f>
        <v>3</v>
      </c>
      <c r="L24" s="134"/>
      <c r="M24" s="135"/>
      <c r="N24" s="135"/>
      <c r="O24" s="135"/>
      <c r="P24" s="135"/>
      <c r="Q24" s="135"/>
      <c r="R24" s="130"/>
      <c r="S24" s="136"/>
    </row>
    <row r="25" spans="1:19" ht="21" customHeight="1" x14ac:dyDescent="0.15">
      <c r="A25" s="186">
        <v>1318</v>
      </c>
      <c r="B25" s="129" t="s">
        <v>184</v>
      </c>
      <c r="C25" s="188" t="s">
        <v>406</v>
      </c>
      <c r="D25" s="188" t="s">
        <v>387</v>
      </c>
      <c r="E25" s="131">
        <f t="shared" si="11"/>
        <v>45</v>
      </c>
      <c r="F25" s="63">
        <v>13</v>
      </c>
      <c r="G25" s="113">
        <v>5</v>
      </c>
      <c r="H25" s="132">
        <f>2001</f>
        <v>2001</v>
      </c>
      <c r="I25" s="189" t="s">
        <v>549</v>
      </c>
      <c r="J25" s="53" t="str">
        <f ca="1">VLOOKUP($A25,OFFSET([1]characters!$A$1,0,0,COUNTA([1]characters!$A:$A),MATCH("name",[1]characters!$1:$1,0)-MATCH("character_id",[1]characters!$1:$1,0)+1),MATCH("name",[1]characters!$1:$1,0)-MATCH("character_id",[1]characters!$1:$1,0)+1,FALSE)</f>
        <v>鏡音リンV4X</v>
      </c>
      <c r="K25" s="133">
        <f>IFERROR(VLOOKUP(A25,[1]characters!$A:$R,18),0)</f>
        <v>3</v>
      </c>
      <c r="L25" s="134"/>
      <c r="M25" s="135"/>
      <c r="N25" s="135"/>
      <c r="O25" s="135"/>
      <c r="P25" s="135"/>
      <c r="Q25" s="135"/>
      <c r="R25" s="130"/>
      <c r="S25" s="136"/>
    </row>
    <row r="26" spans="1:19" ht="21" customHeight="1" x14ac:dyDescent="0.15">
      <c r="A26" s="186">
        <v>1319</v>
      </c>
      <c r="B26" s="129" t="s">
        <v>184</v>
      </c>
      <c r="C26" s="188" t="s">
        <v>407</v>
      </c>
      <c r="D26" s="188" t="s">
        <v>567</v>
      </c>
      <c r="E26" s="131">
        <f t="shared" si="11"/>
        <v>45</v>
      </c>
      <c r="F26" s="63">
        <v>12</v>
      </c>
      <c r="G26" s="113">
        <v>5</v>
      </c>
      <c r="H26" s="132">
        <f>2001</f>
        <v>2001</v>
      </c>
      <c r="I26" s="189" t="s">
        <v>566</v>
      </c>
      <c r="J26" s="53" t="str">
        <f ca="1">VLOOKUP($A26,OFFSET([1]characters!$A$1,0,0,COUNTA([1]characters!$A:$A),MATCH("name",[1]characters!$1:$1,0)-MATCH("character_id",[1]characters!$1:$1,0)+1),MATCH("name",[1]characters!$1:$1,0)-MATCH("character_id",[1]characters!$1:$1,0)+1,FALSE)</f>
        <v>甘恋の激唱歌 鏡音リンV4X</v>
      </c>
      <c r="K26" s="133">
        <f>IFERROR(VLOOKUP(A26,[1]characters!$A:$R,18),0)</f>
        <v>3</v>
      </c>
      <c r="L26" s="134"/>
      <c r="M26" s="135"/>
      <c r="N26" s="135"/>
      <c r="O26" s="135"/>
      <c r="P26" s="135"/>
      <c r="Q26" s="135"/>
      <c r="R26" s="130"/>
      <c r="S26" s="136"/>
    </row>
    <row r="27" spans="1:19" ht="21" customHeight="1" x14ac:dyDescent="0.15">
      <c r="A27" s="186">
        <v>1320</v>
      </c>
      <c r="B27" s="129" t="s">
        <v>184</v>
      </c>
      <c r="C27" s="188" t="s">
        <v>409</v>
      </c>
      <c r="D27" s="199" t="s">
        <v>383</v>
      </c>
      <c r="E27" s="131">
        <f t="shared" si="11"/>
        <v>47</v>
      </c>
      <c r="F27" s="63">
        <v>12</v>
      </c>
      <c r="G27" s="113">
        <v>5</v>
      </c>
      <c r="H27" s="132">
        <f>2001</f>
        <v>2001</v>
      </c>
      <c r="I27" s="189" t="s">
        <v>382</v>
      </c>
      <c r="J27" s="53" t="str">
        <f ca="1">VLOOKUP($A27,OFFSET([1]characters!$A$1,0,0,COUNTA([1]characters!$A:$A),MATCH("name",[1]characters!$1:$1,0)-MATCH("character_id",[1]characters!$1:$1,0)+1),MATCH("name",[1]characters!$1:$1,0)-MATCH("character_id",[1]characters!$1:$1,0)+1,FALSE)</f>
        <v>鏡音レンV4X</v>
      </c>
      <c r="K27" s="133">
        <f>IFERROR(VLOOKUP(A27,[1]characters!$A:$R,18),0)</f>
        <v>3</v>
      </c>
      <c r="L27" s="134"/>
      <c r="M27" s="135"/>
      <c r="N27" s="135"/>
      <c r="O27" s="135"/>
      <c r="P27" s="135"/>
      <c r="Q27" s="135"/>
      <c r="R27" s="130"/>
      <c r="S27" s="136"/>
    </row>
    <row r="28" spans="1:19" ht="21" customHeight="1" x14ac:dyDescent="0.15">
      <c r="A28" s="186">
        <v>1321</v>
      </c>
      <c r="B28" s="129" t="s">
        <v>184</v>
      </c>
      <c r="C28" s="188" t="s">
        <v>410</v>
      </c>
      <c r="D28" s="199" t="s">
        <v>570</v>
      </c>
      <c r="E28" s="131">
        <f t="shared" si="11"/>
        <v>47</v>
      </c>
      <c r="F28" s="63">
        <v>12</v>
      </c>
      <c r="G28" s="113">
        <v>5</v>
      </c>
      <c r="H28" s="132">
        <f>2001</f>
        <v>2001</v>
      </c>
      <c r="I28" s="189" t="s">
        <v>569</v>
      </c>
      <c r="J28" s="53" t="str">
        <f ca="1">VLOOKUP($A28,OFFSET([1]characters!$A$1,0,0,COUNTA([1]characters!$A:$A),MATCH("name",[1]characters!$1:$1,0)-MATCH("character_id",[1]characters!$1:$1,0)+1),MATCH("name",[1]characters!$1:$1,0)-MATCH("character_id",[1]characters!$1:$1,0)+1,FALSE)</f>
        <v>純凛の柔唱歌 鏡音レンV4X</v>
      </c>
      <c r="K28" s="133">
        <f>IFERROR(VLOOKUP(A28,[1]characters!$A:$R,18),0)</f>
        <v>3</v>
      </c>
      <c r="L28" s="134"/>
      <c r="M28" s="135"/>
      <c r="N28" s="135"/>
      <c r="O28" s="135"/>
      <c r="P28" s="135"/>
      <c r="Q28" s="135"/>
      <c r="R28" s="130"/>
      <c r="S28" s="136"/>
    </row>
    <row r="29" spans="1:19" ht="21" customHeight="1" x14ac:dyDescent="0.15">
      <c r="A29" s="186">
        <v>1322</v>
      </c>
      <c r="B29" s="129" t="s">
        <v>184</v>
      </c>
      <c r="C29" s="188" t="s">
        <v>412</v>
      </c>
      <c r="D29" s="199" t="s">
        <v>560</v>
      </c>
      <c r="E29" s="131">
        <f t="shared" ref="E29" si="12">LEN(D29)</f>
        <v>52</v>
      </c>
      <c r="F29" s="63">
        <v>12</v>
      </c>
      <c r="G29" s="113">
        <v>5</v>
      </c>
      <c r="H29" s="132">
        <f>2001</f>
        <v>2001</v>
      </c>
      <c r="I29" s="198" t="s">
        <v>546</v>
      </c>
      <c r="J29" s="53" t="str">
        <f ca="1">VLOOKUP($A29,OFFSET([1]characters!$A$1,0,0,COUNTA([1]characters!$A:$A),MATCH("name",[1]characters!$1:$1,0)-MATCH("character_id",[1]characters!$1:$1,0)+1),MATCH("name",[1]characters!$1:$1,0)-MATCH("character_id",[1]characters!$1:$1,0)+1,FALSE)</f>
        <v>巡音ルカV4X</v>
      </c>
      <c r="K29" s="133">
        <f>IFERROR(VLOOKUP(A29,[1]characters!$A:$R,18),0)</f>
        <v>3</v>
      </c>
      <c r="L29" s="134"/>
      <c r="M29" s="135"/>
      <c r="N29" s="135"/>
      <c r="O29" s="135"/>
      <c r="P29" s="135"/>
      <c r="Q29" s="135"/>
      <c r="R29" s="130"/>
      <c r="S29" s="136"/>
    </row>
    <row r="30" spans="1:19" ht="21" customHeight="1" x14ac:dyDescent="0.15">
      <c r="A30" s="186">
        <v>1323</v>
      </c>
      <c r="B30" s="129" t="s">
        <v>184</v>
      </c>
      <c r="C30" s="188" t="s">
        <v>413</v>
      </c>
      <c r="D30" s="199" t="s">
        <v>571</v>
      </c>
      <c r="E30" s="131">
        <f t="shared" ref="E30" si="13">LEN(D30)</f>
        <v>52</v>
      </c>
      <c r="F30" s="63">
        <v>12</v>
      </c>
      <c r="G30" s="113">
        <v>5</v>
      </c>
      <c r="H30" s="132">
        <f>2001</f>
        <v>2001</v>
      </c>
      <c r="I30" s="198" t="s">
        <v>572</v>
      </c>
      <c r="J30" s="53" t="str">
        <f ca="1">VLOOKUP($A30,OFFSET([1]characters!$A$1,0,0,COUNTA([1]characters!$A:$A),MATCH("name",[1]characters!$1:$1,0)-MATCH("character_id",[1]characters!$1:$1,0)+1),MATCH("name",[1]characters!$1:$1,0)-MATCH("character_id",[1]characters!$1:$1,0)+1,FALSE)</f>
        <v>吐鳴する響惹 巡音ルカV4X</v>
      </c>
      <c r="K30" s="133">
        <f>IFERROR(VLOOKUP(A30,[1]characters!$A:$R,18),0)</f>
        <v>3</v>
      </c>
      <c r="L30" s="134"/>
      <c r="M30" s="135"/>
      <c r="N30" s="135"/>
      <c r="O30" s="135"/>
      <c r="P30" s="135"/>
      <c r="Q30" s="135"/>
      <c r="R30" s="130"/>
      <c r="S30" s="136"/>
    </row>
  </sheetData>
  <sheetProtection selectLockedCells="1" selectUnlockedCells="1"/>
  <autoFilter ref="A1:S1">
    <sortState ref="A2:T432">
      <sortCondition ref="A1:A432"/>
    </sortState>
  </autoFilter>
  <phoneticPr fontId="22"/>
  <conditionalFormatting sqref="E1 E31:E1048576">
    <cfRule type="cellIs" dxfId="104" priority="51" operator="greaterThan">
      <formula>41</formula>
    </cfRule>
  </conditionalFormatting>
  <conditionalFormatting sqref="E2">
    <cfRule type="cellIs" dxfId="103" priority="45" operator="greaterThan">
      <formula>41</formula>
    </cfRule>
  </conditionalFormatting>
  <conditionalFormatting sqref="E3">
    <cfRule type="cellIs" dxfId="102" priority="44" operator="greaterThan">
      <formula>41</formula>
    </cfRule>
  </conditionalFormatting>
  <conditionalFormatting sqref="E4">
    <cfRule type="cellIs" dxfId="101" priority="27" operator="greaterThan">
      <formula>41</formula>
    </cfRule>
  </conditionalFormatting>
  <conditionalFormatting sqref="E5">
    <cfRule type="cellIs" dxfId="100" priority="26" operator="greaterThan">
      <formula>41</formula>
    </cfRule>
  </conditionalFormatting>
  <conditionalFormatting sqref="E6">
    <cfRule type="cellIs" dxfId="99" priority="25" operator="greaterThan">
      <formula>41</formula>
    </cfRule>
  </conditionalFormatting>
  <conditionalFormatting sqref="E7">
    <cfRule type="cellIs" dxfId="98" priority="24" operator="greaterThan">
      <formula>41</formula>
    </cfRule>
  </conditionalFormatting>
  <conditionalFormatting sqref="E8">
    <cfRule type="cellIs" dxfId="97" priority="23" operator="greaterThan">
      <formula>41</formula>
    </cfRule>
  </conditionalFormatting>
  <conditionalFormatting sqref="E9">
    <cfRule type="cellIs" dxfId="96" priority="22" operator="greaterThan">
      <formula>41</formula>
    </cfRule>
  </conditionalFormatting>
  <conditionalFormatting sqref="E10">
    <cfRule type="cellIs" dxfId="95" priority="21" operator="greaterThan">
      <formula>41</formula>
    </cfRule>
  </conditionalFormatting>
  <conditionalFormatting sqref="E11">
    <cfRule type="cellIs" dxfId="94" priority="20" operator="greaterThan">
      <formula>41</formula>
    </cfRule>
  </conditionalFormatting>
  <conditionalFormatting sqref="E12">
    <cfRule type="cellIs" dxfId="93" priority="19" operator="greaterThan">
      <formula>41</formula>
    </cfRule>
  </conditionalFormatting>
  <conditionalFormatting sqref="E13">
    <cfRule type="cellIs" dxfId="92" priority="18" operator="greaterThan">
      <formula>41</formula>
    </cfRule>
  </conditionalFormatting>
  <conditionalFormatting sqref="E14">
    <cfRule type="cellIs" dxfId="91" priority="17" operator="greaterThan">
      <formula>41</formula>
    </cfRule>
  </conditionalFormatting>
  <conditionalFormatting sqref="E15">
    <cfRule type="cellIs" dxfId="90" priority="16" operator="greaterThan">
      <formula>41</formula>
    </cfRule>
  </conditionalFormatting>
  <conditionalFormatting sqref="E16">
    <cfRule type="cellIs" dxfId="89" priority="15" operator="greaterThan">
      <formula>41</formula>
    </cfRule>
  </conditionalFormatting>
  <conditionalFormatting sqref="E17">
    <cfRule type="cellIs" dxfId="88" priority="14" operator="greaterThan">
      <formula>41</formula>
    </cfRule>
  </conditionalFormatting>
  <conditionalFormatting sqref="E18">
    <cfRule type="cellIs" dxfId="87" priority="13" operator="greaterThan">
      <formula>41</formula>
    </cfRule>
  </conditionalFormatting>
  <conditionalFormatting sqref="E19">
    <cfRule type="cellIs" dxfId="86" priority="12" operator="greaterThan">
      <formula>41</formula>
    </cfRule>
  </conditionalFormatting>
  <conditionalFormatting sqref="E20">
    <cfRule type="cellIs" dxfId="85" priority="11" operator="greaterThan">
      <formula>41</formula>
    </cfRule>
  </conditionalFormatting>
  <conditionalFormatting sqref="E21">
    <cfRule type="cellIs" dxfId="84" priority="10" operator="greaterThan">
      <formula>41</formula>
    </cfRule>
  </conditionalFormatting>
  <conditionalFormatting sqref="E22">
    <cfRule type="cellIs" dxfId="83" priority="9" operator="greaterThan">
      <formula>41</formula>
    </cfRule>
  </conditionalFormatting>
  <conditionalFormatting sqref="E23">
    <cfRule type="cellIs" dxfId="82" priority="8" operator="greaterThan">
      <formula>41</formula>
    </cfRule>
  </conditionalFormatting>
  <conditionalFormatting sqref="E24">
    <cfRule type="cellIs" dxfId="81" priority="7" operator="greaterThan">
      <formula>41</formula>
    </cfRule>
  </conditionalFormatting>
  <conditionalFormatting sqref="E25">
    <cfRule type="cellIs" dxfId="80" priority="6" operator="greaterThan">
      <formula>41</formula>
    </cfRule>
  </conditionalFormatting>
  <conditionalFormatting sqref="E26">
    <cfRule type="cellIs" dxfId="79" priority="5" operator="greaterThan">
      <formula>41</formula>
    </cfRule>
  </conditionalFormatting>
  <conditionalFormatting sqref="E27">
    <cfRule type="cellIs" dxfId="78" priority="4" operator="greaterThan">
      <formula>41</formula>
    </cfRule>
  </conditionalFormatting>
  <conditionalFormatting sqref="E28">
    <cfRule type="cellIs" dxfId="77" priority="3" operator="greaterThan">
      <formula>41</formula>
    </cfRule>
  </conditionalFormatting>
  <conditionalFormatting sqref="E29">
    <cfRule type="cellIs" dxfId="76" priority="2" operator="greaterThan">
      <formula>41</formula>
    </cfRule>
  </conditionalFormatting>
  <conditionalFormatting sqref="E30">
    <cfRule type="cellIs" dxfId="75"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0"/>
  <sheetViews>
    <sheetView showGridLines="0" workbookViewId="0">
      <pane xSplit="4" ySplit="1" topLeftCell="H17" activePane="bottomRight" state="frozen"/>
      <selection pane="topRight" activeCell="D1" sqref="D1"/>
      <selection pane="bottomLeft" activeCell="A3" sqref="A3"/>
      <selection pane="bottomRight" activeCell="L21" sqref="L21"/>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183</v>
      </c>
      <c r="H1" s="118" t="s">
        <v>176</v>
      </c>
      <c r="I1" s="119" t="s">
        <v>175</v>
      </c>
      <c r="J1" s="123" t="s">
        <v>174</v>
      </c>
    </row>
    <row r="2" spans="1:19" ht="21" customHeight="1" x14ac:dyDescent="0.15">
      <c r="A2" s="186">
        <v>1295</v>
      </c>
      <c r="B2" s="129" t="s">
        <v>185</v>
      </c>
      <c r="C2" s="188" t="s">
        <v>418</v>
      </c>
      <c r="D2" s="188" t="s">
        <v>315</v>
      </c>
      <c r="E2" s="131">
        <f t="shared" ref="E2" si="0">LEN(D2)</f>
        <v>9</v>
      </c>
      <c r="F2" s="63" t="s">
        <v>358</v>
      </c>
      <c r="G2" s="197" t="str">
        <f ca="1">VLOOKUP($A2,OFFSET([1]characters!$A$1,0,0,COUNTA([1]characters!$A:$A),MATCH("name",[1]characters!$1:$1,0)-MATCH("character_id",[1]characters!$1:$1,0)+1),MATCH("name",[1]characters!$1:$1,0)-MATCH("character_id",[1]characters!$1:$1,0)+1,FALSE)</f>
        <v>星空の舞奏 ラビット・ユキネ</v>
      </c>
      <c r="H2" s="132">
        <f>IFERROR(VLOOKUP(A2,[1]characters!$A:$R,18),0)</f>
        <v>3</v>
      </c>
      <c r="I2" s="132"/>
      <c r="J2" s="137"/>
      <c r="K2" s="133">
        <v>1</v>
      </c>
      <c r="L2" s="134"/>
      <c r="M2" s="135"/>
      <c r="N2" s="135"/>
      <c r="O2" s="135"/>
      <c r="P2" s="135"/>
      <c r="Q2" s="135"/>
      <c r="R2" s="130"/>
      <c r="S2" s="136"/>
    </row>
    <row r="3" spans="1:19" ht="21" customHeight="1" x14ac:dyDescent="0.15">
      <c r="A3" s="186">
        <v>1296</v>
      </c>
      <c r="B3" s="129" t="s">
        <v>185</v>
      </c>
      <c r="C3" s="188" t="s">
        <v>418</v>
      </c>
      <c r="D3" s="188" t="s">
        <v>315</v>
      </c>
      <c r="E3" s="131">
        <f t="shared" ref="E3" si="1">LEN(D3)</f>
        <v>9</v>
      </c>
      <c r="F3" s="63" t="s">
        <v>358</v>
      </c>
      <c r="G3" s="197" t="str">
        <f ca="1">VLOOKUP($A3,OFFSET([1]characters!$A$1,0,0,COUNTA([1]characters!$A:$A),MATCH("name",[1]characters!$1:$1,0)-MATCH("character_id",[1]characters!$1:$1,0)+1),MATCH("name",[1]characters!$1:$1,0)-MATCH("character_id",[1]characters!$1:$1,0)+1,FALSE)</f>
        <v>星々駆ける乱奏 ラビット・ユキネ</v>
      </c>
      <c r="H3" s="132">
        <f>IFERROR(VLOOKUP(A3,[1]characters!$A:$R,18),0)</f>
        <v>3</v>
      </c>
      <c r="I3" s="132"/>
      <c r="J3" s="137"/>
      <c r="K3" s="133">
        <v>1</v>
      </c>
      <c r="L3" s="134"/>
      <c r="M3" s="135"/>
      <c r="N3" s="135"/>
      <c r="O3" s="135"/>
      <c r="P3" s="135"/>
      <c r="Q3" s="135"/>
      <c r="R3" s="130"/>
      <c r="S3" s="136"/>
    </row>
    <row r="4" spans="1:19" ht="21" customHeight="1" x14ac:dyDescent="0.15">
      <c r="A4" s="186">
        <v>1297</v>
      </c>
      <c r="B4" s="129" t="s">
        <v>185</v>
      </c>
      <c r="C4" s="188" t="s">
        <v>420</v>
      </c>
      <c r="D4" s="188" t="s">
        <v>360</v>
      </c>
      <c r="E4" s="131">
        <f t="shared" ref="E4" si="2">LEN(D4)</f>
        <v>6</v>
      </c>
      <c r="F4" s="63" t="s">
        <v>359</v>
      </c>
      <c r="G4" s="197" t="str">
        <f ca="1">VLOOKUP($A4,OFFSET([1]characters!$A$1,0,0,COUNTA([1]characters!$A:$A),MATCH("name",[1]characters!$1:$1,0)-MATCH("character_id",[1]characters!$1:$1,0)+1),MATCH("name",[1]characters!$1:$1,0)-MATCH("character_id",[1]characters!$1:$1,0)+1,FALSE)</f>
        <v>雪ミク2017</v>
      </c>
      <c r="H4" s="132">
        <f>IFERROR(VLOOKUP(A4,[1]characters!$A:$R,18),0)</f>
        <v>3</v>
      </c>
      <c r="I4" s="132"/>
      <c r="J4" s="137"/>
      <c r="K4" s="133">
        <v>1</v>
      </c>
      <c r="L4" s="134"/>
      <c r="M4" s="135"/>
      <c r="N4" s="135"/>
      <c r="O4" s="135"/>
      <c r="P4" s="135"/>
      <c r="Q4" s="135"/>
      <c r="R4" s="130"/>
      <c r="S4" s="136"/>
    </row>
    <row r="5" spans="1:19" ht="21" customHeight="1" x14ac:dyDescent="0.15">
      <c r="A5" s="186">
        <v>1298</v>
      </c>
      <c r="B5" s="129" t="s">
        <v>185</v>
      </c>
      <c r="C5" s="188" t="s">
        <v>420</v>
      </c>
      <c r="D5" s="188" t="s">
        <v>360</v>
      </c>
      <c r="E5" s="131">
        <f t="shared" ref="E5" si="3">LEN(D5)</f>
        <v>6</v>
      </c>
      <c r="F5" s="63" t="s">
        <v>359</v>
      </c>
      <c r="G5" s="197" t="str">
        <f ca="1">VLOOKUP($A5,OFFSET([1]characters!$A$1,0,0,COUNTA([1]characters!$A:$A),MATCH("name",[1]characters!$1:$1,0)-MATCH("character_id",[1]characters!$1:$1,0)+1),MATCH("name",[1]characters!$1:$1,0)-MATCH("character_id",[1]characters!$1:$1,0)+1,FALSE)</f>
        <v>星空の歌姫 雪ミク2017</v>
      </c>
      <c r="H5" s="132">
        <f>IFERROR(VLOOKUP(A5,[1]characters!$A:$R,18),0)</f>
        <v>3</v>
      </c>
      <c r="I5" s="132"/>
      <c r="J5" s="137"/>
      <c r="K5" s="133">
        <v>1</v>
      </c>
      <c r="L5" s="134"/>
      <c r="M5" s="135"/>
      <c r="N5" s="135"/>
      <c r="O5" s="135"/>
      <c r="P5" s="135"/>
      <c r="Q5" s="135"/>
      <c r="R5" s="130"/>
      <c r="S5" s="136"/>
    </row>
    <row r="6" spans="1:19" ht="21" customHeight="1" x14ac:dyDescent="0.15">
      <c r="A6" s="186">
        <v>1299</v>
      </c>
      <c r="B6" s="129" t="s">
        <v>185</v>
      </c>
      <c r="C6" s="188" t="s">
        <v>431</v>
      </c>
      <c r="D6" s="199" t="s">
        <v>543</v>
      </c>
      <c r="E6" s="131">
        <f t="shared" ref="E6" si="4">LEN(D6)</f>
        <v>21</v>
      </c>
      <c r="F6" s="63" t="s">
        <v>377</v>
      </c>
      <c r="G6" s="197" t="str">
        <f ca="1">VLOOKUP($A6,OFFSET([1]characters!$A$1,0,0,COUNTA([1]characters!$A:$A),MATCH("name",[1]characters!$1:$1,0)-MATCH("character_id",[1]characters!$1:$1,0)+1),MATCH("name",[1]characters!$1:$1,0)-MATCH("character_id",[1]characters!$1:$1,0)+1,FALSE)</f>
        <v>覚世の楽聖姫 初音ミクV3</v>
      </c>
      <c r="H6" s="132">
        <f>IFERROR(VLOOKUP(A6,[1]characters!$A:$R,18),0)</f>
        <v>3</v>
      </c>
      <c r="I6" s="132"/>
      <c r="J6" s="137"/>
      <c r="K6" s="133">
        <v>1</v>
      </c>
      <c r="L6" s="134"/>
      <c r="M6" s="135"/>
      <c r="N6" s="135"/>
      <c r="O6" s="135"/>
      <c r="P6" s="135"/>
      <c r="Q6" s="135"/>
      <c r="R6" s="130"/>
      <c r="S6" s="136"/>
    </row>
    <row r="7" spans="1:19" ht="21" customHeight="1" x14ac:dyDescent="0.15">
      <c r="A7" s="186">
        <v>1300</v>
      </c>
      <c r="B7" s="129" t="s">
        <v>185</v>
      </c>
      <c r="C7" s="188" t="s">
        <v>423</v>
      </c>
      <c r="D7" s="188" t="s">
        <v>351</v>
      </c>
      <c r="E7" s="131">
        <f t="shared" ref="E7" si="5">LEN(D7)</f>
        <v>29</v>
      </c>
      <c r="F7" s="63" t="s">
        <v>350</v>
      </c>
      <c r="G7" s="197" t="str">
        <f ca="1">VLOOKUP($A7,OFFSET([1]characters!$A$1,0,0,COUNTA([1]characters!$A:$A),MATCH("name",[1]characters!$1:$1,0)-MATCH("character_id",[1]characters!$1:$1,0)+1),MATCH("name",[1]characters!$1:$1,0)-MATCH("character_id",[1]characters!$1:$1,0)+1,FALSE)</f>
        <v>歌装の彩唱 紫式部</v>
      </c>
      <c r="H7" s="132">
        <f>IFERROR(VLOOKUP(A7,[1]characters!$A:$R,18),0)</f>
        <v>3</v>
      </c>
      <c r="I7" s="132"/>
      <c r="J7" s="137"/>
      <c r="K7" s="133">
        <v>1</v>
      </c>
      <c r="L7" s="134"/>
      <c r="M7" s="135"/>
      <c r="N7" s="135"/>
      <c r="O7" s="135"/>
      <c r="P7" s="135"/>
      <c r="Q7" s="135"/>
      <c r="R7" s="130"/>
      <c r="S7" s="136"/>
    </row>
    <row r="8" spans="1:19" ht="21" customHeight="1" x14ac:dyDescent="0.15">
      <c r="A8" s="186">
        <v>1301</v>
      </c>
      <c r="B8" s="129" t="s">
        <v>185</v>
      </c>
      <c r="C8" s="188" t="s">
        <v>423</v>
      </c>
      <c r="D8" s="188" t="s">
        <v>351</v>
      </c>
      <c r="E8" s="131">
        <f t="shared" ref="E8" si="6">LEN(D8)</f>
        <v>29</v>
      </c>
      <c r="F8" s="63" t="s">
        <v>350</v>
      </c>
      <c r="G8" s="197" t="str">
        <f ca="1">VLOOKUP($A8,OFFSET([1]characters!$A$1,0,0,COUNTA([1]characters!$A:$A),MATCH("name",[1]characters!$1:$1,0)-MATCH("character_id",[1]characters!$1:$1,0)+1),MATCH("name",[1]characters!$1:$1,0)-MATCH("character_id",[1]characters!$1:$1,0)+1,FALSE)</f>
        <v>歌装の萌響女 紫式部</v>
      </c>
      <c r="H8" s="132">
        <f>IFERROR(VLOOKUP(A8,[1]characters!$A:$R,18),0)</f>
        <v>3</v>
      </c>
      <c r="I8" s="132"/>
      <c r="J8" s="137"/>
      <c r="K8" s="133">
        <v>1</v>
      </c>
      <c r="L8" s="134"/>
      <c r="M8" s="135"/>
      <c r="N8" s="135"/>
      <c r="O8" s="135"/>
      <c r="P8" s="135"/>
      <c r="Q8" s="135"/>
      <c r="R8" s="130"/>
      <c r="S8" s="136"/>
    </row>
    <row r="9" spans="1:19" ht="21" customHeight="1" x14ac:dyDescent="0.15">
      <c r="A9" s="186">
        <v>1302</v>
      </c>
      <c r="B9" s="129" t="s">
        <v>185</v>
      </c>
      <c r="C9" s="188" t="s">
        <v>426</v>
      </c>
      <c r="D9" s="188" t="s">
        <v>343</v>
      </c>
      <c r="E9" s="131">
        <f t="shared" ref="E9:E11" si="7">LEN(D9)</f>
        <v>9</v>
      </c>
      <c r="F9" s="63" t="s">
        <v>352</v>
      </c>
      <c r="G9" s="197" t="str">
        <f ca="1">VLOOKUP($A9,OFFSET([1]characters!$A$1,0,0,COUNTA([1]characters!$A:$A),MATCH("name",[1]characters!$1:$1,0)-MATCH("character_id",[1]characters!$1:$1,0)+1),MATCH("name",[1]characters!$1:$1,0)-MATCH("character_id",[1]characters!$1:$1,0)+1,FALSE)</f>
        <v>超天突符 イナバ</v>
      </c>
      <c r="H9" s="132">
        <f>IFERROR(VLOOKUP(A9,[1]characters!$A:$R,18),0)</f>
        <v>3</v>
      </c>
      <c r="I9" s="132"/>
      <c r="J9" s="137"/>
      <c r="K9" s="133">
        <v>1</v>
      </c>
      <c r="L9" s="134"/>
      <c r="M9" s="135"/>
      <c r="N9" s="135"/>
      <c r="O9" s="135"/>
      <c r="P9" s="135"/>
      <c r="Q9" s="135"/>
      <c r="R9" s="130"/>
      <c r="S9" s="136"/>
    </row>
    <row r="10" spans="1:19" ht="21" customHeight="1" x14ac:dyDescent="0.15">
      <c r="A10" s="186">
        <v>1303</v>
      </c>
      <c r="B10" s="129" t="s">
        <v>185</v>
      </c>
      <c r="C10" s="188" t="s">
        <v>426</v>
      </c>
      <c r="D10" s="188" t="s">
        <v>343</v>
      </c>
      <c r="E10" s="131">
        <f t="shared" si="7"/>
        <v>9</v>
      </c>
      <c r="F10" s="63" t="s">
        <v>352</v>
      </c>
      <c r="G10" s="197" t="str">
        <f ca="1">VLOOKUP($A10,OFFSET([1]characters!$A$1,0,0,COUNTA([1]characters!$A:$A),MATCH("name",[1]characters!$1:$1,0)-MATCH("character_id",[1]characters!$1:$1,0)+1),MATCH("name",[1]characters!$1:$1,0)-MATCH("character_id",[1]characters!$1:$1,0)+1,FALSE)</f>
        <v>転調･超天突符 イナバ</v>
      </c>
      <c r="H10" s="132">
        <f>IFERROR(VLOOKUP(A10,[1]characters!$A:$R,18),0)</f>
        <v>3</v>
      </c>
      <c r="I10" s="132"/>
      <c r="J10" s="137"/>
      <c r="K10" s="133">
        <v>1</v>
      </c>
      <c r="L10" s="134"/>
      <c r="M10" s="135"/>
      <c r="N10" s="135"/>
      <c r="O10" s="135"/>
      <c r="P10" s="135"/>
      <c r="Q10" s="135"/>
      <c r="R10" s="130"/>
      <c r="S10" s="136"/>
    </row>
    <row r="11" spans="1:19" ht="21" customHeight="1" x14ac:dyDescent="0.15">
      <c r="A11" s="186">
        <v>1304</v>
      </c>
      <c r="B11" s="129" t="s">
        <v>185</v>
      </c>
      <c r="C11" s="188" t="s">
        <v>429</v>
      </c>
      <c r="D11" s="199" t="s">
        <v>367</v>
      </c>
      <c r="E11" s="131">
        <f t="shared" si="7"/>
        <v>21</v>
      </c>
      <c r="F11" s="200" t="s">
        <v>366</v>
      </c>
      <c r="G11" s="197" t="str">
        <f ca="1">VLOOKUP($A11,OFFSET([1]characters!$A$1,0,0,COUNTA([1]characters!$A:$A),MATCH("name",[1]characters!$1:$1,0)-MATCH("character_id",[1]characters!$1:$1,0)+1),MATCH("name",[1]characters!$1:$1,0)-MATCH("character_id",[1]characters!$1:$1,0)+1,FALSE)</f>
        <v>演鼠の響笛音 ハーメルン</v>
      </c>
      <c r="H11" s="132">
        <f>IFERROR(VLOOKUP(A11,[1]characters!$A:$R,18),0)</f>
        <v>3</v>
      </c>
      <c r="I11" s="132"/>
      <c r="J11" s="137"/>
      <c r="K11" s="133">
        <v>1</v>
      </c>
      <c r="L11" s="134"/>
      <c r="M11" s="135"/>
      <c r="N11" s="135"/>
      <c r="O11" s="135"/>
      <c r="P11" s="135"/>
      <c r="Q11" s="135"/>
      <c r="R11" s="130"/>
      <c r="S11" s="136"/>
    </row>
    <row r="12" spans="1:19" ht="21" customHeight="1" x14ac:dyDescent="0.15">
      <c r="A12" s="186">
        <v>1305</v>
      </c>
      <c r="B12" s="129" t="s">
        <v>185</v>
      </c>
      <c r="C12" s="188" t="s">
        <v>429</v>
      </c>
      <c r="D12" s="199" t="s">
        <v>367</v>
      </c>
      <c r="E12" s="131">
        <f t="shared" ref="E12" si="8">LEN(D12)</f>
        <v>21</v>
      </c>
      <c r="F12" s="200" t="s">
        <v>366</v>
      </c>
      <c r="G12" s="197" t="str">
        <f ca="1">VLOOKUP($A12,OFFSET([1]characters!$A$1,0,0,COUNTA([1]characters!$A:$A),MATCH("name",[1]characters!$1:$1,0)-MATCH("character_id",[1]characters!$1:$1,0)+1),MATCH("name",[1]characters!$1:$1,0)-MATCH("character_id",[1]characters!$1:$1,0)+1,FALSE)</f>
        <v>響界廻る睡鼠楽 ハーメルン</v>
      </c>
      <c r="H12" s="132">
        <f>IFERROR(VLOOKUP(A12,[1]characters!$A:$R,18),0)</f>
        <v>3</v>
      </c>
      <c r="I12" s="132"/>
      <c r="J12" s="137"/>
      <c r="K12" s="133">
        <v>1</v>
      </c>
      <c r="L12" s="134"/>
      <c r="M12" s="135"/>
      <c r="N12" s="135"/>
      <c r="O12" s="135"/>
      <c r="P12" s="135"/>
      <c r="Q12" s="135"/>
      <c r="R12" s="130"/>
      <c r="S12" s="136"/>
    </row>
    <row r="13" spans="1:19" ht="21" customHeight="1" x14ac:dyDescent="0.15">
      <c r="A13" s="186">
        <v>1306</v>
      </c>
      <c r="B13" s="129" t="s">
        <v>185</v>
      </c>
      <c r="C13" s="188" t="s">
        <v>547</v>
      </c>
      <c r="D13" s="188" t="s">
        <v>353</v>
      </c>
      <c r="E13" s="131">
        <f t="shared" ref="E13" si="9">LEN(D13)</f>
        <v>9</v>
      </c>
      <c r="F13" s="63" t="s">
        <v>346</v>
      </c>
      <c r="G13" s="197" t="str">
        <f ca="1">VLOOKUP($A13,OFFSET([1]characters!$A$1,0,0,COUNTA([1]characters!$A:$A),MATCH("name",[1]characters!$1:$1,0)-MATCH("character_id",[1]characters!$1:$1,0)+1),MATCH("name",[1]characters!$1:$1,0)-MATCH("character_id",[1]characters!$1:$1,0)+1,FALSE)</f>
        <v>玉響の唱天 ルシファー</v>
      </c>
      <c r="H13" s="132">
        <f>IFERROR(VLOOKUP(A13,[1]characters!$A:$R,18),0)</f>
        <v>3</v>
      </c>
      <c r="I13" s="132"/>
      <c r="J13" s="137"/>
      <c r="K13" s="133">
        <v>1</v>
      </c>
      <c r="L13" s="134"/>
      <c r="M13" s="135"/>
      <c r="N13" s="135"/>
      <c r="O13" s="135"/>
      <c r="P13" s="135"/>
      <c r="Q13" s="135"/>
      <c r="R13" s="130"/>
      <c r="S13" s="136"/>
    </row>
    <row r="14" spans="1:19" ht="21" customHeight="1" x14ac:dyDescent="0.15">
      <c r="A14" s="186">
        <v>1307</v>
      </c>
      <c r="B14" s="129" t="s">
        <v>185</v>
      </c>
      <c r="C14" s="188" t="s">
        <v>547</v>
      </c>
      <c r="D14" s="188" t="s">
        <v>353</v>
      </c>
      <c r="E14" s="131">
        <f t="shared" ref="E14" si="10">LEN(D14)</f>
        <v>9</v>
      </c>
      <c r="F14" s="63" t="s">
        <v>346</v>
      </c>
      <c r="G14" s="197" t="str">
        <f ca="1">VLOOKUP($A14,OFFSET([1]characters!$A$1,0,0,COUNTA([1]characters!$A:$A),MATCH("name",[1]characters!$1:$1,0)-MATCH("character_id",[1]characters!$1:$1,0)+1),MATCH("name",[1]characters!$1:$1,0)-MATCH("character_id",[1]characters!$1:$1,0)+1,FALSE)</f>
        <v>彩翼の唱天史 ルシファー</v>
      </c>
      <c r="H14" s="132">
        <f>IFERROR(VLOOKUP(A14,[1]characters!$A:$R,18),0)</f>
        <v>3</v>
      </c>
      <c r="I14" s="132"/>
      <c r="J14" s="137"/>
      <c r="K14" s="133">
        <v>1</v>
      </c>
      <c r="L14" s="134"/>
      <c r="M14" s="135"/>
      <c r="N14" s="135"/>
      <c r="O14" s="135"/>
      <c r="P14" s="135"/>
      <c r="Q14" s="135"/>
      <c r="R14" s="130"/>
      <c r="S14" s="136"/>
    </row>
    <row r="15" spans="1:19" ht="21" customHeight="1" x14ac:dyDescent="0.15">
      <c r="A15" s="186">
        <v>1308</v>
      </c>
      <c r="B15" s="129" t="s">
        <v>185</v>
      </c>
      <c r="C15" s="188" t="s">
        <v>392</v>
      </c>
      <c r="D15" s="188" t="s">
        <v>315</v>
      </c>
      <c r="E15" s="131">
        <f t="shared" ref="E15:E28" si="11">LEN(D15)</f>
        <v>9</v>
      </c>
      <c r="F15" s="63" t="s">
        <v>345</v>
      </c>
      <c r="G15" s="197" t="str">
        <f ca="1">VLOOKUP($A15,OFFSET([1]characters!$A$1,0,0,COUNTA([1]characters!$A:$A),MATCH("name",[1]characters!$1:$1,0)-MATCH("character_id",[1]characters!$1:$1,0)+1),MATCH("name",[1]characters!$1:$1,0)-MATCH("character_id",[1]characters!$1:$1,0)+1,FALSE)</f>
        <v>革鳴の響奏撃 初音ミク</v>
      </c>
      <c r="H15" s="132">
        <f>IFERROR(VLOOKUP(A15,[1]characters!$A:$R,18),0)</f>
        <v>3</v>
      </c>
      <c r="I15" s="132"/>
      <c r="J15" s="137"/>
      <c r="K15" s="133">
        <v>1</v>
      </c>
      <c r="L15" s="134"/>
      <c r="M15" s="135"/>
      <c r="N15" s="135"/>
      <c r="O15" s="135"/>
      <c r="P15" s="135"/>
      <c r="Q15" s="135"/>
      <c r="R15" s="130"/>
      <c r="S15" s="136"/>
    </row>
    <row r="16" spans="1:19" ht="21" customHeight="1" x14ac:dyDescent="0.15">
      <c r="A16" s="186">
        <v>1309</v>
      </c>
      <c r="B16" s="129" t="s">
        <v>184</v>
      </c>
      <c r="C16" s="188" t="s">
        <v>390</v>
      </c>
      <c r="D16" s="188" t="s">
        <v>343</v>
      </c>
      <c r="E16" s="131">
        <f t="shared" si="11"/>
        <v>9</v>
      </c>
      <c r="F16" s="63" t="s">
        <v>344</v>
      </c>
      <c r="G16" s="197" t="str">
        <f ca="1">VLOOKUP($A16,OFFSET([1]characters!$A$1,0,0,COUNTA([1]characters!$A:$A),MATCH("name",[1]characters!$1:$1,0)-MATCH("character_id",[1]characters!$1:$1,0)+1),MATCH("name",[1]characters!$1:$1,0)-MATCH("character_id",[1]characters!$1:$1,0)+1,FALSE)</f>
        <v>虹彩の美唱姫 初音ミク・アペンド</v>
      </c>
      <c r="H16" s="132">
        <f>IFERROR(VLOOKUP(A16,[1]characters!$A:$R,18),0)</f>
        <v>3</v>
      </c>
      <c r="I16" s="132"/>
      <c r="J16" s="137"/>
      <c r="K16" s="133">
        <v>1</v>
      </c>
      <c r="L16" s="134"/>
      <c r="M16" s="135"/>
      <c r="N16" s="135"/>
      <c r="O16" s="135"/>
      <c r="P16" s="135"/>
      <c r="Q16" s="135"/>
      <c r="R16" s="130"/>
      <c r="S16" s="136"/>
    </row>
    <row r="17" spans="1:19" ht="21" customHeight="1" x14ac:dyDescent="0.15">
      <c r="A17" s="186">
        <v>1310</v>
      </c>
      <c r="B17" s="129" t="s">
        <v>184</v>
      </c>
      <c r="C17" s="188" t="s">
        <v>390</v>
      </c>
      <c r="D17" s="188" t="s">
        <v>343</v>
      </c>
      <c r="E17" s="131">
        <f t="shared" si="11"/>
        <v>9</v>
      </c>
      <c r="F17" s="63" t="s">
        <v>344</v>
      </c>
      <c r="G17" s="197" t="str">
        <f ca="1">VLOOKUP($A17,OFFSET([1]characters!$A$1,0,0,COUNTA([1]characters!$A:$A),MATCH("name",[1]characters!$1:$1,0)-MATCH("character_id",[1]characters!$1:$1,0)+1),MATCH("name",[1]characters!$1:$1,0)-MATCH("character_id",[1]characters!$1:$1,0)+1,FALSE)</f>
        <v>聖律する歌姫 初音ミク・アペンド</v>
      </c>
      <c r="H17" s="132">
        <f>IFERROR(VLOOKUP(A17,[1]characters!$A:$R,18),0)</f>
        <v>3</v>
      </c>
      <c r="I17" s="132"/>
      <c r="J17" s="137"/>
      <c r="K17" s="133">
        <v>1</v>
      </c>
      <c r="L17" s="134"/>
      <c r="M17" s="135"/>
      <c r="N17" s="135"/>
      <c r="O17" s="135"/>
      <c r="P17" s="135"/>
      <c r="Q17" s="135"/>
      <c r="R17" s="130"/>
      <c r="S17" s="136"/>
    </row>
    <row r="18" spans="1:19" ht="21" customHeight="1" x14ac:dyDescent="0.15">
      <c r="A18" s="186">
        <v>1311</v>
      </c>
      <c r="B18" s="129" t="s">
        <v>184</v>
      </c>
      <c r="C18" s="188" t="s">
        <v>394</v>
      </c>
      <c r="D18" s="188" t="s">
        <v>315</v>
      </c>
      <c r="E18" s="131">
        <f t="shared" si="11"/>
        <v>9</v>
      </c>
      <c r="F18" s="63" t="s">
        <v>346</v>
      </c>
      <c r="G18" s="197" t="str">
        <f ca="1">VLOOKUP($A18,OFFSET([1]characters!$A$1,0,0,COUNTA([1]characters!$A:$A),MATCH("name",[1]characters!$1:$1,0)-MATCH("character_id",[1]characters!$1:$1,0)+1),MATCH("name",[1]characters!$1:$1,0)-MATCH("character_id",[1]characters!$1:$1,0)+1,FALSE)</f>
        <v>輪音する大反響 鏡音リン</v>
      </c>
      <c r="H18" s="132">
        <f>IFERROR(VLOOKUP(A18,[1]characters!$A:$R,18),0)</f>
        <v>3</v>
      </c>
      <c r="I18" s="132"/>
      <c r="J18" s="137"/>
      <c r="K18" s="133">
        <v>1</v>
      </c>
      <c r="L18" s="134"/>
      <c r="M18" s="135"/>
      <c r="N18" s="135"/>
      <c r="O18" s="135"/>
      <c r="P18" s="135"/>
      <c r="Q18" s="135"/>
      <c r="R18" s="130"/>
      <c r="S18" s="136"/>
    </row>
    <row r="19" spans="1:19" ht="21" customHeight="1" x14ac:dyDescent="0.15">
      <c r="A19" s="186">
        <v>1312</v>
      </c>
      <c r="B19" s="129" t="s">
        <v>184</v>
      </c>
      <c r="C19" s="188" t="s">
        <v>396</v>
      </c>
      <c r="D19" s="188" t="s">
        <v>347</v>
      </c>
      <c r="E19" s="131">
        <f t="shared" si="11"/>
        <v>16</v>
      </c>
      <c r="F19" s="63" t="s">
        <v>348</v>
      </c>
      <c r="G19" s="197" t="str">
        <f ca="1">VLOOKUP($A19,OFFSET([1]characters!$A$1,0,0,COUNTA([1]characters!$A:$A),MATCH("name",[1]characters!$1:$1,0)-MATCH("character_id",[1]characters!$1:$1,0)+1),MATCH("name",[1]characters!$1:$1,0)-MATCH("character_id",[1]characters!$1:$1,0)+1,FALSE)</f>
        <v>連譜する大残響 鏡音レン</v>
      </c>
      <c r="H19" s="132">
        <f>IFERROR(VLOOKUP(A19,[1]characters!$A:$R,18),0)</f>
        <v>3</v>
      </c>
      <c r="I19" s="132"/>
      <c r="J19" s="137"/>
      <c r="K19" s="133">
        <v>1</v>
      </c>
      <c r="L19" s="134"/>
      <c r="M19" s="135"/>
      <c r="N19" s="135"/>
      <c r="O19" s="135"/>
      <c r="P19" s="135"/>
      <c r="Q19" s="135"/>
      <c r="R19" s="130"/>
      <c r="S19" s="136"/>
    </row>
    <row r="20" spans="1:19" ht="21" customHeight="1" x14ac:dyDescent="0.15">
      <c r="A20" s="186">
        <v>1313</v>
      </c>
      <c r="B20" s="129" t="s">
        <v>184</v>
      </c>
      <c r="C20" s="188" t="s">
        <v>398</v>
      </c>
      <c r="D20" s="188" t="s">
        <v>315</v>
      </c>
      <c r="E20" s="131">
        <f t="shared" si="11"/>
        <v>9</v>
      </c>
      <c r="F20" s="63" t="s">
        <v>317</v>
      </c>
      <c r="G20" s="197" t="str">
        <f ca="1">VLOOKUP($A20,OFFSET([1]characters!$A$1,0,0,COUNTA([1]characters!$A:$A),MATCH("name",[1]characters!$1:$1,0)-MATCH("character_id",[1]characters!$1:$1,0)+1),MATCH("name",[1]characters!$1:$1,0)-MATCH("character_id",[1]characters!$1:$1,0)+1,FALSE)</f>
        <v>旋律する音廻 巡音ルカ</v>
      </c>
      <c r="H20" s="132">
        <f>IFERROR(VLOOKUP(A20,[1]characters!$A:$R,18),0)</f>
        <v>3</v>
      </c>
      <c r="I20" s="132"/>
      <c r="J20" s="137"/>
      <c r="K20" s="133">
        <v>1</v>
      </c>
      <c r="L20" s="134"/>
      <c r="M20" s="135"/>
      <c r="N20" s="135"/>
      <c r="O20" s="135"/>
      <c r="P20" s="135"/>
      <c r="Q20" s="135"/>
      <c r="R20" s="130"/>
      <c r="S20" s="136"/>
    </row>
    <row r="21" spans="1:19" ht="21" customHeight="1" x14ac:dyDescent="0.15">
      <c r="A21" s="186">
        <v>1314</v>
      </c>
      <c r="B21" s="129" t="s">
        <v>184</v>
      </c>
      <c r="C21" s="188" t="s">
        <v>400</v>
      </c>
      <c r="D21" s="199" t="s">
        <v>371</v>
      </c>
      <c r="E21" s="131">
        <f t="shared" si="11"/>
        <v>23</v>
      </c>
      <c r="F21" s="63" t="s">
        <v>564</v>
      </c>
      <c r="G21" s="197" t="str">
        <f ca="1">VLOOKUP($A21,OFFSET([1]characters!$A$1,0,0,COUNTA([1]characters!$A:$A),MATCH("name",[1]characters!$1:$1,0)-MATCH("character_id",[1]characters!$1:$1,0)+1),MATCH("name",[1]characters!$1:$1,0)-MATCH("character_id",[1]characters!$1:$1,0)+1,FALSE)</f>
        <v>救声の唱動 MEIKO</v>
      </c>
      <c r="H21" s="132">
        <f>IFERROR(VLOOKUP(A21,[1]characters!$A:$R,18),0)</f>
        <v>3</v>
      </c>
      <c r="I21" s="132"/>
      <c r="J21" s="137"/>
      <c r="K21" s="133">
        <v>1</v>
      </c>
      <c r="L21" s="134"/>
      <c r="M21" s="135"/>
      <c r="N21" s="135"/>
      <c r="O21" s="135"/>
      <c r="P21" s="135"/>
      <c r="Q21" s="135"/>
      <c r="R21" s="130"/>
      <c r="S21" s="136"/>
    </row>
    <row r="22" spans="1:19" ht="21" customHeight="1" x14ac:dyDescent="0.15">
      <c r="A22" s="186">
        <v>1315</v>
      </c>
      <c r="B22" s="129" t="s">
        <v>184</v>
      </c>
      <c r="C22" s="188" t="s">
        <v>402</v>
      </c>
      <c r="D22" s="199" t="s">
        <v>363</v>
      </c>
      <c r="E22" s="131">
        <f t="shared" si="11"/>
        <v>27</v>
      </c>
      <c r="F22" s="63" t="s">
        <v>561</v>
      </c>
      <c r="G22" s="197" t="str">
        <f ca="1">VLOOKUP($A22,OFFSET([1]characters!$A$1,0,0,COUNTA([1]characters!$A:$A),MATCH("name",[1]characters!$1:$1,0)-MATCH("character_id",[1]characters!$1:$1,0)+1),MATCH("name",[1]characters!$1:$1,0)-MATCH("character_id",[1]characters!$1:$1,0)+1,FALSE)</f>
        <v>快響の楽唱歌 KAITO</v>
      </c>
      <c r="H22" s="132">
        <f>IFERROR(VLOOKUP(A22,[1]characters!$A:$R,18),0)</f>
        <v>3</v>
      </c>
      <c r="I22" s="132"/>
      <c r="J22" s="137"/>
      <c r="K22" s="133">
        <v>1</v>
      </c>
      <c r="L22" s="134"/>
      <c r="M22" s="135"/>
      <c r="N22" s="135"/>
      <c r="O22" s="135"/>
      <c r="P22" s="135"/>
      <c r="Q22" s="135"/>
      <c r="R22" s="130"/>
      <c r="S22" s="136"/>
    </row>
    <row r="23" spans="1:19" ht="21" customHeight="1" x14ac:dyDescent="0.15">
      <c r="A23" s="186">
        <v>1316</v>
      </c>
      <c r="B23" s="129" t="s">
        <v>184</v>
      </c>
      <c r="C23" s="188" t="s">
        <v>405</v>
      </c>
      <c r="D23" s="188" t="s">
        <v>343</v>
      </c>
      <c r="E23" s="131">
        <f t="shared" si="11"/>
        <v>9</v>
      </c>
      <c r="F23" s="63" t="s">
        <v>344</v>
      </c>
      <c r="G23" s="197" t="str">
        <f ca="1">VLOOKUP($A23,OFFSET([1]characters!$A$1,0,0,COUNTA([1]characters!$A:$A),MATCH("name",[1]characters!$1:$1,0)-MATCH("character_id",[1]characters!$1:$1,0)+1),MATCH("name",[1]characters!$1:$1,0)-MATCH("character_id",[1]characters!$1:$1,0)+1,FALSE)</f>
        <v>初音ミクV4X</v>
      </c>
      <c r="H23" s="132">
        <f>IFERROR(VLOOKUP(A23,[1]characters!$A:$R,18),0)</f>
        <v>3</v>
      </c>
      <c r="I23" s="132"/>
      <c r="J23" s="137"/>
      <c r="K23" s="133">
        <v>1</v>
      </c>
      <c r="L23" s="134"/>
      <c r="M23" s="135"/>
      <c r="N23" s="135"/>
      <c r="O23" s="135"/>
      <c r="P23" s="135"/>
      <c r="Q23" s="135"/>
      <c r="R23" s="130"/>
      <c r="S23" s="136"/>
    </row>
    <row r="24" spans="1:19" ht="21" customHeight="1" x14ac:dyDescent="0.15">
      <c r="A24" s="186">
        <v>1317</v>
      </c>
      <c r="B24" s="129" t="s">
        <v>184</v>
      </c>
      <c r="C24" s="188" t="s">
        <v>405</v>
      </c>
      <c r="D24" s="188" t="s">
        <v>343</v>
      </c>
      <c r="E24" s="131">
        <f t="shared" si="11"/>
        <v>9</v>
      </c>
      <c r="F24" s="63" t="s">
        <v>344</v>
      </c>
      <c r="G24" s="197" t="str">
        <f ca="1">VLOOKUP($A24,OFFSET([1]characters!$A$1,0,0,COUNTA([1]characters!$A:$A),MATCH("name",[1]characters!$1:$1,0)-MATCH("character_id",[1]characters!$1:$1,0)+1),MATCH("name",[1]characters!$1:$1,0)-MATCH("character_id",[1]characters!$1:$1,0)+1,FALSE)</f>
        <v>進歌する声域 初音ミクV4X</v>
      </c>
      <c r="H24" s="132">
        <f>IFERROR(VLOOKUP(A24,[1]characters!$A:$R,18),0)</f>
        <v>3</v>
      </c>
      <c r="I24" s="132"/>
      <c r="J24" s="137"/>
      <c r="K24" s="133">
        <v>1</v>
      </c>
      <c r="L24" s="134"/>
      <c r="M24" s="135"/>
      <c r="N24" s="135"/>
      <c r="O24" s="135"/>
      <c r="P24" s="135"/>
      <c r="Q24" s="135"/>
      <c r="R24" s="130"/>
      <c r="S24" s="136"/>
    </row>
    <row r="25" spans="1:19" ht="21" customHeight="1" x14ac:dyDescent="0.15">
      <c r="A25" s="186">
        <v>1318</v>
      </c>
      <c r="B25" s="129" t="s">
        <v>184</v>
      </c>
      <c r="C25" s="188" t="s">
        <v>408</v>
      </c>
      <c r="D25" s="199" t="s">
        <v>568</v>
      </c>
      <c r="E25" s="131">
        <f t="shared" si="11"/>
        <v>15</v>
      </c>
      <c r="F25" s="200" t="s">
        <v>575</v>
      </c>
      <c r="G25" s="197" t="str">
        <f ca="1">VLOOKUP($A25,OFFSET([1]characters!$A$1,0,0,COUNTA([1]characters!$A:$A),MATCH("name",[1]characters!$1:$1,0)-MATCH("character_id",[1]characters!$1:$1,0)+1),MATCH("name",[1]characters!$1:$1,0)-MATCH("character_id",[1]characters!$1:$1,0)+1,FALSE)</f>
        <v>鏡音リンV4X</v>
      </c>
      <c r="H25" s="132">
        <f>IFERROR(VLOOKUP(A25,[1]characters!$A:$R,18),0)</f>
        <v>3</v>
      </c>
      <c r="I25" s="132"/>
      <c r="J25" s="137"/>
      <c r="K25" s="133">
        <v>1</v>
      </c>
      <c r="L25" s="134"/>
      <c r="M25" s="135"/>
      <c r="N25" s="135"/>
      <c r="O25" s="135"/>
      <c r="P25" s="135"/>
      <c r="Q25" s="135"/>
      <c r="R25" s="130"/>
      <c r="S25" s="136"/>
    </row>
    <row r="26" spans="1:19" ht="21" customHeight="1" x14ac:dyDescent="0.15">
      <c r="A26" s="186">
        <v>1319</v>
      </c>
      <c r="B26" s="129" t="s">
        <v>184</v>
      </c>
      <c r="C26" s="188" t="s">
        <v>408</v>
      </c>
      <c r="D26" s="199" t="s">
        <v>568</v>
      </c>
      <c r="E26" s="131">
        <f t="shared" si="11"/>
        <v>15</v>
      </c>
      <c r="F26" s="201" t="s">
        <v>575</v>
      </c>
      <c r="G26" s="197" t="str">
        <f ca="1">VLOOKUP($A26,OFFSET([1]characters!$A$1,0,0,COUNTA([1]characters!$A:$A),MATCH("name",[1]characters!$1:$1,0)-MATCH("character_id",[1]characters!$1:$1,0)+1),MATCH("name",[1]characters!$1:$1,0)-MATCH("character_id",[1]characters!$1:$1,0)+1,FALSE)</f>
        <v>甘恋の激唱歌 鏡音リンV4X</v>
      </c>
      <c r="H26" s="132">
        <f>IFERROR(VLOOKUP(A26,[1]characters!$A:$R,18),0)</f>
        <v>3</v>
      </c>
      <c r="I26" s="132"/>
      <c r="J26" s="137"/>
      <c r="K26" s="133">
        <v>1</v>
      </c>
      <c r="L26" s="134"/>
      <c r="M26" s="135"/>
      <c r="N26" s="135"/>
      <c r="O26" s="135"/>
      <c r="P26" s="135"/>
      <c r="Q26" s="135"/>
      <c r="R26" s="130"/>
      <c r="S26" s="136"/>
    </row>
    <row r="27" spans="1:19" ht="21" customHeight="1" x14ac:dyDescent="0.15">
      <c r="A27" s="186">
        <v>1320</v>
      </c>
      <c r="B27" s="129" t="s">
        <v>184</v>
      </c>
      <c r="C27" s="188" t="s">
        <v>411</v>
      </c>
      <c r="D27" s="199" t="s">
        <v>576</v>
      </c>
      <c r="E27" s="131">
        <f t="shared" si="11"/>
        <v>17</v>
      </c>
      <c r="F27" s="63" t="s">
        <v>552</v>
      </c>
      <c r="G27" s="197" t="str">
        <f ca="1">VLOOKUP($A27,OFFSET([1]characters!$A$1,0,0,COUNTA([1]characters!$A:$A),MATCH("name",[1]characters!$1:$1,0)-MATCH("character_id",[1]characters!$1:$1,0)+1),MATCH("name",[1]characters!$1:$1,0)-MATCH("character_id",[1]characters!$1:$1,0)+1,FALSE)</f>
        <v>鏡音レンV4X</v>
      </c>
      <c r="H27" s="132">
        <f>IFERROR(VLOOKUP(A27,[1]characters!$A:$R,18),0)</f>
        <v>3</v>
      </c>
      <c r="I27" s="132"/>
      <c r="J27" s="137"/>
      <c r="K27" s="133">
        <v>1</v>
      </c>
      <c r="L27" s="134"/>
      <c r="M27" s="135"/>
      <c r="N27" s="135"/>
      <c r="O27" s="135"/>
      <c r="P27" s="135"/>
      <c r="Q27" s="135"/>
      <c r="R27" s="130"/>
      <c r="S27" s="136"/>
    </row>
    <row r="28" spans="1:19" ht="21" customHeight="1" x14ac:dyDescent="0.15">
      <c r="A28" s="186">
        <v>1321</v>
      </c>
      <c r="B28" s="129" t="s">
        <v>184</v>
      </c>
      <c r="C28" s="188" t="s">
        <v>411</v>
      </c>
      <c r="D28" s="199" t="s">
        <v>576</v>
      </c>
      <c r="E28" s="131">
        <f t="shared" si="11"/>
        <v>17</v>
      </c>
      <c r="F28" s="63" t="s">
        <v>552</v>
      </c>
      <c r="G28" s="197" t="str">
        <f ca="1">VLOOKUP($A28,OFFSET([1]characters!$A$1,0,0,COUNTA([1]characters!$A:$A),MATCH("name",[1]characters!$1:$1,0)-MATCH("character_id",[1]characters!$1:$1,0)+1),MATCH("name",[1]characters!$1:$1,0)-MATCH("character_id",[1]characters!$1:$1,0)+1,FALSE)</f>
        <v>純凛の柔唱歌 鏡音レンV4X</v>
      </c>
      <c r="H28" s="132">
        <f>IFERROR(VLOOKUP(A28,[1]characters!$A:$R,18),0)</f>
        <v>3</v>
      </c>
      <c r="I28" s="132"/>
      <c r="J28" s="137"/>
      <c r="K28" s="133">
        <v>1</v>
      </c>
      <c r="L28" s="134"/>
      <c r="M28" s="135"/>
      <c r="N28" s="135"/>
      <c r="O28" s="135"/>
      <c r="P28" s="135"/>
      <c r="Q28" s="135"/>
      <c r="R28" s="130"/>
      <c r="S28" s="136"/>
    </row>
    <row r="29" spans="1:19" ht="21" customHeight="1" x14ac:dyDescent="0.15">
      <c r="A29" s="186">
        <v>1322</v>
      </c>
      <c r="B29" s="129" t="s">
        <v>184</v>
      </c>
      <c r="C29" s="188" t="s">
        <v>415</v>
      </c>
      <c r="D29" s="188" t="s">
        <v>414</v>
      </c>
      <c r="E29" s="131">
        <f t="shared" ref="E29" si="12">LEN(D29)</f>
        <v>9</v>
      </c>
      <c r="F29" s="63" t="s">
        <v>317</v>
      </c>
      <c r="G29" s="197" t="str">
        <f ca="1">VLOOKUP($A29,OFFSET([1]characters!$A$1,0,0,COUNTA([1]characters!$A:$A),MATCH("name",[1]characters!$1:$1,0)-MATCH("character_id",[1]characters!$1:$1,0)+1),MATCH("name",[1]characters!$1:$1,0)-MATCH("character_id",[1]characters!$1:$1,0)+1,FALSE)</f>
        <v>巡音ルカV4X</v>
      </c>
      <c r="H29" s="132">
        <f>IFERROR(VLOOKUP(A29,[1]characters!$A:$R,18),0)</f>
        <v>3</v>
      </c>
      <c r="I29" s="132"/>
      <c r="J29" s="137"/>
      <c r="K29" s="133">
        <v>1</v>
      </c>
      <c r="L29" s="134"/>
      <c r="M29" s="135"/>
      <c r="N29" s="135"/>
      <c r="O29" s="135"/>
      <c r="P29" s="135"/>
      <c r="Q29" s="135"/>
      <c r="R29" s="130"/>
      <c r="S29" s="136"/>
    </row>
    <row r="30" spans="1:19" ht="21" customHeight="1" x14ac:dyDescent="0.15">
      <c r="A30" s="186">
        <v>1323</v>
      </c>
      <c r="B30" s="129" t="s">
        <v>184</v>
      </c>
      <c r="C30" s="188" t="s">
        <v>415</v>
      </c>
      <c r="D30" s="188" t="s">
        <v>315</v>
      </c>
      <c r="E30" s="131">
        <f t="shared" ref="E30" si="13">LEN(D30)</f>
        <v>9</v>
      </c>
      <c r="F30" s="63" t="s">
        <v>317</v>
      </c>
      <c r="G30" s="197" t="str">
        <f ca="1">VLOOKUP($A30,OFFSET([1]characters!$A$1,0,0,COUNTA([1]characters!$A:$A),MATCH("name",[1]characters!$1:$1,0)-MATCH("character_id",[1]characters!$1:$1,0)+1),MATCH("name",[1]characters!$1:$1,0)-MATCH("character_id",[1]characters!$1:$1,0)+1,FALSE)</f>
        <v>吐鳴する響惹 巡音ルカV4X</v>
      </c>
      <c r="H30" s="132">
        <f>IFERROR(VLOOKUP(A30,[1]characters!$A:$R,18),0)</f>
        <v>3</v>
      </c>
      <c r="I30" s="132"/>
      <c r="J30" s="137"/>
      <c r="K30" s="133">
        <v>1</v>
      </c>
      <c r="L30" s="134"/>
      <c r="M30" s="135"/>
      <c r="N30" s="135"/>
      <c r="O30" s="135"/>
      <c r="P30" s="135"/>
      <c r="Q30" s="135"/>
      <c r="R30" s="130"/>
      <c r="S30" s="136"/>
    </row>
  </sheetData>
  <sheetProtection selectLockedCells="1" selectUnlockedCells="1"/>
  <autoFilter ref="A1:J1"/>
  <phoneticPr fontId="22"/>
  <conditionalFormatting sqref="E2">
    <cfRule type="cellIs" dxfId="74" priority="45" operator="greaterThan">
      <formula>41</formula>
    </cfRule>
  </conditionalFormatting>
  <conditionalFormatting sqref="E3">
    <cfRule type="cellIs" dxfId="73" priority="44" operator="greaterThan">
      <formula>41</formula>
    </cfRule>
  </conditionalFormatting>
  <conditionalFormatting sqref="E4">
    <cfRule type="cellIs" dxfId="72" priority="27" operator="greaterThan">
      <formula>41</formula>
    </cfRule>
  </conditionalFormatting>
  <conditionalFormatting sqref="E5">
    <cfRule type="cellIs" dxfId="71" priority="26" operator="greaterThan">
      <formula>41</formula>
    </cfRule>
  </conditionalFormatting>
  <conditionalFormatting sqref="E6">
    <cfRule type="cellIs" dxfId="70" priority="25" operator="greaterThan">
      <formula>41</formula>
    </cfRule>
  </conditionalFormatting>
  <conditionalFormatting sqref="E7">
    <cfRule type="cellIs" dxfId="69" priority="24" operator="greaterThan">
      <formula>41</formula>
    </cfRule>
  </conditionalFormatting>
  <conditionalFormatting sqref="E8">
    <cfRule type="cellIs" dxfId="68" priority="23" operator="greaterThan">
      <formula>41</formula>
    </cfRule>
  </conditionalFormatting>
  <conditionalFormatting sqref="E9">
    <cfRule type="cellIs" dxfId="67" priority="22" operator="greaterThan">
      <formula>41</formula>
    </cfRule>
  </conditionalFormatting>
  <conditionalFormatting sqref="E10">
    <cfRule type="cellIs" dxfId="66" priority="21" operator="greaterThan">
      <formula>41</formula>
    </cfRule>
  </conditionalFormatting>
  <conditionalFormatting sqref="E11">
    <cfRule type="cellIs" dxfId="65" priority="20" operator="greaterThan">
      <formula>41</formula>
    </cfRule>
  </conditionalFormatting>
  <conditionalFormatting sqref="E12">
    <cfRule type="cellIs" dxfId="64" priority="19" operator="greaterThan">
      <formula>41</formula>
    </cfRule>
  </conditionalFormatting>
  <conditionalFormatting sqref="E13">
    <cfRule type="cellIs" dxfId="63" priority="18" operator="greaterThan">
      <formula>41</formula>
    </cfRule>
  </conditionalFormatting>
  <conditionalFormatting sqref="E14">
    <cfRule type="cellIs" dxfId="62" priority="17" operator="greaterThan">
      <formula>41</formula>
    </cfRule>
  </conditionalFormatting>
  <conditionalFormatting sqref="E15">
    <cfRule type="cellIs" dxfId="61" priority="16" operator="greaterThan">
      <formula>41</formula>
    </cfRule>
  </conditionalFormatting>
  <conditionalFormatting sqref="E16">
    <cfRule type="cellIs" dxfId="60" priority="15" operator="greaterThan">
      <formula>41</formula>
    </cfRule>
  </conditionalFormatting>
  <conditionalFormatting sqref="E17">
    <cfRule type="cellIs" dxfId="59" priority="14" operator="greaterThan">
      <formula>41</formula>
    </cfRule>
  </conditionalFormatting>
  <conditionalFormatting sqref="E18">
    <cfRule type="cellIs" dxfId="58" priority="13" operator="greaterThan">
      <formula>41</formula>
    </cfRule>
  </conditionalFormatting>
  <conditionalFormatting sqref="E19">
    <cfRule type="cellIs" dxfId="57" priority="12" operator="greaterThan">
      <formula>41</formula>
    </cfRule>
  </conditionalFormatting>
  <conditionalFormatting sqref="E20">
    <cfRule type="cellIs" dxfId="56" priority="11" operator="greaterThan">
      <formula>41</formula>
    </cfRule>
  </conditionalFormatting>
  <conditionalFormatting sqref="E21">
    <cfRule type="cellIs" dxfId="55" priority="10" operator="greaterThan">
      <formula>41</formula>
    </cfRule>
  </conditionalFormatting>
  <conditionalFormatting sqref="E22">
    <cfRule type="cellIs" dxfId="54" priority="9" operator="greaterThan">
      <formula>41</formula>
    </cfRule>
  </conditionalFormatting>
  <conditionalFormatting sqref="E23">
    <cfRule type="cellIs" dxfId="53" priority="8" operator="greaterThan">
      <formula>41</formula>
    </cfRule>
  </conditionalFormatting>
  <conditionalFormatting sqref="E24">
    <cfRule type="cellIs" dxfId="52" priority="7" operator="greaterThan">
      <formula>41</formula>
    </cfRule>
  </conditionalFormatting>
  <conditionalFormatting sqref="E25">
    <cfRule type="cellIs" dxfId="51" priority="6" operator="greaterThan">
      <formula>41</formula>
    </cfRule>
  </conditionalFormatting>
  <conditionalFormatting sqref="E26">
    <cfRule type="cellIs" dxfId="50" priority="5" operator="greaterThan">
      <formula>41</formula>
    </cfRule>
  </conditionalFormatting>
  <conditionalFormatting sqref="E27">
    <cfRule type="cellIs" dxfId="49" priority="4" operator="greaterThan">
      <formula>41</formula>
    </cfRule>
  </conditionalFormatting>
  <conditionalFormatting sqref="E28">
    <cfRule type="cellIs" dxfId="48" priority="3" operator="greaterThan">
      <formula>41</formula>
    </cfRule>
  </conditionalFormatting>
  <conditionalFormatting sqref="E29">
    <cfRule type="cellIs" dxfId="47" priority="2" operator="greaterThan">
      <formula>41</formula>
    </cfRule>
  </conditionalFormatting>
  <conditionalFormatting sqref="E30">
    <cfRule type="cellIs" dxfId="46"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36"/>
  <sheetViews>
    <sheetView topLeftCell="A3" zoomScale="111" workbookViewId="0">
      <selection activeCell="A11" sqref="A11:XFD11"/>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186</v>
      </c>
      <c r="B1" s="138" t="s">
        <v>187</v>
      </c>
      <c r="C1" s="110" t="s">
        <v>188</v>
      </c>
      <c r="D1" s="138" t="s">
        <v>190</v>
      </c>
      <c r="E1" s="138" t="s">
        <v>191</v>
      </c>
      <c r="F1" s="109" t="s">
        <v>192</v>
      </c>
      <c r="G1" s="110" t="s">
        <v>189</v>
      </c>
      <c r="H1" s="109" t="s">
        <v>193</v>
      </c>
    </row>
    <row r="2" spans="1:8" x14ac:dyDescent="0.15">
      <c r="A2" s="105">
        <v>1295</v>
      </c>
      <c r="B2" s="138" t="str">
        <f>VLOOKUP(A2,[1]characters!$A:$C,3,FALSE)</f>
        <v>星空の舞奏 ラビット・ユキネ</v>
      </c>
      <c r="C2" s="105" t="s">
        <v>194</v>
      </c>
      <c r="D2" s="138" t="str">
        <f t="shared" ref="D2" si="0">A2&amp;C2</f>
        <v>1295skill</v>
      </c>
      <c r="E2" s="138" t="str">
        <f>A2&amp;+(COUNTIF(A2:A$10,A2)-1)</f>
        <v>12953</v>
      </c>
      <c r="F2" s="105" t="s">
        <v>196</v>
      </c>
      <c r="G2" s="162" t="s">
        <v>435</v>
      </c>
      <c r="H2" s="162" t="s">
        <v>498</v>
      </c>
    </row>
    <row r="3" spans="1:8" x14ac:dyDescent="0.15">
      <c r="A3" s="105">
        <v>1295</v>
      </c>
      <c r="B3" s="138" t="str">
        <f>VLOOKUP(A3,[1]characters!$A:$C,3,FALSE)</f>
        <v>星空の舞奏 ラビット・ユキネ</v>
      </c>
      <c r="C3" s="105" t="s">
        <v>197</v>
      </c>
      <c r="D3" s="138" t="str">
        <f>A3&amp;C3</f>
        <v>1295cskill</v>
      </c>
      <c r="E3" s="138" t="str">
        <f>A3&amp;+(COUNTIF(A3:A$10,A3)-1)</f>
        <v>12952</v>
      </c>
      <c r="F3" s="105" t="s">
        <v>185</v>
      </c>
      <c r="G3" s="162" t="s">
        <v>442</v>
      </c>
      <c r="H3" s="162" t="s">
        <v>499</v>
      </c>
    </row>
    <row r="4" spans="1:8" x14ac:dyDescent="0.15">
      <c r="A4" s="105">
        <v>1295</v>
      </c>
      <c r="B4" s="138" t="str">
        <f>VLOOKUP(A4,[1]characters!$A:$C,3,FALSE)</f>
        <v>星空の舞奏 ラビット・ユキネ</v>
      </c>
      <c r="C4" s="105" t="s">
        <v>197</v>
      </c>
      <c r="D4" s="138" t="str">
        <f>A4&amp;C4</f>
        <v>1295cskill</v>
      </c>
      <c r="E4" s="138" t="str">
        <f>A4&amp;+(COUNTIF(A4:A$10,A4)-1)</f>
        <v>12951</v>
      </c>
      <c r="F4" s="105" t="s">
        <v>185</v>
      </c>
      <c r="G4" s="162" t="s">
        <v>435</v>
      </c>
      <c r="H4" s="162" t="s">
        <v>500</v>
      </c>
    </row>
    <row r="5" spans="1:8" x14ac:dyDescent="0.15">
      <c r="A5" s="105">
        <v>1295</v>
      </c>
      <c r="B5" s="138" t="str">
        <f>VLOOKUP(A5,[1]characters!$A:$C,3,FALSE)</f>
        <v>星空の舞奏 ラビット・ユキネ</v>
      </c>
      <c r="C5" s="105" t="s">
        <v>197</v>
      </c>
      <c r="D5" s="138" t="str">
        <f>A5&amp;C5</f>
        <v>1295cskill</v>
      </c>
      <c r="E5" s="138" t="str">
        <f>A5&amp;+(COUNTIF(A5:A$10,A5)-1)</f>
        <v>12950</v>
      </c>
      <c r="F5" s="105" t="s">
        <v>196</v>
      </c>
      <c r="G5" s="162" t="s">
        <v>195</v>
      </c>
      <c r="H5" s="162" t="s">
        <v>501</v>
      </c>
    </row>
    <row r="6" spans="1:8" x14ac:dyDescent="0.15">
      <c r="A6" s="105">
        <v>1296</v>
      </c>
      <c r="B6" s="138" t="str">
        <f>VLOOKUP(A6,[1]characters!$A:$C,3,FALSE)</f>
        <v>星々駆ける乱奏 ラビット・ユキネ</v>
      </c>
      <c r="C6" s="105" t="s">
        <v>194</v>
      </c>
      <c r="D6" s="138" t="str">
        <f t="shared" ref="D6" si="1">A6&amp;C6</f>
        <v>1296skill</v>
      </c>
      <c r="E6" s="138" t="str">
        <f>A6&amp;+(COUNTIF(A6:A$10,A6)-1)</f>
        <v>12964</v>
      </c>
      <c r="F6" s="105" t="s">
        <v>185</v>
      </c>
      <c r="G6" s="162" t="s">
        <v>442</v>
      </c>
      <c r="H6" s="162" t="s">
        <v>502</v>
      </c>
    </row>
    <row r="7" spans="1:8" x14ac:dyDescent="0.15">
      <c r="A7" s="105">
        <v>1296</v>
      </c>
      <c r="B7" s="138" t="str">
        <f>VLOOKUP(A7,[1]characters!$A:$C,3,FALSE)</f>
        <v>星々駆ける乱奏 ラビット・ユキネ</v>
      </c>
      <c r="C7" s="105" t="s">
        <v>197</v>
      </c>
      <c r="D7" s="138" t="str">
        <f>A7&amp;C7</f>
        <v>1296cskill</v>
      </c>
      <c r="E7" s="138" t="str">
        <f>A7&amp;+(COUNTIF(A7:A$10,A7)-1)</f>
        <v>12963</v>
      </c>
      <c r="F7" s="105" t="s">
        <v>185</v>
      </c>
      <c r="G7" s="162" t="s">
        <v>442</v>
      </c>
      <c r="H7" s="162" t="s">
        <v>499</v>
      </c>
    </row>
    <row r="8" spans="1:8" x14ac:dyDescent="0.15">
      <c r="A8" s="105">
        <v>1296</v>
      </c>
      <c r="B8" s="138" t="str">
        <f>VLOOKUP(A8,[1]characters!$A:$C,3,FALSE)</f>
        <v>星々駆ける乱奏 ラビット・ユキネ</v>
      </c>
      <c r="C8" s="105" t="s">
        <v>197</v>
      </c>
      <c r="D8" s="138" t="str">
        <f>A8&amp;C8</f>
        <v>1296cskill</v>
      </c>
      <c r="E8" s="138" t="str">
        <f>A8&amp;+(COUNTIF(A8:A$10,A8)-1)</f>
        <v>12962</v>
      </c>
      <c r="F8" s="105" t="s">
        <v>185</v>
      </c>
      <c r="G8" s="162" t="s">
        <v>435</v>
      </c>
      <c r="H8" s="162" t="s">
        <v>500</v>
      </c>
    </row>
    <row r="9" spans="1:8" x14ac:dyDescent="0.15">
      <c r="A9" s="105">
        <v>1296</v>
      </c>
      <c r="B9" s="138" t="str">
        <f>VLOOKUP(A9,[1]characters!$A:$C,3,FALSE)</f>
        <v>星々駆ける乱奏 ラビット・ユキネ</v>
      </c>
      <c r="C9" s="105" t="s">
        <v>197</v>
      </c>
      <c r="D9" s="138" t="str">
        <f>A9&amp;C9</f>
        <v>1296cskill</v>
      </c>
      <c r="E9" s="138" t="str">
        <f>A9&amp;+(COUNTIF(A9:A$10,A9)-1)</f>
        <v>12961</v>
      </c>
      <c r="F9" s="105" t="s">
        <v>185</v>
      </c>
      <c r="G9" s="162" t="s">
        <v>195</v>
      </c>
      <c r="H9" s="162" t="s">
        <v>501</v>
      </c>
    </row>
    <row r="10" spans="1:8" x14ac:dyDescent="0.15">
      <c r="A10" s="105">
        <v>1296</v>
      </c>
      <c r="B10" s="138" t="str">
        <f>VLOOKUP(A10,[1]characters!$A:$C,3,FALSE)</f>
        <v>星々駆ける乱奏 ラビット・ユキネ</v>
      </c>
      <c r="C10" s="105" t="s">
        <v>197</v>
      </c>
      <c r="D10" s="138" t="str">
        <f>A10&amp;C10</f>
        <v>1296cskill</v>
      </c>
      <c r="E10" s="138" t="str">
        <f>A10&amp;+(COUNTIF(A10:A$10,A10)-1)</f>
        <v>12960</v>
      </c>
      <c r="F10" s="105" t="s">
        <v>185</v>
      </c>
      <c r="G10" s="162" t="s">
        <v>195</v>
      </c>
      <c r="H10" s="162" t="s">
        <v>503</v>
      </c>
    </row>
    <row r="11" spans="1:8" x14ac:dyDescent="0.15">
      <c r="A11" s="105">
        <v>1297</v>
      </c>
      <c r="B11" s="138" t="str">
        <f>VLOOKUP(A11,[1]characters!$A:$C,3,FALSE)</f>
        <v>雪ミク2017</v>
      </c>
      <c r="C11" s="105" t="s">
        <v>194</v>
      </c>
      <c r="D11" s="138" t="str">
        <f t="shared" ref="D11" si="2">A11&amp;C11</f>
        <v>1297skill</v>
      </c>
      <c r="E11" s="138" t="str">
        <f>A11&amp;+(COUNTIF(A$10:A11,A11)-1)</f>
        <v>12970</v>
      </c>
      <c r="F11" s="105" t="s">
        <v>184</v>
      </c>
      <c r="G11" s="162" t="s">
        <v>435</v>
      </c>
      <c r="H11" s="162" t="s">
        <v>504</v>
      </c>
    </row>
    <row r="12" spans="1:8" x14ac:dyDescent="0.15">
      <c r="A12" s="105">
        <v>1297</v>
      </c>
      <c r="B12" s="138" t="str">
        <f>VLOOKUP(A12,[1]characters!$A:$C,3,FALSE)</f>
        <v>雪ミク2017</v>
      </c>
      <c r="C12" s="105" t="s">
        <v>197</v>
      </c>
      <c r="D12" s="138" t="str">
        <f>A12&amp;C12</f>
        <v>1297cskill</v>
      </c>
      <c r="E12" s="138" t="str">
        <f>A12&amp;+(COUNTIF(A$10:A12,A12)-1)</f>
        <v>12971</v>
      </c>
      <c r="F12" s="105" t="s">
        <v>184</v>
      </c>
      <c r="G12" s="162" t="s">
        <v>435</v>
      </c>
      <c r="H12" s="162" t="s">
        <v>505</v>
      </c>
    </row>
    <row r="13" spans="1:8" x14ac:dyDescent="0.15">
      <c r="A13" s="105">
        <v>1297</v>
      </c>
      <c r="B13" s="138" t="str">
        <f>VLOOKUP(A13,[1]characters!$A:$C,3,FALSE)</f>
        <v>雪ミク2017</v>
      </c>
      <c r="C13" s="105" t="s">
        <v>197</v>
      </c>
      <c r="D13" s="138" t="str">
        <f>A13&amp;C13</f>
        <v>1297cskill</v>
      </c>
      <c r="E13" s="138" t="str">
        <f>A13&amp;+(COUNTIF(A$10:A13,A13)-1)</f>
        <v>12972</v>
      </c>
      <c r="F13" s="105" t="s">
        <v>184</v>
      </c>
      <c r="G13" s="162" t="s">
        <v>435</v>
      </c>
      <c r="H13" s="162" t="s">
        <v>506</v>
      </c>
    </row>
    <row r="14" spans="1:8" x14ac:dyDescent="0.15">
      <c r="A14" s="105">
        <v>1297</v>
      </c>
      <c r="B14" s="138" t="str">
        <f>VLOOKUP(A14,[1]characters!$A:$C,3,FALSE)</f>
        <v>雪ミク2017</v>
      </c>
      <c r="C14" s="105" t="s">
        <v>197</v>
      </c>
      <c r="D14" s="138" t="str">
        <f>A14&amp;C14</f>
        <v>1297cskill</v>
      </c>
      <c r="E14" s="138" t="str">
        <f>A14&amp;+(COUNTIF(A$10:A14,A14)-1)</f>
        <v>12973</v>
      </c>
      <c r="F14" s="105" t="s">
        <v>184</v>
      </c>
      <c r="G14" s="162" t="s">
        <v>435</v>
      </c>
      <c r="H14" s="162" t="s">
        <v>507</v>
      </c>
    </row>
    <row r="15" spans="1:8" x14ac:dyDescent="0.15">
      <c r="A15" s="105">
        <v>1298</v>
      </c>
      <c r="B15" s="138" t="str">
        <f>VLOOKUP(A15,[1]characters!$A:$C,3,FALSE)</f>
        <v>星空の歌姫 雪ミク2017</v>
      </c>
      <c r="C15" s="105" t="s">
        <v>194</v>
      </c>
      <c r="D15" s="138" t="str">
        <f t="shared" ref="D15" si="3">A15&amp;C15</f>
        <v>1298skill</v>
      </c>
      <c r="E15" s="138" t="str">
        <f>A15&amp;+(COUNTIF(A$10:A15,A15)-1)</f>
        <v>12980</v>
      </c>
      <c r="F15" s="105" t="s">
        <v>184</v>
      </c>
      <c r="G15" s="162" t="s">
        <v>435</v>
      </c>
      <c r="H15" s="162" t="s">
        <v>508</v>
      </c>
    </row>
    <row r="16" spans="1:8" x14ac:dyDescent="0.15">
      <c r="A16" s="105">
        <v>1298</v>
      </c>
      <c r="B16" s="138" t="str">
        <f>VLOOKUP(A16,[1]characters!$A:$C,3,FALSE)</f>
        <v>星空の歌姫 雪ミク2017</v>
      </c>
      <c r="C16" s="105" t="s">
        <v>197</v>
      </c>
      <c r="D16" s="138" t="str">
        <f>A16&amp;C16</f>
        <v>1298cskill</v>
      </c>
      <c r="E16" s="138" t="str">
        <f>A16&amp;+(COUNTIF(A$10:A16,A16)-1)</f>
        <v>12981</v>
      </c>
      <c r="F16" s="105" t="s">
        <v>184</v>
      </c>
      <c r="G16" s="162" t="s">
        <v>435</v>
      </c>
      <c r="H16" s="162" t="s">
        <v>505</v>
      </c>
    </row>
    <row r="17" spans="1:8" x14ac:dyDescent="0.15">
      <c r="A17" s="105">
        <v>1298</v>
      </c>
      <c r="B17" s="138" t="str">
        <f>VLOOKUP(A17,[1]characters!$A:$C,3,FALSE)</f>
        <v>星空の歌姫 雪ミク2017</v>
      </c>
      <c r="C17" s="105" t="s">
        <v>197</v>
      </c>
      <c r="D17" s="138" t="str">
        <f>A17&amp;C17</f>
        <v>1298cskill</v>
      </c>
      <c r="E17" s="138" t="str">
        <f>A17&amp;+(COUNTIF(A$10:A17,A17)-1)</f>
        <v>12982</v>
      </c>
      <c r="F17" s="105" t="s">
        <v>184</v>
      </c>
      <c r="G17" s="162" t="s">
        <v>435</v>
      </c>
      <c r="H17" s="162" t="s">
        <v>506</v>
      </c>
    </row>
    <row r="18" spans="1:8" x14ac:dyDescent="0.15">
      <c r="A18" s="105">
        <v>1298</v>
      </c>
      <c r="B18" s="138" t="str">
        <f>VLOOKUP(A18,[1]characters!$A:$C,3,FALSE)</f>
        <v>星空の歌姫 雪ミク2017</v>
      </c>
      <c r="C18" s="105" t="s">
        <v>197</v>
      </c>
      <c r="D18" s="138" t="str">
        <f>A18&amp;C18</f>
        <v>1298cskill</v>
      </c>
      <c r="E18" s="138" t="str">
        <f>A18&amp;+(COUNTIF(A$10:A18,A18)-1)</f>
        <v>12983</v>
      </c>
      <c r="F18" s="105" t="s">
        <v>184</v>
      </c>
      <c r="G18" s="162" t="s">
        <v>435</v>
      </c>
      <c r="H18" s="162" t="s">
        <v>507</v>
      </c>
    </row>
    <row r="19" spans="1:8" x14ac:dyDescent="0.15">
      <c r="A19" s="105">
        <v>1298</v>
      </c>
      <c r="B19" s="138" t="str">
        <f>VLOOKUP(A19,[1]characters!$A:$C,3,FALSE)</f>
        <v>星空の歌姫 雪ミク2017</v>
      </c>
      <c r="C19" s="105" t="s">
        <v>197</v>
      </c>
      <c r="D19" s="138" t="str">
        <f>A19&amp;C19</f>
        <v>1298cskill</v>
      </c>
      <c r="E19" s="138" t="str">
        <f>A19&amp;+(COUNTIF(A$10:A19,A19)-1)</f>
        <v>12984</v>
      </c>
      <c r="F19" s="105" t="s">
        <v>184</v>
      </c>
      <c r="G19" s="162" t="s">
        <v>435</v>
      </c>
      <c r="H19" s="162" t="s">
        <v>509</v>
      </c>
    </row>
    <row r="20" spans="1:8" x14ac:dyDescent="0.15">
      <c r="A20" s="105">
        <v>1299</v>
      </c>
      <c r="B20" s="138" t="str">
        <f>VLOOKUP(A20,[1]characters!$A:$C,3,FALSE)</f>
        <v>覚世の楽聖姫 初音ミクV3</v>
      </c>
      <c r="C20" s="105" t="s">
        <v>194</v>
      </c>
      <c r="D20" s="138" t="str">
        <f t="shared" ref="D20" si="4">A20&amp;C20</f>
        <v>1299skill</v>
      </c>
      <c r="E20" s="138" t="str">
        <f>A20&amp;+(COUNTIF(A$10:A20,A20)-1)</f>
        <v>12990</v>
      </c>
      <c r="F20" s="105" t="s">
        <v>184</v>
      </c>
      <c r="G20" s="162" t="s">
        <v>195</v>
      </c>
      <c r="H20" s="162" t="s">
        <v>528</v>
      </c>
    </row>
    <row r="21" spans="1:8" x14ac:dyDescent="0.15">
      <c r="A21" s="105">
        <v>1299</v>
      </c>
      <c r="B21" s="138" t="str">
        <f>VLOOKUP(A21,[1]characters!$A:$C,3,FALSE)</f>
        <v>覚世の楽聖姫 初音ミクV3</v>
      </c>
      <c r="C21" s="105" t="s">
        <v>197</v>
      </c>
      <c r="D21" s="138" t="str">
        <f>A21&amp;C21</f>
        <v>1299cskill</v>
      </c>
      <c r="E21" s="138" t="str">
        <f>A21&amp;+(COUNTIF(A$10:A21,A21)-1)</f>
        <v>12991</v>
      </c>
      <c r="F21" s="105" t="s">
        <v>184</v>
      </c>
      <c r="G21" s="162" t="s">
        <v>195</v>
      </c>
      <c r="H21" s="162" t="s">
        <v>529</v>
      </c>
    </row>
    <row r="22" spans="1:8" x14ac:dyDescent="0.15">
      <c r="A22" s="105">
        <v>1299</v>
      </c>
      <c r="B22" s="138" t="str">
        <f>VLOOKUP(A22,[1]characters!$A:$C,3,FALSE)</f>
        <v>覚世の楽聖姫 初音ミクV3</v>
      </c>
      <c r="C22" s="105" t="s">
        <v>197</v>
      </c>
      <c r="D22" s="138" t="str">
        <f>A22&amp;C22</f>
        <v>1299cskill</v>
      </c>
      <c r="E22" s="138" t="str">
        <f>A22&amp;+(COUNTIF(A$10:A22,A22)-1)</f>
        <v>12992</v>
      </c>
      <c r="F22" s="105" t="s">
        <v>184</v>
      </c>
      <c r="G22" s="162" t="s">
        <v>195</v>
      </c>
      <c r="H22" s="162" t="s">
        <v>530</v>
      </c>
    </row>
    <row r="23" spans="1:8" x14ac:dyDescent="0.15">
      <c r="A23" s="105">
        <v>1299</v>
      </c>
      <c r="B23" s="138" t="str">
        <f>VLOOKUP(A23,[1]characters!$A:$C,3,FALSE)</f>
        <v>覚世の楽聖姫 初音ミクV3</v>
      </c>
      <c r="C23" s="105" t="s">
        <v>197</v>
      </c>
      <c r="D23" s="138" t="str">
        <f>A23&amp;C23</f>
        <v>1299cskill</v>
      </c>
      <c r="E23" s="138" t="str">
        <f>A23&amp;+(COUNTIF(A$10:A23,A23)-1)</f>
        <v>12993</v>
      </c>
      <c r="F23" s="105" t="s">
        <v>184</v>
      </c>
      <c r="G23" s="162" t="s">
        <v>195</v>
      </c>
      <c r="H23" s="162" t="s">
        <v>531</v>
      </c>
    </row>
    <row r="24" spans="1:8" x14ac:dyDescent="0.15">
      <c r="A24" s="105">
        <v>1299</v>
      </c>
      <c r="B24" s="138" t="str">
        <f>VLOOKUP(A24,[1]characters!$A:$C,3,FALSE)</f>
        <v>覚世の楽聖姫 初音ミクV3</v>
      </c>
      <c r="C24" s="105" t="s">
        <v>197</v>
      </c>
      <c r="D24" s="138" t="str">
        <f>A24&amp;C24</f>
        <v>1299cskill</v>
      </c>
      <c r="E24" s="138" t="str">
        <f>A24&amp;+(COUNTIF(A$10:A24,A24)-1)</f>
        <v>12994</v>
      </c>
      <c r="F24" s="105" t="s">
        <v>184</v>
      </c>
      <c r="G24" s="162" t="s">
        <v>442</v>
      </c>
      <c r="H24" s="162" t="s">
        <v>532</v>
      </c>
    </row>
    <row r="25" spans="1:8" x14ac:dyDescent="0.15">
      <c r="A25" s="105">
        <v>1300</v>
      </c>
      <c r="B25" s="138" t="str">
        <f>VLOOKUP(A25,[1]characters!$A:$C,3,FALSE)</f>
        <v>歌装の彩唱 紫式部</v>
      </c>
      <c r="C25" s="105" t="s">
        <v>194</v>
      </c>
      <c r="D25" s="138" t="str">
        <f t="shared" ref="D25" si="5">A25&amp;C25</f>
        <v>1300skill</v>
      </c>
      <c r="E25" s="138" t="str">
        <f>A25&amp;+(COUNTIF(A$10:A25,A25)-1)</f>
        <v>13000</v>
      </c>
      <c r="F25" s="105" t="s">
        <v>184</v>
      </c>
      <c r="G25" s="162" t="s">
        <v>442</v>
      </c>
      <c r="H25" s="162" t="s">
        <v>510</v>
      </c>
    </row>
    <row r="26" spans="1:8" x14ac:dyDescent="0.15">
      <c r="A26" s="105">
        <v>1300</v>
      </c>
      <c r="B26" s="138" t="str">
        <f>VLOOKUP(A26,[1]characters!$A:$C,3,FALSE)</f>
        <v>歌装の彩唱 紫式部</v>
      </c>
      <c r="C26" s="105" t="s">
        <v>197</v>
      </c>
      <c r="D26" s="138" t="str">
        <f>A26&amp;C26</f>
        <v>1300cskill</v>
      </c>
      <c r="E26" s="138" t="str">
        <f>A26&amp;+(COUNTIF(A$10:A26,A26)-1)</f>
        <v>13001</v>
      </c>
      <c r="F26" s="105" t="s">
        <v>184</v>
      </c>
      <c r="G26" s="162" t="s">
        <v>442</v>
      </c>
      <c r="H26" s="162" t="s">
        <v>511</v>
      </c>
    </row>
    <row r="27" spans="1:8" x14ac:dyDescent="0.15">
      <c r="A27" s="105">
        <v>1300</v>
      </c>
      <c r="B27" s="138" t="str">
        <f>VLOOKUP(A27,[1]characters!$A:$C,3,FALSE)</f>
        <v>歌装の彩唱 紫式部</v>
      </c>
      <c r="C27" s="105" t="s">
        <v>197</v>
      </c>
      <c r="D27" s="138" t="str">
        <f>A27&amp;C27</f>
        <v>1300cskill</v>
      </c>
      <c r="E27" s="138" t="str">
        <f>A27&amp;+(COUNTIF(A$10:A27,A27)-1)</f>
        <v>13002</v>
      </c>
      <c r="F27" s="105" t="s">
        <v>184</v>
      </c>
      <c r="G27" s="162" t="s">
        <v>435</v>
      </c>
      <c r="H27" s="162" t="s">
        <v>512</v>
      </c>
    </row>
    <row r="28" spans="1:8" x14ac:dyDescent="0.15">
      <c r="A28" s="105">
        <v>1300</v>
      </c>
      <c r="B28" s="138" t="str">
        <f>VLOOKUP(A28,[1]characters!$A:$C,3,FALSE)</f>
        <v>歌装の彩唱 紫式部</v>
      </c>
      <c r="C28" s="105" t="s">
        <v>197</v>
      </c>
      <c r="D28" s="138" t="str">
        <f>A28&amp;C28</f>
        <v>1300cskill</v>
      </c>
      <c r="E28" s="138" t="str">
        <f>A28&amp;+(COUNTIF(A$10:A28,A28)-1)</f>
        <v>13003</v>
      </c>
      <c r="F28" s="105" t="s">
        <v>184</v>
      </c>
      <c r="G28" s="162" t="s">
        <v>435</v>
      </c>
      <c r="H28" s="162" t="s">
        <v>513</v>
      </c>
    </row>
    <row r="29" spans="1:8" x14ac:dyDescent="0.15">
      <c r="A29" s="105">
        <v>1301</v>
      </c>
      <c r="B29" s="138" t="str">
        <f>VLOOKUP(A29,[1]characters!$A:$C,3,FALSE)</f>
        <v>歌装の萌響女 紫式部</v>
      </c>
      <c r="C29" s="105" t="s">
        <v>194</v>
      </c>
      <c r="D29" s="138" t="str">
        <f t="shared" ref="D29" si="6">A29&amp;C29</f>
        <v>1301skill</v>
      </c>
      <c r="E29" s="138" t="str">
        <f>A29&amp;+(COUNTIF(A$10:A29,A29)-1)</f>
        <v>13010</v>
      </c>
      <c r="F29" s="105" t="s">
        <v>184</v>
      </c>
      <c r="G29" s="162" t="s">
        <v>195</v>
      </c>
      <c r="H29" s="162" t="s">
        <v>514</v>
      </c>
    </row>
    <row r="30" spans="1:8" x14ac:dyDescent="0.15">
      <c r="A30" s="105">
        <v>1301</v>
      </c>
      <c r="B30" s="138" t="str">
        <f>VLOOKUP(A30,[1]characters!$A:$C,3,FALSE)</f>
        <v>歌装の萌響女 紫式部</v>
      </c>
      <c r="C30" s="105" t="s">
        <v>197</v>
      </c>
      <c r="D30" s="138" t="str">
        <f>A30&amp;C30</f>
        <v>1301cskill</v>
      </c>
      <c r="E30" s="138" t="str">
        <f>A30&amp;+(COUNTIF(A$10:A30,A30)-1)</f>
        <v>13011</v>
      </c>
      <c r="F30" s="105" t="s">
        <v>184</v>
      </c>
      <c r="G30" s="162" t="s">
        <v>442</v>
      </c>
      <c r="H30" s="162" t="s">
        <v>511</v>
      </c>
    </row>
    <row r="31" spans="1:8" x14ac:dyDescent="0.15">
      <c r="A31" s="105">
        <v>1301</v>
      </c>
      <c r="B31" s="138" t="str">
        <f>VLOOKUP(A31,[1]characters!$A:$C,3,FALSE)</f>
        <v>歌装の萌響女 紫式部</v>
      </c>
      <c r="C31" s="105" t="s">
        <v>197</v>
      </c>
      <c r="D31" s="138" t="str">
        <f>A31&amp;C31</f>
        <v>1301cskill</v>
      </c>
      <c r="E31" s="138" t="str">
        <f>A31&amp;+(COUNTIF(A$10:A31,A31)-1)</f>
        <v>13012</v>
      </c>
      <c r="F31" s="105" t="s">
        <v>184</v>
      </c>
      <c r="G31" s="162" t="s">
        <v>435</v>
      </c>
      <c r="H31" s="162" t="s">
        <v>512</v>
      </c>
    </row>
    <row r="32" spans="1:8" x14ac:dyDescent="0.15">
      <c r="A32" s="105">
        <v>1301</v>
      </c>
      <c r="B32" s="138" t="str">
        <f>VLOOKUP(A32,[1]characters!$A:$C,3,FALSE)</f>
        <v>歌装の萌響女 紫式部</v>
      </c>
      <c r="C32" s="105" t="s">
        <v>197</v>
      </c>
      <c r="D32" s="138" t="str">
        <f>A32&amp;C32</f>
        <v>1301cskill</v>
      </c>
      <c r="E32" s="138" t="str">
        <f>A32&amp;+(COUNTIF(A$10:A32,A32)-1)</f>
        <v>13013</v>
      </c>
      <c r="F32" s="105" t="s">
        <v>184</v>
      </c>
      <c r="G32" s="162" t="s">
        <v>435</v>
      </c>
      <c r="H32" s="162" t="s">
        <v>513</v>
      </c>
    </row>
    <row r="33" spans="1:8" x14ac:dyDescent="0.15">
      <c r="A33" s="105">
        <v>1301</v>
      </c>
      <c r="B33" s="138" t="str">
        <f>VLOOKUP(A33,[1]characters!$A:$C,3,FALSE)</f>
        <v>歌装の萌響女 紫式部</v>
      </c>
      <c r="C33" s="105" t="s">
        <v>197</v>
      </c>
      <c r="D33" s="138" t="str">
        <f>A33&amp;C33</f>
        <v>1301cskill</v>
      </c>
      <c r="E33" s="138" t="str">
        <f>A33&amp;+(COUNTIF(A$10:A33,A33)-1)</f>
        <v>13014</v>
      </c>
      <c r="F33" s="105" t="s">
        <v>184</v>
      </c>
      <c r="G33" s="162" t="s">
        <v>442</v>
      </c>
      <c r="H33" s="162" t="s">
        <v>515</v>
      </c>
    </row>
    <row r="34" spans="1:8" x14ac:dyDescent="0.15">
      <c r="A34" s="105">
        <v>1302</v>
      </c>
      <c r="B34" s="138" t="str">
        <f>VLOOKUP(A34,[1]characters!$A:$C,3,FALSE)</f>
        <v>超天突符 イナバ</v>
      </c>
      <c r="C34" s="105" t="s">
        <v>194</v>
      </c>
      <c r="D34" s="138" t="str">
        <f t="shared" ref="D34" si="7">A34&amp;C34</f>
        <v>1302skill</v>
      </c>
      <c r="E34" s="138" t="str">
        <f>A34&amp;+(COUNTIF(A$10:A34,A34)-1)</f>
        <v>13020</v>
      </c>
      <c r="F34" s="105" t="s">
        <v>184</v>
      </c>
      <c r="G34" s="162" t="s">
        <v>195</v>
      </c>
      <c r="H34" s="162" t="s">
        <v>516</v>
      </c>
    </row>
    <row r="35" spans="1:8" x14ac:dyDescent="0.15">
      <c r="A35" s="105">
        <v>1302</v>
      </c>
      <c r="B35" s="138" t="str">
        <f>VLOOKUP(A35,[1]characters!$A:$C,3,FALSE)</f>
        <v>超天突符 イナバ</v>
      </c>
      <c r="C35" s="105" t="s">
        <v>197</v>
      </c>
      <c r="D35" s="138" t="str">
        <f>A35&amp;C35</f>
        <v>1302cskill</v>
      </c>
      <c r="E35" s="138" t="str">
        <f>A35&amp;+(COUNTIF(A$10:A35,A35)-1)</f>
        <v>13021</v>
      </c>
      <c r="F35" s="105" t="s">
        <v>184</v>
      </c>
      <c r="G35" s="162" t="s">
        <v>442</v>
      </c>
      <c r="H35" s="162" t="s">
        <v>517</v>
      </c>
    </row>
    <row r="36" spans="1:8" x14ac:dyDescent="0.15">
      <c r="A36" s="105">
        <v>1302</v>
      </c>
      <c r="B36" s="138" t="str">
        <f>VLOOKUP(A36,[1]characters!$A:$C,3,FALSE)</f>
        <v>超天突符 イナバ</v>
      </c>
      <c r="C36" s="105" t="s">
        <v>197</v>
      </c>
      <c r="D36" s="138" t="str">
        <f>A36&amp;C36</f>
        <v>1302cskill</v>
      </c>
      <c r="E36" s="138" t="str">
        <f>A36&amp;+(COUNTIF(A$10:A36,A36)-1)</f>
        <v>13022</v>
      </c>
      <c r="F36" s="105" t="s">
        <v>184</v>
      </c>
      <c r="G36" s="162" t="s">
        <v>435</v>
      </c>
      <c r="H36" s="162" t="s">
        <v>518</v>
      </c>
    </row>
    <row r="37" spans="1:8" x14ac:dyDescent="0.15">
      <c r="A37" s="105">
        <v>1302</v>
      </c>
      <c r="B37" s="138" t="str">
        <f>VLOOKUP(A37,[1]characters!$A:$C,3,FALSE)</f>
        <v>超天突符 イナバ</v>
      </c>
      <c r="C37" s="105" t="s">
        <v>197</v>
      </c>
      <c r="D37" s="138" t="str">
        <f>A37&amp;C37</f>
        <v>1302cskill</v>
      </c>
      <c r="E37" s="138" t="str">
        <f>A37&amp;+(COUNTIF(A$10:A37,A37)-1)</f>
        <v>13023</v>
      </c>
      <c r="F37" s="105" t="s">
        <v>184</v>
      </c>
      <c r="G37" s="162" t="s">
        <v>442</v>
      </c>
      <c r="H37" s="162" t="s">
        <v>519</v>
      </c>
    </row>
    <row r="38" spans="1:8" x14ac:dyDescent="0.15">
      <c r="A38" s="105">
        <v>1303</v>
      </c>
      <c r="B38" s="138" t="str">
        <f>VLOOKUP(A38,[1]characters!$A:$C,3,FALSE)</f>
        <v>転調･超天突符 イナバ</v>
      </c>
      <c r="C38" s="105" t="s">
        <v>194</v>
      </c>
      <c r="D38" s="138" t="str">
        <f t="shared" ref="D38" si="8">A38&amp;C38</f>
        <v>1303skill</v>
      </c>
      <c r="E38" s="138" t="str">
        <f>A38&amp;+(COUNTIF(A$10:A38,A38)-1)</f>
        <v>13030</v>
      </c>
      <c r="F38" s="105" t="s">
        <v>184</v>
      </c>
      <c r="G38" s="162" t="s">
        <v>442</v>
      </c>
      <c r="H38" s="162" t="s">
        <v>520</v>
      </c>
    </row>
    <row r="39" spans="1:8" x14ac:dyDescent="0.15">
      <c r="A39" s="105">
        <v>1303</v>
      </c>
      <c r="B39" s="138" t="str">
        <f>VLOOKUP(A39,[1]characters!$A:$C,3,FALSE)</f>
        <v>転調･超天突符 イナバ</v>
      </c>
      <c r="C39" s="105" t="s">
        <v>197</v>
      </c>
      <c r="D39" s="138" t="str">
        <f>A39&amp;C39</f>
        <v>1303cskill</v>
      </c>
      <c r="E39" s="138" t="str">
        <f>A39&amp;+(COUNTIF(A$10:A39,A39)-1)</f>
        <v>13031</v>
      </c>
      <c r="F39" s="105" t="s">
        <v>184</v>
      </c>
      <c r="G39" s="162" t="s">
        <v>442</v>
      </c>
      <c r="H39" s="162" t="s">
        <v>517</v>
      </c>
    </row>
    <row r="40" spans="1:8" x14ac:dyDescent="0.15">
      <c r="A40" s="105">
        <v>1303</v>
      </c>
      <c r="B40" s="138" t="str">
        <f>VLOOKUP(A40,[1]characters!$A:$C,3,FALSE)</f>
        <v>転調･超天突符 イナバ</v>
      </c>
      <c r="C40" s="105" t="s">
        <v>197</v>
      </c>
      <c r="D40" s="138" t="str">
        <f>A40&amp;C40</f>
        <v>1303cskill</v>
      </c>
      <c r="E40" s="138" t="str">
        <f>A40&amp;+(COUNTIF(A$10:A40,A40)-1)</f>
        <v>13032</v>
      </c>
      <c r="F40" s="105" t="s">
        <v>184</v>
      </c>
      <c r="G40" s="162" t="s">
        <v>435</v>
      </c>
      <c r="H40" s="162" t="s">
        <v>518</v>
      </c>
    </row>
    <row r="41" spans="1:8" x14ac:dyDescent="0.15">
      <c r="A41" s="105">
        <v>1303</v>
      </c>
      <c r="B41" s="138" t="str">
        <f>VLOOKUP(A41,[1]characters!$A:$C,3,FALSE)</f>
        <v>転調･超天突符 イナバ</v>
      </c>
      <c r="C41" s="105" t="s">
        <v>197</v>
      </c>
      <c r="D41" s="138" t="str">
        <f>A41&amp;C41</f>
        <v>1303cskill</v>
      </c>
      <c r="E41" s="138" t="str">
        <f>A41&amp;+(COUNTIF(A$10:A41,A41)-1)</f>
        <v>13033</v>
      </c>
      <c r="F41" s="105" t="s">
        <v>184</v>
      </c>
      <c r="G41" s="162" t="s">
        <v>442</v>
      </c>
      <c r="H41" s="162" t="s">
        <v>519</v>
      </c>
    </row>
    <row r="42" spans="1:8" x14ac:dyDescent="0.15">
      <c r="A42" s="105">
        <v>1303</v>
      </c>
      <c r="B42" s="138" t="str">
        <f>VLOOKUP(A42,[1]characters!$A:$C,3,FALSE)</f>
        <v>転調･超天突符 イナバ</v>
      </c>
      <c r="C42" s="105" t="s">
        <v>197</v>
      </c>
      <c r="D42" s="138" t="str">
        <f>A42&amp;C42</f>
        <v>1303cskill</v>
      </c>
      <c r="E42" s="138" t="str">
        <f>A42&amp;+(COUNTIF(A$10:A42,A42)-1)</f>
        <v>13034</v>
      </c>
      <c r="F42" s="105" t="s">
        <v>184</v>
      </c>
      <c r="G42" s="162" t="s">
        <v>435</v>
      </c>
      <c r="H42" s="162" t="s">
        <v>521</v>
      </c>
    </row>
    <row r="43" spans="1:8" x14ac:dyDescent="0.15">
      <c r="A43" s="105">
        <v>1304</v>
      </c>
      <c r="B43" s="138" t="str">
        <f>VLOOKUP(A43,[1]characters!$A:$C,3,FALSE)</f>
        <v>演鼠の響笛音 ハーメルン</v>
      </c>
      <c r="C43" s="105" t="s">
        <v>194</v>
      </c>
      <c r="D43" s="138" t="str">
        <f t="shared" ref="D43" si="9">A43&amp;C43</f>
        <v>1304skill</v>
      </c>
      <c r="E43" s="138" t="str">
        <f>A43&amp;+(COUNTIF(A$10:A43,A43)-1)</f>
        <v>13040</v>
      </c>
      <c r="F43" s="105" t="s">
        <v>184</v>
      </c>
      <c r="G43" s="162" t="s">
        <v>435</v>
      </c>
      <c r="H43" s="162" t="s">
        <v>522</v>
      </c>
    </row>
    <row r="44" spans="1:8" x14ac:dyDescent="0.15">
      <c r="A44" s="105">
        <v>1304</v>
      </c>
      <c r="B44" s="138" t="str">
        <f>VLOOKUP(A44,[1]characters!$A:$C,3,FALSE)</f>
        <v>演鼠の響笛音 ハーメルン</v>
      </c>
      <c r="C44" s="105" t="s">
        <v>197</v>
      </c>
      <c r="D44" s="138" t="str">
        <f>A44&amp;C44</f>
        <v>1304cskill</v>
      </c>
      <c r="E44" s="138" t="str">
        <f>A44&amp;+(COUNTIF(A$10:A44,A44)-1)</f>
        <v>13041</v>
      </c>
      <c r="F44" s="105" t="s">
        <v>184</v>
      </c>
      <c r="G44" s="162" t="s">
        <v>195</v>
      </c>
      <c r="H44" s="162" t="s">
        <v>523</v>
      </c>
    </row>
    <row r="45" spans="1:8" x14ac:dyDescent="0.15">
      <c r="A45" s="105">
        <v>1304</v>
      </c>
      <c r="B45" s="138" t="str">
        <f>VLOOKUP(A45,[1]characters!$A:$C,3,FALSE)</f>
        <v>演鼠の響笛音 ハーメルン</v>
      </c>
      <c r="C45" s="105" t="s">
        <v>197</v>
      </c>
      <c r="D45" s="138" t="str">
        <f>A45&amp;C45</f>
        <v>1304cskill</v>
      </c>
      <c r="E45" s="138" t="str">
        <f>A45&amp;+(COUNTIF(A$10:A45,A45)-1)</f>
        <v>13042</v>
      </c>
      <c r="F45" s="105" t="s">
        <v>184</v>
      </c>
      <c r="G45" s="162" t="s">
        <v>435</v>
      </c>
      <c r="H45" s="162" t="s">
        <v>524</v>
      </c>
    </row>
    <row r="46" spans="1:8" x14ac:dyDescent="0.15">
      <c r="A46" s="105">
        <v>1304</v>
      </c>
      <c r="B46" s="138" t="str">
        <f>VLOOKUP(A46,[1]characters!$A:$C,3,FALSE)</f>
        <v>演鼠の響笛音 ハーメルン</v>
      </c>
      <c r="C46" s="105" t="s">
        <v>197</v>
      </c>
      <c r="D46" s="138" t="str">
        <f>A46&amp;C46</f>
        <v>1304cskill</v>
      </c>
      <c r="E46" s="138" t="str">
        <f>A46&amp;+(COUNTIF(A$10:A46,A46)-1)</f>
        <v>13043</v>
      </c>
      <c r="F46" s="105" t="s">
        <v>184</v>
      </c>
      <c r="G46" s="162" t="s">
        <v>195</v>
      </c>
      <c r="H46" s="162" t="s">
        <v>525</v>
      </c>
    </row>
    <row r="47" spans="1:8" x14ac:dyDescent="0.15">
      <c r="A47" s="105">
        <v>1305</v>
      </c>
      <c r="B47" s="138" t="str">
        <f>VLOOKUP(A47,[1]characters!$A:$C,3,FALSE)</f>
        <v>響界廻る睡鼠楽 ハーメルン</v>
      </c>
      <c r="C47" s="105" t="s">
        <v>194</v>
      </c>
      <c r="D47" s="138" t="str">
        <f t="shared" ref="D47" si="10">A47&amp;C47</f>
        <v>1305skill</v>
      </c>
      <c r="E47" s="138" t="str">
        <f>A47&amp;+(COUNTIF(A$10:A47,A47)-1)</f>
        <v>13050</v>
      </c>
      <c r="F47" s="105" t="s">
        <v>184</v>
      </c>
      <c r="G47" s="162" t="s">
        <v>195</v>
      </c>
      <c r="H47" s="162" t="s">
        <v>526</v>
      </c>
    </row>
    <row r="48" spans="1:8" x14ac:dyDescent="0.15">
      <c r="A48" s="105">
        <v>1305</v>
      </c>
      <c r="B48" s="138" t="str">
        <f>VLOOKUP(A48,[1]characters!$A:$C,3,FALSE)</f>
        <v>響界廻る睡鼠楽 ハーメルン</v>
      </c>
      <c r="C48" s="105" t="s">
        <v>197</v>
      </c>
      <c r="D48" s="138" t="str">
        <f>A48&amp;C48</f>
        <v>1305cskill</v>
      </c>
      <c r="E48" s="138" t="str">
        <f>A48&amp;+(COUNTIF(A$10:A48,A48)-1)</f>
        <v>13051</v>
      </c>
      <c r="F48" s="105" t="s">
        <v>184</v>
      </c>
      <c r="G48" s="162" t="s">
        <v>195</v>
      </c>
      <c r="H48" s="162" t="s">
        <v>523</v>
      </c>
    </row>
    <row r="49" spans="1:8" x14ac:dyDescent="0.15">
      <c r="A49" s="105">
        <v>1305</v>
      </c>
      <c r="B49" s="138" t="str">
        <f>VLOOKUP(A49,[1]characters!$A:$C,3,FALSE)</f>
        <v>響界廻る睡鼠楽 ハーメルン</v>
      </c>
      <c r="C49" s="105" t="s">
        <v>197</v>
      </c>
      <c r="D49" s="138" t="str">
        <f>A49&amp;C49</f>
        <v>1305cskill</v>
      </c>
      <c r="E49" s="138" t="str">
        <f>A49&amp;+(COUNTIF(A$10:A49,A49)-1)</f>
        <v>13052</v>
      </c>
      <c r="F49" s="105" t="s">
        <v>184</v>
      </c>
      <c r="G49" s="162" t="s">
        <v>435</v>
      </c>
      <c r="H49" s="162" t="s">
        <v>524</v>
      </c>
    </row>
    <row r="50" spans="1:8" x14ac:dyDescent="0.15">
      <c r="A50" s="105">
        <v>1305</v>
      </c>
      <c r="B50" s="138" t="str">
        <f>VLOOKUP(A50,[1]characters!$A:$C,3,FALSE)</f>
        <v>響界廻る睡鼠楽 ハーメルン</v>
      </c>
      <c r="C50" s="105" t="s">
        <v>197</v>
      </c>
      <c r="D50" s="138" t="str">
        <f>A50&amp;C50</f>
        <v>1305cskill</v>
      </c>
      <c r="E50" s="138" t="str">
        <f>A50&amp;+(COUNTIF(A$10:A50,A50)-1)</f>
        <v>13053</v>
      </c>
      <c r="F50" s="105" t="s">
        <v>184</v>
      </c>
      <c r="G50" s="162" t="s">
        <v>195</v>
      </c>
      <c r="H50" s="162" t="s">
        <v>525</v>
      </c>
    </row>
    <row r="51" spans="1:8" x14ac:dyDescent="0.15">
      <c r="A51" s="105">
        <v>1305</v>
      </c>
      <c r="B51" s="138" t="str">
        <f>VLOOKUP(A51,[1]characters!$A:$C,3,FALSE)</f>
        <v>響界廻る睡鼠楽 ハーメルン</v>
      </c>
      <c r="C51" s="105" t="s">
        <v>197</v>
      </c>
      <c r="D51" s="138" t="str">
        <f>A51&amp;C51</f>
        <v>1305cskill</v>
      </c>
      <c r="E51" s="138" t="str">
        <f>A51&amp;+(COUNTIF(A$10:A51,A51)-1)</f>
        <v>13054</v>
      </c>
      <c r="F51" s="105" t="s">
        <v>184</v>
      </c>
      <c r="G51" s="162" t="s">
        <v>195</v>
      </c>
      <c r="H51" s="162" t="s">
        <v>527</v>
      </c>
    </row>
    <row r="52" spans="1:8" x14ac:dyDescent="0.15">
      <c r="A52" s="105">
        <v>1306</v>
      </c>
      <c r="B52" s="138" t="str">
        <f>VLOOKUP(A52,[1]characters!$A:$C,3,FALSE)</f>
        <v>玉響の唱天 ルシファー</v>
      </c>
      <c r="C52" s="105" t="s">
        <v>194</v>
      </c>
      <c r="D52" s="138" t="str">
        <f t="shared" ref="D52" si="11">A52&amp;C52</f>
        <v>1306skill</v>
      </c>
      <c r="E52" s="138" t="str">
        <f>A52&amp;+(COUNTIF(A$10:A52,A52)-1)</f>
        <v>13060</v>
      </c>
      <c r="F52" s="105" t="s">
        <v>184</v>
      </c>
      <c r="G52" s="162" t="s">
        <v>435</v>
      </c>
      <c r="H52" s="162" t="s">
        <v>533</v>
      </c>
    </row>
    <row r="53" spans="1:8" x14ac:dyDescent="0.15">
      <c r="A53" s="105">
        <v>1306</v>
      </c>
      <c r="B53" s="138" t="str">
        <f>VLOOKUP(A53,[1]characters!$A:$C,3,FALSE)</f>
        <v>玉響の唱天 ルシファー</v>
      </c>
      <c r="C53" s="105" t="s">
        <v>197</v>
      </c>
      <c r="D53" s="138" t="str">
        <f>A53&amp;C53</f>
        <v>1306cskill</v>
      </c>
      <c r="E53" s="138" t="str">
        <f>A53&amp;+(COUNTIF(A$10:A53,A53)-1)</f>
        <v>13061</v>
      </c>
      <c r="F53" s="105" t="s">
        <v>184</v>
      </c>
      <c r="G53" s="162" t="s">
        <v>435</v>
      </c>
      <c r="H53" s="162" t="s">
        <v>534</v>
      </c>
    </row>
    <row r="54" spans="1:8" x14ac:dyDescent="0.15">
      <c r="A54" s="105">
        <v>1306</v>
      </c>
      <c r="B54" s="138" t="str">
        <f>VLOOKUP(A54,[1]characters!$A:$C,3,FALSE)</f>
        <v>玉響の唱天 ルシファー</v>
      </c>
      <c r="C54" s="105" t="s">
        <v>197</v>
      </c>
      <c r="D54" s="138" t="str">
        <f>A54&amp;C54</f>
        <v>1306cskill</v>
      </c>
      <c r="E54" s="138" t="str">
        <f>A54&amp;+(COUNTIF(A$10:A54,A54)-1)</f>
        <v>13062</v>
      </c>
      <c r="F54" s="105" t="s">
        <v>184</v>
      </c>
      <c r="G54" s="162" t="s">
        <v>442</v>
      </c>
      <c r="H54" s="162" t="s">
        <v>535</v>
      </c>
    </row>
    <row r="55" spans="1:8" x14ac:dyDescent="0.15">
      <c r="A55" s="105">
        <v>1306</v>
      </c>
      <c r="B55" s="138" t="str">
        <f>VLOOKUP(A55,[1]characters!$A:$C,3,FALSE)</f>
        <v>玉響の唱天 ルシファー</v>
      </c>
      <c r="C55" s="105" t="s">
        <v>197</v>
      </c>
      <c r="D55" s="138" t="str">
        <f>A55&amp;C55</f>
        <v>1306cskill</v>
      </c>
      <c r="E55" s="138" t="str">
        <f>A55&amp;+(COUNTIF(A$10:A55,A55)-1)</f>
        <v>13063</v>
      </c>
      <c r="F55" s="105" t="s">
        <v>184</v>
      </c>
      <c r="G55" s="162" t="s">
        <v>435</v>
      </c>
      <c r="H55" s="162" t="s">
        <v>536</v>
      </c>
    </row>
    <row r="56" spans="1:8" x14ac:dyDescent="0.15">
      <c r="A56" s="105">
        <v>1307</v>
      </c>
      <c r="B56" s="138" t="str">
        <f>VLOOKUP(A56,[1]characters!$A:$C,3,FALSE)</f>
        <v>彩翼の唱天史 ルシファー</v>
      </c>
      <c r="C56" s="105" t="s">
        <v>194</v>
      </c>
      <c r="D56" s="138" t="str">
        <f t="shared" ref="D56" si="12">A56&amp;C56</f>
        <v>1307skill</v>
      </c>
      <c r="E56" s="138" t="str">
        <f>A56&amp;+(COUNTIF(A$10:A56,A56)-1)</f>
        <v>13070</v>
      </c>
      <c r="F56" s="105" t="s">
        <v>184</v>
      </c>
      <c r="G56" s="162" t="s">
        <v>442</v>
      </c>
      <c r="H56" s="162" t="s">
        <v>537</v>
      </c>
    </row>
    <row r="57" spans="1:8" x14ac:dyDescent="0.15">
      <c r="A57" s="105">
        <v>1307</v>
      </c>
      <c r="B57" s="138" t="str">
        <f>VLOOKUP(A57,[1]characters!$A:$C,3,FALSE)</f>
        <v>彩翼の唱天史 ルシファー</v>
      </c>
      <c r="C57" s="105" t="s">
        <v>197</v>
      </c>
      <c r="D57" s="138" t="str">
        <f>A57&amp;C57</f>
        <v>1307cskill</v>
      </c>
      <c r="E57" s="138" t="str">
        <f>A57&amp;+(COUNTIF(A$10:A57,A57)-1)</f>
        <v>13071</v>
      </c>
      <c r="F57" s="105" t="s">
        <v>184</v>
      </c>
      <c r="G57" s="162" t="s">
        <v>435</v>
      </c>
      <c r="H57" s="162" t="s">
        <v>534</v>
      </c>
    </row>
    <row r="58" spans="1:8" x14ac:dyDescent="0.15">
      <c r="A58" s="105">
        <v>1307</v>
      </c>
      <c r="B58" s="138" t="str">
        <f>VLOOKUP(A58,[1]characters!$A:$C,3,FALSE)</f>
        <v>彩翼の唱天史 ルシファー</v>
      </c>
      <c r="C58" s="105" t="s">
        <v>197</v>
      </c>
      <c r="D58" s="138" t="str">
        <f>A58&amp;C58</f>
        <v>1307cskill</v>
      </c>
      <c r="E58" s="138" t="str">
        <f>A58&amp;+(COUNTIF(A$10:A58,A58)-1)</f>
        <v>13072</v>
      </c>
      <c r="F58" s="105" t="s">
        <v>184</v>
      </c>
      <c r="G58" s="162" t="s">
        <v>442</v>
      </c>
      <c r="H58" s="162" t="s">
        <v>535</v>
      </c>
    </row>
    <row r="59" spans="1:8" x14ac:dyDescent="0.15">
      <c r="A59" s="105">
        <v>1307</v>
      </c>
      <c r="B59" s="138" t="str">
        <f>VLOOKUP(A59,[1]characters!$A:$C,3,FALSE)</f>
        <v>彩翼の唱天史 ルシファー</v>
      </c>
      <c r="C59" s="105" t="s">
        <v>197</v>
      </c>
      <c r="D59" s="138" t="str">
        <f>A59&amp;C59</f>
        <v>1307cskill</v>
      </c>
      <c r="E59" s="138" t="str">
        <f>A59&amp;+(COUNTIF(A$10:A59,A59)-1)</f>
        <v>13073</v>
      </c>
      <c r="F59" s="105" t="s">
        <v>184</v>
      </c>
      <c r="G59" s="162" t="s">
        <v>435</v>
      </c>
      <c r="H59" s="162" t="s">
        <v>536</v>
      </c>
    </row>
    <row r="60" spans="1:8" x14ac:dyDescent="0.15">
      <c r="A60" s="105">
        <v>1307</v>
      </c>
      <c r="B60" s="138" t="str">
        <f>VLOOKUP(A60,[1]characters!$A:$C,3,FALSE)</f>
        <v>彩翼の唱天史 ルシファー</v>
      </c>
      <c r="C60" s="105" t="s">
        <v>197</v>
      </c>
      <c r="D60" s="138" t="str">
        <f>A60&amp;C60</f>
        <v>1307cskill</v>
      </c>
      <c r="E60" s="138" t="str">
        <f>A60&amp;+(COUNTIF(A$10:A60,A60)-1)</f>
        <v>13074</v>
      </c>
      <c r="F60" s="105" t="s">
        <v>184</v>
      </c>
      <c r="G60" s="162" t="s">
        <v>442</v>
      </c>
      <c r="H60" s="162" t="s">
        <v>538</v>
      </c>
    </row>
    <row r="61" spans="1:8" x14ac:dyDescent="0.15">
      <c r="A61" s="105">
        <v>1308</v>
      </c>
      <c r="B61" s="138" t="str">
        <f>VLOOKUP(A61,[1]characters!$A:$C,3,FALSE)</f>
        <v>革鳴の響奏撃 初音ミク</v>
      </c>
      <c r="C61" s="105" t="s">
        <v>194</v>
      </c>
      <c r="D61" s="138" t="str">
        <f t="shared" ref="D61" si="13">A61&amp;C61</f>
        <v>1308skill</v>
      </c>
      <c r="E61" s="138" t="str">
        <f>A61&amp;+(COUNTIF(A$10:A61,A61)-1)</f>
        <v>13080</v>
      </c>
      <c r="F61" s="105" t="s">
        <v>184</v>
      </c>
      <c r="G61" s="162" t="s">
        <v>435</v>
      </c>
      <c r="H61" s="162" t="s">
        <v>443</v>
      </c>
    </row>
    <row r="62" spans="1:8" x14ac:dyDescent="0.15">
      <c r="A62" s="105">
        <v>1308</v>
      </c>
      <c r="B62" s="138" t="str">
        <f>VLOOKUP(A62,[1]characters!$A:$C,3,FALSE)</f>
        <v>革鳴の響奏撃 初音ミク</v>
      </c>
      <c r="C62" s="105" t="s">
        <v>197</v>
      </c>
      <c r="D62" s="138" t="str">
        <f>A62&amp;C62</f>
        <v>1308cskill</v>
      </c>
      <c r="E62" s="138" t="str">
        <f>A62&amp;+(COUNTIF(A$10:A62,A62)-1)</f>
        <v>13081</v>
      </c>
      <c r="F62" s="105" t="s">
        <v>184</v>
      </c>
      <c r="G62" s="162" t="s">
        <v>435</v>
      </c>
      <c r="H62" s="162" t="s">
        <v>444</v>
      </c>
    </row>
    <row r="63" spans="1:8" x14ac:dyDescent="0.15">
      <c r="A63" s="105">
        <v>1308</v>
      </c>
      <c r="B63" s="138" t="str">
        <f>VLOOKUP(A63,[1]characters!$A:$C,3,FALSE)</f>
        <v>革鳴の響奏撃 初音ミク</v>
      </c>
      <c r="C63" s="105" t="s">
        <v>197</v>
      </c>
      <c r="D63" s="138" t="str">
        <f>A63&amp;C63</f>
        <v>1308cskill</v>
      </c>
      <c r="E63" s="138" t="str">
        <f>A63&amp;+(COUNTIF(A$10:A63,A63)-1)</f>
        <v>13082</v>
      </c>
      <c r="F63" s="105" t="s">
        <v>184</v>
      </c>
      <c r="G63" s="162" t="s">
        <v>442</v>
      </c>
      <c r="H63" s="162" t="s">
        <v>445</v>
      </c>
    </row>
    <row r="64" spans="1:8" x14ac:dyDescent="0.15">
      <c r="A64" s="105">
        <v>1308</v>
      </c>
      <c r="B64" s="138" t="str">
        <f>VLOOKUP(A64,[1]characters!$A:$C,3,FALSE)</f>
        <v>革鳴の響奏撃 初音ミク</v>
      </c>
      <c r="C64" s="105" t="s">
        <v>197</v>
      </c>
      <c r="D64" s="138" t="str">
        <f>A64&amp;C64</f>
        <v>1308cskill</v>
      </c>
      <c r="E64" s="138" t="str">
        <f>A64&amp;+(COUNTIF(A$10:A64,A64)-1)</f>
        <v>13083</v>
      </c>
      <c r="F64" s="105" t="s">
        <v>184</v>
      </c>
      <c r="G64" s="162" t="s">
        <v>435</v>
      </c>
      <c r="H64" s="162" t="s">
        <v>446</v>
      </c>
    </row>
    <row r="65" spans="1:8" x14ac:dyDescent="0.15">
      <c r="A65" s="105">
        <v>1308</v>
      </c>
      <c r="B65" s="138" t="str">
        <f>VLOOKUP(A65,[1]characters!$A:$C,3,FALSE)</f>
        <v>革鳴の響奏撃 初音ミク</v>
      </c>
      <c r="C65" s="105" t="s">
        <v>197</v>
      </c>
      <c r="D65" s="138" t="str">
        <f>A65&amp;C65</f>
        <v>1308cskill</v>
      </c>
      <c r="E65" s="138" t="str">
        <f>A65&amp;+(COUNTIF(A$10:A65,A65)-1)</f>
        <v>13084</v>
      </c>
      <c r="F65" s="105" t="s">
        <v>184</v>
      </c>
      <c r="G65" s="162" t="s">
        <v>442</v>
      </c>
      <c r="H65" s="162" t="s">
        <v>447</v>
      </c>
    </row>
    <row r="66" spans="1:8" x14ac:dyDescent="0.15">
      <c r="A66" s="105">
        <v>1309</v>
      </c>
      <c r="B66" s="138" t="str">
        <f>VLOOKUP(A66,[1]characters!$A:$C,3,FALSE)</f>
        <v>虹彩の美唱姫 初音ミク・アペンド</v>
      </c>
      <c r="C66" s="105" t="s">
        <v>194</v>
      </c>
      <c r="D66" s="138" t="str">
        <f t="shared" ref="D66" si="14">A66&amp;C66</f>
        <v>1309skill</v>
      </c>
      <c r="E66" s="138" t="str">
        <f>A66&amp;+(COUNTIF(A$10:A66,A66)-1)</f>
        <v>13090</v>
      </c>
      <c r="F66" s="105" t="s">
        <v>184</v>
      </c>
      <c r="G66" s="162" t="s">
        <v>435</v>
      </c>
      <c r="H66" s="162" t="s">
        <v>434</v>
      </c>
    </row>
    <row r="67" spans="1:8" x14ac:dyDescent="0.15">
      <c r="A67" s="105">
        <v>1309</v>
      </c>
      <c r="B67" s="138" t="str">
        <f>VLOOKUP(A67,[1]characters!$A:$C,3,FALSE)</f>
        <v>虹彩の美唱姫 初音ミク・アペンド</v>
      </c>
      <c r="C67" s="105" t="s">
        <v>197</v>
      </c>
      <c r="D67" s="138" t="str">
        <f>A67&amp;C67</f>
        <v>1309cskill</v>
      </c>
      <c r="E67" s="138" t="str">
        <f>A67&amp;+(COUNTIF(A$10:A67,A67)-1)</f>
        <v>13091</v>
      </c>
      <c r="F67" s="105" t="s">
        <v>184</v>
      </c>
      <c r="G67" s="162" t="s">
        <v>195</v>
      </c>
      <c r="H67" s="162" t="s">
        <v>436</v>
      </c>
    </row>
    <row r="68" spans="1:8" x14ac:dyDescent="0.15">
      <c r="A68" s="105">
        <v>1309</v>
      </c>
      <c r="B68" s="138" t="str">
        <f>VLOOKUP(A68,[1]characters!$A:$C,3,FALSE)</f>
        <v>虹彩の美唱姫 初音ミク・アペンド</v>
      </c>
      <c r="C68" s="105" t="s">
        <v>197</v>
      </c>
      <c r="D68" s="138" t="str">
        <f>A68&amp;C68</f>
        <v>1309cskill</v>
      </c>
      <c r="E68" s="138" t="str">
        <f>A68&amp;+(COUNTIF(A$10:A68,A68)-1)</f>
        <v>13092</v>
      </c>
      <c r="F68" s="105" t="s">
        <v>184</v>
      </c>
      <c r="G68" s="162" t="s">
        <v>442</v>
      </c>
      <c r="H68" s="162" t="s">
        <v>437</v>
      </c>
    </row>
    <row r="69" spans="1:8" x14ac:dyDescent="0.15">
      <c r="A69" s="105">
        <v>1309</v>
      </c>
      <c r="B69" s="138" t="str">
        <f>VLOOKUP(A69,[1]characters!$A:$C,3,FALSE)</f>
        <v>虹彩の美唱姫 初音ミク・アペンド</v>
      </c>
      <c r="C69" s="105" t="s">
        <v>197</v>
      </c>
      <c r="D69" s="138" t="str">
        <f>A69&amp;C69</f>
        <v>1309cskill</v>
      </c>
      <c r="E69" s="138" t="str">
        <f>A69&amp;+(COUNTIF(A$10:A69,A69)-1)</f>
        <v>13093</v>
      </c>
      <c r="F69" s="105" t="s">
        <v>184</v>
      </c>
      <c r="G69" s="162" t="s">
        <v>442</v>
      </c>
      <c r="H69" s="162" t="s">
        <v>438</v>
      </c>
    </row>
    <row r="70" spans="1:8" x14ac:dyDescent="0.15">
      <c r="A70" s="105">
        <v>1309</v>
      </c>
      <c r="B70" s="138" t="str">
        <f>VLOOKUP(A70,[1]characters!$A:$C,3,FALSE)</f>
        <v>虹彩の美唱姫 初音ミク・アペンド</v>
      </c>
      <c r="C70" s="105" t="s">
        <v>197</v>
      </c>
      <c r="D70" s="138" t="str">
        <f>A70&amp;C70</f>
        <v>1309cskill</v>
      </c>
      <c r="E70" s="138" t="str">
        <f>A70&amp;+(COUNTIF(A$10:A70,A70)-1)</f>
        <v>13094</v>
      </c>
      <c r="F70" s="105" t="s">
        <v>184</v>
      </c>
      <c r="G70" s="162" t="s">
        <v>435</v>
      </c>
      <c r="H70" s="162" t="s">
        <v>439</v>
      </c>
    </row>
    <row r="71" spans="1:8" x14ac:dyDescent="0.15">
      <c r="A71" s="105">
        <v>1310</v>
      </c>
      <c r="B71" s="138" t="str">
        <f>VLOOKUP(A71,[1]characters!$A:$C,3,FALSE)</f>
        <v>聖律する歌姫 初音ミク・アペンド</v>
      </c>
      <c r="C71" s="105" t="s">
        <v>194</v>
      </c>
      <c r="D71" s="138" t="str">
        <f t="shared" ref="D71" si="15">A71&amp;C71</f>
        <v>1310skill</v>
      </c>
      <c r="E71" s="138" t="str">
        <f>A71&amp;+(COUNTIF(A$10:A71,A71)-1)</f>
        <v>13100</v>
      </c>
      <c r="F71" s="105" t="s">
        <v>184</v>
      </c>
      <c r="G71" s="162" t="s">
        <v>195</v>
      </c>
      <c r="H71" s="162" t="s">
        <v>440</v>
      </c>
    </row>
    <row r="72" spans="1:8" x14ac:dyDescent="0.15">
      <c r="A72" s="105">
        <v>1310</v>
      </c>
      <c r="B72" s="138" t="str">
        <f>VLOOKUP(A72,[1]characters!$A:$C,3,FALSE)</f>
        <v>聖律する歌姫 初音ミク・アペンド</v>
      </c>
      <c r="C72" s="105" t="s">
        <v>197</v>
      </c>
      <c r="D72" s="138" t="str">
        <f>A72&amp;C72</f>
        <v>1310cskill</v>
      </c>
      <c r="E72" s="138" t="str">
        <f>A72&amp;+(COUNTIF(A$10:A72,A72)-1)</f>
        <v>13101</v>
      </c>
      <c r="F72" s="105" t="s">
        <v>184</v>
      </c>
      <c r="G72" s="162" t="s">
        <v>195</v>
      </c>
      <c r="H72" s="162" t="s">
        <v>436</v>
      </c>
    </row>
    <row r="73" spans="1:8" x14ac:dyDescent="0.15">
      <c r="A73" s="105">
        <v>1310</v>
      </c>
      <c r="B73" s="138" t="str">
        <f>VLOOKUP(A73,[1]characters!$A:$C,3,FALSE)</f>
        <v>聖律する歌姫 初音ミク・アペンド</v>
      </c>
      <c r="C73" s="105" t="s">
        <v>197</v>
      </c>
      <c r="D73" s="138" t="str">
        <f>A73&amp;C73</f>
        <v>1310cskill</v>
      </c>
      <c r="E73" s="138" t="str">
        <f>A73&amp;+(COUNTIF(A$10:A73,A73)-1)</f>
        <v>13102</v>
      </c>
      <c r="F73" s="105" t="s">
        <v>184</v>
      </c>
      <c r="G73" s="162" t="s">
        <v>442</v>
      </c>
      <c r="H73" s="162" t="s">
        <v>437</v>
      </c>
    </row>
    <row r="74" spans="1:8" x14ac:dyDescent="0.15">
      <c r="A74" s="105">
        <v>1310</v>
      </c>
      <c r="B74" s="138" t="str">
        <f>VLOOKUP(A74,[1]characters!$A:$C,3,FALSE)</f>
        <v>聖律する歌姫 初音ミク・アペンド</v>
      </c>
      <c r="C74" s="105" t="s">
        <v>197</v>
      </c>
      <c r="D74" s="138" t="str">
        <f>A74&amp;C74</f>
        <v>1310cskill</v>
      </c>
      <c r="E74" s="138" t="str">
        <f>A74&amp;+(COUNTIF(A$10:A74,A74)-1)</f>
        <v>13103</v>
      </c>
      <c r="F74" s="105" t="s">
        <v>184</v>
      </c>
      <c r="G74" s="162" t="s">
        <v>442</v>
      </c>
      <c r="H74" s="162" t="s">
        <v>438</v>
      </c>
    </row>
    <row r="75" spans="1:8" x14ac:dyDescent="0.15">
      <c r="A75" s="105">
        <v>1310</v>
      </c>
      <c r="B75" s="138" t="str">
        <f>VLOOKUP(A75,[1]characters!$A:$C,3,FALSE)</f>
        <v>聖律する歌姫 初音ミク・アペンド</v>
      </c>
      <c r="C75" s="105" t="s">
        <v>197</v>
      </c>
      <c r="D75" s="138" t="str">
        <f>A75&amp;C75</f>
        <v>1310cskill</v>
      </c>
      <c r="E75" s="138" t="str">
        <f>A75&amp;+(COUNTIF(A$10:A75,A75)-1)</f>
        <v>13104</v>
      </c>
      <c r="F75" s="105" t="s">
        <v>184</v>
      </c>
      <c r="G75" s="162" t="s">
        <v>435</v>
      </c>
      <c r="H75" s="162" t="s">
        <v>441</v>
      </c>
    </row>
    <row r="76" spans="1:8" x14ac:dyDescent="0.15">
      <c r="A76" s="105">
        <v>1311</v>
      </c>
      <c r="B76" s="138" t="str">
        <f>VLOOKUP(A76,[1]characters!$A:$C,3,FALSE)</f>
        <v>輪音する大反響 鏡音リン</v>
      </c>
      <c r="C76" s="105" t="s">
        <v>194</v>
      </c>
      <c r="D76" s="138" t="str">
        <f t="shared" ref="D76" si="16">A76&amp;C76</f>
        <v>1311skill</v>
      </c>
      <c r="E76" s="138" t="str">
        <f>A76&amp;+(COUNTIF(A$10:A76,A76)-1)</f>
        <v>13110</v>
      </c>
      <c r="F76" s="105" t="s">
        <v>184</v>
      </c>
      <c r="G76" s="162" t="s">
        <v>442</v>
      </c>
      <c r="H76" s="162" t="s">
        <v>448</v>
      </c>
    </row>
    <row r="77" spans="1:8" x14ac:dyDescent="0.15">
      <c r="A77" s="105">
        <v>1311</v>
      </c>
      <c r="B77" s="138" t="str">
        <f>VLOOKUP(A77,[1]characters!$A:$C,3,FALSE)</f>
        <v>輪音する大反響 鏡音リン</v>
      </c>
      <c r="C77" s="105" t="s">
        <v>197</v>
      </c>
      <c r="D77" s="138" t="str">
        <f>A77&amp;C77</f>
        <v>1311cskill</v>
      </c>
      <c r="E77" s="138" t="str">
        <f>A77&amp;+(COUNTIF(A$10:A77,A77)-1)</f>
        <v>13111</v>
      </c>
      <c r="F77" s="105" t="s">
        <v>184</v>
      </c>
      <c r="G77" s="162" t="s">
        <v>195</v>
      </c>
      <c r="H77" s="162" t="s">
        <v>449</v>
      </c>
    </row>
    <row r="78" spans="1:8" x14ac:dyDescent="0.15">
      <c r="A78" s="105">
        <v>1311</v>
      </c>
      <c r="B78" s="138" t="str">
        <f>VLOOKUP(A78,[1]characters!$A:$C,3,FALSE)</f>
        <v>輪音する大反響 鏡音リン</v>
      </c>
      <c r="C78" s="105" t="s">
        <v>197</v>
      </c>
      <c r="D78" s="138" t="str">
        <f>A78&amp;C78</f>
        <v>1311cskill</v>
      </c>
      <c r="E78" s="138" t="str">
        <f>A78&amp;+(COUNTIF(A$10:A78,A78)-1)</f>
        <v>13112</v>
      </c>
      <c r="F78" s="105" t="s">
        <v>184</v>
      </c>
      <c r="G78" s="162" t="s">
        <v>442</v>
      </c>
      <c r="H78" s="162" t="s">
        <v>450</v>
      </c>
    </row>
    <row r="79" spans="1:8" x14ac:dyDescent="0.15">
      <c r="A79" s="105">
        <v>1311</v>
      </c>
      <c r="B79" s="138" t="str">
        <f>VLOOKUP(A79,[1]characters!$A:$C,3,FALSE)</f>
        <v>輪音する大反響 鏡音リン</v>
      </c>
      <c r="C79" s="105" t="s">
        <v>197</v>
      </c>
      <c r="D79" s="138" t="str">
        <f>A79&amp;C79</f>
        <v>1311cskill</v>
      </c>
      <c r="E79" s="138" t="str">
        <f>A79&amp;+(COUNTIF(A$10:A79,A79)-1)</f>
        <v>13113</v>
      </c>
      <c r="F79" s="105" t="s">
        <v>184</v>
      </c>
      <c r="G79" s="162" t="s">
        <v>195</v>
      </c>
      <c r="H79" s="162" t="s">
        <v>451</v>
      </c>
    </row>
    <row r="80" spans="1:8" x14ac:dyDescent="0.15">
      <c r="A80" s="105">
        <v>1311</v>
      </c>
      <c r="B80" s="138" t="str">
        <f>VLOOKUP(A80,[1]characters!$A:$C,3,FALSE)</f>
        <v>輪音する大反響 鏡音リン</v>
      </c>
      <c r="C80" s="105" t="s">
        <v>197</v>
      </c>
      <c r="D80" s="138" t="str">
        <f>A80&amp;C80</f>
        <v>1311cskill</v>
      </c>
      <c r="E80" s="138" t="str">
        <f>A80&amp;+(COUNTIF(A$10:A80,A80)-1)</f>
        <v>13114</v>
      </c>
      <c r="F80" s="105" t="s">
        <v>184</v>
      </c>
      <c r="G80" s="162" t="s">
        <v>442</v>
      </c>
      <c r="H80" s="162" t="s">
        <v>452</v>
      </c>
    </row>
    <row r="81" spans="1:8" x14ac:dyDescent="0.15">
      <c r="A81" s="105">
        <v>1312</v>
      </c>
      <c r="B81" s="138" t="str">
        <f>VLOOKUP(A81,[1]characters!$A:$C,3,FALSE)</f>
        <v>連譜する大残響 鏡音レン</v>
      </c>
      <c r="C81" s="105" t="s">
        <v>194</v>
      </c>
      <c r="D81" s="138" t="str">
        <f t="shared" ref="D81" si="17">A81&amp;C81</f>
        <v>1312skill</v>
      </c>
      <c r="E81" s="138" t="str">
        <f>A81&amp;+(COUNTIF(A$10:A81,A81)-1)</f>
        <v>13120</v>
      </c>
      <c r="F81" s="105" t="s">
        <v>184</v>
      </c>
      <c r="G81" s="162" t="s">
        <v>442</v>
      </c>
      <c r="H81" s="162" t="s">
        <v>453</v>
      </c>
    </row>
    <row r="82" spans="1:8" x14ac:dyDescent="0.15">
      <c r="A82" s="105">
        <v>1312</v>
      </c>
      <c r="B82" s="138" t="str">
        <f>VLOOKUP(A82,[1]characters!$A:$C,3,FALSE)</f>
        <v>連譜する大残響 鏡音レン</v>
      </c>
      <c r="C82" s="105" t="s">
        <v>197</v>
      </c>
      <c r="D82" s="138" t="str">
        <f>A82&amp;C82</f>
        <v>1312cskill</v>
      </c>
      <c r="E82" s="138" t="str">
        <f>A82&amp;+(COUNTIF(A$10:A82,A82)-1)</f>
        <v>13121</v>
      </c>
      <c r="F82" s="105" t="s">
        <v>184</v>
      </c>
      <c r="G82" s="162" t="s">
        <v>195</v>
      </c>
      <c r="H82" s="162" t="s">
        <v>454</v>
      </c>
    </row>
    <row r="83" spans="1:8" x14ac:dyDescent="0.15">
      <c r="A83" s="105">
        <v>1312</v>
      </c>
      <c r="B83" s="138" t="str">
        <f>VLOOKUP(A83,[1]characters!$A:$C,3,FALSE)</f>
        <v>連譜する大残響 鏡音レン</v>
      </c>
      <c r="C83" s="105" t="s">
        <v>197</v>
      </c>
      <c r="D83" s="138" t="str">
        <f>A83&amp;C83</f>
        <v>1312cskill</v>
      </c>
      <c r="E83" s="138" t="str">
        <f>A83&amp;+(COUNTIF(A$10:A83,A83)-1)</f>
        <v>13122</v>
      </c>
      <c r="F83" s="105" t="s">
        <v>184</v>
      </c>
      <c r="G83" s="162" t="s">
        <v>195</v>
      </c>
      <c r="H83" s="162" t="s">
        <v>455</v>
      </c>
    </row>
    <row r="84" spans="1:8" x14ac:dyDescent="0.15">
      <c r="A84" s="105">
        <v>1312</v>
      </c>
      <c r="B84" s="138" t="str">
        <f>VLOOKUP(A84,[1]characters!$A:$C,3,FALSE)</f>
        <v>連譜する大残響 鏡音レン</v>
      </c>
      <c r="C84" s="105" t="s">
        <v>197</v>
      </c>
      <c r="D84" s="138" t="str">
        <f>A84&amp;C84</f>
        <v>1312cskill</v>
      </c>
      <c r="E84" s="138" t="str">
        <f>A84&amp;+(COUNTIF(A$10:A84,A84)-1)</f>
        <v>13123</v>
      </c>
      <c r="F84" s="105" t="s">
        <v>184</v>
      </c>
      <c r="G84" s="162" t="s">
        <v>195</v>
      </c>
      <c r="H84" s="162" t="s">
        <v>456</v>
      </c>
    </row>
    <row r="85" spans="1:8" x14ac:dyDescent="0.15">
      <c r="A85" s="105">
        <v>1312</v>
      </c>
      <c r="B85" s="138" t="str">
        <f>VLOOKUP(A85,[1]characters!$A:$C,3,FALSE)</f>
        <v>連譜する大残響 鏡音レン</v>
      </c>
      <c r="C85" s="105" t="s">
        <v>197</v>
      </c>
      <c r="D85" s="138" t="str">
        <f>A85&amp;C85</f>
        <v>1312cskill</v>
      </c>
      <c r="E85" s="138" t="str">
        <f>A85&amp;+(COUNTIF(A$10:A85,A85)-1)</f>
        <v>13124</v>
      </c>
      <c r="F85" s="105" t="s">
        <v>184</v>
      </c>
      <c r="G85" s="162" t="s">
        <v>435</v>
      </c>
      <c r="H85" s="162" t="s">
        <v>457</v>
      </c>
    </row>
    <row r="86" spans="1:8" x14ac:dyDescent="0.15">
      <c r="A86" s="105">
        <v>1313</v>
      </c>
      <c r="B86" s="138" t="str">
        <f>VLOOKUP(A86,[1]characters!$A:$C,3,FALSE)</f>
        <v>旋律する音廻 巡音ルカ</v>
      </c>
      <c r="C86" s="105" t="s">
        <v>194</v>
      </c>
      <c r="D86" s="138" t="str">
        <f t="shared" ref="D86" si="18">A86&amp;C86</f>
        <v>1313skill</v>
      </c>
      <c r="E86" s="138" t="str">
        <f>A86&amp;+(COUNTIF(A$10:A86,A86)-1)</f>
        <v>13130</v>
      </c>
      <c r="F86" s="105" t="s">
        <v>184</v>
      </c>
      <c r="G86" s="162" t="s">
        <v>195</v>
      </c>
      <c r="H86" s="162" t="s">
        <v>458</v>
      </c>
    </row>
    <row r="87" spans="1:8" x14ac:dyDescent="0.15">
      <c r="A87" s="105">
        <v>1313</v>
      </c>
      <c r="B87" s="138" t="str">
        <f>VLOOKUP(A87,[1]characters!$A:$C,3,FALSE)</f>
        <v>旋律する音廻 巡音ルカ</v>
      </c>
      <c r="C87" s="105" t="s">
        <v>197</v>
      </c>
      <c r="D87" s="138" t="str">
        <f>A87&amp;C87</f>
        <v>1313cskill</v>
      </c>
      <c r="E87" s="138" t="str">
        <f>A87&amp;+(COUNTIF(A$10:A87,A87)-1)</f>
        <v>13131</v>
      </c>
      <c r="F87" s="105" t="s">
        <v>184</v>
      </c>
      <c r="G87" s="162" t="s">
        <v>442</v>
      </c>
      <c r="H87" s="162" t="s">
        <v>459</v>
      </c>
    </row>
    <row r="88" spans="1:8" x14ac:dyDescent="0.15">
      <c r="A88" s="105">
        <v>1313</v>
      </c>
      <c r="B88" s="138" t="str">
        <f>VLOOKUP(A88,[1]characters!$A:$C,3,FALSE)</f>
        <v>旋律する音廻 巡音ルカ</v>
      </c>
      <c r="C88" s="105" t="s">
        <v>197</v>
      </c>
      <c r="D88" s="138" t="str">
        <f>A88&amp;C88</f>
        <v>1313cskill</v>
      </c>
      <c r="E88" s="138" t="str">
        <f>A88&amp;+(COUNTIF(A$10:A88,A88)-1)</f>
        <v>13132</v>
      </c>
      <c r="F88" s="105" t="s">
        <v>184</v>
      </c>
      <c r="G88" s="162" t="s">
        <v>195</v>
      </c>
      <c r="H88" s="162" t="s">
        <v>460</v>
      </c>
    </row>
    <row r="89" spans="1:8" x14ac:dyDescent="0.15">
      <c r="A89" s="105">
        <v>1313</v>
      </c>
      <c r="B89" s="138" t="str">
        <f>VLOOKUP(A89,[1]characters!$A:$C,3,FALSE)</f>
        <v>旋律する音廻 巡音ルカ</v>
      </c>
      <c r="C89" s="105" t="s">
        <v>197</v>
      </c>
      <c r="D89" s="138" t="str">
        <f>A89&amp;C89</f>
        <v>1313cskill</v>
      </c>
      <c r="E89" s="138" t="str">
        <f>A89&amp;+(COUNTIF(A$10:A89,A89)-1)</f>
        <v>13133</v>
      </c>
      <c r="F89" s="105" t="s">
        <v>184</v>
      </c>
      <c r="G89" s="162" t="s">
        <v>435</v>
      </c>
      <c r="H89" s="162" t="s">
        <v>461</v>
      </c>
    </row>
    <row r="90" spans="1:8" x14ac:dyDescent="0.15">
      <c r="A90" s="105">
        <v>1313</v>
      </c>
      <c r="B90" s="138" t="str">
        <f>VLOOKUP(A90,[1]characters!$A:$C,3,FALSE)</f>
        <v>旋律する音廻 巡音ルカ</v>
      </c>
      <c r="C90" s="105" t="s">
        <v>197</v>
      </c>
      <c r="D90" s="138" t="str">
        <f t="shared" ref="D90" si="19">A90&amp;C90</f>
        <v>1313cskill</v>
      </c>
      <c r="E90" s="138" t="str">
        <f>A90&amp;+(COUNTIF(A$10:A90,A90)-1)</f>
        <v>13134</v>
      </c>
      <c r="F90" s="105" t="s">
        <v>184</v>
      </c>
      <c r="G90" s="162" t="s">
        <v>435</v>
      </c>
      <c r="H90" s="162" t="s">
        <v>462</v>
      </c>
    </row>
    <row r="91" spans="1:8" x14ac:dyDescent="0.15">
      <c r="A91" s="105">
        <v>1314</v>
      </c>
      <c r="B91" s="138" t="str">
        <f>VLOOKUP(A91,[1]characters!$A:$C,3,FALSE)</f>
        <v>救声の唱動 MEIKO</v>
      </c>
      <c r="C91" s="105" t="s">
        <v>468</v>
      </c>
      <c r="D91" s="138" t="str">
        <f>A91&amp;C91</f>
        <v>1314skill</v>
      </c>
      <c r="E91" s="138" t="str">
        <f>A91&amp;+(COUNTIF(A$10:A91,A91)-1)</f>
        <v>13140</v>
      </c>
      <c r="F91" s="105" t="s">
        <v>184</v>
      </c>
      <c r="G91" s="162" t="s">
        <v>442</v>
      </c>
      <c r="H91" s="162" t="s">
        <v>463</v>
      </c>
    </row>
    <row r="92" spans="1:8" x14ac:dyDescent="0.15">
      <c r="A92" s="105">
        <v>1314</v>
      </c>
      <c r="B92" s="138" t="str">
        <f>VLOOKUP(A92,[1]characters!$A:$C,3,FALSE)</f>
        <v>救声の唱動 MEIKO</v>
      </c>
      <c r="C92" s="105" t="s">
        <v>197</v>
      </c>
      <c r="D92" s="138" t="str">
        <f>A92&amp;C92</f>
        <v>1314cskill</v>
      </c>
      <c r="E92" s="138" t="str">
        <f>A92&amp;+(COUNTIF(A$10:A92,A92)-1)</f>
        <v>13141</v>
      </c>
      <c r="F92" s="105" t="s">
        <v>184</v>
      </c>
      <c r="G92" s="162" t="s">
        <v>435</v>
      </c>
      <c r="H92" s="162" t="s">
        <v>464</v>
      </c>
    </row>
    <row r="93" spans="1:8" x14ac:dyDescent="0.15">
      <c r="A93" s="105">
        <v>1314</v>
      </c>
      <c r="B93" s="138" t="str">
        <f>VLOOKUP(A93,[1]characters!$A:$C,3,FALSE)</f>
        <v>救声の唱動 MEIKO</v>
      </c>
      <c r="C93" s="105" t="s">
        <v>197</v>
      </c>
      <c r="D93" s="138" t="str">
        <f>A93&amp;C93</f>
        <v>1314cskill</v>
      </c>
      <c r="E93" s="138" t="str">
        <f>A93&amp;+(COUNTIF(A$10:A93,A93)-1)</f>
        <v>13142</v>
      </c>
      <c r="F93" s="105" t="s">
        <v>184</v>
      </c>
      <c r="G93" s="162" t="s">
        <v>195</v>
      </c>
      <c r="H93" s="162" t="s">
        <v>465</v>
      </c>
    </row>
    <row r="94" spans="1:8" x14ac:dyDescent="0.15">
      <c r="A94" s="105">
        <v>1314</v>
      </c>
      <c r="B94" s="138" t="str">
        <f>VLOOKUP(A94,[1]characters!$A:$C,3,FALSE)</f>
        <v>救声の唱動 MEIKO</v>
      </c>
      <c r="C94" s="105" t="s">
        <v>197</v>
      </c>
      <c r="D94" s="138" t="str">
        <f>A94&amp;C94</f>
        <v>1314cskill</v>
      </c>
      <c r="E94" s="138" t="str">
        <f>A94&amp;+(COUNTIF(A$10:A94,A94)-1)</f>
        <v>13143</v>
      </c>
      <c r="F94" s="105" t="s">
        <v>184</v>
      </c>
      <c r="G94" s="162" t="s">
        <v>442</v>
      </c>
      <c r="H94" s="162" t="s">
        <v>466</v>
      </c>
    </row>
    <row r="95" spans="1:8" x14ac:dyDescent="0.15">
      <c r="A95" s="105">
        <v>1314</v>
      </c>
      <c r="B95" s="138" t="str">
        <f>VLOOKUP(A95,[1]characters!$A:$C,3,FALSE)</f>
        <v>救声の唱動 MEIKO</v>
      </c>
      <c r="C95" s="105" t="s">
        <v>197</v>
      </c>
      <c r="D95" s="138" t="str">
        <f>A95&amp;C95</f>
        <v>1314cskill</v>
      </c>
      <c r="E95" s="138" t="str">
        <f>A95&amp;+(COUNTIF(A$10:A95,A95)-1)</f>
        <v>13144</v>
      </c>
      <c r="F95" s="105" t="s">
        <v>184</v>
      </c>
      <c r="G95" s="162" t="s">
        <v>442</v>
      </c>
      <c r="H95" s="162" t="s">
        <v>467</v>
      </c>
    </row>
    <row r="96" spans="1:8" x14ac:dyDescent="0.15">
      <c r="A96" s="105">
        <v>1315</v>
      </c>
      <c r="B96" s="138" t="str">
        <f>VLOOKUP(A96,[1]characters!$A:$C,3,FALSE)</f>
        <v>快響の楽唱歌 KAITO</v>
      </c>
      <c r="C96" s="105" t="s">
        <v>194</v>
      </c>
      <c r="D96" s="138" t="str">
        <f t="shared" ref="D96" si="20">A96&amp;C96</f>
        <v>1315skill</v>
      </c>
      <c r="E96" s="138" t="str">
        <f>A96&amp;+(COUNTIF(A$10:A96,A96)-1)</f>
        <v>13150</v>
      </c>
      <c r="F96" s="105" t="s">
        <v>184</v>
      </c>
      <c r="G96" s="162" t="s">
        <v>195</v>
      </c>
      <c r="H96" s="162" t="s">
        <v>469</v>
      </c>
    </row>
    <row r="97" spans="1:8" x14ac:dyDescent="0.15">
      <c r="A97" s="105">
        <v>1315</v>
      </c>
      <c r="B97" s="138" t="str">
        <f>VLOOKUP(A97,[1]characters!$A:$C,3,FALSE)</f>
        <v>快響の楽唱歌 KAITO</v>
      </c>
      <c r="C97" s="105" t="s">
        <v>197</v>
      </c>
      <c r="D97" s="138" t="str">
        <f>A97&amp;C97</f>
        <v>1315cskill</v>
      </c>
      <c r="E97" s="138" t="str">
        <f>A97&amp;+(COUNTIF(A$10:A97,A97)-1)</f>
        <v>13151</v>
      </c>
      <c r="F97" s="105" t="s">
        <v>184</v>
      </c>
      <c r="G97" s="162" t="s">
        <v>195</v>
      </c>
      <c r="H97" s="162" t="s">
        <v>470</v>
      </c>
    </row>
    <row r="98" spans="1:8" x14ac:dyDescent="0.15">
      <c r="A98" s="105">
        <v>1315</v>
      </c>
      <c r="B98" s="138" t="str">
        <f>VLOOKUP(A98,[1]characters!$A:$C,3,FALSE)</f>
        <v>快響の楽唱歌 KAITO</v>
      </c>
      <c r="C98" s="105" t="s">
        <v>197</v>
      </c>
      <c r="D98" s="138" t="str">
        <f>A98&amp;C98</f>
        <v>1315cskill</v>
      </c>
      <c r="E98" s="138" t="str">
        <f>A98&amp;+(COUNTIF(A$10:A98,A98)-1)</f>
        <v>13152</v>
      </c>
      <c r="F98" s="105" t="s">
        <v>184</v>
      </c>
      <c r="G98" s="162" t="s">
        <v>442</v>
      </c>
      <c r="H98" s="162" t="s">
        <v>471</v>
      </c>
    </row>
    <row r="99" spans="1:8" x14ac:dyDescent="0.15">
      <c r="A99" s="105">
        <v>1315</v>
      </c>
      <c r="B99" s="138" t="str">
        <f>VLOOKUP(A99,[1]characters!$A:$C,3,FALSE)</f>
        <v>快響の楽唱歌 KAITO</v>
      </c>
      <c r="C99" s="105" t="s">
        <v>197</v>
      </c>
      <c r="D99" s="138" t="str">
        <f>A99&amp;C99</f>
        <v>1315cskill</v>
      </c>
      <c r="E99" s="138" t="str">
        <f>A99&amp;+(COUNTIF(A$10:A99,A99)-1)</f>
        <v>13153</v>
      </c>
      <c r="F99" s="105" t="s">
        <v>184</v>
      </c>
      <c r="G99" s="162" t="s">
        <v>435</v>
      </c>
      <c r="H99" s="162" t="s">
        <v>472</v>
      </c>
    </row>
    <row r="100" spans="1:8" x14ac:dyDescent="0.15">
      <c r="A100" s="105">
        <v>1315</v>
      </c>
      <c r="B100" s="138" t="str">
        <f>VLOOKUP(A100,[1]characters!$A:$C,3,FALSE)</f>
        <v>快響の楽唱歌 KAITO</v>
      </c>
      <c r="C100" s="105" t="s">
        <v>197</v>
      </c>
      <c r="D100" s="138" t="str">
        <f>A100&amp;C100</f>
        <v>1315cskill</v>
      </c>
      <c r="E100" s="138" t="str">
        <f>A100&amp;+(COUNTIF(A$10:A100,A100)-1)</f>
        <v>13154</v>
      </c>
      <c r="F100" s="105" t="s">
        <v>184</v>
      </c>
      <c r="G100" s="162" t="s">
        <v>435</v>
      </c>
      <c r="H100" s="162" t="s">
        <v>473</v>
      </c>
    </row>
    <row r="101" spans="1:8" x14ac:dyDescent="0.15">
      <c r="A101" s="105">
        <v>1316</v>
      </c>
      <c r="B101" s="138" t="str">
        <f>VLOOKUP(A101,[1]characters!$A:$C,3,FALSE)</f>
        <v>初音ミクV4X</v>
      </c>
      <c r="C101" s="105" t="s">
        <v>194</v>
      </c>
      <c r="D101" s="138" t="str">
        <f t="shared" ref="D101" si="21">A101&amp;C101</f>
        <v>1316skill</v>
      </c>
      <c r="E101" s="138" t="str">
        <f>A101&amp;+(COUNTIF(A$10:A101,A101)-1)</f>
        <v>13160</v>
      </c>
      <c r="F101" s="105" t="s">
        <v>184</v>
      </c>
      <c r="G101" s="162" t="s">
        <v>435</v>
      </c>
      <c r="H101" s="162" t="s">
        <v>474</v>
      </c>
    </row>
    <row r="102" spans="1:8" x14ac:dyDescent="0.15">
      <c r="A102" s="105">
        <v>1316</v>
      </c>
      <c r="B102" s="138" t="str">
        <f>VLOOKUP(A102,[1]characters!$A:$C,3,FALSE)</f>
        <v>初音ミクV4X</v>
      </c>
      <c r="C102" s="105" t="s">
        <v>197</v>
      </c>
      <c r="D102" s="138" t="str">
        <f>A102&amp;C102</f>
        <v>1316cskill</v>
      </c>
      <c r="E102" s="138" t="str">
        <f>A102&amp;+(COUNTIF(A$10:A102,A102)-1)</f>
        <v>13161</v>
      </c>
      <c r="F102" s="105" t="s">
        <v>184</v>
      </c>
      <c r="G102" s="162" t="s">
        <v>435</v>
      </c>
      <c r="H102" s="162" t="s">
        <v>475</v>
      </c>
    </row>
    <row r="103" spans="1:8" x14ac:dyDescent="0.15">
      <c r="A103" s="105">
        <v>1316</v>
      </c>
      <c r="B103" s="138" t="str">
        <f>VLOOKUP(A103,[1]characters!$A:$C,3,FALSE)</f>
        <v>初音ミクV4X</v>
      </c>
      <c r="C103" s="105" t="s">
        <v>197</v>
      </c>
      <c r="D103" s="138" t="str">
        <f>A103&amp;C103</f>
        <v>1316cskill</v>
      </c>
      <c r="E103" s="138" t="str">
        <f>A103&amp;+(COUNTIF(A$10:A103,A103)-1)</f>
        <v>13162</v>
      </c>
      <c r="F103" s="105" t="s">
        <v>184</v>
      </c>
      <c r="G103" s="162" t="s">
        <v>195</v>
      </c>
      <c r="H103" s="162" t="s">
        <v>476</v>
      </c>
    </row>
    <row r="104" spans="1:8" x14ac:dyDescent="0.15">
      <c r="A104" s="105">
        <v>1316</v>
      </c>
      <c r="B104" s="138" t="str">
        <f>VLOOKUP(A104,[1]characters!$A:$C,3,FALSE)</f>
        <v>初音ミクV4X</v>
      </c>
      <c r="C104" s="105" t="s">
        <v>197</v>
      </c>
      <c r="D104" s="138" t="str">
        <f>A104&amp;C104</f>
        <v>1316cskill</v>
      </c>
      <c r="E104" s="138" t="str">
        <f>A104&amp;+(COUNTIF(A$10:A104,A104)-1)</f>
        <v>13163</v>
      </c>
      <c r="F104" s="105" t="s">
        <v>184</v>
      </c>
      <c r="G104" s="162" t="s">
        <v>435</v>
      </c>
      <c r="H104" s="162" t="s">
        <v>477</v>
      </c>
    </row>
    <row r="105" spans="1:8" x14ac:dyDescent="0.15">
      <c r="A105" s="105">
        <v>1317</v>
      </c>
      <c r="B105" s="138" t="str">
        <f>VLOOKUP(A105,[1]characters!$A:$C,3,FALSE)</f>
        <v>進歌する声域 初音ミクV4X</v>
      </c>
      <c r="C105" s="105" t="s">
        <v>194</v>
      </c>
      <c r="D105" s="138" t="str">
        <f t="shared" ref="D105" si="22">A105&amp;C105</f>
        <v>1317skill</v>
      </c>
      <c r="E105" s="138" t="str">
        <f>A105&amp;+(COUNTIF(A$10:A105,A105)-1)</f>
        <v>13170</v>
      </c>
      <c r="F105" s="105" t="s">
        <v>184</v>
      </c>
      <c r="G105" s="162" t="s">
        <v>435</v>
      </c>
      <c r="H105" s="162" t="s">
        <v>478</v>
      </c>
    </row>
    <row r="106" spans="1:8" x14ac:dyDescent="0.15">
      <c r="A106" s="105">
        <v>1317</v>
      </c>
      <c r="B106" s="138" t="str">
        <f>VLOOKUP(A106,[1]characters!$A:$C,3,FALSE)</f>
        <v>進歌する声域 初音ミクV4X</v>
      </c>
      <c r="C106" s="105" t="s">
        <v>197</v>
      </c>
      <c r="D106" s="138" t="str">
        <f>A106&amp;C106</f>
        <v>1317cskill</v>
      </c>
      <c r="E106" s="138" t="str">
        <f>A106&amp;+(COUNTIF(A$10:A106,A106)-1)</f>
        <v>13171</v>
      </c>
      <c r="F106" s="105" t="s">
        <v>184</v>
      </c>
      <c r="G106" s="162" t="s">
        <v>435</v>
      </c>
      <c r="H106" s="162" t="s">
        <v>475</v>
      </c>
    </row>
    <row r="107" spans="1:8" x14ac:dyDescent="0.15">
      <c r="A107" s="105">
        <v>1317</v>
      </c>
      <c r="B107" s="138" t="str">
        <f>VLOOKUP(A107,[1]characters!$A:$C,3,FALSE)</f>
        <v>進歌する声域 初音ミクV4X</v>
      </c>
      <c r="C107" s="105" t="s">
        <v>197</v>
      </c>
      <c r="D107" s="138" t="str">
        <f>A107&amp;C107</f>
        <v>1317cskill</v>
      </c>
      <c r="E107" s="138" t="str">
        <f>A107&amp;+(COUNTIF(A$10:A107,A107)-1)</f>
        <v>13172</v>
      </c>
      <c r="F107" s="105" t="s">
        <v>184</v>
      </c>
      <c r="G107" s="162" t="s">
        <v>195</v>
      </c>
      <c r="H107" s="162" t="s">
        <v>476</v>
      </c>
    </row>
    <row r="108" spans="1:8" x14ac:dyDescent="0.15">
      <c r="A108" s="105">
        <v>1317</v>
      </c>
      <c r="B108" s="138" t="str">
        <f>VLOOKUP(A108,[1]characters!$A:$C,3,FALSE)</f>
        <v>進歌する声域 初音ミクV4X</v>
      </c>
      <c r="C108" s="105" t="s">
        <v>197</v>
      </c>
      <c r="D108" s="138" t="str">
        <f>A108&amp;C108</f>
        <v>1317cskill</v>
      </c>
      <c r="E108" s="138" t="str">
        <f>A108&amp;+(COUNTIF(A$10:A108,A108)-1)</f>
        <v>13173</v>
      </c>
      <c r="F108" s="105" t="s">
        <v>184</v>
      </c>
      <c r="G108" s="162" t="s">
        <v>435</v>
      </c>
      <c r="H108" s="162" t="s">
        <v>477</v>
      </c>
    </row>
    <row r="109" spans="1:8" x14ac:dyDescent="0.15">
      <c r="A109" s="105">
        <v>1317</v>
      </c>
      <c r="B109" s="138" t="str">
        <f>VLOOKUP(A109,[1]characters!$A:$C,3,FALSE)</f>
        <v>進歌する声域 初音ミクV4X</v>
      </c>
      <c r="C109" s="105" t="s">
        <v>197</v>
      </c>
      <c r="D109" s="138" t="str">
        <f>A109&amp;C109</f>
        <v>1317cskill</v>
      </c>
      <c r="E109" s="138" t="str">
        <f>A109&amp;+(COUNTIF(A$10:A109,A109)-1)</f>
        <v>13174</v>
      </c>
      <c r="F109" s="105" t="s">
        <v>184</v>
      </c>
      <c r="G109" s="162" t="s">
        <v>195</v>
      </c>
      <c r="H109" s="162" t="s">
        <v>479</v>
      </c>
    </row>
    <row r="110" spans="1:8" x14ac:dyDescent="0.15">
      <c r="A110" s="105">
        <v>1318</v>
      </c>
      <c r="B110" s="138" t="str">
        <f>VLOOKUP(A110,[1]characters!$A:$C,3,FALSE)</f>
        <v>鏡音リンV4X</v>
      </c>
      <c r="C110" s="105" t="s">
        <v>194</v>
      </c>
      <c r="D110" s="138" t="str">
        <f t="shared" ref="D110" si="23">A110&amp;C110</f>
        <v>1318skill</v>
      </c>
      <c r="E110" s="138" t="str">
        <f>A110&amp;+(COUNTIF(A$10:A110,A110)-1)</f>
        <v>13180</v>
      </c>
      <c r="F110" s="105" t="s">
        <v>184</v>
      </c>
      <c r="G110" s="162" t="s">
        <v>435</v>
      </c>
      <c r="H110" s="162" t="s">
        <v>480</v>
      </c>
    </row>
    <row r="111" spans="1:8" x14ac:dyDescent="0.15">
      <c r="A111" s="105">
        <v>1318</v>
      </c>
      <c r="B111" s="138" t="str">
        <f>VLOOKUP(A111,[1]characters!$A:$C,3,FALSE)</f>
        <v>鏡音リンV4X</v>
      </c>
      <c r="C111" s="105" t="s">
        <v>197</v>
      </c>
      <c r="D111" s="138" t="str">
        <f>A111&amp;C111</f>
        <v>1318cskill</v>
      </c>
      <c r="E111" s="138" t="str">
        <f>A111&amp;+(COUNTIF(A$10:A111,A111)-1)</f>
        <v>13181</v>
      </c>
      <c r="F111" s="105" t="s">
        <v>184</v>
      </c>
      <c r="G111" s="162" t="s">
        <v>435</v>
      </c>
      <c r="H111" s="162" t="s">
        <v>481</v>
      </c>
    </row>
    <row r="112" spans="1:8" x14ac:dyDescent="0.15">
      <c r="A112" s="105">
        <v>1318</v>
      </c>
      <c r="B112" s="138" t="str">
        <f>VLOOKUP(A112,[1]characters!$A:$C,3,FALSE)</f>
        <v>鏡音リンV4X</v>
      </c>
      <c r="C112" s="105" t="s">
        <v>197</v>
      </c>
      <c r="D112" s="138" t="str">
        <f>A112&amp;C112</f>
        <v>1318cskill</v>
      </c>
      <c r="E112" s="138" t="str">
        <f>A112&amp;+(COUNTIF(A$10:A112,A112)-1)</f>
        <v>13182</v>
      </c>
      <c r="F112" s="105" t="s">
        <v>184</v>
      </c>
      <c r="G112" s="162" t="s">
        <v>442</v>
      </c>
      <c r="H112" s="162" t="s">
        <v>482</v>
      </c>
    </row>
    <row r="113" spans="1:8" x14ac:dyDescent="0.15">
      <c r="A113" s="105">
        <v>1318</v>
      </c>
      <c r="B113" s="138" t="str">
        <f>VLOOKUP(A113,[1]characters!$A:$C,3,FALSE)</f>
        <v>鏡音リンV4X</v>
      </c>
      <c r="C113" s="105" t="s">
        <v>197</v>
      </c>
      <c r="D113" s="138" t="str">
        <f>A113&amp;C113</f>
        <v>1318cskill</v>
      </c>
      <c r="E113" s="138" t="str">
        <f>A113&amp;+(COUNTIF(A$10:A113,A113)-1)</f>
        <v>13183</v>
      </c>
      <c r="F113" s="105" t="s">
        <v>184</v>
      </c>
      <c r="G113" s="162" t="s">
        <v>435</v>
      </c>
      <c r="H113" s="162" t="s">
        <v>483</v>
      </c>
    </row>
    <row r="114" spans="1:8" x14ac:dyDescent="0.15">
      <c r="A114" s="105">
        <v>1319</v>
      </c>
      <c r="B114" s="138" t="str">
        <f>VLOOKUP(A114,[1]characters!$A:$C,3,FALSE)</f>
        <v>甘恋の激唱歌 鏡音リンV4X</v>
      </c>
      <c r="C114" s="105" t="s">
        <v>194</v>
      </c>
      <c r="D114" s="138" t="str">
        <f t="shared" ref="D114" si="24">A114&amp;C114</f>
        <v>1319skill</v>
      </c>
      <c r="E114" s="138" t="str">
        <f>A114&amp;+(COUNTIF(A$10:A114,A114)-1)</f>
        <v>13190</v>
      </c>
      <c r="F114" s="105" t="s">
        <v>184</v>
      </c>
      <c r="G114" s="162" t="s">
        <v>435</v>
      </c>
      <c r="H114" s="162" t="s">
        <v>484</v>
      </c>
    </row>
    <row r="115" spans="1:8" x14ac:dyDescent="0.15">
      <c r="A115" s="105">
        <v>1319</v>
      </c>
      <c r="B115" s="138" t="str">
        <f>VLOOKUP(A115,[1]characters!$A:$C,3,FALSE)</f>
        <v>甘恋の激唱歌 鏡音リンV4X</v>
      </c>
      <c r="C115" s="105" t="s">
        <v>197</v>
      </c>
      <c r="D115" s="138" t="str">
        <f>A115&amp;C115</f>
        <v>1319cskill</v>
      </c>
      <c r="E115" s="138" t="str">
        <f>A115&amp;+(COUNTIF(A$10:A115,A115)-1)</f>
        <v>13191</v>
      </c>
      <c r="F115" s="105" t="s">
        <v>184</v>
      </c>
      <c r="G115" s="162" t="s">
        <v>435</v>
      </c>
      <c r="H115" s="162" t="s">
        <v>481</v>
      </c>
    </row>
    <row r="116" spans="1:8" x14ac:dyDescent="0.15">
      <c r="A116" s="105">
        <v>1319</v>
      </c>
      <c r="B116" s="138" t="str">
        <f>VLOOKUP(A116,[1]characters!$A:$C,3,FALSE)</f>
        <v>甘恋の激唱歌 鏡音リンV4X</v>
      </c>
      <c r="C116" s="105" t="s">
        <v>197</v>
      </c>
      <c r="D116" s="138" t="str">
        <f>A116&amp;C116</f>
        <v>1319cskill</v>
      </c>
      <c r="E116" s="138" t="str">
        <f>A116&amp;+(COUNTIF(A$10:A116,A116)-1)</f>
        <v>13192</v>
      </c>
      <c r="F116" s="105" t="s">
        <v>184</v>
      </c>
      <c r="G116" s="162" t="s">
        <v>442</v>
      </c>
      <c r="H116" s="162" t="s">
        <v>482</v>
      </c>
    </row>
    <row r="117" spans="1:8" x14ac:dyDescent="0.15">
      <c r="A117" s="105">
        <v>1319</v>
      </c>
      <c r="B117" s="138" t="str">
        <f>VLOOKUP(A117,[1]characters!$A:$C,3,FALSE)</f>
        <v>甘恋の激唱歌 鏡音リンV4X</v>
      </c>
      <c r="C117" s="105" t="s">
        <v>197</v>
      </c>
      <c r="D117" s="138" t="str">
        <f>A117&amp;C117</f>
        <v>1319cskill</v>
      </c>
      <c r="E117" s="138" t="str">
        <f>A117&amp;+(COUNTIF(A$10:A117,A117)-1)</f>
        <v>13193</v>
      </c>
      <c r="F117" s="105" t="s">
        <v>184</v>
      </c>
      <c r="G117" s="162" t="s">
        <v>435</v>
      </c>
      <c r="H117" s="162" t="s">
        <v>483</v>
      </c>
    </row>
    <row r="118" spans="1:8" x14ac:dyDescent="0.15">
      <c r="A118" s="105">
        <v>1319</v>
      </c>
      <c r="B118" s="138" t="str">
        <f>VLOOKUP(A118,[1]characters!$A:$C,3,FALSE)</f>
        <v>甘恋の激唱歌 鏡音リンV4X</v>
      </c>
      <c r="C118" s="105" t="s">
        <v>197</v>
      </c>
      <c r="D118" s="138" t="str">
        <f>A118&amp;C118</f>
        <v>1319cskill</v>
      </c>
      <c r="E118" s="138" t="str">
        <f>A118&amp;+(COUNTIF(A$10:A118,A118)-1)</f>
        <v>13194</v>
      </c>
      <c r="F118" s="105" t="s">
        <v>184</v>
      </c>
      <c r="G118" s="162" t="s">
        <v>195</v>
      </c>
      <c r="H118" s="162" t="s">
        <v>485</v>
      </c>
    </row>
    <row r="119" spans="1:8" x14ac:dyDescent="0.15">
      <c r="A119" s="105">
        <v>1320</v>
      </c>
      <c r="B119" s="138" t="str">
        <f>VLOOKUP(A119,[1]characters!$A:$C,3,FALSE)</f>
        <v>鏡音レンV4X</v>
      </c>
      <c r="C119" s="105" t="s">
        <v>194</v>
      </c>
      <c r="D119" s="138" t="str">
        <f t="shared" ref="D119" si="25">A119&amp;C119</f>
        <v>1320skill</v>
      </c>
      <c r="E119" s="138" t="str">
        <f>A119&amp;+(COUNTIF(A$10:A119,A119)-1)</f>
        <v>13200</v>
      </c>
      <c r="F119" s="105" t="s">
        <v>184</v>
      </c>
      <c r="G119" s="162" t="s">
        <v>442</v>
      </c>
      <c r="H119" s="162" t="s">
        <v>486</v>
      </c>
    </row>
    <row r="120" spans="1:8" x14ac:dyDescent="0.15">
      <c r="A120" s="105">
        <v>1320</v>
      </c>
      <c r="B120" s="138" t="str">
        <f>VLOOKUP(A120,[1]characters!$A:$C,3,FALSE)</f>
        <v>鏡音レンV4X</v>
      </c>
      <c r="C120" s="105" t="s">
        <v>197</v>
      </c>
      <c r="D120" s="138" t="str">
        <f>A120&amp;C120</f>
        <v>1320cskill</v>
      </c>
      <c r="E120" s="138" t="str">
        <f>A120&amp;+(COUNTIF(A$10:A120,A120)-1)</f>
        <v>13201</v>
      </c>
      <c r="F120" s="105" t="s">
        <v>184</v>
      </c>
      <c r="G120" s="162" t="s">
        <v>435</v>
      </c>
      <c r="H120" s="162" t="s">
        <v>487</v>
      </c>
    </row>
    <row r="121" spans="1:8" x14ac:dyDescent="0.15">
      <c r="A121" s="105">
        <v>1320</v>
      </c>
      <c r="B121" s="138" t="str">
        <f>VLOOKUP(A121,[1]characters!$A:$C,3,FALSE)</f>
        <v>鏡音レンV4X</v>
      </c>
      <c r="C121" s="105" t="s">
        <v>197</v>
      </c>
      <c r="D121" s="138" t="str">
        <f>A121&amp;C121</f>
        <v>1320cskill</v>
      </c>
      <c r="E121" s="138" t="str">
        <f>A121&amp;+(COUNTIF(A$10:A121,A121)-1)</f>
        <v>13202</v>
      </c>
      <c r="F121" s="105" t="s">
        <v>184</v>
      </c>
      <c r="G121" s="162" t="s">
        <v>442</v>
      </c>
      <c r="H121" s="162" t="s">
        <v>488</v>
      </c>
    </row>
    <row r="122" spans="1:8" x14ac:dyDescent="0.15">
      <c r="A122" s="105">
        <v>1320</v>
      </c>
      <c r="B122" s="138" t="str">
        <f>VLOOKUP(A122,[1]characters!$A:$C,3,FALSE)</f>
        <v>鏡音レンV4X</v>
      </c>
      <c r="C122" s="105" t="s">
        <v>197</v>
      </c>
      <c r="D122" s="138" t="str">
        <f>A122&amp;C122</f>
        <v>1320cskill</v>
      </c>
      <c r="E122" s="138" t="str">
        <f>A122&amp;+(COUNTIF(A$10:A122,A122)-1)</f>
        <v>13203</v>
      </c>
      <c r="F122" s="105" t="s">
        <v>184</v>
      </c>
      <c r="G122" s="162" t="s">
        <v>195</v>
      </c>
      <c r="H122" s="162" t="s">
        <v>489</v>
      </c>
    </row>
    <row r="123" spans="1:8" x14ac:dyDescent="0.15">
      <c r="A123" s="105">
        <v>1321</v>
      </c>
      <c r="B123" s="138" t="str">
        <f>VLOOKUP(A123,[1]characters!$A:$C,3,FALSE)</f>
        <v>純凛の柔唱歌 鏡音レンV4X</v>
      </c>
      <c r="C123" s="105" t="s">
        <v>194</v>
      </c>
      <c r="D123" s="138" t="str">
        <f t="shared" ref="D123" si="26">A123&amp;C123</f>
        <v>1321skill</v>
      </c>
      <c r="E123" s="138" t="str">
        <f>A123&amp;+(COUNTIF(A$10:A123,A123)-1)</f>
        <v>13210</v>
      </c>
      <c r="F123" s="105" t="s">
        <v>184</v>
      </c>
      <c r="G123" s="162" t="s">
        <v>442</v>
      </c>
      <c r="H123" s="162" t="s">
        <v>490</v>
      </c>
    </row>
    <row r="124" spans="1:8" x14ac:dyDescent="0.15">
      <c r="A124" s="105">
        <v>1321</v>
      </c>
      <c r="B124" s="138" t="str">
        <f>VLOOKUP(A124,[1]characters!$A:$C,3,FALSE)</f>
        <v>純凛の柔唱歌 鏡音レンV4X</v>
      </c>
      <c r="C124" s="105" t="s">
        <v>197</v>
      </c>
      <c r="D124" s="138" t="str">
        <f>A124&amp;C124</f>
        <v>1321cskill</v>
      </c>
      <c r="E124" s="138" t="str">
        <f>A124&amp;+(COUNTIF(A$10:A124,A124)-1)</f>
        <v>13211</v>
      </c>
      <c r="F124" s="105" t="s">
        <v>184</v>
      </c>
      <c r="G124" s="162" t="s">
        <v>435</v>
      </c>
      <c r="H124" s="162" t="s">
        <v>487</v>
      </c>
    </row>
    <row r="125" spans="1:8" x14ac:dyDescent="0.15">
      <c r="A125" s="105">
        <v>1321</v>
      </c>
      <c r="B125" s="138" t="str">
        <f>VLOOKUP(A125,[1]characters!$A:$C,3,FALSE)</f>
        <v>純凛の柔唱歌 鏡音レンV4X</v>
      </c>
      <c r="C125" s="105" t="s">
        <v>197</v>
      </c>
      <c r="D125" s="138" t="str">
        <f>A125&amp;C125</f>
        <v>1321cskill</v>
      </c>
      <c r="E125" s="138" t="str">
        <f>A125&amp;+(COUNTIF(A$10:A125,A125)-1)</f>
        <v>13212</v>
      </c>
      <c r="F125" s="105" t="s">
        <v>184</v>
      </c>
      <c r="G125" s="162" t="s">
        <v>442</v>
      </c>
      <c r="H125" s="162" t="s">
        <v>488</v>
      </c>
    </row>
    <row r="126" spans="1:8" x14ac:dyDescent="0.15">
      <c r="A126" s="105">
        <v>1321</v>
      </c>
      <c r="B126" s="138" t="str">
        <f>VLOOKUP(A126,[1]characters!$A:$C,3,FALSE)</f>
        <v>純凛の柔唱歌 鏡音レンV4X</v>
      </c>
      <c r="C126" s="105" t="s">
        <v>197</v>
      </c>
      <c r="D126" s="138" t="str">
        <f>A126&amp;C126</f>
        <v>1321cskill</v>
      </c>
      <c r="E126" s="138" t="str">
        <f>A126&amp;+(COUNTIF(A$10:A126,A126)-1)</f>
        <v>13213</v>
      </c>
      <c r="F126" s="105" t="s">
        <v>184</v>
      </c>
      <c r="G126" s="162" t="s">
        <v>195</v>
      </c>
      <c r="H126" s="162" t="s">
        <v>489</v>
      </c>
    </row>
    <row r="127" spans="1:8" x14ac:dyDescent="0.15">
      <c r="A127" s="105">
        <v>1321</v>
      </c>
      <c r="B127" s="138" t="str">
        <f>VLOOKUP(A127,[1]characters!$A:$C,3,FALSE)</f>
        <v>純凛の柔唱歌 鏡音レンV4X</v>
      </c>
      <c r="C127" s="105" t="s">
        <v>197</v>
      </c>
      <c r="D127" s="138" t="str">
        <f>A127&amp;C127</f>
        <v>1321cskill</v>
      </c>
      <c r="E127" s="138" t="str">
        <f>A127&amp;+(COUNTIF(A$10:A127,A127)-1)</f>
        <v>13214</v>
      </c>
      <c r="F127" s="105" t="s">
        <v>184</v>
      </c>
      <c r="G127" s="162" t="s">
        <v>442</v>
      </c>
      <c r="H127" s="162" t="s">
        <v>491</v>
      </c>
    </row>
    <row r="128" spans="1:8" x14ac:dyDescent="0.15">
      <c r="A128" s="105">
        <v>1322</v>
      </c>
      <c r="B128" s="138" t="str">
        <f>VLOOKUP(A128,[1]characters!$A:$C,3,FALSE)</f>
        <v>巡音ルカV4X</v>
      </c>
      <c r="C128" s="105" t="s">
        <v>194</v>
      </c>
      <c r="D128" s="138" t="str">
        <f t="shared" ref="D128" si="27">A128&amp;C128</f>
        <v>1322skill</v>
      </c>
      <c r="E128" s="138" t="str">
        <f>A128&amp;+(COUNTIF(A$10:A128,A128)-1)</f>
        <v>13220</v>
      </c>
      <c r="F128" s="105" t="s">
        <v>184</v>
      </c>
      <c r="G128" s="162" t="s">
        <v>195</v>
      </c>
      <c r="H128" s="162" t="s">
        <v>492</v>
      </c>
    </row>
    <row r="129" spans="1:8" x14ac:dyDescent="0.15">
      <c r="A129" s="105">
        <v>1322</v>
      </c>
      <c r="B129" s="138" t="str">
        <f>VLOOKUP(A129,[1]characters!$A:$C,3,FALSE)</f>
        <v>巡音ルカV4X</v>
      </c>
      <c r="C129" s="105" t="s">
        <v>197</v>
      </c>
      <c r="D129" s="138" t="str">
        <f>A129&amp;C129</f>
        <v>1322cskill</v>
      </c>
      <c r="E129" s="138" t="str">
        <f>A129&amp;+(COUNTIF(A$10:A129,A129)-1)</f>
        <v>13221</v>
      </c>
      <c r="F129" s="105" t="s">
        <v>184</v>
      </c>
      <c r="G129" s="162" t="s">
        <v>435</v>
      </c>
      <c r="H129" s="162" t="s">
        <v>493</v>
      </c>
    </row>
    <row r="130" spans="1:8" x14ac:dyDescent="0.15">
      <c r="A130" s="105">
        <v>1322</v>
      </c>
      <c r="B130" s="138" t="str">
        <f>VLOOKUP(A130,[1]characters!$A:$C,3,FALSE)</f>
        <v>巡音ルカV4X</v>
      </c>
      <c r="C130" s="105" t="s">
        <v>197</v>
      </c>
      <c r="D130" s="138" t="str">
        <f>A130&amp;C130</f>
        <v>1322cskill</v>
      </c>
      <c r="E130" s="138" t="str">
        <f>A130&amp;+(COUNTIF(A$10:A130,A130)-1)</f>
        <v>13222</v>
      </c>
      <c r="F130" s="105" t="s">
        <v>184</v>
      </c>
      <c r="G130" s="162" t="s">
        <v>442</v>
      </c>
      <c r="H130" s="162" t="s">
        <v>494</v>
      </c>
    </row>
    <row r="131" spans="1:8" x14ac:dyDescent="0.15">
      <c r="A131" s="105">
        <v>1322</v>
      </c>
      <c r="B131" s="138" t="str">
        <f>VLOOKUP(A131,[1]characters!$A:$C,3,FALSE)</f>
        <v>巡音ルカV4X</v>
      </c>
      <c r="C131" s="105" t="s">
        <v>197</v>
      </c>
      <c r="D131" s="138" t="str">
        <f>A131&amp;C131</f>
        <v>1322cskill</v>
      </c>
      <c r="E131" s="138" t="str">
        <f>A131&amp;+(COUNTIF(A$10:A131,A131)-1)</f>
        <v>13223</v>
      </c>
      <c r="F131" s="105" t="s">
        <v>184</v>
      </c>
      <c r="G131" s="162" t="s">
        <v>195</v>
      </c>
      <c r="H131" s="162" t="s">
        <v>495</v>
      </c>
    </row>
    <row r="132" spans="1:8" x14ac:dyDescent="0.15">
      <c r="A132" s="105">
        <v>1323</v>
      </c>
      <c r="B132" s="138" t="str">
        <f>VLOOKUP(A132,[1]characters!$A:$C,3,FALSE)</f>
        <v>吐鳴する響惹 巡音ルカV4X</v>
      </c>
      <c r="C132" s="105" t="s">
        <v>194</v>
      </c>
      <c r="D132" s="138" t="str">
        <f t="shared" ref="D132" si="28">A132&amp;C132</f>
        <v>1323skill</v>
      </c>
      <c r="E132" s="138" t="str">
        <f>A132&amp;+(COUNTIF(A$10:A132,A132)-1)</f>
        <v>13230</v>
      </c>
      <c r="F132" s="105" t="s">
        <v>184</v>
      </c>
      <c r="G132" s="162" t="s">
        <v>435</v>
      </c>
      <c r="H132" s="162" t="s">
        <v>496</v>
      </c>
    </row>
    <row r="133" spans="1:8" x14ac:dyDescent="0.15">
      <c r="A133" s="105">
        <v>1323</v>
      </c>
      <c r="B133" s="138" t="str">
        <f>VLOOKUP(A133,[1]characters!$A:$C,3,FALSE)</f>
        <v>吐鳴する響惹 巡音ルカV4X</v>
      </c>
      <c r="C133" s="105" t="s">
        <v>197</v>
      </c>
      <c r="D133" s="138" t="str">
        <f>A133&amp;C133</f>
        <v>1323cskill</v>
      </c>
      <c r="E133" s="138" t="str">
        <f>A133&amp;+(COUNTIF(A$10:A133,A133)-1)</f>
        <v>13231</v>
      </c>
      <c r="F133" s="105" t="s">
        <v>184</v>
      </c>
      <c r="G133" s="162" t="s">
        <v>435</v>
      </c>
      <c r="H133" s="162" t="s">
        <v>493</v>
      </c>
    </row>
    <row r="134" spans="1:8" x14ac:dyDescent="0.15">
      <c r="A134" s="105">
        <v>1323</v>
      </c>
      <c r="B134" s="138" t="str">
        <f>VLOOKUP(A134,[1]characters!$A:$C,3,FALSE)</f>
        <v>吐鳴する響惹 巡音ルカV4X</v>
      </c>
      <c r="C134" s="105" t="s">
        <v>197</v>
      </c>
      <c r="D134" s="138" t="str">
        <f>A134&amp;C134</f>
        <v>1323cskill</v>
      </c>
      <c r="E134" s="138" t="str">
        <f>A134&amp;+(COUNTIF(A$10:A134,A134)-1)</f>
        <v>13232</v>
      </c>
      <c r="F134" s="105" t="s">
        <v>184</v>
      </c>
      <c r="G134" s="162" t="s">
        <v>442</v>
      </c>
      <c r="H134" s="162" t="s">
        <v>494</v>
      </c>
    </row>
    <row r="135" spans="1:8" x14ac:dyDescent="0.15">
      <c r="A135" s="105">
        <v>1323</v>
      </c>
      <c r="B135" s="138" t="str">
        <f>VLOOKUP(A135,[1]characters!$A:$C,3,FALSE)</f>
        <v>吐鳴する響惹 巡音ルカV4X</v>
      </c>
      <c r="C135" s="105" t="s">
        <v>197</v>
      </c>
      <c r="D135" s="138" t="str">
        <f>A135&amp;C135</f>
        <v>1323cskill</v>
      </c>
      <c r="E135" s="138" t="str">
        <f>A135&amp;+(COUNTIF(A$10:A135,A135)-1)</f>
        <v>13233</v>
      </c>
      <c r="F135" s="105" t="s">
        <v>184</v>
      </c>
      <c r="G135" s="162" t="s">
        <v>195</v>
      </c>
      <c r="H135" s="162" t="s">
        <v>495</v>
      </c>
    </row>
    <row r="136" spans="1:8" x14ac:dyDescent="0.15">
      <c r="A136" s="105">
        <v>1323</v>
      </c>
      <c r="B136" s="138" t="str">
        <f>VLOOKUP(A136,[1]characters!$A:$C,3,FALSE)</f>
        <v>吐鳴する響惹 巡音ルカV4X</v>
      </c>
      <c r="C136" s="105" t="s">
        <v>197</v>
      </c>
      <c r="D136" s="138" t="str">
        <f>A136&amp;C136</f>
        <v>1323cskill</v>
      </c>
      <c r="E136" s="138" t="str">
        <f>A136&amp;+(COUNTIF(A$10:A136,A136)-1)</f>
        <v>13234</v>
      </c>
      <c r="F136" s="105" t="s">
        <v>184</v>
      </c>
      <c r="G136" s="162" t="s">
        <v>435</v>
      </c>
      <c r="H136" s="162" t="s">
        <v>497</v>
      </c>
    </row>
  </sheetData>
  <phoneticPr fontId="22"/>
  <dataValidations count="2">
    <dataValidation type="list" allowBlank="1" showInputMessage="1" showErrorMessage="1" sqref="G2:G136">
      <formula1>"maru,giza,kumo"</formula1>
    </dataValidation>
    <dataValidation type="list" allowBlank="1" showInputMessage="1" showErrorMessage="1" sqref="C2:C136">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3"/>
  <sheetViews>
    <sheetView showGridLines="0" workbookViewId="0">
      <pane xSplit="9" ySplit="1" topLeftCell="P2" activePane="bottomRight" state="frozen"/>
      <selection pane="topRight" activeCell="J1" sqref="J1"/>
      <selection pane="bottomLeft" activeCell="A3" sqref="A3"/>
      <selection pane="bottomRight" activeCell="T7" sqref="T7"/>
    </sheetView>
  </sheetViews>
  <sheetFormatPr baseColWidth="12" defaultColWidth="8.83203125" defaultRowHeight="21" customHeight="1" outlineLevelCol="1" x14ac:dyDescent="0.15"/>
  <cols>
    <col min="1" max="1" width="12.83203125" style="11" customWidth="1"/>
    <col min="2" max="2" width="24.33203125" style="12"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274</v>
      </c>
      <c r="B1" s="91" t="s">
        <v>275</v>
      </c>
      <c r="C1" s="82" t="s">
        <v>276</v>
      </c>
      <c r="D1" s="82" t="s">
        <v>277</v>
      </c>
      <c r="E1" s="82" t="s">
        <v>278</v>
      </c>
      <c r="F1" s="82" t="s">
        <v>279</v>
      </c>
      <c r="G1" s="82" t="s">
        <v>1</v>
      </c>
      <c r="H1" s="175" t="s">
        <v>19</v>
      </c>
      <c r="I1" s="82" t="s">
        <v>0</v>
      </c>
      <c r="J1" s="81" t="s">
        <v>280</v>
      </c>
      <c r="K1" s="82" t="s">
        <v>275</v>
      </c>
      <c r="L1" s="83" t="s">
        <v>49</v>
      </c>
      <c r="M1" s="83" t="s">
        <v>48</v>
      </c>
      <c r="N1" s="83" t="s">
        <v>281</v>
      </c>
      <c r="O1" s="83" t="s">
        <v>282</v>
      </c>
      <c r="P1" s="88" t="s">
        <v>283</v>
      </c>
      <c r="Q1" s="87" t="s">
        <v>284</v>
      </c>
      <c r="R1" s="76" t="s">
        <v>275</v>
      </c>
      <c r="S1" s="88" t="s">
        <v>285</v>
      </c>
      <c r="T1" s="76" t="s">
        <v>275</v>
      </c>
      <c r="U1" s="88" t="s">
        <v>286</v>
      </c>
    </row>
    <row r="2" spans="1:21" ht="21" customHeight="1" x14ac:dyDescent="0.15">
      <c r="A2" s="190">
        <v>528</v>
      </c>
      <c r="B2" s="53" t="str">
        <f ca="1">VLOOKUP($A2,OFFSET([1]characters!$A$1,0,0,COUNTA([1]characters!$A:$A),MATCH(B$1,[1]characters!$1:$1,0)-MATCH($A$1,[1]characters!$1:$1,0)+1),MATCH(B$1,[1]characters!$1:$1,0)-MATCH($A$1,[1]characters!$1:$1,0)+1,FALSE)</f>
        <v>新世の歌姫 初音ミクV3</v>
      </c>
      <c r="C2" s="53" t="str">
        <f ca="1">VLOOKUP($A2,OFFSET([1]characters!$A$1,0,0,COUNTA([1]characters!$A:$A),MATCH(C$1,[1]characters!$1:$1,0)-MATCH($A$1,[1]characters!$1:$1,0)+1),MATCH(C$1,[1]characters!$1:$1,0)-MATCH($A$1,[1]characters!$1:$1,0)+1,FALSE)</f>
        <v>イベント:ミクコラボ01</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女性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yellow</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1299</v>
      </c>
      <c r="R2" s="58" t="str">
        <f ca="1">IF(Q2="NULL","",VLOOKUP($Q2,OFFSET([1]characters!$A$1,0,0,COUNTA([1]characters!$A:$A),MATCH(R$1,[1]characters!$1:$1,0)-MATCH($A$1,[1]characters!$1:$1,0)+1),MATCH(R$1,[1]characters!$1:$1,0)-MATCH($A$1,[1]characters!$1:$1,0)+1,FALSE))</f>
        <v>覚世の楽聖姫 初音ミクV3</v>
      </c>
      <c r="S2" s="5">
        <f ca="1">IF(ISNA(MATCH(A2,Q:Q,0)),A2,INDIRECT(ADDRESS(MATCH(A2,Q:Q,0),COLUMN())))</f>
        <v>528</v>
      </c>
      <c r="T2" s="58" t="str">
        <f ca="1">VLOOKUP($S2,OFFSET([1]characters!$A$1,0,0,COUNTA([1]characters!$A:$A),MATCH(T$1,[1]characters!$1:$1,0)-MATCH($A$1,[1]characters!$1:$1,0)+1),MATCH(T$1,[1]characters!$1:$1,0)-MATCH($A$1,[1]characters!$1:$1,0)+1,FALSE)</f>
        <v>新世の歌姫 初音ミクV3</v>
      </c>
      <c r="U2" s="10">
        <f ca="1">IF(Q2="NULL","NULL",VLOOKUP(G2,[2]ビット!$A$2:$B$7,2))</f>
        <v>200000</v>
      </c>
    </row>
    <row r="3" spans="1:21" ht="21" customHeight="1" x14ac:dyDescent="0.15">
      <c r="A3" s="190">
        <v>540</v>
      </c>
      <c r="B3" s="53" t="str">
        <f ca="1">VLOOKUP($A3,OFFSET([1]characters!$A$1,0,0,COUNTA([1]characters!$A:$A),MATCH(B$1,[1]characters!$1:$1,0)-MATCH($A$1,[1]characters!$1:$1,0)+1),MATCH(B$1,[1]characters!$1:$1,0)-MATCH($A$1,[1]characters!$1:$1,0)+1,FALSE)</f>
        <v>来訪の歌姫 初音ミク・アペンド</v>
      </c>
      <c r="C3" s="53" t="str">
        <f ca="1">VLOOKUP($A3,OFFSET([1]characters!$A$1,0,0,COUNTA([1]characters!$A:$A),MATCH(C$1,[1]characters!$1:$1,0)-MATCH($A$1,[1]characters!$1:$1,0)+1),MATCH(C$1,[1]characters!$1:$1,0)-MATCH($A$1,[1]characters!$1:$1,0)+1,FALSE)</f>
        <v>ガチャ:ミクコラボ01</v>
      </c>
      <c r="D3" s="53" t="str">
        <f ca="1">VLOOKUP($A3,OFFSET([1]characters!$A$1,0,0,COUNTA([1]characters!$A:$A),MATCH(D$1,[1]characters!$1:$1,0)-MATCH($A$1,[1]characters!$1:$1,0)+1),MATCH(D$1,[1]characters!$1:$1,0)-MATCH($A$1,[1]characters!$1:$1,0)+1,FALSE)</f>
        <v>執行者</v>
      </c>
      <c r="E3" s="53" t="str">
        <f ca="1">VLOOKUP($A3,OFFSET([1]characters!$A$1,0,0,COUNTA([1]characters!$A:$A),MATCH(E$1,[1]characters!$1:$1,0)-MATCH($A$1,[1]characters!$1:$1,0)+1),MATCH(E$1,[1]characters!$1:$1,0)-MATCH($A$1,[1]characters!$1:$1,0)+1,FALSE)</f>
        <v>格好いい</v>
      </c>
      <c r="F3" s="53" t="str">
        <f ca="1">VLOOKUP($A3,OFFSET([1]characters!$A$1,0,0,COUNTA([1]characters!$A:$A),MATCH(F$1,[1]characters!$1:$1,0)-MATCH($A$1,[1]characters!$1:$1,0)+1),MATCH(F$1,[1]characters!$1:$1,0)-MATCH($A$1,[1]characters!$1:$1,0)+1,FALSE)</f>
        <v>女性</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1309</v>
      </c>
      <c r="R3" s="58" t="str">
        <f ca="1">IF(Q3="NULL","",VLOOKUP($Q3,OFFSET([1]characters!$A$1,0,0,COUNTA([1]characters!$A:$A),MATCH(R$1,[1]characters!$1:$1,0)-MATCH($A$1,[1]characters!$1:$1,0)+1),MATCH(R$1,[1]characters!$1:$1,0)-MATCH($A$1,[1]characters!$1:$1,0)+1,FALSE))</f>
        <v>虹彩の美唱姫 初音ミク・アペンド</v>
      </c>
      <c r="S3" s="5">
        <f t="shared" ref="S3:S23" ca="1" si="0">IF(ISNA(MATCH(A3,Q:Q,0)),A3,INDIRECT(ADDRESS(MATCH(A3,Q:Q,0),COLUMN())))</f>
        <v>540</v>
      </c>
      <c r="T3" s="58" t="str">
        <f ca="1">VLOOKUP($S3,OFFSET([1]characters!$A$1,0,0,COUNTA([1]characters!$A:$A),MATCH(T$1,[1]characters!$1:$1,0)-MATCH($A$1,[1]characters!$1:$1,0)+1),MATCH(T$1,[1]characters!$1:$1,0)-MATCH($A$1,[1]characters!$1:$1,0)+1,FALSE)</f>
        <v>来訪の歌姫 初音ミク・アペンド</v>
      </c>
      <c r="U3" s="10">
        <f ca="1">IF(Q3="NULL","NULL",VLOOKUP(G3,[2]ビット!$A$2:$B$7,2))</f>
        <v>200000</v>
      </c>
    </row>
    <row r="4" spans="1:21" ht="21" customHeight="1" x14ac:dyDescent="0.15">
      <c r="A4" s="190">
        <v>540</v>
      </c>
      <c r="B4" s="53" t="str">
        <f ca="1">VLOOKUP($A4,OFFSET([1]characters!$A$1,0,0,COUNTA([1]characters!$A:$A),MATCH(B$1,[1]characters!$1:$1,0)-MATCH($A$1,[1]characters!$1:$1,0)+1),MATCH(B$1,[1]characters!$1:$1,0)-MATCH($A$1,[1]characters!$1:$1,0)+1,FALSE)</f>
        <v>来訪の歌姫 初音ミク・アペンド</v>
      </c>
      <c r="C4" s="53" t="str">
        <f ca="1">VLOOKUP($A4,OFFSET([1]characters!$A$1,0,0,COUNTA([1]characters!$A:$A),MATCH(C$1,[1]characters!$1:$1,0)-MATCH($A$1,[1]characters!$1:$1,0)+1),MATCH(C$1,[1]characters!$1:$1,0)-MATCH($A$1,[1]characters!$1:$1,0)+1,FALSE)</f>
        <v>ガチャ:ミクコラボ01</v>
      </c>
      <c r="D4" s="53" t="str">
        <f ca="1">VLOOKUP($A4,OFFSET([1]characters!$A$1,0,0,COUNTA([1]characters!$A:$A),MATCH(D$1,[1]characters!$1:$1,0)-MATCH($A$1,[1]characters!$1:$1,0)+1),MATCH(D$1,[1]characters!$1:$1,0)-MATCH($A$1,[1]characters!$1:$1,0)+1,FALSE)</f>
        <v>執行者</v>
      </c>
      <c r="E4" s="53" t="str">
        <f ca="1">VLOOKUP($A4,OFFSET([1]characters!$A$1,0,0,COUNTA([1]characters!$A:$A),MATCH(E$1,[1]characters!$1:$1,0)-MATCH($A$1,[1]characters!$1:$1,0)+1),MATCH(E$1,[1]characters!$1:$1,0)-MATCH($A$1,[1]characters!$1:$1,0)+1,FALSE)</f>
        <v>格好いい</v>
      </c>
      <c r="F4" s="53" t="str">
        <f ca="1">VLOOKUP($A4,OFFSET([1]characters!$A$1,0,0,COUNTA([1]characters!$A:$A),MATCH(F$1,[1]characters!$1:$1,0)-MATCH($A$1,[1]characters!$1:$1,0)+1),MATCH(F$1,[1]characters!$1:$1,0)-MATCH($A$1,[1]characters!$1:$1,0)+1,FALSE)</f>
        <v>女性</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PremiumSSS</v>
      </c>
      <c r="I4" s="53" t="str">
        <f ca="1">VLOOKUP($A4,OFFSET([1]characters!$A$1,0,0,COUNTA([1]characters!$A:$A),MATCH(I$1,[1]characters!$1:$1,0)-MATCH($A$1,[1]characters!$1:$1,0)+1),MATCH(I$1,[1]characters!$1:$1,0)-MATCH($A$1,[1]characters!$1:$1,0)+1,FALSE)</f>
        <v>green</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super</v>
      </c>
      <c r="Q4" s="187">
        <v>1310</v>
      </c>
      <c r="R4" s="58" t="str">
        <f ca="1">IF(Q4="NULL","",VLOOKUP($Q4,OFFSET([1]characters!$A$1,0,0,COUNTA([1]characters!$A:$A),MATCH(R$1,[1]characters!$1:$1,0)-MATCH($A$1,[1]characters!$1:$1,0)+1),MATCH(R$1,[1]characters!$1:$1,0)-MATCH($A$1,[1]characters!$1:$1,0)+1,FALSE))</f>
        <v>聖律する歌姫 初音ミク・アペンド</v>
      </c>
      <c r="S4" s="5">
        <f t="shared" ca="1" si="0"/>
        <v>540</v>
      </c>
      <c r="T4" s="58" t="str">
        <f ca="1">VLOOKUP($S4,OFFSET([1]characters!$A$1,0,0,COUNTA([1]characters!$A:$A),MATCH(T$1,[1]characters!$1:$1,0)-MATCH($A$1,[1]characters!$1:$1,0)+1),MATCH(T$1,[1]characters!$1:$1,0)-MATCH($A$1,[1]characters!$1:$1,0)+1,FALSE)</f>
        <v>来訪の歌姫 初音ミク・アペンド</v>
      </c>
      <c r="U4" s="10">
        <f ca="1">IF(Q4="NULL","NULL",VLOOKUP(G4,[2]ビット!$A$2:$B$7,2))</f>
        <v>200000</v>
      </c>
    </row>
    <row r="5" spans="1:21" ht="21" customHeight="1" x14ac:dyDescent="0.15">
      <c r="A5" s="190">
        <v>542</v>
      </c>
      <c r="B5" s="53" t="str">
        <f ca="1">VLOOKUP($A5,OFFSET([1]characters!$A$1,0,0,COUNTA([1]characters!$A:$A),MATCH(B$1,[1]characters!$1:$1,0)-MATCH($A$1,[1]characters!$1:$1,0)+1),MATCH(B$1,[1]characters!$1:$1,0)-MATCH($A$1,[1]characters!$1:$1,0)+1,FALSE)</f>
        <v>革命の音撃 初音ミク</v>
      </c>
      <c r="C5" s="53" t="str">
        <f ca="1">VLOOKUP($A5,OFFSET([1]characters!$A$1,0,0,COUNTA([1]characters!$A:$A),MATCH(C$1,[1]characters!$1:$1,0)-MATCH($A$1,[1]characters!$1:$1,0)+1),MATCH(C$1,[1]characters!$1:$1,0)-MATCH($A$1,[1]characters!$1:$1,0)+1,FALSE)</f>
        <v>ガチャ:ミクコラボ01</v>
      </c>
      <c r="D5" s="53" t="str">
        <f ca="1">VLOOKUP($A5,OFFSET([1]characters!$A$1,0,0,COUNTA([1]characters!$A:$A),MATCH(D$1,[1]characters!$1:$1,0)-MATCH($A$1,[1]characters!$1:$1,0)+1),MATCH(D$1,[1]characters!$1:$1,0)-MATCH($A$1,[1]characters!$1:$1,0)+1,FALSE)</f>
        <v>執行者</v>
      </c>
      <c r="E5" s="53" t="str">
        <f ca="1">VLOOKUP($A5,OFFSET([1]characters!$A$1,0,0,COUNTA([1]characters!$A:$A),MATCH(E$1,[1]characters!$1:$1,0)-MATCH($A$1,[1]characters!$1:$1,0)+1),MATCH(E$1,[1]characters!$1:$1,0)-MATCH($A$1,[1]characters!$1:$1,0)+1,FALSE)</f>
        <v>格好いい</v>
      </c>
      <c r="F5" s="53" t="str">
        <f ca="1">VLOOKUP($A5,OFFSET([1]characters!$A$1,0,0,COUNTA([1]characters!$A:$A),MATCH(F$1,[1]characters!$1:$1,0)-MATCH($A$1,[1]characters!$1:$1,0)+1),MATCH(F$1,[1]characters!$1:$1,0)-MATCH($A$1,[1]characters!$1:$1,0)+1,FALSE)</f>
        <v>女性</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PremiumSSS</v>
      </c>
      <c r="I5" s="53" t="str">
        <f ca="1">VLOOKUP($A5,OFFSET([1]characters!$A$1,0,0,COUNTA([1]characters!$A:$A),MATCH(I$1,[1]characters!$1:$1,0)-MATCH($A$1,[1]characters!$1:$1,0)+1),MATCH(I$1,[1]characters!$1:$1,0)-MATCH($A$1,[1]characters!$1:$1,0)+1,FALSE)</f>
        <v>green</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1308</v>
      </c>
      <c r="R5" s="58" t="str">
        <f ca="1">IF(Q5="NULL","",VLOOKUP($Q5,OFFSET([1]characters!$A$1,0,0,COUNTA([1]characters!$A:$A),MATCH(R$1,[1]characters!$1:$1,0)-MATCH($A$1,[1]characters!$1:$1,0)+1),MATCH(R$1,[1]characters!$1:$1,0)-MATCH($A$1,[1]characters!$1:$1,0)+1,FALSE))</f>
        <v>革鳴の響奏撃 初音ミク</v>
      </c>
      <c r="S5" s="5">
        <f t="shared" ca="1" si="0"/>
        <v>542</v>
      </c>
      <c r="T5" s="58" t="str">
        <f ca="1">VLOOKUP($S5,OFFSET([1]characters!$A$1,0,0,COUNTA([1]characters!$A:$A),MATCH(T$1,[1]characters!$1:$1,0)-MATCH($A$1,[1]characters!$1:$1,0)+1),MATCH(T$1,[1]characters!$1:$1,0)-MATCH($A$1,[1]characters!$1:$1,0)+1,FALSE)</f>
        <v>革命の音撃 初音ミク</v>
      </c>
      <c r="U5" s="10">
        <f ca="1">IF(Q5="NULL","NULL",VLOOKUP(G5,[2]ビット!$A$2:$B$7,2))</f>
        <v>200000</v>
      </c>
    </row>
    <row r="6" spans="1:21" ht="21" customHeight="1" x14ac:dyDescent="0.15">
      <c r="A6" s="190">
        <v>544</v>
      </c>
      <c r="B6" s="53" t="str">
        <f ca="1">VLOOKUP($A6,OFFSET([1]characters!$A$1,0,0,COUNTA([1]characters!$A:$A),MATCH(B$1,[1]characters!$1:$1,0)-MATCH($A$1,[1]characters!$1:$1,0)+1),MATCH(B$1,[1]characters!$1:$1,0)-MATCH($A$1,[1]characters!$1:$1,0)+1,FALSE)</f>
        <v>反響の凛音 鏡音リン</v>
      </c>
      <c r="C6" s="53" t="str">
        <f ca="1">VLOOKUP($A6,OFFSET([1]characters!$A$1,0,0,COUNTA([1]characters!$A:$A),MATCH(C$1,[1]characters!$1:$1,0)-MATCH($A$1,[1]characters!$1:$1,0)+1),MATCH(C$1,[1]characters!$1:$1,0)-MATCH($A$1,[1]characters!$1:$1,0)+1,FALSE)</f>
        <v>ガチャ:ミクコラボ01</v>
      </c>
      <c r="D6" s="53" t="str">
        <f ca="1">VLOOKUP($A6,OFFSET([1]characters!$A$1,0,0,COUNTA([1]characters!$A:$A),MATCH(D$1,[1]characters!$1:$1,0)-MATCH($A$1,[1]characters!$1:$1,0)+1),MATCH(D$1,[1]characters!$1:$1,0)-MATCH($A$1,[1]characters!$1:$1,0)+1,FALSE)</f>
        <v>執行者</v>
      </c>
      <c r="E6" s="53" t="str">
        <f ca="1">VLOOKUP($A6,OFFSET([1]characters!$A$1,0,0,COUNTA([1]characters!$A:$A),MATCH(E$1,[1]characters!$1:$1,0)-MATCH($A$1,[1]characters!$1:$1,0)+1),MATCH(E$1,[1]characters!$1:$1,0)-MATCH($A$1,[1]characters!$1:$1,0)+1,FALSE)</f>
        <v>格好いい</v>
      </c>
      <c r="F6" s="53" t="str">
        <f ca="1">VLOOKUP($A6,OFFSET([1]characters!$A$1,0,0,COUNTA([1]characters!$A:$A),MATCH(F$1,[1]characters!$1:$1,0)-MATCH($A$1,[1]characters!$1:$1,0)+1),MATCH(F$1,[1]characters!$1:$1,0)-MATCH($A$1,[1]characters!$1:$1,0)+1,FALSE)</f>
        <v>女性</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v>
      </c>
      <c r="I6" s="53" t="str">
        <f ca="1">VLOOKUP($A6,OFFSET([1]characters!$A$1,0,0,COUNTA([1]characters!$A:$A),MATCH(I$1,[1]characters!$1:$1,0)-MATCH($A$1,[1]characters!$1:$1,0)+1),MATCH(I$1,[1]characters!$1:$1,0)-MATCH($A$1,[1]characters!$1:$1,0)+1,FALSE)</f>
        <v>yellow</v>
      </c>
      <c r="J6" s="53" t="str">
        <f ca="1">VLOOKUP($A6,OFFSET([1]characters!$A$1,0,0,COUNTA([1]characters!$A:$A),MATCH(J$1,[1]characters!$1:$1,0)-MATCH($A$1,[1]characters!$1:$1,0)+1),MATCH(J$1,[1]characters!$1:$1,0)-MATCH($A$1,[1]characters!$1:$1,0)+1,FALSE)</f>
        <v>none</v>
      </c>
      <c r="K6" s="5" t="str">
        <f ca="1">VLOOKUP(J6,[1]character_tribe_i18n!$A:$H,3,FALSE)</f>
        <v>種族なし</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1311</v>
      </c>
      <c r="R6" s="58" t="str">
        <f ca="1">IF(Q6="NULL","",VLOOKUP($Q6,OFFSET([1]characters!$A$1,0,0,COUNTA([1]characters!$A:$A),MATCH(R$1,[1]characters!$1:$1,0)-MATCH($A$1,[1]characters!$1:$1,0)+1),MATCH(R$1,[1]characters!$1:$1,0)-MATCH($A$1,[1]characters!$1:$1,0)+1,FALSE))</f>
        <v>輪音する大反響 鏡音リン</v>
      </c>
      <c r="S6" s="5">
        <f t="shared" ca="1" si="0"/>
        <v>544</v>
      </c>
      <c r="T6" s="58" t="str">
        <f ca="1">VLOOKUP($S6,OFFSET([1]characters!$A$1,0,0,COUNTA([1]characters!$A:$A),MATCH(T$1,[1]characters!$1:$1,0)-MATCH($A$1,[1]characters!$1:$1,0)+1),MATCH(T$1,[1]characters!$1:$1,0)-MATCH($A$1,[1]characters!$1:$1,0)+1,FALSE)</f>
        <v>反響の凛音 鏡音リン</v>
      </c>
      <c r="U6" s="10">
        <f ca="1">IF(Q6="NULL","NULL",VLOOKUP(G6,[2]ビット!$A$2:$B$7,2))</f>
        <v>200000</v>
      </c>
    </row>
    <row r="7" spans="1:21" ht="21" customHeight="1" x14ac:dyDescent="0.15">
      <c r="A7" s="190">
        <v>546</v>
      </c>
      <c r="B7" s="53" t="str">
        <f ca="1">VLOOKUP($A7,OFFSET([1]characters!$A$1,0,0,COUNTA([1]characters!$A:$A),MATCH(B$1,[1]characters!$1:$1,0)-MATCH($A$1,[1]characters!$1:$1,0)+1),MATCH(B$1,[1]characters!$1:$1,0)-MATCH($A$1,[1]characters!$1:$1,0)+1,FALSE)</f>
        <v>残響の連符 鏡音レン</v>
      </c>
      <c r="C7" s="53" t="str">
        <f ca="1">VLOOKUP($A7,OFFSET([1]characters!$A$1,0,0,COUNTA([1]characters!$A:$A),MATCH(C$1,[1]characters!$1:$1,0)-MATCH($A$1,[1]characters!$1:$1,0)+1),MATCH(C$1,[1]characters!$1:$1,0)-MATCH($A$1,[1]characters!$1:$1,0)+1,FALSE)</f>
        <v>ガチャ:ミクコラボ01</v>
      </c>
      <c r="D7" s="53" t="str">
        <f ca="1">VLOOKUP($A7,OFFSET([1]characters!$A$1,0,0,COUNTA([1]characters!$A:$A),MATCH(D$1,[1]characters!$1:$1,0)-MATCH($A$1,[1]characters!$1:$1,0)+1),MATCH(D$1,[1]characters!$1:$1,0)-MATCH($A$1,[1]characters!$1:$1,0)+1,FALSE)</f>
        <v>執行者</v>
      </c>
      <c r="E7" s="53" t="str">
        <f ca="1">VLOOKUP($A7,OFFSET([1]characters!$A$1,0,0,COUNTA([1]characters!$A:$A),MATCH(E$1,[1]characters!$1:$1,0)-MATCH($A$1,[1]characters!$1:$1,0)+1),MATCH(E$1,[1]characters!$1:$1,0)-MATCH($A$1,[1]characters!$1:$1,0)+1,FALSE)</f>
        <v>格好いい</v>
      </c>
      <c r="F7" s="53" t="str">
        <f ca="1">VLOOKUP($A7,OFFSET([1]characters!$A$1,0,0,COUNTA([1]characters!$A:$A),MATCH(F$1,[1]characters!$1:$1,0)-MATCH($A$1,[1]characters!$1:$1,0)+1),MATCH(F$1,[1]characters!$1:$1,0)-MATCH($A$1,[1]characters!$1:$1,0)+1,FALSE)</f>
        <v>男性</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PremiumSS</v>
      </c>
      <c r="I7" s="53" t="str">
        <f ca="1">VLOOKUP($A7,OFFSET([1]characters!$A$1,0,0,COUNTA([1]characters!$A:$A),MATCH(I$1,[1]characters!$1:$1,0)-MATCH($A$1,[1]characters!$1:$1,0)+1),MATCH(I$1,[1]characters!$1:$1,0)-MATCH($A$1,[1]characters!$1:$1,0)+1,FALSE)</f>
        <v>yellow</v>
      </c>
      <c r="J7" s="53" t="str">
        <f ca="1">VLOOKUP($A7,OFFSET([1]characters!$A$1,0,0,COUNTA([1]characters!$A:$A),MATCH(J$1,[1]characters!$1:$1,0)-MATCH($A$1,[1]characters!$1:$1,0)+1),MATCH(J$1,[1]characters!$1:$1,0)-MATCH($A$1,[1]characters!$1:$1,0)+1,FALSE)</f>
        <v>none</v>
      </c>
      <c r="K7" s="5" t="str">
        <f ca="1">VLOOKUP(J7,[1]character_tribe_i18n!$A:$H,3,FALSE)</f>
        <v>種族なし</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normal</v>
      </c>
      <c r="Q7" s="187">
        <v>1311</v>
      </c>
      <c r="R7" s="58" t="str">
        <f ca="1">IF(Q7="NULL","",VLOOKUP($Q7,OFFSET([1]characters!$A$1,0,0,COUNTA([1]characters!$A:$A),MATCH(R$1,[1]characters!$1:$1,0)-MATCH($A$1,[1]characters!$1:$1,0)+1),MATCH(R$1,[1]characters!$1:$1,0)-MATCH($A$1,[1]characters!$1:$1,0)+1,FALSE))</f>
        <v>輪音する大反響 鏡音リン</v>
      </c>
      <c r="S7" s="5">
        <f t="shared" ca="1" si="0"/>
        <v>546</v>
      </c>
      <c r="T7" s="58" t="str">
        <f ca="1">VLOOKUP($S7,OFFSET([1]characters!$A$1,0,0,COUNTA([1]characters!$A:$A),MATCH(T$1,[1]characters!$1:$1,0)-MATCH($A$1,[1]characters!$1:$1,0)+1),MATCH(T$1,[1]characters!$1:$1,0)-MATCH($A$1,[1]characters!$1:$1,0)+1,FALSE)</f>
        <v>残響の連符 鏡音レン</v>
      </c>
      <c r="U7" s="10">
        <f ca="1">IF(Q7="NULL","NULL",VLOOKUP(G7,[2]ビット!$A$2:$B$7,2))</f>
        <v>200000</v>
      </c>
    </row>
    <row r="8" spans="1:21" ht="21" customHeight="1" x14ac:dyDescent="0.15">
      <c r="A8" s="190">
        <v>546</v>
      </c>
      <c r="B8" s="53" t="str">
        <f ca="1">VLOOKUP($A8,OFFSET([1]characters!$A$1,0,0,COUNTA([1]characters!$A:$A),MATCH(B$1,[1]characters!$1:$1,0)-MATCH($A$1,[1]characters!$1:$1,0)+1),MATCH(B$1,[1]characters!$1:$1,0)-MATCH($A$1,[1]characters!$1:$1,0)+1,FALSE)</f>
        <v>残響の連符 鏡音レン</v>
      </c>
      <c r="C8" s="53" t="str">
        <f ca="1">VLOOKUP($A8,OFFSET([1]characters!$A$1,0,0,COUNTA([1]characters!$A:$A),MATCH(C$1,[1]characters!$1:$1,0)-MATCH($A$1,[1]characters!$1:$1,0)+1),MATCH(C$1,[1]characters!$1:$1,0)-MATCH($A$1,[1]characters!$1:$1,0)+1,FALSE)</f>
        <v>ガチャ:ミクコラボ01</v>
      </c>
      <c r="D8" s="53" t="str">
        <f ca="1">VLOOKUP($A8,OFFSET([1]characters!$A$1,0,0,COUNTA([1]characters!$A:$A),MATCH(D$1,[1]characters!$1:$1,0)-MATCH($A$1,[1]characters!$1:$1,0)+1),MATCH(D$1,[1]characters!$1:$1,0)-MATCH($A$1,[1]characters!$1:$1,0)+1,FALSE)</f>
        <v>執行者</v>
      </c>
      <c r="E8" s="53" t="str">
        <f ca="1">VLOOKUP($A8,OFFSET([1]characters!$A$1,0,0,COUNTA([1]characters!$A:$A),MATCH(E$1,[1]characters!$1:$1,0)-MATCH($A$1,[1]characters!$1:$1,0)+1),MATCH(E$1,[1]characters!$1:$1,0)-MATCH($A$1,[1]characters!$1:$1,0)+1,FALSE)</f>
        <v>格好いい</v>
      </c>
      <c r="F8" s="53" t="str">
        <f ca="1">VLOOKUP($A8,OFFSET([1]characters!$A$1,0,0,COUNTA([1]characters!$A:$A),MATCH(F$1,[1]characters!$1:$1,0)-MATCH($A$1,[1]characters!$1:$1,0)+1),MATCH(F$1,[1]characters!$1:$1,0)-MATCH($A$1,[1]characters!$1:$1,0)+1,FALSE)</f>
        <v>男性</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PremiumSS</v>
      </c>
      <c r="I8" s="53" t="str">
        <f ca="1">VLOOKUP($A8,OFFSET([1]characters!$A$1,0,0,COUNTA([1]characters!$A:$A),MATCH(I$1,[1]characters!$1:$1,0)-MATCH($A$1,[1]characters!$1:$1,0)+1),MATCH(I$1,[1]characters!$1:$1,0)-MATCH($A$1,[1]characters!$1:$1,0)+1,FALSE)</f>
        <v>yellow</v>
      </c>
      <c r="J8" s="53" t="str">
        <f ca="1">VLOOKUP($A8,OFFSET([1]characters!$A$1,0,0,COUNTA([1]characters!$A:$A),MATCH(J$1,[1]characters!$1:$1,0)-MATCH($A$1,[1]characters!$1:$1,0)+1),MATCH(J$1,[1]characters!$1:$1,0)-MATCH($A$1,[1]characters!$1:$1,0)+1,FALSE)</f>
        <v>none</v>
      </c>
      <c r="K8" s="5" t="str">
        <f ca="1">VLOOKUP(J8,[1]character_tribe_i18n!$A:$H,3,FALSE)</f>
        <v>種族なし</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normal</v>
      </c>
      <c r="Q8" s="187">
        <v>1312</v>
      </c>
      <c r="R8" s="58" t="str">
        <f ca="1">IF(Q8="NULL","",VLOOKUP($Q8,OFFSET([1]characters!$A$1,0,0,COUNTA([1]characters!$A:$A),MATCH(R$1,[1]characters!$1:$1,0)-MATCH($A$1,[1]characters!$1:$1,0)+1),MATCH(R$1,[1]characters!$1:$1,0)-MATCH($A$1,[1]characters!$1:$1,0)+1,FALSE))</f>
        <v>連譜する大残響 鏡音レン</v>
      </c>
      <c r="S8" s="5">
        <f t="shared" ca="1" si="0"/>
        <v>546</v>
      </c>
      <c r="T8" s="58" t="str">
        <f ca="1">VLOOKUP($S8,OFFSET([1]characters!$A$1,0,0,COUNTA([1]characters!$A:$A),MATCH(T$1,[1]characters!$1:$1,0)-MATCH($A$1,[1]characters!$1:$1,0)+1),MATCH(T$1,[1]characters!$1:$1,0)-MATCH($A$1,[1]characters!$1:$1,0)+1,FALSE)</f>
        <v>残響の連符 鏡音レン</v>
      </c>
      <c r="U8" s="10">
        <f ca="1">IF(Q8="NULL","NULL",VLOOKUP(G8,[2]ビット!$A$2:$B$7,2))</f>
        <v>200000</v>
      </c>
    </row>
    <row r="9" spans="1:21" ht="21" customHeight="1" x14ac:dyDescent="0.15">
      <c r="A9" s="190">
        <v>548</v>
      </c>
      <c r="B9" s="53" t="str">
        <f ca="1">VLOOKUP($A9,OFFSET([1]characters!$A$1,0,0,COUNTA([1]characters!$A:$A),MATCH(B$1,[1]characters!$1:$1,0)-MATCH($A$1,[1]characters!$1:$1,0)+1),MATCH(B$1,[1]characters!$1:$1,0)-MATCH($A$1,[1]characters!$1:$1,0)+1,FALSE)</f>
        <v>乱舞の音環 巡音ルカ</v>
      </c>
      <c r="C9" s="53" t="str">
        <f ca="1">VLOOKUP($A9,OFFSET([1]characters!$A$1,0,0,COUNTA([1]characters!$A:$A),MATCH(C$1,[1]characters!$1:$1,0)-MATCH($A$1,[1]characters!$1:$1,0)+1),MATCH(C$1,[1]characters!$1:$1,0)-MATCH($A$1,[1]characters!$1:$1,0)+1,FALSE)</f>
        <v>ガチャ:ミクコラボ01</v>
      </c>
      <c r="D9" s="53" t="str">
        <f ca="1">VLOOKUP($A9,OFFSET([1]characters!$A$1,0,0,COUNTA([1]characters!$A:$A),MATCH(D$1,[1]characters!$1:$1,0)-MATCH($A$1,[1]characters!$1:$1,0)+1),MATCH(D$1,[1]characters!$1:$1,0)-MATCH($A$1,[1]characters!$1:$1,0)+1,FALSE)</f>
        <v>執行者</v>
      </c>
      <c r="E9" s="53" t="str">
        <f ca="1">VLOOKUP($A9,OFFSET([1]characters!$A$1,0,0,COUNTA([1]characters!$A:$A),MATCH(E$1,[1]characters!$1:$1,0)-MATCH($A$1,[1]characters!$1:$1,0)+1),MATCH(E$1,[1]characters!$1:$1,0)-MATCH($A$1,[1]characters!$1:$1,0)+1,FALSE)</f>
        <v>格好いい</v>
      </c>
      <c r="F9" s="53" t="str">
        <f ca="1">VLOOKUP($A9,OFFSET([1]characters!$A$1,0,0,COUNTA([1]characters!$A:$A),MATCH(F$1,[1]characters!$1:$1,0)-MATCH($A$1,[1]characters!$1:$1,0)+1),MATCH(F$1,[1]characters!$1:$1,0)-MATCH($A$1,[1]characters!$1:$1,0)+1,FALSE)</f>
        <v>女性</v>
      </c>
      <c r="G9" s="53">
        <f ca="1">VLOOKUP($A9,OFFSET([1]characters!$A$1,0,0,COUNTA([1]characters!$A:$A),MATCH(G$1,[1]characters!$1:$1,0)-MATCH($A$1,[1]characters!$1:$1,0)+1),MATCH(G$1,[1]characters!$1:$1,0)-MATCH($A$1,[1]characters!$1:$1,0)+1,FALSE)</f>
        <v>4</v>
      </c>
      <c r="H9" s="53" t="str">
        <f ca="1">VLOOKUP($A9,OFFSET([1]characters!$A$1,0,0,COUNTA([1]characters!$A:$A),MATCH(H$1,[1]characters!$1:$1,0)-MATCH($A$1,[1]characters!$1:$1,0)+1),MATCH(H$1,[1]characters!$1:$1,0)-MATCH($A$1,[1]characters!$1:$1,0)+1,FALSE)</f>
        <v>PremiumS</v>
      </c>
      <c r="I9" s="53" t="str">
        <f ca="1">VLOOKUP($A9,OFFSET([1]characters!$A$1,0,0,COUNTA([1]characters!$A:$A),MATCH(I$1,[1]characters!$1:$1,0)-MATCH($A$1,[1]characters!$1:$1,0)+1),MATCH(I$1,[1]characters!$1:$1,0)-MATCH($A$1,[1]characters!$1:$1,0)+1,FALSE)</f>
        <v>red</v>
      </c>
      <c r="J9" s="53" t="str">
        <f ca="1">VLOOKUP($A9,OFFSET([1]characters!$A$1,0,0,COUNTA([1]characters!$A:$A),MATCH(J$1,[1]characters!$1:$1,0)-MATCH($A$1,[1]characters!$1:$1,0)+1),MATCH(J$1,[1]characters!$1:$1,0)-MATCH($A$1,[1]characters!$1:$1,0)+1,FALSE)</f>
        <v>none</v>
      </c>
      <c r="K9" s="5" t="str">
        <f ca="1">VLOOKUP(J9,[1]character_tribe_i18n!$A:$H,3,FALSE)</f>
        <v>種族なし</v>
      </c>
      <c r="L9" s="10" t="e">
        <f>VLOOKUP(#REF!,[1]character_tribe_i18n!$A:$H,4,FALSE)</f>
        <v>#REF!</v>
      </c>
      <c r="M9" s="10" t="e">
        <f>VLOOKUP(#REF!,[1]character_tribe_i18n!$A:$H,5,FALSE)</f>
        <v>#REF!</v>
      </c>
      <c r="N9" s="10" t="e">
        <f>VLOOKUP(#REF!,[1]character_tribe_i18n!$A:$H,6,FALSE)</f>
        <v>#REF!</v>
      </c>
      <c r="O9" s="10" t="e">
        <f>VLOOKUP(#REF!,[1]character_tribe_i18n!$A:$H,7,FALSE)</f>
        <v>#REF!</v>
      </c>
      <c r="P9" s="176" t="str">
        <f>VLOOKUP(Q9,[1]characters!$A:$AC,20)</f>
        <v>normal</v>
      </c>
      <c r="Q9" s="187">
        <v>1313</v>
      </c>
      <c r="R9" s="58" t="str">
        <f ca="1">IF(Q9="NULL","",VLOOKUP($Q9,OFFSET([1]characters!$A$1,0,0,COUNTA([1]characters!$A:$A),MATCH(R$1,[1]characters!$1:$1,0)-MATCH($A$1,[1]characters!$1:$1,0)+1),MATCH(R$1,[1]characters!$1:$1,0)-MATCH($A$1,[1]characters!$1:$1,0)+1,FALSE))</f>
        <v>旋律する音廻 巡音ルカ</v>
      </c>
      <c r="S9" s="5">
        <f t="shared" ca="1" si="0"/>
        <v>548</v>
      </c>
      <c r="T9" s="58" t="str">
        <f ca="1">VLOOKUP($S9,OFFSET([1]characters!$A$1,0,0,COUNTA([1]characters!$A:$A),MATCH(T$1,[1]characters!$1:$1,0)-MATCH($A$1,[1]characters!$1:$1,0)+1),MATCH(T$1,[1]characters!$1:$1,0)-MATCH($A$1,[1]characters!$1:$1,0)+1,FALSE)</f>
        <v>乱舞の音環 巡音ルカ</v>
      </c>
      <c r="U9" s="10">
        <f ca="1">IF(Q9="NULL","NULL",VLOOKUP(G9,[2]ビット!$A$2:$B$7,2))</f>
        <v>50000</v>
      </c>
    </row>
    <row r="10" spans="1:21" ht="21" customHeight="1" x14ac:dyDescent="0.15">
      <c r="A10" s="190">
        <v>550</v>
      </c>
      <c r="B10" s="53" t="str">
        <f ca="1">VLOOKUP($A10,OFFSET([1]characters!$A$1,0,0,COUNTA([1]characters!$A:$A),MATCH(B$1,[1]characters!$1:$1,0)-MATCH($A$1,[1]characters!$1:$1,0)+1),MATCH(B$1,[1]characters!$1:$1,0)-MATCH($A$1,[1]characters!$1:$1,0)+1,FALSE)</f>
        <v>解放の絶唱 MEIKO</v>
      </c>
      <c r="C10" s="53" t="str">
        <f ca="1">VLOOKUP($A10,OFFSET([1]characters!$A$1,0,0,COUNTA([1]characters!$A:$A),MATCH(C$1,[1]characters!$1:$1,0)-MATCH($A$1,[1]characters!$1:$1,0)+1),MATCH(C$1,[1]characters!$1:$1,0)-MATCH($A$1,[1]characters!$1:$1,0)+1,FALSE)</f>
        <v>ガチャ:ミクコラボ01</v>
      </c>
      <c r="D10" s="53" t="str">
        <f ca="1">VLOOKUP($A10,OFFSET([1]characters!$A$1,0,0,COUNTA([1]characters!$A:$A),MATCH(D$1,[1]characters!$1:$1,0)-MATCH($A$1,[1]characters!$1:$1,0)+1),MATCH(D$1,[1]characters!$1:$1,0)-MATCH($A$1,[1]characters!$1:$1,0)+1,FALSE)</f>
        <v>執行者</v>
      </c>
      <c r="E10" s="53" t="str">
        <f ca="1">VLOOKUP($A10,OFFSET([1]characters!$A$1,0,0,COUNTA([1]characters!$A:$A),MATCH(E$1,[1]characters!$1:$1,0)-MATCH($A$1,[1]characters!$1:$1,0)+1),MATCH(E$1,[1]characters!$1:$1,0)-MATCH($A$1,[1]characters!$1:$1,0)+1,FALSE)</f>
        <v>格好いい</v>
      </c>
      <c r="F10" s="53" t="str">
        <f ca="1">VLOOKUP($A10,OFFSET([1]characters!$A$1,0,0,COUNTA([1]characters!$A:$A),MATCH(F$1,[1]characters!$1:$1,0)-MATCH($A$1,[1]characters!$1:$1,0)+1),MATCH(F$1,[1]characters!$1:$1,0)-MATCH($A$1,[1]characters!$1:$1,0)+1,FALSE)</f>
        <v>女性</v>
      </c>
      <c r="G10" s="53">
        <f ca="1">VLOOKUP($A10,OFFSET([1]characters!$A$1,0,0,COUNTA([1]characters!$A:$A),MATCH(G$1,[1]characters!$1:$1,0)-MATCH($A$1,[1]characters!$1:$1,0)+1),MATCH(G$1,[1]characters!$1:$1,0)-MATCH($A$1,[1]characters!$1:$1,0)+1,FALSE)</f>
        <v>4</v>
      </c>
      <c r="H10" s="53" t="str">
        <f ca="1">VLOOKUP($A10,OFFSET([1]characters!$A$1,0,0,COUNTA([1]characters!$A:$A),MATCH(H$1,[1]characters!$1:$1,0)-MATCH($A$1,[1]characters!$1:$1,0)+1),MATCH(H$1,[1]characters!$1:$1,0)-MATCH($A$1,[1]characters!$1:$1,0)+1,FALSE)</f>
        <v>PremiumS</v>
      </c>
      <c r="I10" s="53" t="str">
        <f ca="1">VLOOKUP($A10,OFFSET([1]characters!$A$1,0,0,COUNTA([1]characters!$A:$A),MATCH(I$1,[1]characters!$1:$1,0)-MATCH($A$1,[1]characters!$1:$1,0)+1),MATCH(I$1,[1]characters!$1:$1,0)-MATCH($A$1,[1]characters!$1:$1,0)+1,FALSE)</f>
        <v>red</v>
      </c>
      <c r="J10" s="53" t="str">
        <f ca="1">VLOOKUP($A10,OFFSET([1]characters!$A$1,0,0,COUNTA([1]characters!$A:$A),MATCH(J$1,[1]characters!$1:$1,0)-MATCH($A$1,[1]characters!$1:$1,0)+1),MATCH(J$1,[1]characters!$1:$1,0)-MATCH($A$1,[1]characters!$1:$1,0)+1,FALSE)</f>
        <v>none</v>
      </c>
      <c r="K10" s="5" t="str">
        <f ca="1">VLOOKUP(J10,[1]character_tribe_i18n!$A:$H,3,FALSE)</f>
        <v>種族なし</v>
      </c>
      <c r="L10" s="10" t="e">
        <f>VLOOKUP(#REF!,[1]character_tribe_i18n!$A:$H,4,FALSE)</f>
        <v>#REF!</v>
      </c>
      <c r="M10" s="10" t="e">
        <f>VLOOKUP(#REF!,[1]character_tribe_i18n!$A:$H,5,FALSE)</f>
        <v>#REF!</v>
      </c>
      <c r="N10" s="10" t="e">
        <f>VLOOKUP(#REF!,[1]character_tribe_i18n!$A:$H,6,FALSE)</f>
        <v>#REF!</v>
      </c>
      <c r="O10" s="10" t="e">
        <f>VLOOKUP(#REF!,[1]character_tribe_i18n!$A:$H,7,FALSE)</f>
        <v>#REF!</v>
      </c>
      <c r="P10" s="176" t="str">
        <f>VLOOKUP(Q10,[1]characters!$A:$AC,20)</f>
        <v>normal</v>
      </c>
      <c r="Q10" s="187">
        <v>1314</v>
      </c>
      <c r="R10" s="58" t="str">
        <f ca="1">IF(Q10="NULL","",VLOOKUP($Q10,OFFSET([1]characters!$A$1,0,0,COUNTA([1]characters!$A:$A),MATCH(R$1,[1]characters!$1:$1,0)-MATCH($A$1,[1]characters!$1:$1,0)+1),MATCH(R$1,[1]characters!$1:$1,0)-MATCH($A$1,[1]characters!$1:$1,0)+1,FALSE))</f>
        <v>救声の唱動 MEIKO</v>
      </c>
      <c r="S10" s="5">
        <f t="shared" ca="1" si="0"/>
        <v>550</v>
      </c>
      <c r="T10" s="58" t="str">
        <f ca="1">VLOOKUP($S10,OFFSET([1]characters!$A$1,0,0,COUNTA([1]characters!$A:$A),MATCH(T$1,[1]characters!$1:$1,0)-MATCH($A$1,[1]characters!$1:$1,0)+1),MATCH(T$1,[1]characters!$1:$1,0)-MATCH($A$1,[1]characters!$1:$1,0)+1,FALSE)</f>
        <v>解放の絶唱 MEIKO</v>
      </c>
      <c r="U10" s="10">
        <f ca="1">IF(Q10="NULL","NULL",VLOOKUP(G10,[2]ビット!$A$2:$B$7,2))</f>
        <v>50000</v>
      </c>
    </row>
    <row r="11" spans="1:21" ht="21" customHeight="1" x14ac:dyDescent="0.15">
      <c r="A11" s="190">
        <v>552</v>
      </c>
      <c r="B11" s="53" t="str">
        <f ca="1">VLOOKUP($A11,OFFSET([1]characters!$A$1,0,0,COUNTA([1]characters!$A:$A),MATCH(B$1,[1]characters!$1:$1,0)-MATCH($A$1,[1]characters!$1:$1,0)+1),MATCH(B$1,[1]characters!$1:$1,0)-MATCH($A$1,[1]characters!$1:$1,0)+1,FALSE)</f>
        <v>愉悦の愛唱 KAITO</v>
      </c>
      <c r="C11" s="53" t="str">
        <f ca="1">VLOOKUP($A11,OFFSET([1]characters!$A$1,0,0,COUNTA([1]characters!$A:$A),MATCH(C$1,[1]characters!$1:$1,0)-MATCH($A$1,[1]characters!$1:$1,0)+1),MATCH(C$1,[1]characters!$1:$1,0)-MATCH($A$1,[1]characters!$1:$1,0)+1,FALSE)</f>
        <v>ガチャ:ミクコラボ01</v>
      </c>
      <c r="D11" s="53" t="str">
        <f ca="1">VLOOKUP($A11,OFFSET([1]characters!$A$1,0,0,COUNTA([1]characters!$A:$A),MATCH(D$1,[1]characters!$1:$1,0)-MATCH($A$1,[1]characters!$1:$1,0)+1),MATCH(D$1,[1]characters!$1:$1,0)-MATCH($A$1,[1]characters!$1:$1,0)+1,FALSE)</f>
        <v>執行者</v>
      </c>
      <c r="E11" s="53" t="str">
        <f ca="1">VLOOKUP($A11,OFFSET([1]characters!$A$1,0,0,COUNTA([1]characters!$A:$A),MATCH(E$1,[1]characters!$1:$1,0)-MATCH($A$1,[1]characters!$1:$1,0)+1),MATCH(E$1,[1]characters!$1:$1,0)-MATCH($A$1,[1]characters!$1:$1,0)+1,FALSE)</f>
        <v>格好いい</v>
      </c>
      <c r="F11" s="53" t="str">
        <f ca="1">VLOOKUP($A11,OFFSET([1]characters!$A$1,0,0,COUNTA([1]characters!$A:$A),MATCH(F$1,[1]characters!$1:$1,0)-MATCH($A$1,[1]characters!$1:$1,0)+1),MATCH(F$1,[1]characters!$1:$1,0)-MATCH($A$1,[1]characters!$1:$1,0)+1,FALSE)</f>
        <v>男性</v>
      </c>
      <c r="G11" s="53">
        <f ca="1">VLOOKUP($A11,OFFSET([1]characters!$A$1,0,0,COUNTA([1]characters!$A:$A),MATCH(G$1,[1]characters!$1:$1,0)-MATCH($A$1,[1]characters!$1:$1,0)+1),MATCH(G$1,[1]characters!$1:$1,0)-MATCH($A$1,[1]characters!$1:$1,0)+1,FALSE)</f>
        <v>4</v>
      </c>
      <c r="H11" s="53" t="str">
        <f ca="1">VLOOKUP($A11,OFFSET([1]characters!$A$1,0,0,COUNTA([1]characters!$A:$A),MATCH(H$1,[1]characters!$1:$1,0)-MATCH($A$1,[1]characters!$1:$1,0)+1),MATCH(H$1,[1]characters!$1:$1,0)-MATCH($A$1,[1]characters!$1:$1,0)+1,FALSE)</f>
        <v>PremiumS</v>
      </c>
      <c r="I11" s="53" t="str">
        <f ca="1">VLOOKUP($A11,OFFSET([1]characters!$A$1,0,0,COUNTA([1]characters!$A:$A),MATCH(I$1,[1]characters!$1:$1,0)-MATCH($A$1,[1]characters!$1:$1,0)+1),MATCH(I$1,[1]characters!$1:$1,0)-MATCH($A$1,[1]characters!$1:$1,0)+1,FALSE)</f>
        <v>blue</v>
      </c>
      <c r="J11" s="53" t="str">
        <f ca="1">VLOOKUP($A11,OFFSET([1]characters!$A$1,0,0,COUNTA([1]characters!$A:$A),MATCH(J$1,[1]characters!$1:$1,0)-MATCH($A$1,[1]characters!$1:$1,0)+1),MATCH(J$1,[1]characters!$1:$1,0)-MATCH($A$1,[1]characters!$1:$1,0)+1,FALSE)</f>
        <v>none</v>
      </c>
      <c r="K11" s="5" t="str">
        <f ca="1">VLOOKUP(J11,[1]character_tribe_i18n!$A:$H,3,FALSE)</f>
        <v>種族なし</v>
      </c>
      <c r="L11" s="10" t="e">
        <f>VLOOKUP(#REF!,[1]character_tribe_i18n!$A:$H,4,FALSE)</f>
        <v>#REF!</v>
      </c>
      <c r="M11" s="10" t="e">
        <f>VLOOKUP(#REF!,[1]character_tribe_i18n!$A:$H,5,FALSE)</f>
        <v>#REF!</v>
      </c>
      <c r="N11" s="10" t="e">
        <f>VLOOKUP(#REF!,[1]character_tribe_i18n!$A:$H,6,FALSE)</f>
        <v>#REF!</v>
      </c>
      <c r="O11" s="10" t="e">
        <f>VLOOKUP(#REF!,[1]character_tribe_i18n!$A:$H,7,FALSE)</f>
        <v>#REF!</v>
      </c>
      <c r="P11" s="176" t="str">
        <f>VLOOKUP(Q11,[1]characters!$A:$AC,20)</f>
        <v>normal</v>
      </c>
      <c r="Q11" s="187">
        <v>1315</v>
      </c>
      <c r="R11" s="58" t="str">
        <f ca="1">IF(Q11="NULL","",VLOOKUP($Q11,OFFSET([1]characters!$A$1,0,0,COUNTA([1]characters!$A:$A),MATCH(R$1,[1]characters!$1:$1,0)-MATCH($A$1,[1]characters!$1:$1,0)+1),MATCH(R$1,[1]characters!$1:$1,0)-MATCH($A$1,[1]characters!$1:$1,0)+1,FALSE))</f>
        <v>快響の楽唱歌 KAITO</v>
      </c>
      <c r="S11" s="5">
        <f t="shared" ca="1" si="0"/>
        <v>552</v>
      </c>
      <c r="T11" s="58" t="str">
        <f ca="1">VLOOKUP($S11,OFFSET([1]characters!$A$1,0,0,COUNTA([1]characters!$A:$A),MATCH(T$1,[1]characters!$1:$1,0)-MATCH($A$1,[1]characters!$1:$1,0)+1),MATCH(T$1,[1]characters!$1:$1,0)-MATCH($A$1,[1]characters!$1:$1,0)+1,FALSE)</f>
        <v>愉悦の愛唱 KAITO</v>
      </c>
      <c r="U11" s="10">
        <f ca="1">IF(Q11="NULL","NULL",VLOOKUP(G11,[2]ビット!$A$2:$B$7,2))</f>
        <v>50000</v>
      </c>
    </row>
    <row r="12" spans="1:21" ht="21" customHeight="1" x14ac:dyDescent="0.15">
      <c r="A12" s="190">
        <v>1295</v>
      </c>
      <c r="B12" s="53" t="str">
        <f ca="1">VLOOKUP($A12,OFFSET([1]characters!$A$1,0,0,COUNTA([1]characters!$A:$A),MATCH(B$1,[1]characters!$1:$1,0)-MATCH($A$1,[1]characters!$1:$1,0)+1),MATCH(B$1,[1]characters!$1:$1,0)-MATCH($A$1,[1]characters!$1:$1,0)+1,FALSE)</f>
        <v>星空の舞奏 ラビット・ユキネ</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DropWizS</v>
      </c>
      <c r="I12" s="53" t="str">
        <f ca="1">VLOOKUP($A12,OFFSET([1]characters!$A$1,0,0,COUNTA([1]characters!$A:$A),MATCH(I$1,[1]characters!$1:$1,0)-MATCH($A$1,[1]characters!$1:$1,0)+1),MATCH(I$1,[1]characters!$1:$1,0)-MATCH($A$1,[1]characters!$1:$1,0)+1,FALSE)</f>
        <v>blue</v>
      </c>
      <c r="J12" s="53" t="str">
        <f ca="1">VLOOKUP($A12,OFFSET([1]characters!$A$1,0,0,COUNTA([1]characters!$A:$A),MATCH(J$1,[1]characters!$1:$1,0)-MATCH($A$1,[1]characters!$1:$1,0)+1),MATCH(J$1,[1]characters!$1:$1,0)-MATCH($A$1,[1]characters!$1:$1,0)+1,FALSE)</f>
        <v>none</v>
      </c>
      <c r="K12" s="5" t="str">
        <f ca="1">VLOOKUP(J12,[1]character_tribe_i18n!$A:$H,3,FALSE)</f>
        <v>種族なし</v>
      </c>
      <c r="L12" s="10" t="e">
        <f>VLOOKUP(#REF!,[1]character_tribe_i18n!$A:$H,4,FALSE)</f>
        <v>#REF!</v>
      </c>
      <c r="M12" s="10" t="e">
        <f>VLOOKUP(#REF!,[1]character_tribe_i18n!$A:$H,5,FALSE)</f>
        <v>#REF!</v>
      </c>
      <c r="N12" s="10" t="e">
        <f>VLOOKUP(#REF!,[1]character_tribe_i18n!$A:$H,6,FALSE)</f>
        <v>#REF!</v>
      </c>
      <c r="O12" s="10" t="e">
        <f>VLOOKUP(#REF!,[1]character_tribe_i18n!$A:$H,7,FALSE)</f>
        <v>#REF!</v>
      </c>
      <c r="P12" s="176" t="str">
        <f>VLOOKUP(Q12,[1]characters!$A:$AC,20)</f>
        <v>normal</v>
      </c>
      <c r="Q12" s="187">
        <v>1296</v>
      </c>
      <c r="R12" s="58" t="str">
        <f ca="1">IF(Q12="NULL","",VLOOKUP($Q12,OFFSET([1]characters!$A$1,0,0,COUNTA([1]characters!$A:$A),MATCH(R$1,[1]characters!$1:$1,0)-MATCH($A$1,[1]characters!$1:$1,0)+1),MATCH(R$1,[1]characters!$1:$1,0)-MATCH($A$1,[1]characters!$1:$1,0)+1,FALSE))</f>
        <v>星々駆ける乱奏 ラビット・ユキネ</v>
      </c>
      <c r="S12" s="5">
        <f t="shared" ca="1" si="0"/>
        <v>1295</v>
      </c>
      <c r="T12" s="58" t="str">
        <f ca="1">VLOOKUP($S12,OFFSET([1]characters!$A$1,0,0,COUNTA([1]characters!$A:$A),MATCH(T$1,[1]characters!$1:$1,0)-MATCH($A$1,[1]characters!$1:$1,0)+1),MATCH(T$1,[1]characters!$1:$1,0)-MATCH($A$1,[1]characters!$1:$1,0)+1,FALSE)</f>
        <v>星空の舞奏 ラビット・ユキネ</v>
      </c>
      <c r="U12" s="10">
        <f ca="1">IF(Q12="NULL","NULL",VLOOKUP(G12,[2]ビット!$A$2:$B$7,2))</f>
        <v>200000</v>
      </c>
    </row>
    <row r="13" spans="1:21" ht="21" customHeight="1" x14ac:dyDescent="0.15">
      <c r="A13" s="190">
        <v>1297</v>
      </c>
      <c r="B13" s="53" t="str">
        <f ca="1">VLOOKUP($A13,OFFSET([1]characters!$A$1,0,0,COUNTA([1]characters!$A:$A),MATCH(B$1,[1]characters!$1:$1,0)-MATCH($A$1,[1]characters!$1:$1,0)+1),MATCH(B$1,[1]characters!$1:$1,0)-MATCH($A$1,[1]characters!$1:$1,0)+1,FALSE)</f>
        <v>雪ミク2017</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5</v>
      </c>
      <c r="H13" s="53" t="str">
        <f ca="1">VLOOKUP($A13,OFFSET([1]characters!$A$1,0,0,COUNTA([1]characters!$A:$A),MATCH(H$1,[1]characters!$1:$1,0)-MATCH($A$1,[1]characters!$1:$1,0)+1),MATCH(H$1,[1]characters!$1:$1,0)-MATCH($A$1,[1]characters!$1:$1,0)+1,FALSE)</f>
        <v>DropWizS</v>
      </c>
      <c r="I13" s="53" t="str">
        <f ca="1">VLOOKUP($A13,OFFSET([1]characters!$A$1,0,0,COUNTA([1]characters!$A:$A),MATCH(I$1,[1]characters!$1:$1,0)-MATCH($A$1,[1]characters!$1:$1,0)+1),MATCH(I$1,[1]characters!$1:$1,0)-MATCH($A$1,[1]characters!$1:$1,0)+1,FALSE)</f>
        <v>green</v>
      </c>
      <c r="J13" s="53" t="str">
        <f ca="1">VLOOKUP($A13,OFFSET([1]characters!$A$1,0,0,COUNTA([1]characters!$A:$A),MATCH(J$1,[1]characters!$1:$1,0)-MATCH($A$1,[1]characters!$1:$1,0)+1),MATCH(J$1,[1]characters!$1:$1,0)-MATCH($A$1,[1]characters!$1:$1,0)+1,FALSE)</f>
        <v>none</v>
      </c>
      <c r="K13" s="5" t="str">
        <f ca="1">VLOOKUP(J13,[1]character_tribe_i18n!$A:$H,3,FALSE)</f>
        <v>種族なし</v>
      </c>
      <c r="L13" s="10" t="e">
        <f>VLOOKUP(#REF!,[1]character_tribe_i18n!$A:$H,4,FALSE)</f>
        <v>#REF!</v>
      </c>
      <c r="M13" s="10" t="e">
        <f>VLOOKUP(#REF!,[1]character_tribe_i18n!$A:$H,5,FALSE)</f>
        <v>#REF!</v>
      </c>
      <c r="N13" s="10" t="e">
        <f>VLOOKUP(#REF!,[1]character_tribe_i18n!$A:$H,6,FALSE)</f>
        <v>#REF!</v>
      </c>
      <c r="O13" s="10" t="e">
        <f>VLOOKUP(#REF!,[1]character_tribe_i18n!$A:$H,7,FALSE)</f>
        <v>#REF!</v>
      </c>
      <c r="P13" s="176" t="str">
        <f>VLOOKUP(Q13,[1]characters!$A:$AC,20)</f>
        <v>normal</v>
      </c>
      <c r="Q13" s="187">
        <v>1298</v>
      </c>
      <c r="R13" s="58" t="str">
        <f ca="1">IF(Q13="NULL","",VLOOKUP($Q13,OFFSET([1]characters!$A$1,0,0,COUNTA([1]characters!$A:$A),MATCH(R$1,[1]characters!$1:$1,0)-MATCH($A$1,[1]characters!$1:$1,0)+1),MATCH(R$1,[1]characters!$1:$1,0)-MATCH($A$1,[1]characters!$1:$1,0)+1,FALSE))</f>
        <v>星空の歌姫 雪ミク2017</v>
      </c>
      <c r="S13" s="5">
        <f t="shared" ca="1" si="0"/>
        <v>1297</v>
      </c>
      <c r="T13" s="58" t="str">
        <f ca="1">VLOOKUP($S13,OFFSET([1]characters!$A$1,0,0,COUNTA([1]characters!$A:$A),MATCH(T$1,[1]characters!$1:$1,0)-MATCH($A$1,[1]characters!$1:$1,0)+1),MATCH(T$1,[1]characters!$1:$1,0)-MATCH($A$1,[1]characters!$1:$1,0)+1,FALSE)</f>
        <v>雪ミク2017</v>
      </c>
      <c r="U13" s="10">
        <f ca="1">IF(Q13="NULL","NULL",VLOOKUP(G13,[2]ビット!$A$2:$B$7,2))</f>
        <v>200000</v>
      </c>
    </row>
    <row r="14" spans="1:21" ht="21" customHeight="1" x14ac:dyDescent="0.15">
      <c r="A14" s="190">
        <v>1300</v>
      </c>
      <c r="B14" s="53" t="str">
        <f ca="1">VLOOKUP($A14,OFFSET([1]characters!$A$1,0,0,COUNTA([1]characters!$A:$A),MATCH(B$1,[1]characters!$1:$1,0)-MATCH($A$1,[1]characters!$1:$1,0)+1),MATCH(B$1,[1]characters!$1:$1,0)-MATCH($A$1,[1]characters!$1:$1,0)+1,FALSE)</f>
        <v>歌装の彩唱 紫式部</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DropWizS</v>
      </c>
      <c r="I14" s="53" t="str">
        <f ca="1">VLOOKUP($A14,OFFSET([1]characters!$A$1,0,0,COUNTA([1]characters!$A:$A),MATCH(I$1,[1]characters!$1:$1,0)-MATCH($A$1,[1]characters!$1:$1,0)+1),MATCH(I$1,[1]characters!$1:$1,0)-MATCH($A$1,[1]characters!$1:$1,0)+1,FALSE)</f>
        <v>green</v>
      </c>
      <c r="J14" s="53" t="str">
        <f ca="1">VLOOKUP($A14,OFFSET([1]characters!$A$1,0,0,COUNTA([1]characters!$A:$A),MATCH(J$1,[1]characters!$1:$1,0)-MATCH($A$1,[1]characters!$1:$1,0)+1),MATCH(J$1,[1]characters!$1:$1,0)-MATCH($A$1,[1]characters!$1:$1,0)+1,FALSE)</f>
        <v>none</v>
      </c>
      <c r="K14" s="5" t="str">
        <f ca="1">VLOOKUP(J14,[1]character_tribe_i18n!$A:$H,3,FALSE)</f>
        <v>種族なし</v>
      </c>
      <c r="L14" s="10" t="e">
        <f>VLOOKUP(#REF!,[1]character_tribe_i18n!$A:$H,4,FALSE)</f>
        <v>#REF!</v>
      </c>
      <c r="M14" s="10" t="e">
        <f>VLOOKUP(#REF!,[1]character_tribe_i18n!$A:$H,5,FALSE)</f>
        <v>#REF!</v>
      </c>
      <c r="N14" s="10" t="e">
        <f>VLOOKUP(#REF!,[1]character_tribe_i18n!$A:$H,6,FALSE)</f>
        <v>#REF!</v>
      </c>
      <c r="O14" s="10" t="e">
        <f>VLOOKUP(#REF!,[1]character_tribe_i18n!$A:$H,7,FALSE)</f>
        <v>#REF!</v>
      </c>
      <c r="P14" s="176" t="str">
        <f>VLOOKUP(Q14,[1]characters!$A:$AC,20)</f>
        <v>normal</v>
      </c>
      <c r="Q14" s="187">
        <v>1301</v>
      </c>
      <c r="R14" s="58" t="str">
        <f ca="1">IF(Q14="NULL","",VLOOKUP($Q14,OFFSET([1]characters!$A$1,0,0,COUNTA([1]characters!$A:$A),MATCH(R$1,[1]characters!$1:$1,0)-MATCH($A$1,[1]characters!$1:$1,0)+1),MATCH(R$1,[1]characters!$1:$1,0)-MATCH($A$1,[1]characters!$1:$1,0)+1,FALSE))</f>
        <v>歌装の萌響女 紫式部</v>
      </c>
      <c r="S14" s="5">
        <f t="shared" ca="1" si="0"/>
        <v>1300</v>
      </c>
      <c r="T14" s="58" t="str">
        <f ca="1">VLOOKUP($S14,OFFSET([1]characters!$A$1,0,0,COUNTA([1]characters!$A:$A),MATCH(T$1,[1]characters!$1:$1,0)-MATCH($A$1,[1]characters!$1:$1,0)+1),MATCH(T$1,[1]characters!$1:$1,0)-MATCH($A$1,[1]characters!$1:$1,0)+1,FALSE)</f>
        <v>歌装の彩唱 紫式部</v>
      </c>
      <c r="U14" s="10">
        <f ca="1">IF(Q14="NULL","NULL",VLOOKUP(G14,[2]ビット!$A$2:$B$7,2))</f>
        <v>200000</v>
      </c>
    </row>
    <row r="15" spans="1:21" ht="21" customHeight="1" x14ac:dyDescent="0.15">
      <c r="A15" s="190">
        <v>1302</v>
      </c>
      <c r="B15" s="53" t="str">
        <f ca="1">VLOOKUP($A15,OFFSET([1]characters!$A$1,0,0,COUNTA([1]characters!$A:$A),MATCH(B$1,[1]characters!$1:$1,0)-MATCH($A$1,[1]characters!$1:$1,0)+1),MATCH(B$1,[1]characters!$1:$1,0)-MATCH($A$1,[1]characters!$1:$1,0)+1,FALSE)</f>
        <v>超天突符 イナバ</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5</v>
      </c>
      <c r="H15" s="53" t="str">
        <f ca="1">VLOOKUP($A15,OFFSET([1]characters!$A$1,0,0,COUNTA([1]characters!$A:$A),MATCH(H$1,[1]characters!$1:$1,0)-MATCH($A$1,[1]characters!$1:$1,0)+1),MATCH(H$1,[1]characters!$1:$1,0)-MATCH($A$1,[1]characters!$1:$1,0)+1,FALSE)</f>
        <v>DropWizS</v>
      </c>
      <c r="I15" s="53" t="str">
        <f ca="1">VLOOKUP($A15,OFFSET([1]characters!$A$1,0,0,COUNTA([1]characters!$A:$A),MATCH(I$1,[1]characters!$1:$1,0)-MATCH($A$1,[1]characters!$1:$1,0)+1),MATCH(I$1,[1]characters!$1:$1,0)-MATCH($A$1,[1]characters!$1:$1,0)+1,FALSE)</f>
        <v>yellow</v>
      </c>
      <c r="J15" s="53" t="str">
        <f ca="1">VLOOKUP($A15,OFFSET([1]characters!$A$1,0,0,COUNTA([1]characters!$A:$A),MATCH(J$1,[1]characters!$1:$1,0)-MATCH($A$1,[1]characters!$1:$1,0)+1),MATCH(J$1,[1]characters!$1:$1,0)-MATCH($A$1,[1]characters!$1:$1,0)+1,FALSE)</f>
        <v>none</v>
      </c>
      <c r="K15" s="5" t="str">
        <f ca="1">VLOOKUP(J15,[1]character_tribe_i18n!$A:$H,3,FALSE)</f>
        <v>種族なし</v>
      </c>
      <c r="L15" s="10" t="e">
        <f>VLOOKUP(#REF!,[1]character_tribe_i18n!$A:$H,4,FALSE)</f>
        <v>#REF!</v>
      </c>
      <c r="M15" s="10" t="e">
        <f>VLOOKUP(#REF!,[1]character_tribe_i18n!$A:$H,5,FALSE)</f>
        <v>#REF!</v>
      </c>
      <c r="N15" s="10" t="e">
        <f>VLOOKUP(#REF!,[1]character_tribe_i18n!$A:$H,6,FALSE)</f>
        <v>#REF!</v>
      </c>
      <c r="O15" s="10" t="e">
        <f>VLOOKUP(#REF!,[1]character_tribe_i18n!$A:$H,7,FALSE)</f>
        <v>#REF!</v>
      </c>
      <c r="P15" s="176" t="str">
        <f>VLOOKUP(Q15,[1]characters!$A:$AC,20)</f>
        <v>normal</v>
      </c>
      <c r="Q15" s="187">
        <v>1303</v>
      </c>
      <c r="R15" s="58" t="str">
        <f ca="1">IF(Q15="NULL","",VLOOKUP($Q15,OFFSET([1]characters!$A$1,0,0,COUNTA([1]characters!$A:$A),MATCH(R$1,[1]characters!$1:$1,0)-MATCH($A$1,[1]characters!$1:$1,0)+1),MATCH(R$1,[1]characters!$1:$1,0)-MATCH($A$1,[1]characters!$1:$1,0)+1,FALSE))</f>
        <v>転調･超天突符 イナバ</v>
      </c>
      <c r="S15" s="5">
        <f t="shared" ca="1" si="0"/>
        <v>1302</v>
      </c>
      <c r="T15" s="58" t="str">
        <f ca="1">VLOOKUP($S15,OFFSET([1]characters!$A$1,0,0,COUNTA([1]characters!$A:$A),MATCH(T$1,[1]characters!$1:$1,0)-MATCH($A$1,[1]characters!$1:$1,0)+1),MATCH(T$1,[1]characters!$1:$1,0)-MATCH($A$1,[1]characters!$1:$1,0)+1,FALSE)</f>
        <v>超天突符 イナバ</v>
      </c>
      <c r="U15" s="10">
        <f ca="1">IF(Q15="NULL","NULL",VLOOKUP(G15,[2]ビット!$A$2:$B$7,2))</f>
        <v>200000</v>
      </c>
    </row>
    <row r="16" spans="1:21" ht="21" customHeight="1" x14ac:dyDescent="0.15">
      <c r="A16" s="190">
        <v>1304</v>
      </c>
      <c r="B16" s="53" t="str">
        <f ca="1">VLOOKUP($A16,OFFSET([1]characters!$A$1,0,0,COUNTA([1]characters!$A:$A),MATCH(B$1,[1]characters!$1:$1,0)-MATCH($A$1,[1]characters!$1:$1,0)+1),MATCH(B$1,[1]characters!$1:$1,0)-MATCH($A$1,[1]characters!$1:$1,0)+1,FALSE)</f>
        <v>演鼠の響笛音 ハーメルン</v>
      </c>
      <c r="C16" s="53">
        <f ca="1">VLOOKUP($A16,OFFSET([1]characters!$A$1,0,0,COUNTA([1]characters!$A:$A),MATCH(C$1,[1]characters!$1:$1,0)-MATCH($A$1,[1]characters!$1:$1,0)+1),MATCH(C$1,[1]characters!$1:$1,0)-MATCH($A$1,[1]characters!$1:$1,0)+1,FALSE)</f>
        <v>0</v>
      </c>
      <c r="D16" s="53">
        <f ca="1">VLOOKUP($A16,OFFSET([1]characters!$A$1,0,0,COUNTA([1]characters!$A:$A),MATCH(D$1,[1]characters!$1:$1,0)-MATCH($A$1,[1]characters!$1:$1,0)+1),MATCH(D$1,[1]characters!$1:$1,0)-MATCH($A$1,[1]characters!$1:$1,0)+1,FALSE)</f>
        <v>0</v>
      </c>
      <c r="E16" s="53">
        <f ca="1">VLOOKUP($A16,OFFSET([1]characters!$A$1,0,0,COUNTA([1]characters!$A:$A),MATCH(E$1,[1]characters!$1:$1,0)-MATCH($A$1,[1]characters!$1:$1,0)+1),MATCH(E$1,[1]characters!$1:$1,0)-MATCH($A$1,[1]characters!$1:$1,0)+1,FALSE)</f>
        <v>0</v>
      </c>
      <c r="F16" s="53">
        <f ca="1">VLOOKUP($A16,OFFSET([1]characters!$A$1,0,0,COUNTA([1]characters!$A:$A),MATCH(F$1,[1]characters!$1:$1,0)-MATCH($A$1,[1]characters!$1:$1,0)+1),MATCH(F$1,[1]characters!$1:$1,0)-MATCH($A$1,[1]characters!$1:$1,0)+1,FALSE)</f>
        <v>0</v>
      </c>
      <c r="G16" s="53">
        <f ca="1">VLOOKUP($A16,OFFSET([1]characters!$A$1,0,0,COUNTA([1]characters!$A:$A),MATCH(G$1,[1]characters!$1:$1,0)-MATCH($A$1,[1]characters!$1:$1,0)+1),MATCH(G$1,[1]characters!$1:$1,0)-MATCH($A$1,[1]characters!$1:$1,0)+1,FALSE)</f>
        <v>5</v>
      </c>
      <c r="H16" s="53" t="str">
        <f ca="1">VLOOKUP($A16,OFFSET([1]characters!$A$1,0,0,COUNTA([1]characters!$A:$A),MATCH(H$1,[1]characters!$1:$1,0)-MATCH($A$1,[1]characters!$1:$1,0)+1),MATCH(H$1,[1]characters!$1:$1,0)-MATCH($A$1,[1]characters!$1:$1,0)+1,FALSE)</f>
        <v>DropWizS</v>
      </c>
      <c r="I16" s="53" t="str">
        <f ca="1">VLOOKUP($A16,OFFSET([1]characters!$A$1,0,0,COUNTA([1]characters!$A:$A),MATCH(I$1,[1]characters!$1:$1,0)-MATCH($A$1,[1]characters!$1:$1,0)+1),MATCH(I$1,[1]characters!$1:$1,0)-MATCH($A$1,[1]characters!$1:$1,0)+1,FALSE)</f>
        <v>blue</v>
      </c>
      <c r="J16" s="53" t="str">
        <f ca="1">VLOOKUP($A16,OFFSET([1]characters!$A$1,0,0,COUNTA([1]characters!$A:$A),MATCH(J$1,[1]characters!$1:$1,0)-MATCH($A$1,[1]characters!$1:$1,0)+1),MATCH(J$1,[1]characters!$1:$1,0)-MATCH($A$1,[1]characters!$1:$1,0)+1,FALSE)</f>
        <v>none</v>
      </c>
      <c r="K16" s="5" t="str">
        <f ca="1">VLOOKUP(J16,[1]character_tribe_i18n!$A:$H,3,FALSE)</f>
        <v>種族なし</v>
      </c>
      <c r="L16" s="10" t="e">
        <f>VLOOKUP(#REF!,[1]character_tribe_i18n!$A:$H,4,FALSE)</f>
        <v>#REF!</v>
      </c>
      <c r="M16" s="10" t="e">
        <f>VLOOKUP(#REF!,[1]character_tribe_i18n!$A:$H,5,FALSE)</f>
        <v>#REF!</v>
      </c>
      <c r="N16" s="10" t="e">
        <f>VLOOKUP(#REF!,[1]character_tribe_i18n!$A:$H,6,FALSE)</f>
        <v>#REF!</v>
      </c>
      <c r="O16" s="10" t="e">
        <f>VLOOKUP(#REF!,[1]character_tribe_i18n!$A:$H,7,FALSE)</f>
        <v>#REF!</v>
      </c>
      <c r="P16" s="176" t="str">
        <f>VLOOKUP(Q16,[1]characters!$A:$AC,20)</f>
        <v>normal</v>
      </c>
      <c r="Q16" s="187">
        <v>1305</v>
      </c>
      <c r="R16" s="58" t="str">
        <f ca="1">IF(Q16="NULL","",VLOOKUP($Q16,OFFSET([1]characters!$A$1,0,0,COUNTA([1]characters!$A:$A),MATCH(R$1,[1]characters!$1:$1,0)-MATCH($A$1,[1]characters!$1:$1,0)+1),MATCH(R$1,[1]characters!$1:$1,0)-MATCH($A$1,[1]characters!$1:$1,0)+1,FALSE))</f>
        <v>響界廻る睡鼠楽 ハーメルン</v>
      </c>
      <c r="S16" s="5">
        <f t="shared" ca="1" si="0"/>
        <v>1304</v>
      </c>
      <c r="T16" s="58" t="str">
        <f ca="1">VLOOKUP($S16,OFFSET([1]characters!$A$1,0,0,COUNTA([1]characters!$A:$A),MATCH(T$1,[1]characters!$1:$1,0)-MATCH($A$1,[1]characters!$1:$1,0)+1),MATCH(T$1,[1]characters!$1:$1,0)-MATCH($A$1,[1]characters!$1:$1,0)+1,FALSE)</f>
        <v>演鼠の響笛音 ハーメルン</v>
      </c>
      <c r="U16" s="10">
        <f ca="1">IF(Q16="NULL","NULL",VLOOKUP(G16,[2]ビット!$A$2:$B$7,2))</f>
        <v>200000</v>
      </c>
    </row>
    <row r="17" spans="1:21" ht="21" customHeight="1" x14ac:dyDescent="0.15">
      <c r="A17" s="190">
        <v>1306</v>
      </c>
      <c r="B17" s="53" t="str">
        <f ca="1">VLOOKUP($A17,OFFSET([1]characters!$A$1,0,0,COUNTA([1]characters!$A:$A),MATCH(B$1,[1]characters!$1:$1,0)-MATCH($A$1,[1]characters!$1:$1,0)+1),MATCH(B$1,[1]characters!$1:$1,0)-MATCH($A$1,[1]characters!$1:$1,0)+1,FALSE)</f>
        <v>玉響の唱天 ルシファー</v>
      </c>
      <c r="C17" s="53">
        <f ca="1">VLOOKUP($A17,OFFSET([1]characters!$A$1,0,0,COUNTA([1]characters!$A:$A),MATCH(C$1,[1]characters!$1:$1,0)-MATCH($A$1,[1]characters!$1:$1,0)+1),MATCH(C$1,[1]characters!$1:$1,0)-MATCH($A$1,[1]characters!$1:$1,0)+1,FALSE)</f>
        <v>0</v>
      </c>
      <c r="D17" s="53">
        <f ca="1">VLOOKUP($A17,OFFSET([1]characters!$A$1,0,0,COUNTA([1]characters!$A:$A),MATCH(D$1,[1]characters!$1:$1,0)-MATCH($A$1,[1]characters!$1:$1,0)+1),MATCH(D$1,[1]characters!$1:$1,0)-MATCH($A$1,[1]characters!$1:$1,0)+1,FALSE)</f>
        <v>0</v>
      </c>
      <c r="E17" s="53">
        <f ca="1">VLOOKUP($A17,OFFSET([1]characters!$A$1,0,0,COUNTA([1]characters!$A:$A),MATCH(E$1,[1]characters!$1:$1,0)-MATCH($A$1,[1]characters!$1:$1,0)+1),MATCH(E$1,[1]characters!$1:$1,0)-MATCH($A$1,[1]characters!$1:$1,0)+1,FALSE)</f>
        <v>0</v>
      </c>
      <c r="F17" s="53">
        <f ca="1">VLOOKUP($A17,OFFSET([1]characters!$A$1,0,0,COUNTA([1]characters!$A:$A),MATCH(F$1,[1]characters!$1:$1,0)-MATCH($A$1,[1]characters!$1:$1,0)+1),MATCH(F$1,[1]characters!$1:$1,0)-MATCH($A$1,[1]characters!$1:$1,0)+1,FALSE)</f>
        <v>0</v>
      </c>
      <c r="G17" s="53">
        <f ca="1">VLOOKUP($A17,OFFSET([1]characters!$A$1,0,0,COUNTA([1]characters!$A:$A),MATCH(G$1,[1]characters!$1:$1,0)-MATCH($A$1,[1]characters!$1:$1,0)+1),MATCH(G$1,[1]characters!$1:$1,0)-MATCH($A$1,[1]characters!$1:$1,0)+1,FALSE)</f>
        <v>5</v>
      </c>
      <c r="H17" s="53" t="str">
        <f ca="1">VLOOKUP($A17,OFFSET([1]characters!$A$1,0,0,COUNTA([1]characters!$A:$A),MATCH(H$1,[1]characters!$1:$1,0)-MATCH($A$1,[1]characters!$1:$1,0)+1),MATCH(H$1,[1]characters!$1:$1,0)-MATCH($A$1,[1]characters!$1:$1,0)+1,FALSE)</f>
        <v>DropWizSS</v>
      </c>
      <c r="I17" s="53" t="str">
        <f ca="1">VLOOKUP($A17,OFFSET([1]characters!$A$1,0,0,COUNTA([1]characters!$A:$A),MATCH(I$1,[1]characters!$1:$1,0)-MATCH($A$1,[1]characters!$1:$1,0)+1),MATCH(I$1,[1]characters!$1:$1,0)-MATCH($A$1,[1]characters!$1:$1,0)+1,FALSE)</f>
        <v>yellow</v>
      </c>
      <c r="J17" s="53" t="str">
        <f ca="1">VLOOKUP($A17,OFFSET([1]characters!$A$1,0,0,COUNTA([1]characters!$A:$A),MATCH(J$1,[1]characters!$1:$1,0)-MATCH($A$1,[1]characters!$1:$1,0)+1),MATCH(J$1,[1]characters!$1:$1,0)-MATCH($A$1,[1]characters!$1:$1,0)+1,FALSE)</f>
        <v>none</v>
      </c>
      <c r="K17" s="5" t="str">
        <f ca="1">VLOOKUP(J17,[1]character_tribe_i18n!$A:$H,3,FALSE)</f>
        <v>種族なし</v>
      </c>
      <c r="L17" s="10" t="e">
        <f>VLOOKUP(#REF!,[1]character_tribe_i18n!$A:$H,4,FALSE)</f>
        <v>#REF!</v>
      </c>
      <c r="M17" s="10" t="e">
        <f>VLOOKUP(#REF!,[1]character_tribe_i18n!$A:$H,5,FALSE)</f>
        <v>#REF!</v>
      </c>
      <c r="N17" s="10" t="e">
        <f>VLOOKUP(#REF!,[1]character_tribe_i18n!$A:$H,6,FALSE)</f>
        <v>#REF!</v>
      </c>
      <c r="O17" s="10" t="e">
        <f>VLOOKUP(#REF!,[1]character_tribe_i18n!$A:$H,7,FALSE)</f>
        <v>#REF!</v>
      </c>
      <c r="P17" s="176" t="str">
        <f>VLOOKUP(Q17,[1]characters!$A:$AC,20)</f>
        <v>normal</v>
      </c>
      <c r="Q17" s="187">
        <v>1307</v>
      </c>
      <c r="R17" s="58" t="str">
        <f ca="1">IF(Q17="NULL","",VLOOKUP($Q17,OFFSET([1]characters!$A$1,0,0,COUNTA([1]characters!$A:$A),MATCH(R$1,[1]characters!$1:$1,0)-MATCH($A$1,[1]characters!$1:$1,0)+1),MATCH(R$1,[1]characters!$1:$1,0)-MATCH($A$1,[1]characters!$1:$1,0)+1,FALSE))</f>
        <v>彩翼の唱天史 ルシファー</v>
      </c>
      <c r="S17" s="5">
        <f t="shared" ca="1" si="0"/>
        <v>1306</v>
      </c>
      <c r="T17" s="58" t="str">
        <f ca="1">VLOOKUP($S17,OFFSET([1]characters!$A$1,0,0,COUNTA([1]characters!$A:$A),MATCH(T$1,[1]characters!$1:$1,0)-MATCH($A$1,[1]characters!$1:$1,0)+1),MATCH(T$1,[1]characters!$1:$1,0)-MATCH($A$1,[1]characters!$1:$1,0)+1,FALSE)</f>
        <v>玉響の唱天 ルシファー</v>
      </c>
      <c r="U17" s="10">
        <f ca="1">IF(Q17="NULL","NULL",VLOOKUP(G17,[2]ビット!$A$2:$B$7,2))</f>
        <v>200000</v>
      </c>
    </row>
    <row r="18" spans="1:21" ht="21" customHeight="1" x14ac:dyDescent="0.15">
      <c r="A18" s="190">
        <v>1309</v>
      </c>
      <c r="B18" s="53" t="str">
        <f ca="1">VLOOKUP($A18,OFFSET([1]characters!$A$1,0,0,COUNTA([1]characters!$A:$A),MATCH(B$1,[1]characters!$1:$1,0)-MATCH($A$1,[1]characters!$1:$1,0)+1),MATCH(B$1,[1]characters!$1:$1,0)-MATCH($A$1,[1]characters!$1:$1,0)+1,FALSE)</f>
        <v>虹彩の美唱姫 初音ミク・アペンド</v>
      </c>
      <c r="C18" s="53">
        <f ca="1">VLOOKUP($A18,OFFSET([1]characters!$A$1,0,0,COUNTA([1]characters!$A:$A),MATCH(C$1,[1]characters!$1:$1,0)-MATCH($A$1,[1]characters!$1:$1,0)+1),MATCH(C$1,[1]characters!$1:$1,0)-MATCH($A$1,[1]characters!$1:$1,0)+1,FALSE)</f>
        <v>0</v>
      </c>
      <c r="D18" s="53">
        <f ca="1">VLOOKUP($A18,OFFSET([1]characters!$A$1,0,0,COUNTA([1]characters!$A:$A),MATCH(D$1,[1]characters!$1:$1,0)-MATCH($A$1,[1]characters!$1:$1,0)+1),MATCH(D$1,[1]characters!$1:$1,0)-MATCH($A$1,[1]characters!$1:$1,0)+1,FALSE)</f>
        <v>0</v>
      </c>
      <c r="E18" s="53">
        <f ca="1">VLOOKUP($A18,OFFSET([1]characters!$A$1,0,0,COUNTA([1]characters!$A:$A),MATCH(E$1,[1]characters!$1:$1,0)-MATCH($A$1,[1]characters!$1:$1,0)+1),MATCH(E$1,[1]characters!$1:$1,0)-MATCH($A$1,[1]characters!$1:$1,0)+1,FALSE)</f>
        <v>0</v>
      </c>
      <c r="F18" s="53">
        <f ca="1">VLOOKUP($A18,OFFSET([1]characters!$A$1,0,0,COUNTA([1]characters!$A:$A),MATCH(F$1,[1]characters!$1:$1,0)-MATCH($A$1,[1]characters!$1:$1,0)+1),MATCH(F$1,[1]characters!$1:$1,0)-MATCH($A$1,[1]characters!$1:$1,0)+1,FALSE)</f>
        <v>0</v>
      </c>
      <c r="G18" s="53">
        <f ca="1">VLOOKUP($A18,OFFSET([1]characters!$A$1,0,0,COUNTA([1]characters!$A:$A),MATCH(G$1,[1]characters!$1:$1,0)-MATCH($A$1,[1]characters!$1:$1,0)+1),MATCH(G$1,[1]characters!$1:$1,0)-MATCH($A$1,[1]characters!$1:$1,0)+1,FALSE)</f>
        <v>6</v>
      </c>
      <c r="H18" s="53" t="str">
        <f ca="1">VLOOKUP($A18,OFFSET([1]characters!$A$1,0,0,COUNTA([1]characters!$A:$A),MATCH(H$1,[1]characters!$1:$1,0)-MATCH($A$1,[1]characters!$1:$1,0)+1),MATCH(H$1,[1]characters!$1:$1,0)-MATCH($A$1,[1]characters!$1:$1,0)+1,FALSE)</f>
        <v>PremiumSSS</v>
      </c>
      <c r="I18" s="53" t="str">
        <f ca="1">VLOOKUP($A18,OFFSET([1]characters!$A$1,0,0,COUNTA([1]characters!$A:$A),MATCH(I$1,[1]characters!$1:$1,0)-MATCH($A$1,[1]characters!$1:$1,0)+1),MATCH(I$1,[1]characters!$1:$1,0)-MATCH($A$1,[1]characters!$1:$1,0)+1,FALSE)</f>
        <v>green</v>
      </c>
      <c r="J18" s="53" t="str">
        <f ca="1">VLOOKUP($A18,OFFSET([1]characters!$A$1,0,0,COUNTA([1]characters!$A:$A),MATCH(J$1,[1]characters!$1:$1,0)-MATCH($A$1,[1]characters!$1:$1,0)+1),MATCH(J$1,[1]characters!$1:$1,0)-MATCH($A$1,[1]characters!$1:$1,0)+1,FALSE)</f>
        <v>none</v>
      </c>
      <c r="K18" s="5" t="str">
        <f ca="1">VLOOKUP(J18,[1]character_tribe_i18n!$A:$H,3,FALSE)</f>
        <v>種族なし</v>
      </c>
      <c r="L18" s="10" t="e">
        <f>VLOOKUP(#REF!,[1]character_tribe_i18n!$A:$H,4,FALSE)</f>
        <v>#REF!</v>
      </c>
      <c r="M18" s="10" t="e">
        <f>VLOOKUP(#REF!,[1]character_tribe_i18n!$A:$H,5,FALSE)</f>
        <v>#REF!</v>
      </c>
      <c r="N18" s="10" t="e">
        <f>VLOOKUP(#REF!,[1]character_tribe_i18n!$A:$H,6,FALSE)</f>
        <v>#REF!</v>
      </c>
      <c r="O18" s="10" t="e">
        <f>VLOOKUP(#REF!,[1]character_tribe_i18n!$A:$H,7,FALSE)</f>
        <v>#REF!</v>
      </c>
      <c r="P18" s="176" t="str">
        <f>VLOOKUP(Q18,[1]characters!$A:$AC,20)</f>
        <v>super</v>
      </c>
      <c r="Q18" s="187">
        <v>1310</v>
      </c>
      <c r="R18" s="58" t="str">
        <f ca="1">IF(Q18="NULL","",VLOOKUP($Q18,OFFSET([1]characters!$A$1,0,0,COUNTA([1]characters!$A:$A),MATCH(R$1,[1]characters!$1:$1,0)-MATCH($A$1,[1]characters!$1:$1,0)+1),MATCH(R$1,[1]characters!$1:$1,0)-MATCH($A$1,[1]characters!$1:$1,0)+1,FALSE))</f>
        <v>聖律する歌姫 初音ミク・アペンド</v>
      </c>
      <c r="S18" s="5">
        <f t="shared" ca="1" si="0"/>
        <v>540</v>
      </c>
      <c r="T18" s="58" t="str">
        <f ca="1">VLOOKUP($S18,OFFSET([1]characters!$A$1,0,0,COUNTA([1]characters!$A:$A),MATCH(T$1,[1]characters!$1:$1,0)-MATCH($A$1,[1]characters!$1:$1,0)+1),MATCH(T$1,[1]characters!$1:$1,0)-MATCH($A$1,[1]characters!$1:$1,0)+1,FALSE)</f>
        <v>来訪の歌姫 初音ミク・アペンド</v>
      </c>
      <c r="U18" s="10">
        <f ca="1">IF(Q18="NULL","NULL",VLOOKUP(G18,[2]ビット!$A$2:$B$7,2))</f>
        <v>200000</v>
      </c>
    </row>
    <row r="19" spans="1:21" ht="21" customHeight="1" x14ac:dyDescent="0.15">
      <c r="A19" s="190">
        <v>1310</v>
      </c>
      <c r="B19" s="53" t="str">
        <f ca="1">VLOOKUP($A19,OFFSET([1]characters!$A$1,0,0,COUNTA([1]characters!$A:$A),MATCH(B$1,[1]characters!$1:$1,0)-MATCH($A$1,[1]characters!$1:$1,0)+1),MATCH(B$1,[1]characters!$1:$1,0)-MATCH($A$1,[1]characters!$1:$1,0)+1,FALSE)</f>
        <v>聖律する歌姫 初音ミク・アペンド</v>
      </c>
      <c r="C19" s="53">
        <f ca="1">VLOOKUP($A19,OFFSET([1]characters!$A$1,0,0,COUNTA([1]characters!$A:$A),MATCH(C$1,[1]characters!$1:$1,0)-MATCH($A$1,[1]characters!$1:$1,0)+1),MATCH(C$1,[1]characters!$1:$1,0)-MATCH($A$1,[1]characters!$1:$1,0)+1,FALSE)</f>
        <v>0</v>
      </c>
      <c r="D19" s="53">
        <f ca="1">VLOOKUP($A19,OFFSET([1]characters!$A$1,0,0,COUNTA([1]characters!$A:$A),MATCH(D$1,[1]characters!$1:$1,0)-MATCH($A$1,[1]characters!$1:$1,0)+1),MATCH(D$1,[1]characters!$1:$1,0)-MATCH($A$1,[1]characters!$1:$1,0)+1,FALSE)</f>
        <v>0</v>
      </c>
      <c r="E19" s="53">
        <f ca="1">VLOOKUP($A19,OFFSET([1]characters!$A$1,0,0,COUNTA([1]characters!$A:$A),MATCH(E$1,[1]characters!$1:$1,0)-MATCH($A$1,[1]characters!$1:$1,0)+1),MATCH(E$1,[1]characters!$1:$1,0)-MATCH($A$1,[1]characters!$1:$1,0)+1,FALSE)</f>
        <v>0</v>
      </c>
      <c r="F19" s="53">
        <f ca="1">VLOOKUP($A19,OFFSET([1]characters!$A$1,0,0,COUNTA([1]characters!$A:$A),MATCH(F$1,[1]characters!$1:$1,0)-MATCH($A$1,[1]characters!$1:$1,0)+1),MATCH(F$1,[1]characters!$1:$1,0)-MATCH($A$1,[1]characters!$1:$1,0)+1,FALSE)</f>
        <v>0</v>
      </c>
      <c r="G19" s="53">
        <f ca="1">VLOOKUP($A19,OFFSET([1]characters!$A$1,0,0,COUNTA([1]characters!$A:$A),MATCH(G$1,[1]characters!$1:$1,0)-MATCH($A$1,[1]characters!$1:$1,0)+1),MATCH(G$1,[1]characters!$1:$1,0)-MATCH($A$1,[1]characters!$1:$1,0)+1,FALSE)</f>
        <v>6</v>
      </c>
      <c r="H19" s="53" t="str">
        <f ca="1">VLOOKUP($A19,OFFSET([1]characters!$A$1,0,0,COUNTA([1]characters!$A:$A),MATCH(H$1,[1]characters!$1:$1,0)-MATCH($A$1,[1]characters!$1:$1,0)+1),MATCH(H$1,[1]characters!$1:$1,0)-MATCH($A$1,[1]characters!$1:$1,0)+1,FALSE)</f>
        <v>PremiumSSS</v>
      </c>
      <c r="I19" s="53" t="str">
        <f ca="1">VLOOKUP($A19,OFFSET([1]characters!$A$1,0,0,COUNTA([1]characters!$A:$A),MATCH(I$1,[1]characters!$1:$1,0)-MATCH($A$1,[1]characters!$1:$1,0)+1),MATCH(I$1,[1]characters!$1:$1,0)-MATCH($A$1,[1]characters!$1:$1,0)+1,FALSE)</f>
        <v>green</v>
      </c>
      <c r="J19" s="53" t="str">
        <f ca="1">VLOOKUP($A19,OFFSET([1]characters!$A$1,0,0,COUNTA([1]characters!$A:$A),MATCH(J$1,[1]characters!$1:$1,0)-MATCH($A$1,[1]characters!$1:$1,0)+1),MATCH(J$1,[1]characters!$1:$1,0)-MATCH($A$1,[1]characters!$1:$1,0)+1,FALSE)</f>
        <v>none</v>
      </c>
      <c r="K19" s="5" t="str">
        <f ca="1">VLOOKUP(J19,[1]character_tribe_i18n!$A:$H,3,FALSE)</f>
        <v>種族なし</v>
      </c>
      <c r="L19" s="10" t="e">
        <f>VLOOKUP(#REF!,[1]character_tribe_i18n!$A:$H,4,FALSE)</f>
        <v>#REF!</v>
      </c>
      <c r="M19" s="10" t="e">
        <f>VLOOKUP(#REF!,[1]character_tribe_i18n!$A:$H,5,FALSE)</f>
        <v>#REF!</v>
      </c>
      <c r="N19" s="10" t="e">
        <f>VLOOKUP(#REF!,[1]character_tribe_i18n!$A:$H,6,FALSE)</f>
        <v>#REF!</v>
      </c>
      <c r="O19" s="10" t="e">
        <f>VLOOKUP(#REF!,[1]character_tribe_i18n!$A:$H,7,FALSE)</f>
        <v>#REF!</v>
      </c>
      <c r="P19" s="176" t="str">
        <f>VLOOKUP(Q19,[1]characters!$A:$AC,20)</f>
        <v>normal</v>
      </c>
      <c r="Q19" s="187">
        <v>1309</v>
      </c>
      <c r="R19" s="58" t="str">
        <f ca="1">IF(Q19="NULL","",VLOOKUP($Q19,OFFSET([1]characters!$A$1,0,0,COUNTA([1]characters!$A:$A),MATCH(R$1,[1]characters!$1:$1,0)-MATCH($A$1,[1]characters!$1:$1,0)+1),MATCH(R$1,[1]characters!$1:$1,0)-MATCH($A$1,[1]characters!$1:$1,0)+1,FALSE))</f>
        <v>虹彩の美唱姫 初音ミク・アペンド</v>
      </c>
      <c r="S19" s="5">
        <f t="shared" ca="1" si="0"/>
        <v>540</v>
      </c>
      <c r="T19" s="58" t="str">
        <f ca="1">VLOOKUP($S19,OFFSET([1]characters!$A$1,0,0,COUNTA([1]characters!$A:$A),MATCH(T$1,[1]characters!$1:$1,0)-MATCH($A$1,[1]characters!$1:$1,0)+1),MATCH(T$1,[1]characters!$1:$1,0)-MATCH($A$1,[1]characters!$1:$1,0)+1,FALSE)</f>
        <v>来訪の歌姫 初音ミク・アペンド</v>
      </c>
      <c r="U19" s="10">
        <f ca="1">IF(Q19="NULL","NULL",VLOOKUP(G19,[2]ビット!$A$2:$B$7,2))</f>
        <v>200000</v>
      </c>
    </row>
    <row r="20" spans="1:21" ht="21" customHeight="1" x14ac:dyDescent="0.15">
      <c r="A20" s="190">
        <v>1316</v>
      </c>
      <c r="B20" s="53" t="str">
        <f ca="1">VLOOKUP($A20,OFFSET([1]characters!$A$1,0,0,COUNTA([1]characters!$A:$A),MATCH(B$1,[1]characters!$1:$1,0)-MATCH($A$1,[1]characters!$1:$1,0)+1),MATCH(B$1,[1]characters!$1:$1,0)-MATCH($A$1,[1]characters!$1:$1,0)+1,FALSE)</f>
        <v>初音ミクV4X</v>
      </c>
      <c r="C20" s="53">
        <f ca="1">VLOOKUP($A20,OFFSET([1]characters!$A$1,0,0,COUNTA([1]characters!$A:$A),MATCH(C$1,[1]characters!$1:$1,0)-MATCH($A$1,[1]characters!$1:$1,0)+1),MATCH(C$1,[1]characters!$1:$1,0)-MATCH($A$1,[1]characters!$1:$1,0)+1,FALSE)</f>
        <v>0</v>
      </c>
      <c r="D20" s="53">
        <f ca="1">VLOOKUP($A20,OFFSET([1]characters!$A$1,0,0,COUNTA([1]characters!$A:$A),MATCH(D$1,[1]characters!$1:$1,0)-MATCH($A$1,[1]characters!$1:$1,0)+1),MATCH(D$1,[1]characters!$1:$1,0)-MATCH($A$1,[1]characters!$1:$1,0)+1,FALSE)</f>
        <v>0</v>
      </c>
      <c r="E20" s="53">
        <f ca="1">VLOOKUP($A20,OFFSET([1]characters!$A$1,0,0,COUNTA([1]characters!$A:$A),MATCH(E$1,[1]characters!$1:$1,0)-MATCH($A$1,[1]characters!$1:$1,0)+1),MATCH(E$1,[1]characters!$1:$1,0)-MATCH($A$1,[1]characters!$1:$1,0)+1,FALSE)</f>
        <v>0</v>
      </c>
      <c r="F20" s="53">
        <f ca="1">VLOOKUP($A20,OFFSET([1]characters!$A$1,0,0,COUNTA([1]characters!$A:$A),MATCH(F$1,[1]characters!$1:$1,0)-MATCH($A$1,[1]characters!$1:$1,0)+1),MATCH(F$1,[1]characters!$1:$1,0)-MATCH($A$1,[1]characters!$1:$1,0)+1,FALSE)</f>
        <v>0</v>
      </c>
      <c r="G20" s="53">
        <f ca="1">VLOOKUP($A20,OFFSET([1]characters!$A$1,0,0,COUNTA([1]characters!$A:$A),MATCH(G$1,[1]characters!$1:$1,0)-MATCH($A$1,[1]characters!$1:$1,0)+1),MATCH(G$1,[1]characters!$1:$1,0)-MATCH($A$1,[1]characters!$1:$1,0)+1,FALSE)</f>
        <v>5</v>
      </c>
      <c r="H20" s="53" t="str">
        <f ca="1">VLOOKUP($A20,OFFSET([1]characters!$A$1,0,0,COUNTA([1]characters!$A:$A),MATCH(H$1,[1]characters!$1:$1,0)-MATCH($A$1,[1]characters!$1:$1,0)+1),MATCH(H$1,[1]characters!$1:$1,0)-MATCH($A$1,[1]characters!$1:$1,0)+1,FALSE)</f>
        <v>PremiumSSS</v>
      </c>
      <c r="I20" s="53" t="str">
        <f ca="1">VLOOKUP($A20,OFFSET([1]characters!$A$1,0,0,COUNTA([1]characters!$A:$A),MATCH(I$1,[1]characters!$1:$1,0)-MATCH($A$1,[1]characters!$1:$1,0)+1),MATCH(I$1,[1]characters!$1:$1,0)-MATCH($A$1,[1]characters!$1:$1,0)+1,FALSE)</f>
        <v>green</v>
      </c>
      <c r="J20" s="53" t="str">
        <f ca="1">VLOOKUP($A20,OFFSET([1]characters!$A$1,0,0,COUNTA([1]characters!$A:$A),MATCH(J$1,[1]characters!$1:$1,0)-MATCH($A$1,[1]characters!$1:$1,0)+1),MATCH(J$1,[1]characters!$1:$1,0)-MATCH($A$1,[1]characters!$1:$1,0)+1,FALSE)</f>
        <v>none</v>
      </c>
      <c r="K20" s="5" t="str">
        <f ca="1">VLOOKUP(J20,[1]character_tribe_i18n!$A:$H,3,FALSE)</f>
        <v>種族なし</v>
      </c>
      <c r="L20" s="10" t="e">
        <f>VLOOKUP(#REF!,[1]character_tribe_i18n!$A:$H,4,FALSE)</f>
        <v>#REF!</v>
      </c>
      <c r="M20" s="10" t="e">
        <f>VLOOKUP(#REF!,[1]character_tribe_i18n!$A:$H,5,FALSE)</f>
        <v>#REF!</v>
      </c>
      <c r="N20" s="10" t="e">
        <f>VLOOKUP(#REF!,[1]character_tribe_i18n!$A:$H,6,FALSE)</f>
        <v>#REF!</v>
      </c>
      <c r="O20" s="10" t="e">
        <f>VLOOKUP(#REF!,[1]character_tribe_i18n!$A:$H,7,FALSE)</f>
        <v>#REF!</v>
      </c>
      <c r="P20" s="176" t="str">
        <f>VLOOKUP(Q20,[1]characters!$A:$AC,20)</f>
        <v>normal</v>
      </c>
      <c r="Q20" s="187">
        <v>1317</v>
      </c>
      <c r="R20" s="58" t="str">
        <f ca="1">IF(Q20="NULL","",VLOOKUP($Q20,OFFSET([1]characters!$A$1,0,0,COUNTA([1]characters!$A:$A),MATCH(R$1,[1]characters!$1:$1,0)-MATCH($A$1,[1]characters!$1:$1,0)+1),MATCH(R$1,[1]characters!$1:$1,0)-MATCH($A$1,[1]characters!$1:$1,0)+1,FALSE))</f>
        <v>進歌する声域 初音ミクV4X</v>
      </c>
      <c r="S20" s="5">
        <f t="shared" ca="1" si="0"/>
        <v>1316</v>
      </c>
      <c r="T20" s="58" t="str">
        <f ca="1">VLOOKUP($S20,OFFSET([1]characters!$A$1,0,0,COUNTA([1]characters!$A:$A),MATCH(T$1,[1]characters!$1:$1,0)-MATCH($A$1,[1]characters!$1:$1,0)+1),MATCH(T$1,[1]characters!$1:$1,0)-MATCH($A$1,[1]characters!$1:$1,0)+1,FALSE)</f>
        <v>初音ミクV4X</v>
      </c>
      <c r="U20" s="10">
        <f ca="1">IF(Q20="NULL","NULL",VLOOKUP(G20,[2]ビット!$A$2:$B$7,2))</f>
        <v>200000</v>
      </c>
    </row>
    <row r="21" spans="1:21" ht="21" customHeight="1" x14ac:dyDescent="0.15">
      <c r="A21" s="190">
        <v>1318</v>
      </c>
      <c r="B21" s="53" t="str">
        <f ca="1">VLOOKUP($A21,OFFSET([1]characters!$A$1,0,0,COUNTA([1]characters!$A:$A),MATCH(B$1,[1]characters!$1:$1,0)-MATCH($A$1,[1]characters!$1:$1,0)+1),MATCH(B$1,[1]characters!$1:$1,0)-MATCH($A$1,[1]characters!$1:$1,0)+1,FALSE)</f>
        <v>鏡音リンV4X</v>
      </c>
      <c r="C21" s="53">
        <f ca="1">VLOOKUP($A21,OFFSET([1]characters!$A$1,0,0,COUNTA([1]characters!$A:$A),MATCH(C$1,[1]characters!$1:$1,0)-MATCH($A$1,[1]characters!$1:$1,0)+1),MATCH(C$1,[1]characters!$1:$1,0)-MATCH($A$1,[1]characters!$1:$1,0)+1,FALSE)</f>
        <v>0</v>
      </c>
      <c r="D21" s="53">
        <f ca="1">VLOOKUP($A21,OFFSET([1]characters!$A$1,0,0,COUNTA([1]characters!$A:$A),MATCH(D$1,[1]characters!$1:$1,0)-MATCH($A$1,[1]characters!$1:$1,0)+1),MATCH(D$1,[1]characters!$1:$1,0)-MATCH($A$1,[1]characters!$1:$1,0)+1,FALSE)</f>
        <v>0</v>
      </c>
      <c r="E21" s="53">
        <f ca="1">VLOOKUP($A21,OFFSET([1]characters!$A$1,0,0,COUNTA([1]characters!$A:$A),MATCH(E$1,[1]characters!$1:$1,0)-MATCH($A$1,[1]characters!$1:$1,0)+1),MATCH(E$1,[1]characters!$1:$1,0)-MATCH($A$1,[1]characters!$1:$1,0)+1,FALSE)</f>
        <v>0</v>
      </c>
      <c r="F21" s="53">
        <f ca="1">VLOOKUP($A21,OFFSET([1]characters!$A$1,0,0,COUNTA([1]characters!$A:$A),MATCH(F$1,[1]characters!$1:$1,0)-MATCH($A$1,[1]characters!$1:$1,0)+1),MATCH(F$1,[1]characters!$1:$1,0)-MATCH($A$1,[1]characters!$1:$1,0)+1,FALSE)</f>
        <v>0</v>
      </c>
      <c r="G21" s="53">
        <f ca="1">VLOOKUP($A21,OFFSET([1]characters!$A$1,0,0,COUNTA([1]characters!$A:$A),MATCH(G$1,[1]characters!$1:$1,0)-MATCH($A$1,[1]characters!$1:$1,0)+1),MATCH(G$1,[1]characters!$1:$1,0)-MATCH($A$1,[1]characters!$1:$1,0)+1,FALSE)</f>
        <v>5</v>
      </c>
      <c r="H21" s="53" t="str">
        <f ca="1">VLOOKUP($A21,OFFSET([1]characters!$A$1,0,0,COUNTA([1]characters!$A:$A),MATCH(H$1,[1]characters!$1:$1,0)-MATCH($A$1,[1]characters!$1:$1,0)+1),MATCH(H$1,[1]characters!$1:$1,0)-MATCH($A$1,[1]characters!$1:$1,0)+1,FALSE)</f>
        <v>PremiumSS</v>
      </c>
      <c r="I21" s="53" t="str">
        <f ca="1">VLOOKUP($A21,OFFSET([1]characters!$A$1,0,0,COUNTA([1]characters!$A:$A),MATCH(I$1,[1]characters!$1:$1,0)-MATCH($A$1,[1]characters!$1:$1,0)+1),MATCH(I$1,[1]characters!$1:$1,0)-MATCH($A$1,[1]characters!$1:$1,0)+1,FALSE)</f>
        <v>yellow</v>
      </c>
      <c r="J21" s="53" t="str">
        <f ca="1">VLOOKUP($A21,OFFSET([1]characters!$A$1,0,0,COUNTA([1]characters!$A:$A),MATCH(J$1,[1]characters!$1:$1,0)-MATCH($A$1,[1]characters!$1:$1,0)+1),MATCH(J$1,[1]characters!$1:$1,0)-MATCH($A$1,[1]characters!$1:$1,0)+1,FALSE)</f>
        <v>none</v>
      </c>
      <c r="K21" s="5" t="str">
        <f ca="1">VLOOKUP(J21,[1]character_tribe_i18n!$A:$H,3,FALSE)</f>
        <v>種族なし</v>
      </c>
      <c r="L21" s="10" t="e">
        <f>VLOOKUP(#REF!,[1]character_tribe_i18n!$A:$H,4,FALSE)</f>
        <v>#REF!</v>
      </c>
      <c r="M21" s="10" t="e">
        <f>VLOOKUP(#REF!,[1]character_tribe_i18n!$A:$H,5,FALSE)</f>
        <v>#REF!</v>
      </c>
      <c r="N21" s="10" t="e">
        <f>VLOOKUP(#REF!,[1]character_tribe_i18n!$A:$H,6,FALSE)</f>
        <v>#REF!</v>
      </c>
      <c r="O21" s="10" t="e">
        <f>VLOOKUP(#REF!,[1]character_tribe_i18n!$A:$H,7,FALSE)</f>
        <v>#REF!</v>
      </c>
      <c r="P21" s="176" t="str">
        <f>VLOOKUP(Q21,[1]characters!$A:$AC,20)</f>
        <v>normal</v>
      </c>
      <c r="Q21" s="187">
        <v>1319</v>
      </c>
      <c r="R21" s="58" t="str">
        <f ca="1">IF(Q21="NULL","",VLOOKUP($Q21,OFFSET([1]characters!$A$1,0,0,COUNTA([1]characters!$A:$A),MATCH(R$1,[1]characters!$1:$1,0)-MATCH($A$1,[1]characters!$1:$1,0)+1),MATCH(R$1,[1]characters!$1:$1,0)-MATCH($A$1,[1]characters!$1:$1,0)+1,FALSE))</f>
        <v>甘恋の激唱歌 鏡音リンV4X</v>
      </c>
      <c r="S21" s="5">
        <f t="shared" ca="1" si="0"/>
        <v>1318</v>
      </c>
      <c r="T21" s="58" t="str">
        <f ca="1">VLOOKUP($S21,OFFSET([1]characters!$A$1,0,0,COUNTA([1]characters!$A:$A),MATCH(T$1,[1]characters!$1:$1,0)-MATCH($A$1,[1]characters!$1:$1,0)+1),MATCH(T$1,[1]characters!$1:$1,0)-MATCH($A$1,[1]characters!$1:$1,0)+1,FALSE)</f>
        <v>鏡音リンV4X</v>
      </c>
      <c r="U21" s="10">
        <f ca="1">IF(Q21="NULL","NULL",VLOOKUP(G21,[2]ビット!$A$2:$B$7,2))</f>
        <v>200000</v>
      </c>
    </row>
    <row r="22" spans="1:21" ht="21" customHeight="1" x14ac:dyDescent="0.15">
      <c r="A22" s="190">
        <v>1320</v>
      </c>
      <c r="B22" s="53" t="str">
        <f ca="1">VLOOKUP($A22,OFFSET([1]characters!$A$1,0,0,COUNTA([1]characters!$A:$A),MATCH(B$1,[1]characters!$1:$1,0)-MATCH($A$1,[1]characters!$1:$1,0)+1),MATCH(B$1,[1]characters!$1:$1,0)-MATCH($A$1,[1]characters!$1:$1,0)+1,FALSE)</f>
        <v>鏡音レンV4X</v>
      </c>
      <c r="C22" s="53">
        <f ca="1">VLOOKUP($A22,OFFSET([1]characters!$A$1,0,0,COUNTA([1]characters!$A:$A),MATCH(C$1,[1]characters!$1:$1,0)-MATCH($A$1,[1]characters!$1:$1,0)+1),MATCH(C$1,[1]characters!$1:$1,0)-MATCH($A$1,[1]characters!$1:$1,0)+1,FALSE)</f>
        <v>0</v>
      </c>
      <c r="D22" s="53">
        <f ca="1">VLOOKUP($A22,OFFSET([1]characters!$A$1,0,0,COUNTA([1]characters!$A:$A),MATCH(D$1,[1]characters!$1:$1,0)-MATCH($A$1,[1]characters!$1:$1,0)+1),MATCH(D$1,[1]characters!$1:$1,0)-MATCH($A$1,[1]characters!$1:$1,0)+1,FALSE)</f>
        <v>0</v>
      </c>
      <c r="E22" s="53">
        <f ca="1">VLOOKUP($A22,OFFSET([1]characters!$A$1,0,0,COUNTA([1]characters!$A:$A),MATCH(E$1,[1]characters!$1:$1,0)-MATCH($A$1,[1]characters!$1:$1,0)+1),MATCH(E$1,[1]characters!$1:$1,0)-MATCH($A$1,[1]characters!$1:$1,0)+1,FALSE)</f>
        <v>0</v>
      </c>
      <c r="F22" s="53">
        <f ca="1">VLOOKUP($A22,OFFSET([1]characters!$A$1,0,0,COUNTA([1]characters!$A:$A),MATCH(F$1,[1]characters!$1:$1,0)-MATCH($A$1,[1]characters!$1:$1,0)+1),MATCH(F$1,[1]characters!$1:$1,0)-MATCH($A$1,[1]characters!$1:$1,0)+1,FALSE)</f>
        <v>0</v>
      </c>
      <c r="G22" s="53">
        <f ca="1">VLOOKUP($A22,OFFSET([1]characters!$A$1,0,0,COUNTA([1]characters!$A:$A),MATCH(G$1,[1]characters!$1:$1,0)-MATCH($A$1,[1]characters!$1:$1,0)+1),MATCH(G$1,[1]characters!$1:$1,0)-MATCH($A$1,[1]characters!$1:$1,0)+1,FALSE)</f>
        <v>5</v>
      </c>
      <c r="H22" s="53" t="str">
        <f ca="1">VLOOKUP($A22,OFFSET([1]characters!$A$1,0,0,COUNTA([1]characters!$A:$A),MATCH(H$1,[1]characters!$1:$1,0)-MATCH($A$1,[1]characters!$1:$1,0)+1),MATCH(H$1,[1]characters!$1:$1,0)-MATCH($A$1,[1]characters!$1:$1,0)+1,FALSE)</f>
        <v>PremiumSS</v>
      </c>
      <c r="I22" s="53" t="str">
        <f ca="1">VLOOKUP($A22,OFFSET([1]characters!$A$1,0,0,COUNTA([1]characters!$A:$A),MATCH(I$1,[1]characters!$1:$1,0)-MATCH($A$1,[1]characters!$1:$1,0)+1),MATCH(I$1,[1]characters!$1:$1,0)-MATCH($A$1,[1]characters!$1:$1,0)+1,FALSE)</f>
        <v>yellow</v>
      </c>
      <c r="J22" s="53" t="str">
        <f ca="1">VLOOKUP($A22,OFFSET([1]characters!$A$1,0,0,COUNTA([1]characters!$A:$A),MATCH(J$1,[1]characters!$1:$1,0)-MATCH($A$1,[1]characters!$1:$1,0)+1),MATCH(J$1,[1]characters!$1:$1,0)-MATCH($A$1,[1]characters!$1:$1,0)+1,FALSE)</f>
        <v>none</v>
      </c>
      <c r="K22" s="5" t="str">
        <f ca="1">VLOOKUP(J22,[1]character_tribe_i18n!$A:$H,3,FALSE)</f>
        <v>種族なし</v>
      </c>
      <c r="L22" s="10" t="e">
        <f>VLOOKUP(#REF!,[1]character_tribe_i18n!$A:$H,4,FALSE)</f>
        <v>#REF!</v>
      </c>
      <c r="M22" s="10" t="e">
        <f>VLOOKUP(#REF!,[1]character_tribe_i18n!$A:$H,5,FALSE)</f>
        <v>#REF!</v>
      </c>
      <c r="N22" s="10" t="e">
        <f>VLOOKUP(#REF!,[1]character_tribe_i18n!$A:$H,6,FALSE)</f>
        <v>#REF!</v>
      </c>
      <c r="O22" s="10" t="e">
        <f>VLOOKUP(#REF!,[1]character_tribe_i18n!$A:$H,7,FALSE)</f>
        <v>#REF!</v>
      </c>
      <c r="P22" s="176" t="str">
        <f>VLOOKUP(Q22,[1]characters!$A:$AC,20)</f>
        <v>normal</v>
      </c>
      <c r="Q22" s="187">
        <v>1321</v>
      </c>
      <c r="R22" s="58" t="str">
        <f ca="1">IF(Q22="NULL","",VLOOKUP($Q22,OFFSET([1]characters!$A$1,0,0,COUNTA([1]characters!$A:$A),MATCH(R$1,[1]characters!$1:$1,0)-MATCH($A$1,[1]characters!$1:$1,0)+1),MATCH(R$1,[1]characters!$1:$1,0)-MATCH($A$1,[1]characters!$1:$1,0)+1,FALSE))</f>
        <v>純凛の柔唱歌 鏡音レンV4X</v>
      </c>
      <c r="S22" s="5">
        <f t="shared" ca="1" si="0"/>
        <v>1320</v>
      </c>
      <c r="T22" s="58" t="str">
        <f ca="1">VLOOKUP($S22,OFFSET([1]characters!$A$1,0,0,COUNTA([1]characters!$A:$A),MATCH(T$1,[1]characters!$1:$1,0)-MATCH($A$1,[1]characters!$1:$1,0)+1),MATCH(T$1,[1]characters!$1:$1,0)-MATCH($A$1,[1]characters!$1:$1,0)+1,FALSE)</f>
        <v>鏡音レンV4X</v>
      </c>
      <c r="U22" s="10">
        <f ca="1">IF(Q22="NULL","NULL",VLOOKUP(G22,[2]ビット!$A$2:$B$7,2))</f>
        <v>200000</v>
      </c>
    </row>
    <row r="23" spans="1:21" ht="21" customHeight="1" x14ac:dyDescent="0.15">
      <c r="A23" s="190">
        <v>1322</v>
      </c>
      <c r="B23" s="53" t="str">
        <f ca="1">VLOOKUP($A23,OFFSET([1]characters!$A$1,0,0,COUNTA([1]characters!$A:$A),MATCH(B$1,[1]characters!$1:$1,0)-MATCH($A$1,[1]characters!$1:$1,0)+1),MATCH(B$1,[1]characters!$1:$1,0)-MATCH($A$1,[1]characters!$1:$1,0)+1,FALSE)</f>
        <v>巡音ルカV4X</v>
      </c>
      <c r="C23" s="53">
        <f ca="1">VLOOKUP($A23,OFFSET([1]characters!$A$1,0,0,COUNTA([1]characters!$A:$A),MATCH(C$1,[1]characters!$1:$1,0)-MATCH($A$1,[1]characters!$1:$1,0)+1),MATCH(C$1,[1]characters!$1:$1,0)-MATCH($A$1,[1]characters!$1:$1,0)+1,FALSE)</f>
        <v>0</v>
      </c>
      <c r="D23" s="53">
        <f ca="1">VLOOKUP($A23,OFFSET([1]characters!$A$1,0,0,COUNTA([1]characters!$A:$A),MATCH(D$1,[1]characters!$1:$1,0)-MATCH($A$1,[1]characters!$1:$1,0)+1),MATCH(D$1,[1]characters!$1:$1,0)-MATCH($A$1,[1]characters!$1:$1,0)+1,FALSE)</f>
        <v>0</v>
      </c>
      <c r="E23" s="53">
        <f ca="1">VLOOKUP($A23,OFFSET([1]characters!$A$1,0,0,COUNTA([1]characters!$A:$A),MATCH(E$1,[1]characters!$1:$1,0)-MATCH($A$1,[1]characters!$1:$1,0)+1),MATCH(E$1,[1]characters!$1:$1,0)-MATCH($A$1,[1]characters!$1:$1,0)+1,FALSE)</f>
        <v>0</v>
      </c>
      <c r="F23" s="53">
        <f ca="1">VLOOKUP($A23,OFFSET([1]characters!$A$1,0,0,COUNTA([1]characters!$A:$A),MATCH(F$1,[1]characters!$1:$1,0)-MATCH($A$1,[1]characters!$1:$1,0)+1),MATCH(F$1,[1]characters!$1:$1,0)-MATCH($A$1,[1]characters!$1:$1,0)+1,FALSE)</f>
        <v>0</v>
      </c>
      <c r="G23" s="53">
        <f ca="1">VLOOKUP($A23,OFFSET([1]characters!$A$1,0,0,COUNTA([1]characters!$A:$A),MATCH(G$1,[1]characters!$1:$1,0)-MATCH($A$1,[1]characters!$1:$1,0)+1),MATCH(G$1,[1]characters!$1:$1,0)-MATCH($A$1,[1]characters!$1:$1,0)+1,FALSE)</f>
        <v>5</v>
      </c>
      <c r="H23" s="53" t="str">
        <f ca="1">VLOOKUP($A23,OFFSET([1]characters!$A$1,0,0,COUNTA([1]characters!$A:$A),MATCH(H$1,[1]characters!$1:$1,0)-MATCH($A$1,[1]characters!$1:$1,0)+1),MATCH(H$1,[1]characters!$1:$1,0)-MATCH($A$1,[1]characters!$1:$1,0)+1,FALSE)</f>
        <v>PremiumSS</v>
      </c>
      <c r="I23" s="53" t="str">
        <f ca="1">VLOOKUP($A23,OFFSET([1]characters!$A$1,0,0,COUNTA([1]characters!$A:$A),MATCH(I$1,[1]characters!$1:$1,0)-MATCH($A$1,[1]characters!$1:$1,0)+1),MATCH(I$1,[1]characters!$1:$1,0)-MATCH($A$1,[1]characters!$1:$1,0)+1,FALSE)</f>
        <v>red</v>
      </c>
      <c r="J23" s="53" t="str">
        <f ca="1">VLOOKUP($A23,OFFSET([1]characters!$A$1,0,0,COUNTA([1]characters!$A:$A),MATCH(J$1,[1]characters!$1:$1,0)-MATCH($A$1,[1]characters!$1:$1,0)+1),MATCH(J$1,[1]characters!$1:$1,0)-MATCH($A$1,[1]characters!$1:$1,0)+1,FALSE)</f>
        <v>none</v>
      </c>
      <c r="K23" s="5" t="str">
        <f ca="1">VLOOKUP(J23,[1]character_tribe_i18n!$A:$H,3,FALSE)</f>
        <v>種族なし</v>
      </c>
      <c r="L23" s="10" t="e">
        <f>VLOOKUP(#REF!,[1]character_tribe_i18n!$A:$H,4,FALSE)</f>
        <v>#REF!</v>
      </c>
      <c r="M23" s="10" t="e">
        <f>VLOOKUP(#REF!,[1]character_tribe_i18n!$A:$H,5,FALSE)</f>
        <v>#REF!</v>
      </c>
      <c r="N23" s="10" t="e">
        <f>VLOOKUP(#REF!,[1]character_tribe_i18n!$A:$H,6,FALSE)</f>
        <v>#REF!</v>
      </c>
      <c r="O23" s="10" t="e">
        <f>VLOOKUP(#REF!,[1]character_tribe_i18n!$A:$H,7,FALSE)</f>
        <v>#REF!</v>
      </c>
      <c r="P23" s="176" t="str">
        <f>VLOOKUP(Q23,[1]characters!$A:$AC,20)</f>
        <v>normal</v>
      </c>
      <c r="Q23" s="187">
        <v>1323</v>
      </c>
      <c r="R23" s="58" t="str">
        <f ca="1">IF(Q23="NULL","",VLOOKUP($Q23,OFFSET([1]characters!$A$1,0,0,COUNTA([1]characters!$A:$A),MATCH(R$1,[1]characters!$1:$1,0)-MATCH($A$1,[1]characters!$1:$1,0)+1),MATCH(R$1,[1]characters!$1:$1,0)-MATCH($A$1,[1]characters!$1:$1,0)+1,FALSE))</f>
        <v>吐鳴する響惹 巡音ルカV4X</v>
      </c>
      <c r="S23" s="5">
        <f t="shared" ca="1" si="0"/>
        <v>1322</v>
      </c>
      <c r="T23" s="58" t="str">
        <f ca="1">VLOOKUP($S23,OFFSET([1]characters!$A$1,0,0,COUNTA([1]characters!$A:$A),MATCH(T$1,[1]characters!$1:$1,0)-MATCH($A$1,[1]characters!$1:$1,0)+1),MATCH(T$1,[1]characters!$1:$1,0)-MATCH($A$1,[1]characters!$1:$1,0)+1,FALSE)</f>
        <v>巡音ルカV4X</v>
      </c>
      <c r="U23" s="10">
        <f ca="1">IF(Q23="NULL","NULL",VLOOKUP(G23,[2]ビット!$A$2:$B$7,2))</f>
        <v>200000</v>
      </c>
    </row>
  </sheetData>
  <autoFilter ref="A1:U2"/>
  <sortState ref="A2:U23">
    <sortCondition ref="A2:A23"/>
  </sortState>
  <phoneticPr fontId="22"/>
  <conditionalFormatting sqref="W1:W2 W24:W1048576">
    <cfRule type="cellIs" dxfId="45" priority="27" operator="equal">
      <formula>"FALSE"</formula>
    </cfRule>
  </conditionalFormatting>
  <conditionalFormatting sqref="W3">
    <cfRule type="cellIs" dxfId="44" priority="21" operator="equal">
      <formula>"FALSE"</formula>
    </cfRule>
  </conditionalFormatting>
  <conditionalFormatting sqref="W4">
    <cfRule type="cellIs" dxfId="43" priority="20" operator="equal">
      <formula>"FALSE"</formula>
    </cfRule>
  </conditionalFormatting>
  <conditionalFormatting sqref="W5">
    <cfRule type="cellIs" dxfId="42" priority="19" operator="equal">
      <formula>"FALSE"</formula>
    </cfRule>
  </conditionalFormatting>
  <conditionalFormatting sqref="W6">
    <cfRule type="cellIs" dxfId="41" priority="18" operator="equal">
      <formula>"FALSE"</formula>
    </cfRule>
  </conditionalFormatting>
  <conditionalFormatting sqref="W7">
    <cfRule type="cellIs" dxfId="40" priority="17" operator="equal">
      <formula>"FALSE"</formula>
    </cfRule>
  </conditionalFormatting>
  <conditionalFormatting sqref="W8">
    <cfRule type="cellIs" dxfId="39" priority="16" operator="equal">
      <formula>"FALSE"</formula>
    </cfRule>
  </conditionalFormatting>
  <conditionalFormatting sqref="W9">
    <cfRule type="cellIs" dxfId="38" priority="15" operator="equal">
      <formula>"FALSE"</formula>
    </cfRule>
  </conditionalFormatting>
  <conditionalFormatting sqref="W10">
    <cfRule type="cellIs" dxfId="37" priority="14" operator="equal">
      <formula>"FALSE"</formula>
    </cfRule>
  </conditionalFormatting>
  <conditionalFormatting sqref="W11">
    <cfRule type="cellIs" dxfId="36" priority="13" operator="equal">
      <formula>"FALSE"</formula>
    </cfRule>
  </conditionalFormatting>
  <conditionalFormatting sqref="W12">
    <cfRule type="cellIs" dxfId="35" priority="12" operator="equal">
      <formula>"FALSE"</formula>
    </cfRule>
  </conditionalFormatting>
  <conditionalFormatting sqref="W13">
    <cfRule type="cellIs" dxfId="34" priority="11" operator="equal">
      <formula>"FALSE"</formula>
    </cfRule>
  </conditionalFormatting>
  <conditionalFormatting sqref="W14">
    <cfRule type="cellIs" dxfId="33" priority="10" operator="equal">
      <formula>"FALSE"</formula>
    </cfRule>
  </conditionalFormatting>
  <conditionalFormatting sqref="W15">
    <cfRule type="cellIs" dxfId="32" priority="9" operator="equal">
      <formula>"FALSE"</formula>
    </cfRule>
  </conditionalFormatting>
  <conditionalFormatting sqref="W16">
    <cfRule type="cellIs" dxfId="31" priority="8" operator="equal">
      <formula>"FALSE"</formula>
    </cfRule>
  </conditionalFormatting>
  <conditionalFormatting sqref="W17">
    <cfRule type="cellIs" dxfId="30" priority="7" operator="equal">
      <formula>"FALSE"</formula>
    </cfRule>
  </conditionalFormatting>
  <conditionalFormatting sqref="W18">
    <cfRule type="cellIs" dxfId="29" priority="6" operator="equal">
      <formula>"FALSE"</formula>
    </cfRule>
  </conditionalFormatting>
  <conditionalFormatting sqref="W19">
    <cfRule type="cellIs" dxfId="28" priority="5" operator="equal">
      <formula>"FALSE"</formula>
    </cfRule>
  </conditionalFormatting>
  <conditionalFormatting sqref="W20">
    <cfRule type="cellIs" dxfId="27" priority="4" operator="equal">
      <formula>"FALSE"</formula>
    </cfRule>
  </conditionalFormatting>
  <conditionalFormatting sqref="W21">
    <cfRule type="cellIs" dxfId="26" priority="3" operator="equal">
      <formula>"FALSE"</formula>
    </cfRule>
  </conditionalFormatting>
  <conditionalFormatting sqref="W22">
    <cfRule type="cellIs" dxfId="25" priority="2" operator="equal">
      <formula>"FALSE"</formula>
    </cfRule>
  </conditionalFormatting>
  <conditionalFormatting sqref="W23">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82"/>
  <sheetViews>
    <sheetView showGridLines="0" topLeftCell="B1" workbookViewId="0">
      <pane ySplit="1" topLeftCell="A29" activePane="bottomLeft" state="frozen"/>
      <selection pane="bottomLeft" activeCell="M53" sqref="M53"/>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287</v>
      </c>
      <c r="D1" s="18" t="s">
        <v>40</v>
      </c>
      <c r="E1" s="18" t="s">
        <v>42</v>
      </c>
      <c r="F1" s="18" t="s">
        <v>43</v>
      </c>
      <c r="G1" s="177" t="s">
        <v>288</v>
      </c>
      <c r="H1" s="18" t="s">
        <v>40</v>
      </c>
      <c r="I1" s="40" t="s">
        <v>36</v>
      </c>
      <c r="J1" s="18" t="s">
        <v>41</v>
      </c>
      <c r="K1" s="17" t="s">
        <v>37</v>
      </c>
      <c r="L1" s="179" t="s">
        <v>127</v>
      </c>
      <c r="M1" s="180" t="s">
        <v>290</v>
      </c>
    </row>
    <row r="2" spans="1:14" ht="21" customHeight="1" x14ac:dyDescent="0.15">
      <c r="A2" s="61" t="str">
        <f t="shared" ref="A2:A31" si="0">B2&amp;"_"&amp;I2</f>
        <v>528_116</v>
      </c>
      <c r="B2" s="194">
        <v>528</v>
      </c>
      <c r="C2" s="178">
        <f>B2</f>
        <v>528</v>
      </c>
      <c r="D2" s="53" t="str">
        <f ca="1">VLOOKUP($C2,OFFSET([1]characters!$A$1,0,0,COUNTA([1]characters!$A:$A),MATCH(D$1,[1]characters!$1:$1,0)-MATCH($C$1,[1]characters!$1:$1,0)+1),MATCH(D$1,[1]characters!$1:$1,0)-MATCH($C$1,[1]characters!$1:$1,0)+1,FALSE)</f>
        <v>新世の歌姫 初音ミクV3</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DropWizS</v>
      </c>
      <c r="G2" s="194">
        <v>1299</v>
      </c>
      <c r="H2" s="53" t="str">
        <f ca="1">VLOOKUP($G2,OFFSET([1]characters!$A$1,0,0,COUNTA([1]characters!$A:$A),MATCH(H$1,[1]characters!$1:$1,0)-MATCH($C$1,[1]characters!$1:$1,0)+1),MATCH(H$1,[1]characters!$1:$1,0)-MATCH($C$1,[1]characters!$1:$1,0)+1,FALSE)</f>
        <v>覚世の楽聖姫 初音ミクV3</v>
      </c>
      <c r="I2" s="193">
        <v>116</v>
      </c>
      <c r="J2" s="53" t="str">
        <f ca="1">VLOOKUP($I2,OFFSET([1]characters!$A$1,0,0,COUNTA([1]characters!$A:$A),MATCH(J$1,[1]characters!$1:$1,0)-MATCH($C$1,[1]characters!$1:$1,0)+1),MATCH(J$1,[1]characters!$1:$1,0)-MATCH($C$1,[1]characters!$1:$1,0)+1,FALSE)</f>
        <v>雷のマッドハッター</v>
      </c>
      <c r="K2" s="191">
        <v>1</v>
      </c>
      <c r="L2" s="192">
        <v>1</v>
      </c>
      <c r="M2" s="192">
        <v>10</v>
      </c>
      <c r="N2" s="2" t="s">
        <v>289</v>
      </c>
    </row>
    <row r="3" spans="1:14" ht="21" customHeight="1" x14ac:dyDescent="0.15">
      <c r="A3" s="61" t="str">
        <f t="shared" si="0"/>
        <v>528_1297</v>
      </c>
      <c r="B3" s="194">
        <v>528</v>
      </c>
      <c r="C3" s="178">
        <f t="shared" ref="C3:C64" si="1">B3</f>
        <v>528</v>
      </c>
      <c r="D3" s="53" t="str">
        <f ca="1">VLOOKUP($C3,OFFSET([1]characters!$A$1,0,0,COUNTA([1]characters!$A:$A),MATCH(D$1,[1]characters!$1:$1,0)-MATCH($C$1,[1]characters!$1:$1,0)+1),MATCH(D$1,[1]characters!$1:$1,0)-MATCH($C$1,[1]characters!$1:$1,0)+1,FALSE)</f>
        <v>新世の歌姫 初音ミクV3</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DropWizS</v>
      </c>
      <c r="G3" s="194">
        <v>1299</v>
      </c>
      <c r="H3" s="53" t="str">
        <f ca="1">VLOOKUP($G3,OFFSET([1]characters!$A$1,0,0,COUNTA([1]characters!$A:$A),MATCH(H$1,[1]characters!$1:$1,0)-MATCH($C$1,[1]characters!$1:$1,0)+1),MATCH(H$1,[1]characters!$1:$1,0)-MATCH($C$1,[1]characters!$1:$1,0)+1,FALSE)</f>
        <v>覚世の楽聖姫 初音ミクV3</v>
      </c>
      <c r="I3" s="193">
        <v>1297</v>
      </c>
      <c r="J3" s="53" t="str">
        <f ca="1">VLOOKUP($I3,OFFSET([1]characters!$A$1,0,0,COUNTA([1]characters!$A:$A),MATCH(J$1,[1]characters!$1:$1,0)-MATCH($C$1,[1]characters!$1:$1,0)+1),MATCH(J$1,[1]characters!$1:$1,0)-MATCH($C$1,[1]characters!$1:$1,0)+1,FALSE)</f>
        <v>雪ミク2017</v>
      </c>
      <c r="K3" s="191">
        <v>1</v>
      </c>
      <c r="L3" s="192">
        <v>2</v>
      </c>
      <c r="M3" s="192">
        <v>100</v>
      </c>
      <c r="N3" s="2" t="s">
        <v>289</v>
      </c>
    </row>
    <row r="4" spans="1:14" ht="21" customHeight="1" x14ac:dyDescent="0.15">
      <c r="A4" s="61" t="str">
        <f t="shared" si="0"/>
        <v>528_652</v>
      </c>
      <c r="B4" s="194">
        <v>528</v>
      </c>
      <c r="C4" s="178">
        <f t="shared" si="1"/>
        <v>528</v>
      </c>
      <c r="D4" s="53" t="str">
        <f ca="1">VLOOKUP($C4,OFFSET([1]characters!$A$1,0,0,COUNTA([1]characters!$A:$A),MATCH(D$1,[1]characters!$1:$1,0)-MATCH($C$1,[1]characters!$1:$1,0)+1),MATCH(D$1,[1]characters!$1:$1,0)-MATCH($C$1,[1]characters!$1:$1,0)+1,FALSE)</f>
        <v>新世の歌姫 初音ミクV3</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DropWizS</v>
      </c>
      <c r="G4" s="194">
        <v>1299</v>
      </c>
      <c r="H4" s="53" t="str">
        <f ca="1">VLOOKUP($G4,OFFSET([1]characters!$A$1,0,0,COUNTA([1]characters!$A:$A),MATCH(H$1,[1]characters!$1:$1,0)-MATCH($C$1,[1]characters!$1:$1,0)+1),MATCH(H$1,[1]characters!$1:$1,0)-MATCH($C$1,[1]characters!$1:$1,0)+1,FALSE)</f>
        <v>覚世の楽聖姫 初音ミクV3</v>
      </c>
      <c r="I4" s="193">
        <v>652</v>
      </c>
      <c r="J4" s="53" t="str">
        <f ca="1">VLOOKUP($I4,OFFSET([1]characters!$A$1,0,0,COUNTA([1]characters!$A:$A),MATCH(J$1,[1]characters!$1:$1,0)-MATCH($C$1,[1]characters!$1:$1,0)+1),MATCH(J$1,[1]characters!$1:$1,0)-MATCH($C$1,[1]characters!$1:$1,0)+1,FALSE)</f>
        <v>アナンタ</v>
      </c>
      <c r="K4" s="191">
        <v>1</v>
      </c>
      <c r="L4" s="192">
        <v>3</v>
      </c>
      <c r="M4" s="192">
        <v>100</v>
      </c>
      <c r="N4" s="2" t="s">
        <v>289</v>
      </c>
    </row>
    <row r="5" spans="1:14" ht="21" customHeight="1" x14ac:dyDescent="0.15">
      <c r="A5" s="61" t="str">
        <f t="shared" si="0"/>
        <v>528_837</v>
      </c>
      <c r="B5" s="194">
        <v>528</v>
      </c>
      <c r="C5" s="178">
        <f t="shared" si="1"/>
        <v>528</v>
      </c>
      <c r="D5" s="53" t="str">
        <f ca="1">VLOOKUP($C5,OFFSET([1]characters!$A$1,0,0,COUNTA([1]characters!$A:$A),MATCH(D$1,[1]characters!$1:$1,0)-MATCH($C$1,[1]characters!$1:$1,0)+1),MATCH(D$1,[1]characters!$1:$1,0)-MATCH($C$1,[1]characters!$1:$1,0)+1,FALSE)</f>
        <v>新世の歌姫 初音ミクV3</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DropWizS</v>
      </c>
      <c r="G5" s="194">
        <v>1299</v>
      </c>
      <c r="H5" s="53" t="str">
        <f ca="1">VLOOKUP($G5,OFFSET([1]characters!$A$1,0,0,COUNTA([1]characters!$A:$A),MATCH(H$1,[1]characters!$1:$1,0)-MATCH($C$1,[1]characters!$1:$1,0)+1),MATCH(H$1,[1]characters!$1:$1,0)-MATCH($C$1,[1]characters!$1:$1,0)+1,FALSE)</f>
        <v>覚世の楽聖姫 初音ミクV3</v>
      </c>
      <c r="I5" s="193">
        <v>837</v>
      </c>
      <c r="J5" s="53" t="str">
        <f ca="1">VLOOKUP($I5,OFFSET([1]characters!$A$1,0,0,COUNTA([1]characters!$A:$A),MATCH(J$1,[1]characters!$1:$1,0)-MATCH($C$1,[1]characters!$1:$1,0)+1),MATCH(J$1,[1]characters!$1:$1,0)-MATCH($C$1,[1]characters!$1:$1,0)+1,FALSE)</f>
        <v>リトルハンプティ</v>
      </c>
      <c r="K5" s="191">
        <v>1</v>
      </c>
      <c r="L5" s="192">
        <v>1</v>
      </c>
      <c r="M5" s="192">
        <v>1000</v>
      </c>
      <c r="N5" s="2" t="s">
        <v>289</v>
      </c>
    </row>
    <row r="6" spans="1:14" ht="21" customHeight="1" x14ac:dyDescent="0.15">
      <c r="A6" s="61" t="str">
        <f t="shared" si="0"/>
        <v>540_106</v>
      </c>
      <c r="B6" s="190">
        <v>540</v>
      </c>
      <c r="C6" s="178">
        <f t="shared" si="1"/>
        <v>540</v>
      </c>
      <c r="D6" s="53" t="str">
        <f ca="1">VLOOKUP($C6,OFFSET([1]characters!$A$1,0,0,COUNTA([1]characters!$A:$A),MATCH(D$1,[1]characters!$1:$1,0)-MATCH($C$1,[1]characters!$1:$1,0)+1),MATCH(D$1,[1]characters!$1:$1,0)-MATCH($C$1,[1]characters!$1:$1,0)+1,FALSE)</f>
        <v>来訪の歌姫 初音ミク・アペンド</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PremiumSSS</v>
      </c>
      <c r="G6" s="194">
        <v>1309</v>
      </c>
      <c r="H6" s="53" t="str">
        <f ca="1">VLOOKUP($G6,OFFSET([1]characters!$A$1,0,0,COUNTA([1]characters!$A:$A),MATCH(H$1,[1]characters!$1:$1,0)-MATCH($C$1,[1]characters!$1:$1,0)+1),MATCH(H$1,[1]characters!$1:$1,0)-MATCH($C$1,[1]characters!$1:$1,0)+1,FALSE)</f>
        <v>虹彩の美唱姫 初音ミク・アペンド</v>
      </c>
      <c r="I6" s="193">
        <v>106</v>
      </c>
      <c r="J6" s="53" t="str">
        <f ca="1">VLOOKUP($I6,OFFSET([1]characters!$A$1,0,0,COUNTA([1]characters!$A:$A),MATCH(J$1,[1]characters!$1:$1,0)-MATCH($C$1,[1]characters!$1:$1,0)+1),MATCH(J$1,[1]characters!$1:$1,0)-MATCH($C$1,[1]characters!$1:$1,0)+1,FALSE)</f>
        <v>グリーンラビット</v>
      </c>
      <c r="K6" s="191">
        <v>1</v>
      </c>
      <c r="L6" s="192">
        <v>1</v>
      </c>
      <c r="M6" s="192">
        <v>10</v>
      </c>
      <c r="N6" s="2" t="s">
        <v>289</v>
      </c>
    </row>
    <row r="7" spans="1:14" ht="21" customHeight="1" x14ac:dyDescent="0.15">
      <c r="A7" s="61" t="str">
        <f t="shared" si="0"/>
        <v>540_107</v>
      </c>
      <c r="B7" s="190">
        <v>540</v>
      </c>
      <c r="C7" s="178">
        <f t="shared" si="1"/>
        <v>540</v>
      </c>
      <c r="D7" s="53" t="str">
        <f ca="1">VLOOKUP($C7,OFFSET([1]characters!$A$1,0,0,COUNTA([1]characters!$A:$A),MATCH(D$1,[1]characters!$1:$1,0)-MATCH($C$1,[1]characters!$1:$1,0)+1),MATCH(D$1,[1]characters!$1:$1,0)-MATCH($C$1,[1]characters!$1:$1,0)+1,FALSE)</f>
        <v>来訪の歌姫 初音ミク・アペンド</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PremiumSSS</v>
      </c>
      <c r="G7" s="194">
        <v>1309</v>
      </c>
      <c r="H7" s="53" t="str">
        <f ca="1">VLOOKUP($G7,OFFSET([1]characters!$A$1,0,0,COUNTA([1]characters!$A:$A),MATCH(H$1,[1]characters!$1:$1,0)-MATCH($C$1,[1]characters!$1:$1,0)+1),MATCH(H$1,[1]characters!$1:$1,0)-MATCH($C$1,[1]characters!$1:$1,0)+1,FALSE)</f>
        <v>虹彩の美唱姫 初音ミク・アペンド</v>
      </c>
      <c r="I7" s="193">
        <v>107</v>
      </c>
      <c r="J7" s="53" t="str">
        <f ca="1">VLOOKUP($I7,OFFSET([1]characters!$A$1,0,0,COUNTA([1]characters!$A:$A),MATCH(J$1,[1]characters!$1:$1,0)-MATCH($C$1,[1]characters!$1:$1,0)+1),MATCH(J$1,[1]characters!$1:$1,0)-MATCH($C$1,[1]characters!$1:$1,0)+1,FALSE)</f>
        <v>グリーンキャタップ</v>
      </c>
      <c r="K7" s="191">
        <v>1</v>
      </c>
      <c r="L7" s="192">
        <v>1</v>
      </c>
      <c r="M7" s="192">
        <v>10</v>
      </c>
      <c r="N7" s="2" t="s">
        <v>289</v>
      </c>
    </row>
    <row r="8" spans="1:14" ht="21" customHeight="1" x14ac:dyDescent="0.15">
      <c r="A8" s="61" t="str">
        <f t="shared" si="0"/>
        <v>540_108</v>
      </c>
      <c r="B8" s="190">
        <v>540</v>
      </c>
      <c r="C8" s="178">
        <f t="shared" si="1"/>
        <v>540</v>
      </c>
      <c r="D8" s="53" t="str">
        <f ca="1">VLOOKUP($C8,OFFSET([1]characters!$A$1,0,0,COUNTA([1]characters!$A:$A),MATCH(D$1,[1]characters!$1:$1,0)-MATCH($C$1,[1]characters!$1:$1,0)+1),MATCH(D$1,[1]characters!$1:$1,0)-MATCH($C$1,[1]characters!$1:$1,0)+1,FALSE)</f>
        <v>来訪の歌姫 初音ミク・アペンド</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PremiumSSS</v>
      </c>
      <c r="G8" s="194">
        <v>1309</v>
      </c>
      <c r="H8" s="53" t="str">
        <f ca="1">VLOOKUP($G8,OFFSET([1]characters!$A$1,0,0,COUNTA([1]characters!$A:$A),MATCH(H$1,[1]characters!$1:$1,0)-MATCH($C$1,[1]characters!$1:$1,0)+1),MATCH(H$1,[1]characters!$1:$1,0)-MATCH($C$1,[1]characters!$1:$1,0)+1,FALSE)</f>
        <v>虹彩の美唱姫 初音ミク・アペンド</v>
      </c>
      <c r="I8" s="193">
        <v>108</v>
      </c>
      <c r="J8" s="53" t="str">
        <f ca="1">VLOOKUP($I8,OFFSET([1]characters!$A$1,0,0,COUNTA([1]characters!$A:$A),MATCH(J$1,[1]characters!$1:$1,0)-MATCH($C$1,[1]characters!$1:$1,0)+1),MATCH(J$1,[1]characters!$1:$1,0)-MATCH($C$1,[1]characters!$1:$1,0)+1,FALSE)</f>
        <v>森のマッドハッター</v>
      </c>
      <c r="K8" s="191">
        <v>1</v>
      </c>
      <c r="L8" s="192">
        <v>1</v>
      </c>
      <c r="M8" s="192">
        <v>10</v>
      </c>
      <c r="N8" s="2" t="s">
        <v>289</v>
      </c>
    </row>
    <row r="9" spans="1:14" ht="21" customHeight="1" x14ac:dyDescent="0.15">
      <c r="A9" s="61" t="str">
        <f t="shared" si="0"/>
        <v>540_837</v>
      </c>
      <c r="B9" s="194">
        <v>540</v>
      </c>
      <c r="C9" s="178">
        <f t="shared" si="1"/>
        <v>540</v>
      </c>
      <c r="D9" s="53" t="str">
        <f ca="1">VLOOKUP($C9,OFFSET([1]characters!$A$1,0,0,COUNTA([1]characters!$A:$A),MATCH(D$1,[1]characters!$1:$1,0)-MATCH($C$1,[1]characters!$1:$1,0)+1),MATCH(D$1,[1]characters!$1:$1,0)-MATCH($C$1,[1]characters!$1:$1,0)+1,FALSE)</f>
        <v>来訪の歌姫 初音ミク・アペンド</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PremiumSSS</v>
      </c>
      <c r="G9" s="194">
        <v>1309</v>
      </c>
      <c r="H9" s="53" t="str">
        <f ca="1">VLOOKUP($G9,OFFSET([1]characters!$A$1,0,0,COUNTA([1]characters!$A:$A),MATCH(H$1,[1]characters!$1:$1,0)-MATCH($C$1,[1]characters!$1:$1,0)+1),MATCH(H$1,[1]characters!$1:$1,0)-MATCH($C$1,[1]characters!$1:$1,0)+1,FALSE)</f>
        <v>虹彩の美唱姫 初音ミク・アペンド</v>
      </c>
      <c r="I9" s="193">
        <v>837</v>
      </c>
      <c r="J9" s="53" t="str">
        <f ca="1">VLOOKUP($I9,OFFSET([1]characters!$A$1,0,0,COUNTA([1]characters!$A:$A),MATCH(J$1,[1]characters!$1:$1,0)-MATCH($C$1,[1]characters!$1:$1,0)+1),MATCH(J$1,[1]characters!$1:$1,0)-MATCH($C$1,[1]characters!$1:$1,0)+1,FALSE)</f>
        <v>リトルハンプティ</v>
      </c>
      <c r="K9" s="191">
        <v>1</v>
      </c>
      <c r="L9" s="192">
        <v>1</v>
      </c>
      <c r="M9" s="192">
        <v>1000</v>
      </c>
      <c r="N9" s="2" t="s">
        <v>289</v>
      </c>
    </row>
    <row r="10" spans="1:14" ht="21" customHeight="1" x14ac:dyDescent="0.15">
      <c r="A10" s="61" t="str">
        <f t="shared" si="0"/>
        <v>540_740</v>
      </c>
      <c r="B10" s="190">
        <v>540</v>
      </c>
      <c r="C10" s="178">
        <f t="shared" si="1"/>
        <v>540</v>
      </c>
      <c r="D10" s="53" t="str">
        <f ca="1">VLOOKUP($C10,OFFSET([1]characters!$A$1,0,0,COUNTA([1]characters!$A:$A),MATCH(D$1,[1]characters!$1:$1,0)-MATCH($C$1,[1]characters!$1:$1,0)+1),MATCH(D$1,[1]characters!$1:$1,0)-MATCH($C$1,[1]characters!$1:$1,0)+1,FALSE)</f>
        <v>来訪の歌姫 初音ミク・アペンド</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PremiumSSS</v>
      </c>
      <c r="G10" s="194">
        <v>1310</v>
      </c>
      <c r="H10" s="53" t="str">
        <f ca="1">VLOOKUP($G10,OFFSET([1]characters!$A$1,0,0,COUNTA([1]characters!$A:$A),MATCH(H$1,[1]characters!$1:$1,0)-MATCH($C$1,[1]characters!$1:$1,0)+1),MATCH(H$1,[1]characters!$1:$1,0)-MATCH($C$1,[1]characters!$1:$1,0)+1,FALSE)</f>
        <v>聖律する歌姫 初音ミク・アペンド</v>
      </c>
      <c r="I10" s="193">
        <v>740</v>
      </c>
      <c r="J10" s="53" t="str">
        <f ca="1">VLOOKUP($I10,OFFSET([1]characters!$A$1,0,0,COUNTA([1]characters!$A:$A),MATCH(J$1,[1]characters!$1:$1,0)-MATCH($C$1,[1]characters!$1:$1,0)+1),MATCH(J$1,[1]characters!$1:$1,0)-MATCH($C$1,[1]characters!$1:$1,0)+1,FALSE)</f>
        <v>テュポーン</v>
      </c>
      <c r="K10" s="191">
        <v>1</v>
      </c>
      <c r="L10" s="192">
        <v>1</v>
      </c>
      <c r="M10" s="192">
        <v>100</v>
      </c>
      <c r="N10" s="2" t="s">
        <v>289</v>
      </c>
    </row>
    <row r="11" spans="1:14" ht="21" customHeight="1" x14ac:dyDescent="0.15">
      <c r="A11" s="61" t="str">
        <f t="shared" si="0"/>
        <v>540_280</v>
      </c>
      <c r="B11" s="194">
        <v>540</v>
      </c>
      <c r="C11" s="178">
        <f t="shared" si="1"/>
        <v>540</v>
      </c>
      <c r="D11" s="53" t="str">
        <f ca="1">VLOOKUP($C11,OFFSET([1]characters!$A$1,0,0,COUNTA([1]characters!$A:$A),MATCH(D$1,[1]characters!$1:$1,0)-MATCH($C$1,[1]characters!$1:$1,0)+1),MATCH(D$1,[1]characters!$1:$1,0)-MATCH($C$1,[1]characters!$1:$1,0)+1,FALSE)</f>
        <v>来訪の歌姫 初音ミク・アペンド</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PremiumSSS</v>
      </c>
      <c r="G11" s="194">
        <v>1310</v>
      </c>
      <c r="H11" s="53" t="str">
        <f ca="1">VLOOKUP($G11,OFFSET([1]characters!$A$1,0,0,COUNTA([1]characters!$A:$A),MATCH(H$1,[1]characters!$1:$1,0)-MATCH($C$1,[1]characters!$1:$1,0)+1),MATCH(H$1,[1]characters!$1:$1,0)-MATCH($C$1,[1]characters!$1:$1,0)+1,FALSE)</f>
        <v>聖律する歌姫 初音ミク・アペンド</v>
      </c>
      <c r="I11" s="193">
        <v>280</v>
      </c>
      <c r="J11" s="53" t="str">
        <f ca="1">VLOOKUP($I11,OFFSET([1]characters!$A$1,0,0,COUNTA([1]characters!$A:$A),MATCH(J$1,[1]characters!$1:$1,0)-MATCH($C$1,[1]characters!$1:$1,0)+1),MATCH(J$1,[1]characters!$1:$1,0)-MATCH($C$1,[1]characters!$1:$1,0)+1,FALSE)</f>
        <v>リンドブルム</v>
      </c>
      <c r="K11" s="191">
        <v>1</v>
      </c>
      <c r="L11" s="192">
        <v>3</v>
      </c>
      <c r="M11" s="192">
        <v>100</v>
      </c>
      <c r="N11" s="2" t="s">
        <v>289</v>
      </c>
    </row>
    <row r="12" spans="1:14" ht="21" customHeight="1" x14ac:dyDescent="0.15">
      <c r="A12" s="61" t="str">
        <f t="shared" si="0"/>
        <v>540_780</v>
      </c>
      <c r="B12" s="190">
        <v>540</v>
      </c>
      <c r="C12" s="178">
        <f t="shared" si="1"/>
        <v>540</v>
      </c>
      <c r="D12" s="53" t="str">
        <f ca="1">VLOOKUP($C12,OFFSET([1]characters!$A$1,0,0,COUNTA([1]characters!$A:$A),MATCH(D$1,[1]characters!$1:$1,0)-MATCH($C$1,[1]characters!$1:$1,0)+1),MATCH(D$1,[1]characters!$1:$1,0)-MATCH($C$1,[1]characters!$1:$1,0)+1,FALSE)</f>
        <v>来訪の歌姫 初音ミク・アペンド</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PremiumSSS</v>
      </c>
      <c r="G12" s="194">
        <v>1310</v>
      </c>
      <c r="H12" s="53" t="str">
        <f ca="1">VLOOKUP($G12,OFFSET([1]characters!$A$1,0,0,COUNTA([1]characters!$A:$A),MATCH(H$1,[1]characters!$1:$1,0)-MATCH($C$1,[1]characters!$1:$1,0)+1),MATCH(H$1,[1]characters!$1:$1,0)-MATCH($C$1,[1]characters!$1:$1,0)+1,FALSE)</f>
        <v>聖律する歌姫 初音ミク・アペンド</v>
      </c>
      <c r="I12" s="193">
        <v>780</v>
      </c>
      <c r="J12" s="53" t="str">
        <f ca="1">VLOOKUP($I12,OFFSET([1]characters!$A$1,0,0,COUNTA([1]characters!$A:$A),MATCH(J$1,[1]characters!$1:$1,0)-MATCH($C$1,[1]characters!$1:$1,0)+1),MATCH(J$1,[1]characters!$1:$1,0)-MATCH($C$1,[1]characters!$1:$1,0)+1,FALSE)</f>
        <v>カスケード</v>
      </c>
      <c r="K12" s="191">
        <v>1</v>
      </c>
      <c r="L12" s="192">
        <v>3</v>
      </c>
      <c r="M12" s="192">
        <v>100</v>
      </c>
      <c r="N12" s="2" t="s">
        <v>289</v>
      </c>
    </row>
    <row r="13" spans="1:14" ht="21" customHeight="1" x14ac:dyDescent="0.15">
      <c r="A13" s="61" t="str">
        <f t="shared" si="0"/>
        <v>542_106</v>
      </c>
      <c r="B13" s="194">
        <v>542</v>
      </c>
      <c r="C13" s="178">
        <f t="shared" si="1"/>
        <v>542</v>
      </c>
      <c r="D13" s="53" t="str">
        <f ca="1">VLOOKUP($C13,OFFSET([1]characters!$A$1,0,0,COUNTA([1]characters!$A:$A),MATCH(D$1,[1]characters!$1:$1,0)-MATCH($C$1,[1]characters!$1:$1,0)+1),MATCH(D$1,[1]characters!$1:$1,0)-MATCH($C$1,[1]characters!$1:$1,0)+1,FALSE)</f>
        <v>革命の音撃 初音ミク</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PremiumSSS</v>
      </c>
      <c r="G13" s="194">
        <v>1308</v>
      </c>
      <c r="H13" s="53" t="str">
        <f ca="1">VLOOKUP($G13,OFFSET([1]characters!$A$1,0,0,COUNTA([1]characters!$A:$A),MATCH(H$1,[1]characters!$1:$1,0)-MATCH($C$1,[1]characters!$1:$1,0)+1),MATCH(H$1,[1]characters!$1:$1,0)-MATCH($C$1,[1]characters!$1:$1,0)+1,FALSE)</f>
        <v>革鳴の響奏撃 初音ミク</v>
      </c>
      <c r="I13" s="193">
        <v>106</v>
      </c>
      <c r="J13" s="53" t="str">
        <f ca="1">VLOOKUP($I13,OFFSET([1]characters!$A$1,0,0,COUNTA([1]characters!$A:$A),MATCH(J$1,[1]characters!$1:$1,0)-MATCH($C$1,[1]characters!$1:$1,0)+1),MATCH(J$1,[1]characters!$1:$1,0)-MATCH($C$1,[1]characters!$1:$1,0)+1,FALSE)</f>
        <v>グリーンラビット</v>
      </c>
      <c r="K13" s="191">
        <v>1</v>
      </c>
      <c r="L13" s="192">
        <v>1</v>
      </c>
      <c r="M13" s="192">
        <v>10</v>
      </c>
      <c r="N13" s="2" t="s">
        <v>289</v>
      </c>
    </row>
    <row r="14" spans="1:14" ht="21" customHeight="1" x14ac:dyDescent="0.15">
      <c r="A14" s="61" t="str">
        <f t="shared" si="0"/>
        <v>542_107</v>
      </c>
      <c r="B14" s="194">
        <v>542</v>
      </c>
      <c r="C14" s="178">
        <f t="shared" si="1"/>
        <v>542</v>
      </c>
      <c r="D14" s="53" t="str">
        <f ca="1">VLOOKUP($C14,OFFSET([1]characters!$A$1,0,0,COUNTA([1]characters!$A:$A),MATCH(D$1,[1]characters!$1:$1,0)-MATCH($C$1,[1]characters!$1:$1,0)+1),MATCH(D$1,[1]characters!$1:$1,0)-MATCH($C$1,[1]characters!$1:$1,0)+1,FALSE)</f>
        <v>革命の音撃 初音ミク</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PremiumSSS</v>
      </c>
      <c r="G14" s="194">
        <v>1308</v>
      </c>
      <c r="H14" s="53" t="str">
        <f ca="1">VLOOKUP($G14,OFFSET([1]characters!$A$1,0,0,COUNTA([1]characters!$A:$A),MATCH(H$1,[1]characters!$1:$1,0)-MATCH($C$1,[1]characters!$1:$1,0)+1),MATCH(H$1,[1]characters!$1:$1,0)-MATCH($C$1,[1]characters!$1:$1,0)+1,FALSE)</f>
        <v>革鳴の響奏撃 初音ミク</v>
      </c>
      <c r="I14" s="193">
        <v>107</v>
      </c>
      <c r="J14" s="53" t="str">
        <f ca="1">VLOOKUP($I14,OFFSET([1]characters!$A$1,0,0,COUNTA([1]characters!$A:$A),MATCH(J$1,[1]characters!$1:$1,0)-MATCH($C$1,[1]characters!$1:$1,0)+1),MATCH(J$1,[1]characters!$1:$1,0)-MATCH($C$1,[1]characters!$1:$1,0)+1,FALSE)</f>
        <v>グリーンキャタップ</v>
      </c>
      <c r="K14" s="191">
        <v>1</v>
      </c>
      <c r="L14" s="192">
        <v>1</v>
      </c>
      <c r="M14" s="192">
        <v>10</v>
      </c>
      <c r="N14" s="2" t="s">
        <v>289</v>
      </c>
    </row>
    <row r="15" spans="1:14" ht="21" customHeight="1" x14ac:dyDescent="0.15">
      <c r="A15" s="61" t="str">
        <f t="shared" si="0"/>
        <v>542_108</v>
      </c>
      <c r="B15" s="194">
        <v>542</v>
      </c>
      <c r="C15" s="178">
        <f t="shared" si="1"/>
        <v>542</v>
      </c>
      <c r="D15" s="53" t="str">
        <f ca="1">VLOOKUP($C15,OFFSET([1]characters!$A$1,0,0,COUNTA([1]characters!$A:$A),MATCH(D$1,[1]characters!$1:$1,0)-MATCH($C$1,[1]characters!$1:$1,0)+1),MATCH(D$1,[1]characters!$1:$1,0)-MATCH($C$1,[1]characters!$1:$1,0)+1,FALSE)</f>
        <v>革命の音撃 初音ミク</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PremiumSSS</v>
      </c>
      <c r="G15" s="194">
        <v>1308</v>
      </c>
      <c r="H15" s="53" t="str">
        <f ca="1">VLOOKUP($G15,OFFSET([1]characters!$A$1,0,0,COUNTA([1]characters!$A:$A),MATCH(H$1,[1]characters!$1:$1,0)-MATCH($C$1,[1]characters!$1:$1,0)+1),MATCH(H$1,[1]characters!$1:$1,0)-MATCH($C$1,[1]characters!$1:$1,0)+1,FALSE)</f>
        <v>革鳴の響奏撃 初音ミク</v>
      </c>
      <c r="I15" s="193">
        <v>108</v>
      </c>
      <c r="J15" s="53" t="str">
        <f ca="1">VLOOKUP($I15,OFFSET([1]characters!$A$1,0,0,COUNTA([1]characters!$A:$A),MATCH(J$1,[1]characters!$1:$1,0)-MATCH($C$1,[1]characters!$1:$1,0)+1),MATCH(J$1,[1]characters!$1:$1,0)-MATCH($C$1,[1]characters!$1:$1,0)+1,FALSE)</f>
        <v>森のマッドハッター</v>
      </c>
      <c r="K15" s="191">
        <v>1</v>
      </c>
      <c r="L15" s="192">
        <v>1</v>
      </c>
      <c r="M15" s="192">
        <v>10</v>
      </c>
      <c r="N15" s="2" t="s">
        <v>289</v>
      </c>
    </row>
    <row r="16" spans="1:14" ht="21" customHeight="1" x14ac:dyDescent="0.15">
      <c r="A16" s="61" t="str">
        <f t="shared" si="0"/>
        <v>542_837</v>
      </c>
      <c r="B16" s="190">
        <v>542</v>
      </c>
      <c r="C16" s="178">
        <f t="shared" si="1"/>
        <v>542</v>
      </c>
      <c r="D16" s="53" t="str">
        <f ca="1">VLOOKUP($C16,OFFSET([1]characters!$A$1,0,0,COUNTA([1]characters!$A:$A),MATCH(D$1,[1]characters!$1:$1,0)-MATCH($C$1,[1]characters!$1:$1,0)+1),MATCH(D$1,[1]characters!$1:$1,0)-MATCH($C$1,[1]characters!$1:$1,0)+1,FALSE)</f>
        <v>革命の音撃 初音ミク</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PremiumSSS</v>
      </c>
      <c r="G16" s="194">
        <v>1308</v>
      </c>
      <c r="H16" s="53" t="str">
        <f ca="1">VLOOKUP($G16,OFFSET([1]characters!$A$1,0,0,COUNTA([1]characters!$A:$A),MATCH(H$1,[1]characters!$1:$1,0)-MATCH($C$1,[1]characters!$1:$1,0)+1),MATCH(H$1,[1]characters!$1:$1,0)-MATCH($C$1,[1]characters!$1:$1,0)+1,FALSE)</f>
        <v>革鳴の響奏撃 初音ミク</v>
      </c>
      <c r="I16" s="193">
        <v>837</v>
      </c>
      <c r="J16" s="53" t="str">
        <f ca="1">VLOOKUP($I16,OFFSET([1]characters!$A$1,0,0,COUNTA([1]characters!$A:$A),MATCH(J$1,[1]characters!$1:$1,0)-MATCH($C$1,[1]characters!$1:$1,0)+1),MATCH(J$1,[1]characters!$1:$1,0)-MATCH($C$1,[1]characters!$1:$1,0)+1,FALSE)</f>
        <v>リトルハンプティ</v>
      </c>
      <c r="K16" s="191">
        <v>1</v>
      </c>
      <c r="L16" s="192">
        <v>1</v>
      </c>
      <c r="M16" s="192">
        <v>1000</v>
      </c>
      <c r="N16" s="2" t="s">
        <v>289</v>
      </c>
    </row>
    <row r="17" spans="1:14" ht="21" customHeight="1" x14ac:dyDescent="0.15">
      <c r="A17" s="61" t="str">
        <f t="shared" si="0"/>
        <v>544_114</v>
      </c>
      <c r="B17" s="194">
        <v>544</v>
      </c>
      <c r="C17" s="178">
        <f t="shared" si="1"/>
        <v>544</v>
      </c>
      <c r="D17" s="53" t="str">
        <f ca="1">VLOOKUP($C17,OFFSET([1]characters!$A$1,0,0,COUNTA([1]characters!$A:$A),MATCH(D$1,[1]characters!$1:$1,0)-MATCH($C$1,[1]characters!$1:$1,0)+1),MATCH(D$1,[1]characters!$1:$1,0)-MATCH($C$1,[1]characters!$1:$1,0)+1,FALSE)</f>
        <v>反響の凛音 鏡音リン</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PremiumSS</v>
      </c>
      <c r="G17" s="194">
        <v>1311</v>
      </c>
      <c r="H17" s="53" t="str">
        <f ca="1">VLOOKUP($G17,OFFSET([1]characters!$A$1,0,0,COUNTA([1]characters!$A:$A),MATCH(H$1,[1]characters!$1:$1,0)-MATCH($C$1,[1]characters!$1:$1,0)+1),MATCH(H$1,[1]characters!$1:$1,0)-MATCH($C$1,[1]characters!$1:$1,0)+1,FALSE)</f>
        <v>輪音する大反響 鏡音リン</v>
      </c>
      <c r="I17" s="193">
        <v>114</v>
      </c>
      <c r="J17" s="53" t="str">
        <f ca="1">VLOOKUP($I17,OFFSET([1]characters!$A$1,0,0,COUNTA([1]characters!$A:$A),MATCH(J$1,[1]characters!$1:$1,0)-MATCH($C$1,[1]characters!$1:$1,0)+1),MATCH(J$1,[1]characters!$1:$1,0)-MATCH($C$1,[1]characters!$1:$1,0)+1,FALSE)</f>
        <v>イエローラビット</v>
      </c>
      <c r="K17" s="191">
        <v>1</v>
      </c>
      <c r="L17" s="192">
        <v>1</v>
      </c>
      <c r="M17" s="192">
        <v>10</v>
      </c>
      <c r="N17" s="2" t="s">
        <v>289</v>
      </c>
    </row>
    <row r="18" spans="1:14" ht="21" customHeight="1" x14ac:dyDescent="0.15">
      <c r="A18" s="61" t="str">
        <f t="shared" si="0"/>
        <v>544_115</v>
      </c>
      <c r="B18" s="194">
        <v>544</v>
      </c>
      <c r="C18" s="178">
        <f t="shared" si="1"/>
        <v>544</v>
      </c>
      <c r="D18" s="53" t="str">
        <f ca="1">VLOOKUP($C18,OFFSET([1]characters!$A$1,0,0,COUNTA([1]characters!$A:$A),MATCH(D$1,[1]characters!$1:$1,0)-MATCH($C$1,[1]characters!$1:$1,0)+1),MATCH(D$1,[1]characters!$1:$1,0)-MATCH($C$1,[1]characters!$1:$1,0)+1,FALSE)</f>
        <v>反響の凛音 鏡音リン</v>
      </c>
      <c r="E18" s="53">
        <f ca="1">VLOOKUP($C18,OFFSET([1]characters!$A$1,0,0,COUNTA([1]characters!$A:$A),MATCH(E$1,[1]characters!$1:$1,0)-MATCH($C$1,[1]characters!$1:$1,0)+1),MATCH(E$1,[1]characters!$1:$1,0)-MATCH($C$1,[1]characters!$1:$1,0)+1,FALSE)</f>
        <v>5</v>
      </c>
      <c r="F18" s="53" t="str">
        <f ca="1">VLOOKUP($C18,OFFSET([1]characters!$A$1,0,0,COUNTA([1]characters!$A:$A),MATCH(F$1,[1]characters!$1:$1,0)-MATCH($C$1,[1]characters!$1:$1,0)+1),MATCH(F$1,[1]characters!$1:$1,0)-MATCH($C$1,[1]characters!$1:$1,0)+1,FALSE)</f>
        <v>PremiumSS</v>
      </c>
      <c r="G18" s="194">
        <v>1311</v>
      </c>
      <c r="H18" s="53" t="str">
        <f ca="1">VLOOKUP($G18,OFFSET([1]characters!$A$1,0,0,COUNTA([1]characters!$A:$A),MATCH(H$1,[1]characters!$1:$1,0)-MATCH($C$1,[1]characters!$1:$1,0)+1),MATCH(H$1,[1]characters!$1:$1,0)-MATCH($C$1,[1]characters!$1:$1,0)+1,FALSE)</f>
        <v>輪音する大反響 鏡音リン</v>
      </c>
      <c r="I18" s="193">
        <v>115</v>
      </c>
      <c r="J18" s="53" t="str">
        <f ca="1">VLOOKUP($I18,OFFSET([1]characters!$A$1,0,0,COUNTA([1]characters!$A:$A),MATCH(J$1,[1]characters!$1:$1,0)-MATCH($C$1,[1]characters!$1:$1,0)+1),MATCH(J$1,[1]characters!$1:$1,0)-MATCH($C$1,[1]characters!$1:$1,0)+1,FALSE)</f>
        <v>イエローキャタップ</v>
      </c>
      <c r="K18" s="191">
        <v>1</v>
      </c>
      <c r="L18" s="192">
        <v>1</v>
      </c>
      <c r="M18" s="192">
        <v>10</v>
      </c>
      <c r="N18" s="2" t="s">
        <v>289</v>
      </c>
    </row>
    <row r="19" spans="1:14" ht="21" customHeight="1" x14ac:dyDescent="0.15">
      <c r="A19" s="61" t="str">
        <f t="shared" si="0"/>
        <v>544_116</v>
      </c>
      <c r="B19" s="194">
        <v>544</v>
      </c>
      <c r="C19" s="178">
        <f t="shared" si="1"/>
        <v>544</v>
      </c>
      <c r="D19" s="53" t="str">
        <f ca="1">VLOOKUP($C19,OFFSET([1]characters!$A$1,0,0,COUNTA([1]characters!$A:$A),MATCH(D$1,[1]characters!$1:$1,0)-MATCH($C$1,[1]characters!$1:$1,0)+1),MATCH(D$1,[1]characters!$1:$1,0)-MATCH($C$1,[1]characters!$1:$1,0)+1,FALSE)</f>
        <v>反響の凛音 鏡音リン</v>
      </c>
      <c r="E19" s="53">
        <f ca="1">VLOOKUP($C19,OFFSET([1]characters!$A$1,0,0,COUNTA([1]characters!$A:$A),MATCH(E$1,[1]characters!$1:$1,0)-MATCH($C$1,[1]characters!$1:$1,0)+1),MATCH(E$1,[1]characters!$1:$1,0)-MATCH($C$1,[1]characters!$1:$1,0)+1,FALSE)</f>
        <v>5</v>
      </c>
      <c r="F19" s="53" t="str">
        <f ca="1">VLOOKUP($C19,OFFSET([1]characters!$A$1,0,0,COUNTA([1]characters!$A:$A),MATCH(F$1,[1]characters!$1:$1,0)-MATCH($C$1,[1]characters!$1:$1,0)+1),MATCH(F$1,[1]characters!$1:$1,0)-MATCH($C$1,[1]characters!$1:$1,0)+1,FALSE)</f>
        <v>PremiumSS</v>
      </c>
      <c r="G19" s="194">
        <v>1311</v>
      </c>
      <c r="H19" s="53" t="str">
        <f ca="1">VLOOKUP($G19,OFFSET([1]characters!$A$1,0,0,COUNTA([1]characters!$A:$A),MATCH(H$1,[1]characters!$1:$1,0)-MATCH($C$1,[1]characters!$1:$1,0)+1),MATCH(H$1,[1]characters!$1:$1,0)-MATCH($C$1,[1]characters!$1:$1,0)+1,FALSE)</f>
        <v>輪音する大反響 鏡音リン</v>
      </c>
      <c r="I19" s="193">
        <v>116</v>
      </c>
      <c r="J19" s="53" t="str">
        <f ca="1">VLOOKUP($I19,OFFSET([1]characters!$A$1,0,0,COUNTA([1]characters!$A:$A),MATCH(J$1,[1]characters!$1:$1,0)-MATCH($C$1,[1]characters!$1:$1,0)+1),MATCH(J$1,[1]characters!$1:$1,0)-MATCH($C$1,[1]characters!$1:$1,0)+1,FALSE)</f>
        <v>雷のマッドハッター</v>
      </c>
      <c r="K19" s="191">
        <v>1</v>
      </c>
      <c r="L19" s="192">
        <v>1</v>
      </c>
      <c r="M19" s="192">
        <v>10</v>
      </c>
      <c r="N19" s="2" t="s">
        <v>289</v>
      </c>
    </row>
    <row r="20" spans="1:14" ht="21" customHeight="1" x14ac:dyDescent="0.15">
      <c r="A20" s="61" t="str">
        <f t="shared" si="0"/>
        <v>544_837</v>
      </c>
      <c r="B20" s="190">
        <v>544</v>
      </c>
      <c r="C20" s="178">
        <f t="shared" si="1"/>
        <v>544</v>
      </c>
      <c r="D20" s="53" t="str">
        <f ca="1">VLOOKUP($C20,OFFSET([1]characters!$A$1,0,0,COUNTA([1]characters!$A:$A),MATCH(D$1,[1]characters!$1:$1,0)-MATCH($C$1,[1]characters!$1:$1,0)+1),MATCH(D$1,[1]characters!$1:$1,0)-MATCH($C$1,[1]characters!$1:$1,0)+1,FALSE)</f>
        <v>反響の凛音 鏡音リン</v>
      </c>
      <c r="E20" s="53">
        <f ca="1">VLOOKUP($C20,OFFSET([1]characters!$A$1,0,0,COUNTA([1]characters!$A:$A),MATCH(E$1,[1]characters!$1:$1,0)-MATCH($C$1,[1]characters!$1:$1,0)+1),MATCH(E$1,[1]characters!$1:$1,0)-MATCH($C$1,[1]characters!$1:$1,0)+1,FALSE)</f>
        <v>5</v>
      </c>
      <c r="F20" s="53" t="str">
        <f ca="1">VLOOKUP($C20,OFFSET([1]characters!$A$1,0,0,COUNTA([1]characters!$A:$A),MATCH(F$1,[1]characters!$1:$1,0)-MATCH($C$1,[1]characters!$1:$1,0)+1),MATCH(F$1,[1]characters!$1:$1,0)-MATCH($C$1,[1]characters!$1:$1,0)+1,FALSE)</f>
        <v>PremiumSS</v>
      </c>
      <c r="G20" s="194">
        <v>1311</v>
      </c>
      <c r="H20" s="53" t="str">
        <f ca="1">VLOOKUP($G20,OFFSET([1]characters!$A$1,0,0,COUNTA([1]characters!$A:$A),MATCH(H$1,[1]characters!$1:$1,0)-MATCH($C$1,[1]characters!$1:$1,0)+1),MATCH(H$1,[1]characters!$1:$1,0)-MATCH($C$1,[1]characters!$1:$1,0)+1,FALSE)</f>
        <v>輪音する大反響 鏡音リン</v>
      </c>
      <c r="I20" s="193">
        <v>837</v>
      </c>
      <c r="J20" s="53" t="str">
        <f ca="1">VLOOKUP($I20,OFFSET([1]characters!$A$1,0,0,COUNTA([1]characters!$A:$A),MATCH(J$1,[1]characters!$1:$1,0)-MATCH($C$1,[1]characters!$1:$1,0)+1),MATCH(J$1,[1]characters!$1:$1,0)-MATCH($C$1,[1]characters!$1:$1,0)+1,FALSE)</f>
        <v>リトルハンプティ</v>
      </c>
      <c r="K20" s="191">
        <v>1</v>
      </c>
      <c r="L20" s="192">
        <v>1</v>
      </c>
      <c r="M20" s="192">
        <v>1000</v>
      </c>
      <c r="N20" s="2" t="s">
        <v>289</v>
      </c>
    </row>
    <row r="21" spans="1:14" ht="21" customHeight="1" x14ac:dyDescent="0.15">
      <c r="A21" s="61" t="str">
        <f t="shared" si="0"/>
        <v>546_114</v>
      </c>
      <c r="B21" s="190">
        <v>546</v>
      </c>
      <c r="C21" s="178">
        <f t="shared" si="1"/>
        <v>546</v>
      </c>
      <c r="D21" s="53" t="str">
        <f ca="1">VLOOKUP($C21,OFFSET([1]characters!$A$1,0,0,COUNTA([1]characters!$A:$A),MATCH(D$1,[1]characters!$1:$1,0)-MATCH($C$1,[1]characters!$1:$1,0)+1),MATCH(D$1,[1]characters!$1:$1,0)-MATCH($C$1,[1]characters!$1:$1,0)+1,FALSE)</f>
        <v>残響の連符 鏡音レン</v>
      </c>
      <c r="E21" s="53">
        <f ca="1">VLOOKUP($C21,OFFSET([1]characters!$A$1,0,0,COUNTA([1]characters!$A:$A),MATCH(E$1,[1]characters!$1:$1,0)-MATCH($C$1,[1]characters!$1:$1,0)+1),MATCH(E$1,[1]characters!$1:$1,0)-MATCH($C$1,[1]characters!$1:$1,0)+1,FALSE)</f>
        <v>5</v>
      </c>
      <c r="F21" s="53" t="str">
        <f ca="1">VLOOKUP($C21,OFFSET([1]characters!$A$1,0,0,COUNTA([1]characters!$A:$A),MATCH(F$1,[1]characters!$1:$1,0)-MATCH($C$1,[1]characters!$1:$1,0)+1),MATCH(F$1,[1]characters!$1:$1,0)-MATCH($C$1,[1]characters!$1:$1,0)+1,FALSE)</f>
        <v>PremiumSS</v>
      </c>
      <c r="G21" s="194">
        <v>1312</v>
      </c>
      <c r="H21" s="53" t="str">
        <f ca="1">VLOOKUP($G21,OFFSET([1]characters!$A$1,0,0,COUNTA([1]characters!$A:$A),MATCH(H$1,[1]characters!$1:$1,0)-MATCH($C$1,[1]characters!$1:$1,0)+1),MATCH(H$1,[1]characters!$1:$1,0)-MATCH($C$1,[1]characters!$1:$1,0)+1,FALSE)</f>
        <v>連譜する大残響 鏡音レン</v>
      </c>
      <c r="I21" s="193">
        <v>114</v>
      </c>
      <c r="J21" s="53" t="str">
        <f ca="1">VLOOKUP($I21,OFFSET([1]characters!$A$1,0,0,COUNTA([1]characters!$A:$A),MATCH(J$1,[1]characters!$1:$1,0)-MATCH($C$1,[1]characters!$1:$1,0)+1),MATCH(J$1,[1]characters!$1:$1,0)-MATCH($C$1,[1]characters!$1:$1,0)+1,FALSE)</f>
        <v>イエローラビット</v>
      </c>
      <c r="K21" s="191">
        <v>1</v>
      </c>
      <c r="L21" s="192">
        <v>1</v>
      </c>
      <c r="M21" s="192">
        <v>10</v>
      </c>
      <c r="N21" s="2" t="s">
        <v>289</v>
      </c>
    </row>
    <row r="22" spans="1:14" ht="21" customHeight="1" x14ac:dyDescent="0.15">
      <c r="A22" s="61" t="str">
        <f t="shared" si="0"/>
        <v>546_115</v>
      </c>
      <c r="B22" s="190">
        <v>546</v>
      </c>
      <c r="C22" s="178">
        <f t="shared" si="1"/>
        <v>546</v>
      </c>
      <c r="D22" s="53" t="str">
        <f ca="1">VLOOKUP($C22,OFFSET([1]characters!$A$1,0,0,COUNTA([1]characters!$A:$A),MATCH(D$1,[1]characters!$1:$1,0)-MATCH($C$1,[1]characters!$1:$1,0)+1),MATCH(D$1,[1]characters!$1:$1,0)-MATCH($C$1,[1]characters!$1:$1,0)+1,FALSE)</f>
        <v>残響の連符 鏡音レン</v>
      </c>
      <c r="E22" s="53">
        <f ca="1">VLOOKUP($C22,OFFSET([1]characters!$A$1,0,0,COUNTA([1]characters!$A:$A),MATCH(E$1,[1]characters!$1:$1,0)-MATCH($C$1,[1]characters!$1:$1,0)+1),MATCH(E$1,[1]characters!$1:$1,0)-MATCH($C$1,[1]characters!$1:$1,0)+1,FALSE)</f>
        <v>5</v>
      </c>
      <c r="F22" s="53" t="str">
        <f ca="1">VLOOKUP($C22,OFFSET([1]characters!$A$1,0,0,COUNTA([1]characters!$A:$A),MATCH(F$1,[1]characters!$1:$1,0)-MATCH($C$1,[1]characters!$1:$1,0)+1),MATCH(F$1,[1]characters!$1:$1,0)-MATCH($C$1,[1]characters!$1:$1,0)+1,FALSE)</f>
        <v>PremiumSS</v>
      </c>
      <c r="G22" s="194">
        <v>1312</v>
      </c>
      <c r="H22" s="53" t="str">
        <f ca="1">VLOOKUP($G22,OFFSET([1]characters!$A$1,0,0,COUNTA([1]characters!$A:$A),MATCH(H$1,[1]characters!$1:$1,0)-MATCH($C$1,[1]characters!$1:$1,0)+1),MATCH(H$1,[1]characters!$1:$1,0)-MATCH($C$1,[1]characters!$1:$1,0)+1,FALSE)</f>
        <v>連譜する大残響 鏡音レン</v>
      </c>
      <c r="I22" s="193">
        <v>115</v>
      </c>
      <c r="J22" s="53" t="str">
        <f ca="1">VLOOKUP($I22,OFFSET([1]characters!$A$1,0,0,COUNTA([1]characters!$A:$A),MATCH(J$1,[1]characters!$1:$1,0)-MATCH($C$1,[1]characters!$1:$1,0)+1),MATCH(J$1,[1]characters!$1:$1,0)-MATCH($C$1,[1]characters!$1:$1,0)+1,FALSE)</f>
        <v>イエローキャタップ</v>
      </c>
      <c r="K22" s="191">
        <v>1</v>
      </c>
      <c r="L22" s="192">
        <v>1</v>
      </c>
      <c r="M22" s="192">
        <v>10</v>
      </c>
      <c r="N22" s="2" t="s">
        <v>289</v>
      </c>
    </row>
    <row r="23" spans="1:14" ht="21" customHeight="1" x14ac:dyDescent="0.15">
      <c r="A23" s="61" t="str">
        <f t="shared" si="0"/>
        <v>546_116</v>
      </c>
      <c r="B23" s="190">
        <v>546</v>
      </c>
      <c r="C23" s="178">
        <f t="shared" si="1"/>
        <v>546</v>
      </c>
      <c r="D23" s="53" t="str">
        <f ca="1">VLOOKUP($C23,OFFSET([1]characters!$A$1,0,0,COUNTA([1]characters!$A:$A),MATCH(D$1,[1]characters!$1:$1,0)-MATCH($C$1,[1]characters!$1:$1,0)+1),MATCH(D$1,[1]characters!$1:$1,0)-MATCH($C$1,[1]characters!$1:$1,0)+1,FALSE)</f>
        <v>残響の連符 鏡音レン</v>
      </c>
      <c r="E23" s="53">
        <f ca="1">VLOOKUP($C23,OFFSET([1]characters!$A$1,0,0,COUNTA([1]characters!$A:$A),MATCH(E$1,[1]characters!$1:$1,0)-MATCH($C$1,[1]characters!$1:$1,0)+1),MATCH(E$1,[1]characters!$1:$1,0)-MATCH($C$1,[1]characters!$1:$1,0)+1,FALSE)</f>
        <v>5</v>
      </c>
      <c r="F23" s="53" t="str">
        <f ca="1">VLOOKUP($C23,OFFSET([1]characters!$A$1,0,0,COUNTA([1]characters!$A:$A),MATCH(F$1,[1]characters!$1:$1,0)-MATCH($C$1,[1]characters!$1:$1,0)+1),MATCH(F$1,[1]characters!$1:$1,0)-MATCH($C$1,[1]characters!$1:$1,0)+1,FALSE)</f>
        <v>PremiumSS</v>
      </c>
      <c r="G23" s="194">
        <v>1312</v>
      </c>
      <c r="H23" s="53" t="str">
        <f ca="1">VLOOKUP($G23,OFFSET([1]characters!$A$1,0,0,COUNTA([1]characters!$A:$A),MATCH(H$1,[1]characters!$1:$1,0)-MATCH($C$1,[1]characters!$1:$1,0)+1),MATCH(H$1,[1]characters!$1:$1,0)-MATCH($C$1,[1]characters!$1:$1,0)+1,FALSE)</f>
        <v>連譜する大残響 鏡音レン</v>
      </c>
      <c r="I23" s="193">
        <v>116</v>
      </c>
      <c r="J23" s="53" t="str">
        <f ca="1">VLOOKUP($I23,OFFSET([1]characters!$A$1,0,0,COUNTA([1]characters!$A:$A),MATCH(J$1,[1]characters!$1:$1,0)-MATCH($C$1,[1]characters!$1:$1,0)+1),MATCH(J$1,[1]characters!$1:$1,0)-MATCH($C$1,[1]characters!$1:$1,0)+1,FALSE)</f>
        <v>雷のマッドハッター</v>
      </c>
      <c r="K23" s="191">
        <v>1</v>
      </c>
      <c r="L23" s="192">
        <v>1</v>
      </c>
      <c r="M23" s="192">
        <v>10</v>
      </c>
      <c r="N23" s="2" t="s">
        <v>289</v>
      </c>
    </row>
    <row r="24" spans="1:14" ht="21" customHeight="1" x14ac:dyDescent="0.15">
      <c r="A24" s="61" t="str">
        <f t="shared" si="0"/>
        <v>546_837</v>
      </c>
      <c r="B24" s="190">
        <v>546</v>
      </c>
      <c r="C24" s="178">
        <f t="shared" si="1"/>
        <v>546</v>
      </c>
      <c r="D24" s="53" t="str">
        <f ca="1">VLOOKUP($C24,OFFSET([1]characters!$A$1,0,0,COUNTA([1]characters!$A:$A),MATCH(D$1,[1]characters!$1:$1,0)-MATCH($C$1,[1]characters!$1:$1,0)+1),MATCH(D$1,[1]characters!$1:$1,0)-MATCH($C$1,[1]characters!$1:$1,0)+1,FALSE)</f>
        <v>残響の連符 鏡音レン</v>
      </c>
      <c r="E24" s="53">
        <f ca="1">VLOOKUP($C24,OFFSET([1]characters!$A$1,0,0,COUNTA([1]characters!$A:$A),MATCH(E$1,[1]characters!$1:$1,0)-MATCH($C$1,[1]characters!$1:$1,0)+1),MATCH(E$1,[1]characters!$1:$1,0)-MATCH($C$1,[1]characters!$1:$1,0)+1,FALSE)</f>
        <v>5</v>
      </c>
      <c r="F24" s="53" t="str">
        <f ca="1">VLOOKUP($C24,OFFSET([1]characters!$A$1,0,0,COUNTA([1]characters!$A:$A),MATCH(F$1,[1]characters!$1:$1,0)-MATCH($C$1,[1]characters!$1:$1,0)+1),MATCH(F$1,[1]characters!$1:$1,0)-MATCH($C$1,[1]characters!$1:$1,0)+1,FALSE)</f>
        <v>PremiumSS</v>
      </c>
      <c r="G24" s="194">
        <v>1312</v>
      </c>
      <c r="H24" s="53" t="str">
        <f ca="1">VLOOKUP($G24,OFFSET([1]characters!$A$1,0,0,COUNTA([1]characters!$A:$A),MATCH(H$1,[1]characters!$1:$1,0)-MATCH($C$1,[1]characters!$1:$1,0)+1),MATCH(H$1,[1]characters!$1:$1,0)-MATCH($C$1,[1]characters!$1:$1,0)+1,FALSE)</f>
        <v>連譜する大残響 鏡音レン</v>
      </c>
      <c r="I24" s="193">
        <v>837</v>
      </c>
      <c r="J24" s="53" t="str">
        <f ca="1">VLOOKUP($I24,OFFSET([1]characters!$A$1,0,0,COUNTA([1]characters!$A:$A),MATCH(J$1,[1]characters!$1:$1,0)-MATCH($C$1,[1]characters!$1:$1,0)+1),MATCH(J$1,[1]characters!$1:$1,0)-MATCH($C$1,[1]characters!$1:$1,0)+1,FALSE)</f>
        <v>リトルハンプティ</v>
      </c>
      <c r="K24" s="191">
        <v>1</v>
      </c>
      <c r="L24" s="192">
        <v>1</v>
      </c>
      <c r="M24" s="192">
        <v>1000</v>
      </c>
      <c r="N24" s="2" t="s">
        <v>289</v>
      </c>
    </row>
    <row r="25" spans="1:14" ht="21" customHeight="1" x14ac:dyDescent="0.15">
      <c r="A25" s="61" t="str">
        <f t="shared" si="0"/>
        <v>548_102</v>
      </c>
      <c r="B25" s="194">
        <v>548</v>
      </c>
      <c r="C25" s="178">
        <f t="shared" si="1"/>
        <v>548</v>
      </c>
      <c r="D25" s="53" t="str">
        <f ca="1">VLOOKUP($C25,OFFSET([1]characters!$A$1,0,0,COUNTA([1]characters!$A:$A),MATCH(D$1,[1]characters!$1:$1,0)-MATCH($C$1,[1]characters!$1:$1,0)+1),MATCH(D$1,[1]characters!$1:$1,0)-MATCH($C$1,[1]characters!$1:$1,0)+1,FALSE)</f>
        <v>乱舞の音環 巡音ルカ</v>
      </c>
      <c r="E25" s="53">
        <f ca="1">VLOOKUP($C25,OFFSET([1]characters!$A$1,0,0,COUNTA([1]characters!$A:$A),MATCH(E$1,[1]characters!$1:$1,0)-MATCH($C$1,[1]characters!$1:$1,0)+1),MATCH(E$1,[1]characters!$1:$1,0)-MATCH($C$1,[1]characters!$1:$1,0)+1,FALSE)</f>
        <v>4</v>
      </c>
      <c r="F25" s="53" t="str">
        <f ca="1">VLOOKUP($C25,OFFSET([1]characters!$A$1,0,0,COUNTA([1]characters!$A:$A),MATCH(F$1,[1]characters!$1:$1,0)-MATCH($C$1,[1]characters!$1:$1,0)+1),MATCH(F$1,[1]characters!$1:$1,0)-MATCH($C$1,[1]characters!$1:$1,0)+1,FALSE)</f>
        <v>PremiumS</v>
      </c>
      <c r="G25" s="194">
        <v>1313</v>
      </c>
      <c r="H25" s="53" t="str">
        <f ca="1">VLOOKUP($G25,OFFSET([1]characters!$A$1,0,0,COUNTA([1]characters!$A:$A),MATCH(H$1,[1]characters!$1:$1,0)-MATCH($C$1,[1]characters!$1:$1,0)+1),MATCH(H$1,[1]characters!$1:$1,0)-MATCH($C$1,[1]characters!$1:$1,0)+1,FALSE)</f>
        <v>旋律する音廻 巡音ルカ</v>
      </c>
      <c r="I25" s="193">
        <v>102</v>
      </c>
      <c r="J25" s="53" t="str">
        <f ca="1">VLOOKUP($I25,OFFSET([1]characters!$A$1,0,0,COUNTA([1]characters!$A:$A),MATCH(J$1,[1]characters!$1:$1,0)-MATCH($C$1,[1]characters!$1:$1,0)+1),MATCH(J$1,[1]characters!$1:$1,0)-MATCH($C$1,[1]characters!$1:$1,0)+1,FALSE)</f>
        <v>レッドラビット</v>
      </c>
      <c r="K25" s="191">
        <v>1</v>
      </c>
      <c r="L25" s="192">
        <v>1</v>
      </c>
      <c r="M25" s="192">
        <v>10</v>
      </c>
      <c r="N25" s="2" t="s">
        <v>289</v>
      </c>
    </row>
    <row r="26" spans="1:14" ht="21" customHeight="1" x14ac:dyDescent="0.15">
      <c r="A26" s="61" t="str">
        <f t="shared" si="0"/>
        <v>548_103</v>
      </c>
      <c r="B26" s="194">
        <v>548</v>
      </c>
      <c r="C26" s="178">
        <f t="shared" si="1"/>
        <v>548</v>
      </c>
      <c r="D26" s="53" t="str">
        <f ca="1">VLOOKUP($C26,OFFSET([1]characters!$A$1,0,0,COUNTA([1]characters!$A:$A),MATCH(D$1,[1]characters!$1:$1,0)-MATCH($C$1,[1]characters!$1:$1,0)+1),MATCH(D$1,[1]characters!$1:$1,0)-MATCH($C$1,[1]characters!$1:$1,0)+1,FALSE)</f>
        <v>乱舞の音環 巡音ルカ</v>
      </c>
      <c r="E26" s="53">
        <f ca="1">VLOOKUP($C26,OFFSET([1]characters!$A$1,0,0,COUNTA([1]characters!$A:$A),MATCH(E$1,[1]characters!$1:$1,0)-MATCH($C$1,[1]characters!$1:$1,0)+1),MATCH(E$1,[1]characters!$1:$1,0)-MATCH($C$1,[1]characters!$1:$1,0)+1,FALSE)</f>
        <v>4</v>
      </c>
      <c r="F26" s="53" t="str">
        <f ca="1">VLOOKUP($C26,OFFSET([1]characters!$A$1,0,0,COUNTA([1]characters!$A:$A),MATCH(F$1,[1]characters!$1:$1,0)-MATCH($C$1,[1]characters!$1:$1,0)+1),MATCH(F$1,[1]characters!$1:$1,0)-MATCH($C$1,[1]characters!$1:$1,0)+1,FALSE)</f>
        <v>PremiumS</v>
      </c>
      <c r="G26" s="194">
        <v>1313</v>
      </c>
      <c r="H26" s="53" t="str">
        <f ca="1">VLOOKUP($G26,OFFSET([1]characters!$A$1,0,0,COUNTA([1]characters!$A:$A),MATCH(H$1,[1]characters!$1:$1,0)-MATCH($C$1,[1]characters!$1:$1,0)+1),MATCH(H$1,[1]characters!$1:$1,0)-MATCH($C$1,[1]characters!$1:$1,0)+1,FALSE)</f>
        <v>旋律する音廻 巡音ルカ</v>
      </c>
      <c r="I26" s="193">
        <v>103</v>
      </c>
      <c r="J26" s="53" t="str">
        <f ca="1">VLOOKUP($I26,OFFSET([1]characters!$A$1,0,0,COUNTA([1]characters!$A:$A),MATCH(J$1,[1]characters!$1:$1,0)-MATCH($C$1,[1]characters!$1:$1,0)+1),MATCH(J$1,[1]characters!$1:$1,0)-MATCH($C$1,[1]characters!$1:$1,0)+1,FALSE)</f>
        <v>レッドキャタップ</v>
      </c>
      <c r="K26" s="191">
        <v>2</v>
      </c>
      <c r="L26" s="192">
        <v>1</v>
      </c>
      <c r="M26" s="192">
        <v>10</v>
      </c>
      <c r="N26" s="2" t="s">
        <v>289</v>
      </c>
    </row>
    <row r="27" spans="1:14" ht="21" customHeight="1" x14ac:dyDescent="0.15">
      <c r="A27" s="61" t="str">
        <f t="shared" si="0"/>
        <v>548_104</v>
      </c>
      <c r="B27" s="194">
        <v>548</v>
      </c>
      <c r="C27" s="178">
        <f t="shared" si="1"/>
        <v>548</v>
      </c>
      <c r="D27" s="53" t="str">
        <f ca="1">VLOOKUP($C27,OFFSET([1]characters!$A$1,0,0,COUNTA([1]characters!$A:$A),MATCH(D$1,[1]characters!$1:$1,0)-MATCH($C$1,[1]characters!$1:$1,0)+1),MATCH(D$1,[1]characters!$1:$1,0)-MATCH($C$1,[1]characters!$1:$1,0)+1,FALSE)</f>
        <v>乱舞の音環 巡音ルカ</v>
      </c>
      <c r="E27" s="53">
        <f ca="1">VLOOKUP($C27,OFFSET([1]characters!$A$1,0,0,COUNTA([1]characters!$A:$A),MATCH(E$1,[1]characters!$1:$1,0)-MATCH($C$1,[1]characters!$1:$1,0)+1),MATCH(E$1,[1]characters!$1:$1,0)-MATCH($C$1,[1]characters!$1:$1,0)+1,FALSE)</f>
        <v>4</v>
      </c>
      <c r="F27" s="53" t="str">
        <f ca="1">VLOOKUP($C27,OFFSET([1]characters!$A$1,0,0,COUNTA([1]characters!$A:$A),MATCH(F$1,[1]characters!$1:$1,0)-MATCH($C$1,[1]characters!$1:$1,0)+1),MATCH(F$1,[1]characters!$1:$1,0)-MATCH($C$1,[1]characters!$1:$1,0)+1,FALSE)</f>
        <v>PremiumS</v>
      </c>
      <c r="G27" s="194">
        <v>1313</v>
      </c>
      <c r="H27" s="53" t="str">
        <f ca="1">VLOOKUP($G27,OFFSET([1]characters!$A$1,0,0,COUNTA([1]characters!$A:$A),MATCH(H$1,[1]characters!$1:$1,0)-MATCH($C$1,[1]characters!$1:$1,0)+1),MATCH(H$1,[1]characters!$1:$1,0)-MATCH($C$1,[1]characters!$1:$1,0)+1,FALSE)</f>
        <v>旋律する音廻 巡音ルカ</v>
      </c>
      <c r="I27" s="193">
        <v>104</v>
      </c>
      <c r="J27" s="53" t="str">
        <f ca="1">VLOOKUP($I27,OFFSET([1]characters!$A$1,0,0,COUNTA([1]characters!$A:$A),MATCH(J$1,[1]characters!$1:$1,0)-MATCH($C$1,[1]characters!$1:$1,0)+1),MATCH(J$1,[1]characters!$1:$1,0)-MATCH($C$1,[1]characters!$1:$1,0)+1,FALSE)</f>
        <v>炎のマッドハッター</v>
      </c>
      <c r="K27" s="191">
        <v>2</v>
      </c>
      <c r="L27" s="192">
        <v>1</v>
      </c>
      <c r="M27" s="192">
        <v>10</v>
      </c>
      <c r="N27" s="2" t="s">
        <v>289</v>
      </c>
    </row>
    <row r="28" spans="1:14" ht="21" customHeight="1" x14ac:dyDescent="0.15">
      <c r="A28" s="61" t="str">
        <f t="shared" si="0"/>
        <v>550_102</v>
      </c>
      <c r="B28" s="190">
        <v>550</v>
      </c>
      <c r="C28" s="178">
        <f t="shared" si="1"/>
        <v>550</v>
      </c>
      <c r="D28" s="53" t="str">
        <f ca="1">VLOOKUP($C28,OFFSET([1]characters!$A$1,0,0,COUNTA([1]characters!$A:$A),MATCH(D$1,[1]characters!$1:$1,0)-MATCH($C$1,[1]characters!$1:$1,0)+1),MATCH(D$1,[1]characters!$1:$1,0)-MATCH($C$1,[1]characters!$1:$1,0)+1,FALSE)</f>
        <v>解放の絶唱 MEIKO</v>
      </c>
      <c r="E28" s="53">
        <f ca="1">VLOOKUP($C28,OFFSET([1]characters!$A$1,0,0,COUNTA([1]characters!$A:$A),MATCH(E$1,[1]characters!$1:$1,0)-MATCH($C$1,[1]characters!$1:$1,0)+1),MATCH(E$1,[1]characters!$1:$1,0)-MATCH($C$1,[1]characters!$1:$1,0)+1,FALSE)</f>
        <v>4</v>
      </c>
      <c r="F28" s="53" t="str">
        <f ca="1">VLOOKUP($C28,OFFSET([1]characters!$A$1,0,0,COUNTA([1]characters!$A:$A),MATCH(F$1,[1]characters!$1:$1,0)-MATCH($C$1,[1]characters!$1:$1,0)+1),MATCH(F$1,[1]characters!$1:$1,0)-MATCH($C$1,[1]characters!$1:$1,0)+1,FALSE)</f>
        <v>PremiumS</v>
      </c>
      <c r="G28" s="194">
        <v>1314</v>
      </c>
      <c r="H28" s="53" t="str">
        <f ca="1">VLOOKUP($G28,OFFSET([1]characters!$A$1,0,0,COUNTA([1]characters!$A:$A),MATCH(H$1,[1]characters!$1:$1,0)-MATCH($C$1,[1]characters!$1:$1,0)+1),MATCH(H$1,[1]characters!$1:$1,0)-MATCH($C$1,[1]characters!$1:$1,0)+1,FALSE)</f>
        <v>救声の唱動 MEIKO</v>
      </c>
      <c r="I28" s="193">
        <v>102</v>
      </c>
      <c r="J28" s="53" t="str">
        <f ca="1">VLOOKUP($I28,OFFSET([1]characters!$A$1,0,0,COUNTA([1]characters!$A:$A),MATCH(J$1,[1]characters!$1:$1,0)-MATCH($C$1,[1]characters!$1:$1,0)+1),MATCH(J$1,[1]characters!$1:$1,0)-MATCH($C$1,[1]characters!$1:$1,0)+1,FALSE)</f>
        <v>レッドラビット</v>
      </c>
      <c r="K28" s="191">
        <v>1</v>
      </c>
      <c r="L28" s="192">
        <v>1</v>
      </c>
      <c r="M28" s="192">
        <v>10</v>
      </c>
      <c r="N28" s="2" t="s">
        <v>289</v>
      </c>
    </row>
    <row r="29" spans="1:14" ht="21" customHeight="1" x14ac:dyDescent="0.15">
      <c r="A29" s="61" t="str">
        <f t="shared" si="0"/>
        <v>550_103</v>
      </c>
      <c r="B29" s="190">
        <v>550</v>
      </c>
      <c r="C29" s="178">
        <f t="shared" si="1"/>
        <v>550</v>
      </c>
      <c r="D29" s="53" t="str">
        <f ca="1">VLOOKUP($C29,OFFSET([1]characters!$A$1,0,0,COUNTA([1]characters!$A:$A),MATCH(D$1,[1]characters!$1:$1,0)-MATCH($C$1,[1]characters!$1:$1,0)+1),MATCH(D$1,[1]characters!$1:$1,0)-MATCH($C$1,[1]characters!$1:$1,0)+1,FALSE)</f>
        <v>解放の絶唱 MEIKO</v>
      </c>
      <c r="E29" s="53">
        <f ca="1">VLOOKUP($C29,OFFSET([1]characters!$A$1,0,0,COUNTA([1]characters!$A:$A),MATCH(E$1,[1]characters!$1:$1,0)-MATCH($C$1,[1]characters!$1:$1,0)+1),MATCH(E$1,[1]characters!$1:$1,0)-MATCH($C$1,[1]characters!$1:$1,0)+1,FALSE)</f>
        <v>4</v>
      </c>
      <c r="F29" s="53" t="str">
        <f ca="1">VLOOKUP($C29,OFFSET([1]characters!$A$1,0,0,COUNTA([1]characters!$A:$A),MATCH(F$1,[1]characters!$1:$1,0)-MATCH($C$1,[1]characters!$1:$1,0)+1),MATCH(F$1,[1]characters!$1:$1,0)-MATCH($C$1,[1]characters!$1:$1,0)+1,FALSE)</f>
        <v>PremiumS</v>
      </c>
      <c r="G29" s="194">
        <v>1314</v>
      </c>
      <c r="H29" s="53" t="str">
        <f ca="1">VLOOKUP($G29,OFFSET([1]characters!$A$1,0,0,COUNTA([1]characters!$A:$A),MATCH(H$1,[1]characters!$1:$1,0)-MATCH($C$1,[1]characters!$1:$1,0)+1),MATCH(H$1,[1]characters!$1:$1,0)-MATCH($C$1,[1]characters!$1:$1,0)+1,FALSE)</f>
        <v>救声の唱動 MEIKO</v>
      </c>
      <c r="I29" s="193">
        <v>103</v>
      </c>
      <c r="J29" s="53" t="str">
        <f ca="1">VLOOKUP($I29,OFFSET([1]characters!$A$1,0,0,COUNTA([1]characters!$A:$A),MATCH(J$1,[1]characters!$1:$1,0)-MATCH($C$1,[1]characters!$1:$1,0)+1),MATCH(J$1,[1]characters!$1:$1,0)-MATCH($C$1,[1]characters!$1:$1,0)+1,FALSE)</f>
        <v>レッドキャタップ</v>
      </c>
      <c r="K29" s="191">
        <v>2</v>
      </c>
      <c r="L29" s="192">
        <v>1</v>
      </c>
      <c r="M29" s="192">
        <v>10</v>
      </c>
      <c r="N29" s="2" t="s">
        <v>289</v>
      </c>
    </row>
    <row r="30" spans="1:14" ht="21" customHeight="1" x14ac:dyDescent="0.15">
      <c r="A30" s="61" t="str">
        <f t="shared" si="0"/>
        <v>550_104</v>
      </c>
      <c r="B30" s="190">
        <v>550</v>
      </c>
      <c r="C30" s="178">
        <f t="shared" si="1"/>
        <v>550</v>
      </c>
      <c r="D30" s="53" t="str">
        <f ca="1">VLOOKUP($C30,OFFSET([1]characters!$A$1,0,0,COUNTA([1]characters!$A:$A),MATCH(D$1,[1]characters!$1:$1,0)-MATCH($C$1,[1]characters!$1:$1,0)+1),MATCH(D$1,[1]characters!$1:$1,0)-MATCH($C$1,[1]characters!$1:$1,0)+1,FALSE)</f>
        <v>解放の絶唱 MEIKO</v>
      </c>
      <c r="E30" s="53">
        <f ca="1">VLOOKUP($C30,OFFSET([1]characters!$A$1,0,0,COUNTA([1]characters!$A:$A),MATCH(E$1,[1]characters!$1:$1,0)-MATCH($C$1,[1]characters!$1:$1,0)+1),MATCH(E$1,[1]characters!$1:$1,0)-MATCH($C$1,[1]characters!$1:$1,0)+1,FALSE)</f>
        <v>4</v>
      </c>
      <c r="F30" s="53" t="str">
        <f ca="1">VLOOKUP($C30,OFFSET([1]characters!$A$1,0,0,COUNTA([1]characters!$A:$A),MATCH(F$1,[1]characters!$1:$1,0)-MATCH($C$1,[1]characters!$1:$1,0)+1),MATCH(F$1,[1]characters!$1:$1,0)-MATCH($C$1,[1]characters!$1:$1,0)+1,FALSE)</f>
        <v>PremiumS</v>
      </c>
      <c r="G30" s="194">
        <v>1314</v>
      </c>
      <c r="H30" s="53" t="str">
        <f ca="1">VLOOKUP($G30,OFFSET([1]characters!$A$1,0,0,COUNTA([1]characters!$A:$A),MATCH(H$1,[1]characters!$1:$1,0)-MATCH($C$1,[1]characters!$1:$1,0)+1),MATCH(H$1,[1]characters!$1:$1,0)-MATCH($C$1,[1]characters!$1:$1,0)+1,FALSE)</f>
        <v>救声の唱動 MEIKO</v>
      </c>
      <c r="I30" s="193">
        <v>104</v>
      </c>
      <c r="J30" s="53" t="str">
        <f ca="1">VLOOKUP($I30,OFFSET([1]characters!$A$1,0,0,COUNTA([1]characters!$A:$A),MATCH(J$1,[1]characters!$1:$1,0)-MATCH($C$1,[1]characters!$1:$1,0)+1),MATCH(J$1,[1]characters!$1:$1,0)-MATCH($C$1,[1]characters!$1:$1,0)+1,FALSE)</f>
        <v>炎のマッドハッター</v>
      </c>
      <c r="K30" s="191">
        <v>2</v>
      </c>
      <c r="L30" s="192">
        <v>1</v>
      </c>
      <c r="M30" s="192">
        <v>10</v>
      </c>
      <c r="N30" s="2" t="s">
        <v>289</v>
      </c>
    </row>
    <row r="31" spans="1:14" ht="21" customHeight="1" x14ac:dyDescent="0.15">
      <c r="A31" s="61" t="str">
        <f t="shared" si="0"/>
        <v>552_110</v>
      </c>
      <c r="B31" s="190">
        <v>552</v>
      </c>
      <c r="C31" s="178">
        <f t="shared" si="1"/>
        <v>552</v>
      </c>
      <c r="D31" s="53" t="str">
        <f ca="1">VLOOKUP($C31,OFFSET([1]characters!$A$1,0,0,COUNTA([1]characters!$A:$A),MATCH(D$1,[1]characters!$1:$1,0)-MATCH($C$1,[1]characters!$1:$1,0)+1),MATCH(D$1,[1]characters!$1:$1,0)-MATCH($C$1,[1]characters!$1:$1,0)+1,FALSE)</f>
        <v>愉悦の愛唱 KAITO</v>
      </c>
      <c r="E31" s="53">
        <f ca="1">VLOOKUP($C31,OFFSET([1]characters!$A$1,0,0,COUNTA([1]characters!$A:$A),MATCH(E$1,[1]characters!$1:$1,0)-MATCH($C$1,[1]characters!$1:$1,0)+1),MATCH(E$1,[1]characters!$1:$1,0)-MATCH($C$1,[1]characters!$1:$1,0)+1,FALSE)</f>
        <v>4</v>
      </c>
      <c r="F31" s="53" t="str">
        <f ca="1">VLOOKUP($C31,OFFSET([1]characters!$A$1,0,0,COUNTA([1]characters!$A:$A),MATCH(F$1,[1]characters!$1:$1,0)-MATCH($C$1,[1]characters!$1:$1,0)+1),MATCH(F$1,[1]characters!$1:$1,0)-MATCH($C$1,[1]characters!$1:$1,0)+1,FALSE)</f>
        <v>PremiumS</v>
      </c>
      <c r="G31" s="194">
        <v>1315</v>
      </c>
      <c r="H31" s="53" t="str">
        <f ca="1">VLOOKUP($G31,OFFSET([1]characters!$A$1,0,0,COUNTA([1]characters!$A:$A),MATCH(H$1,[1]characters!$1:$1,0)-MATCH($C$1,[1]characters!$1:$1,0)+1),MATCH(H$1,[1]characters!$1:$1,0)-MATCH($C$1,[1]characters!$1:$1,0)+1,FALSE)</f>
        <v>快響の楽唱歌 KAITO</v>
      </c>
      <c r="I31" s="193">
        <v>110</v>
      </c>
      <c r="J31" s="53" t="str">
        <f ca="1">VLOOKUP($I31,OFFSET([1]characters!$A$1,0,0,COUNTA([1]characters!$A:$A),MATCH(J$1,[1]characters!$1:$1,0)-MATCH($C$1,[1]characters!$1:$1,0)+1),MATCH(J$1,[1]characters!$1:$1,0)-MATCH($C$1,[1]characters!$1:$1,0)+1,FALSE)</f>
        <v>ブルーラビット</v>
      </c>
      <c r="K31" s="191">
        <v>1</v>
      </c>
      <c r="L31" s="192">
        <v>1</v>
      </c>
      <c r="M31" s="192">
        <v>10</v>
      </c>
      <c r="N31" s="2" t="s">
        <v>289</v>
      </c>
    </row>
    <row r="32" spans="1:14" ht="21" customHeight="1" x14ac:dyDescent="0.15">
      <c r="A32" s="61" t="str">
        <f t="shared" ref="A32:A63" si="2">B32&amp;"_"&amp;I32</f>
        <v>552_111</v>
      </c>
      <c r="B32" s="190">
        <v>552</v>
      </c>
      <c r="C32" s="178">
        <f t="shared" si="1"/>
        <v>552</v>
      </c>
      <c r="D32" s="53" t="str">
        <f ca="1">VLOOKUP($C32,OFFSET([1]characters!$A$1,0,0,COUNTA([1]characters!$A:$A),MATCH(D$1,[1]characters!$1:$1,0)-MATCH($C$1,[1]characters!$1:$1,0)+1),MATCH(D$1,[1]characters!$1:$1,0)-MATCH($C$1,[1]characters!$1:$1,0)+1,FALSE)</f>
        <v>愉悦の愛唱 KAITO</v>
      </c>
      <c r="E32" s="53">
        <f ca="1">VLOOKUP($C32,OFFSET([1]characters!$A$1,0,0,COUNTA([1]characters!$A:$A),MATCH(E$1,[1]characters!$1:$1,0)-MATCH($C$1,[1]characters!$1:$1,0)+1),MATCH(E$1,[1]characters!$1:$1,0)-MATCH($C$1,[1]characters!$1:$1,0)+1,FALSE)</f>
        <v>4</v>
      </c>
      <c r="F32" s="53" t="str">
        <f ca="1">VLOOKUP($C32,OFFSET([1]characters!$A$1,0,0,COUNTA([1]characters!$A:$A),MATCH(F$1,[1]characters!$1:$1,0)-MATCH($C$1,[1]characters!$1:$1,0)+1),MATCH(F$1,[1]characters!$1:$1,0)-MATCH($C$1,[1]characters!$1:$1,0)+1,FALSE)</f>
        <v>PremiumS</v>
      </c>
      <c r="G32" s="194">
        <v>1315</v>
      </c>
      <c r="H32" s="53" t="str">
        <f ca="1">VLOOKUP($G32,OFFSET([1]characters!$A$1,0,0,COUNTA([1]characters!$A:$A),MATCH(H$1,[1]characters!$1:$1,0)-MATCH($C$1,[1]characters!$1:$1,0)+1),MATCH(H$1,[1]characters!$1:$1,0)-MATCH($C$1,[1]characters!$1:$1,0)+1,FALSE)</f>
        <v>快響の楽唱歌 KAITO</v>
      </c>
      <c r="I32" s="193">
        <v>111</v>
      </c>
      <c r="J32" s="53" t="str">
        <f ca="1">VLOOKUP($I32,OFFSET([1]characters!$A$1,0,0,COUNTA([1]characters!$A:$A),MATCH(J$1,[1]characters!$1:$1,0)-MATCH($C$1,[1]characters!$1:$1,0)+1),MATCH(J$1,[1]characters!$1:$1,0)-MATCH($C$1,[1]characters!$1:$1,0)+1,FALSE)</f>
        <v>ブルーキャタップ</v>
      </c>
      <c r="K32" s="191">
        <v>2</v>
      </c>
      <c r="L32" s="192">
        <v>1</v>
      </c>
      <c r="M32" s="192">
        <v>10</v>
      </c>
      <c r="N32" s="2" t="s">
        <v>289</v>
      </c>
    </row>
    <row r="33" spans="1:14" ht="21" customHeight="1" x14ac:dyDescent="0.15">
      <c r="A33" s="61" t="str">
        <f t="shared" si="2"/>
        <v>552_112</v>
      </c>
      <c r="B33" s="190">
        <v>552</v>
      </c>
      <c r="C33" s="178">
        <f t="shared" si="1"/>
        <v>552</v>
      </c>
      <c r="D33" s="53" t="str">
        <f ca="1">VLOOKUP($C33,OFFSET([1]characters!$A$1,0,0,COUNTA([1]characters!$A:$A),MATCH(D$1,[1]characters!$1:$1,0)-MATCH($C$1,[1]characters!$1:$1,0)+1),MATCH(D$1,[1]characters!$1:$1,0)-MATCH($C$1,[1]characters!$1:$1,0)+1,FALSE)</f>
        <v>愉悦の愛唱 KAITO</v>
      </c>
      <c r="E33" s="53">
        <f ca="1">VLOOKUP($C33,OFFSET([1]characters!$A$1,0,0,COUNTA([1]characters!$A:$A),MATCH(E$1,[1]characters!$1:$1,0)-MATCH($C$1,[1]characters!$1:$1,0)+1),MATCH(E$1,[1]characters!$1:$1,0)-MATCH($C$1,[1]characters!$1:$1,0)+1,FALSE)</f>
        <v>4</v>
      </c>
      <c r="F33" s="53" t="str">
        <f ca="1">VLOOKUP($C33,OFFSET([1]characters!$A$1,0,0,COUNTA([1]characters!$A:$A),MATCH(F$1,[1]characters!$1:$1,0)-MATCH($C$1,[1]characters!$1:$1,0)+1),MATCH(F$1,[1]characters!$1:$1,0)-MATCH($C$1,[1]characters!$1:$1,0)+1,FALSE)</f>
        <v>PremiumS</v>
      </c>
      <c r="G33" s="194">
        <v>1315</v>
      </c>
      <c r="H33" s="53" t="str">
        <f ca="1">VLOOKUP($G33,OFFSET([1]characters!$A$1,0,0,COUNTA([1]characters!$A:$A),MATCH(H$1,[1]characters!$1:$1,0)-MATCH($C$1,[1]characters!$1:$1,0)+1),MATCH(H$1,[1]characters!$1:$1,0)-MATCH($C$1,[1]characters!$1:$1,0)+1,FALSE)</f>
        <v>快響の楽唱歌 KAITO</v>
      </c>
      <c r="I33" s="193">
        <v>112</v>
      </c>
      <c r="J33" s="53" t="str">
        <f ca="1">VLOOKUP($I33,OFFSET([1]characters!$A$1,0,0,COUNTA([1]characters!$A:$A),MATCH(J$1,[1]characters!$1:$1,0)-MATCH($C$1,[1]characters!$1:$1,0)+1),MATCH(J$1,[1]characters!$1:$1,0)-MATCH($C$1,[1]characters!$1:$1,0)+1,FALSE)</f>
        <v>水のマッドハッター</v>
      </c>
      <c r="K33" s="191">
        <v>2</v>
      </c>
      <c r="L33" s="192">
        <v>1</v>
      </c>
      <c r="M33" s="192">
        <v>10</v>
      </c>
      <c r="N33" s="2" t="s">
        <v>289</v>
      </c>
    </row>
    <row r="34" spans="1:14" ht="21" customHeight="1" x14ac:dyDescent="0.15">
      <c r="A34" s="61" t="str">
        <f t="shared" si="2"/>
        <v>1295_112</v>
      </c>
      <c r="B34" s="194">
        <v>1295</v>
      </c>
      <c r="C34" s="178">
        <f t="shared" si="1"/>
        <v>1295</v>
      </c>
      <c r="D34" s="53" t="str">
        <f ca="1">VLOOKUP($C34,OFFSET([1]characters!$A$1,0,0,COUNTA([1]characters!$A:$A),MATCH(D$1,[1]characters!$1:$1,0)-MATCH($C$1,[1]characters!$1:$1,0)+1),MATCH(D$1,[1]characters!$1:$1,0)-MATCH($C$1,[1]characters!$1:$1,0)+1,FALSE)</f>
        <v>星空の舞奏 ラビット・ユキネ</v>
      </c>
      <c r="E34" s="53">
        <f ca="1">VLOOKUP($C34,OFFSET([1]characters!$A$1,0,0,COUNTA([1]characters!$A:$A),MATCH(E$1,[1]characters!$1:$1,0)-MATCH($C$1,[1]characters!$1:$1,0)+1),MATCH(E$1,[1]characters!$1:$1,0)-MATCH($C$1,[1]characters!$1:$1,0)+1,FALSE)</f>
        <v>5</v>
      </c>
      <c r="F34" s="53" t="str">
        <f ca="1">VLOOKUP($C34,OFFSET([1]characters!$A$1,0,0,COUNTA([1]characters!$A:$A),MATCH(F$1,[1]characters!$1:$1,0)-MATCH($C$1,[1]characters!$1:$1,0)+1),MATCH(F$1,[1]characters!$1:$1,0)-MATCH($C$1,[1]characters!$1:$1,0)+1,FALSE)</f>
        <v>DropWizS</v>
      </c>
      <c r="G34" s="194">
        <v>1296</v>
      </c>
      <c r="H34" s="53" t="str">
        <f ca="1">VLOOKUP($G34,OFFSET([1]characters!$A$1,0,0,COUNTA([1]characters!$A:$A),MATCH(H$1,[1]characters!$1:$1,0)-MATCH($C$1,[1]characters!$1:$1,0)+1),MATCH(H$1,[1]characters!$1:$1,0)-MATCH($C$1,[1]characters!$1:$1,0)+1,FALSE)</f>
        <v>星々駆ける乱奏 ラビット・ユキネ</v>
      </c>
      <c r="I34" s="193">
        <v>112</v>
      </c>
      <c r="J34" s="53" t="str">
        <f ca="1">VLOOKUP($I34,OFFSET([1]characters!$A$1,0,0,COUNTA([1]characters!$A:$A),MATCH(J$1,[1]characters!$1:$1,0)-MATCH($C$1,[1]characters!$1:$1,0)+1),MATCH(J$1,[1]characters!$1:$1,0)-MATCH($C$1,[1]characters!$1:$1,0)+1,FALSE)</f>
        <v>水のマッドハッター</v>
      </c>
      <c r="K34" s="191">
        <v>1</v>
      </c>
      <c r="L34" s="192">
        <v>1</v>
      </c>
      <c r="M34" s="192">
        <v>10</v>
      </c>
      <c r="N34" s="2" t="s">
        <v>289</v>
      </c>
    </row>
    <row r="35" spans="1:14" ht="21" customHeight="1" x14ac:dyDescent="0.15">
      <c r="A35" s="61" t="str">
        <f t="shared" si="2"/>
        <v>1295_292</v>
      </c>
      <c r="B35" s="194">
        <v>1295</v>
      </c>
      <c r="C35" s="178">
        <f t="shared" si="1"/>
        <v>1295</v>
      </c>
      <c r="D35" s="53" t="str">
        <f ca="1">VLOOKUP($C35,OFFSET([1]characters!$A$1,0,0,COUNTA([1]characters!$A:$A),MATCH(D$1,[1]characters!$1:$1,0)-MATCH($C$1,[1]characters!$1:$1,0)+1),MATCH(D$1,[1]characters!$1:$1,0)-MATCH($C$1,[1]characters!$1:$1,0)+1,FALSE)</f>
        <v>星空の舞奏 ラビット・ユキネ</v>
      </c>
      <c r="E35" s="53">
        <f ca="1">VLOOKUP($C35,OFFSET([1]characters!$A$1,0,0,COUNTA([1]characters!$A:$A),MATCH(E$1,[1]characters!$1:$1,0)-MATCH($C$1,[1]characters!$1:$1,0)+1),MATCH(E$1,[1]characters!$1:$1,0)-MATCH($C$1,[1]characters!$1:$1,0)+1,FALSE)</f>
        <v>5</v>
      </c>
      <c r="F35" s="53" t="str">
        <f ca="1">VLOOKUP($C35,OFFSET([1]characters!$A$1,0,0,COUNTA([1]characters!$A:$A),MATCH(F$1,[1]characters!$1:$1,0)-MATCH($C$1,[1]characters!$1:$1,0)+1),MATCH(F$1,[1]characters!$1:$1,0)-MATCH($C$1,[1]characters!$1:$1,0)+1,FALSE)</f>
        <v>DropWizS</v>
      </c>
      <c r="G35" s="194">
        <v>1296</v>
      </c>
      <c r="H35" s="53" t="str">
        <f ca="1">VLOOKUP($G35,OFFSET([1]characters!$A$1,0,0,COUNTA([1]characters!$A:$A),MATCH(H$1,[1]characters!$1:$1,0)-MATCH($C$1,[1]characters!$1:$1,0)+1),MATCH(H$1,[1]characters!$1:$1,0)-MATCH($C$1,[1]characters!$1:$1,0)+1,FALSE)</f>
        <v>星々駆ける乱奏 ラビット・ユキネ</v>
      </c>
      <c r="I35" s="193">
        <v>292</v>
      </c>
      <c r="J35" s="53" t="str">
        <f ca="1">VLOOKUP($I35,OFFSET([1]characters!$A$1,0,0,COUNTA([1]characters!$A:$A),MATCH(J$1,[1]characters!$1:$1,0)-MATCH($C$1,[1]characters!$1:$1,0)+1),MATCH(J$1,[1]characters!$1:$1,0)-MATCH($C$1,[1]characters!$1:$1,0)+1,FALSE)</f>
        <v>アナスタシア</v>
      </c>
      <c r="K35" s="191">
        <v>1</v>
      </c>
      <c r="L35" s="192">
        <v>2</v>
      </c>
      <c r="M35" s="192">
        <v>100</v>
      </c>
      <c r="N35" s="2" t="s">
        <v>289</v>
      </c>
    </row>
    <row r="36" spans="1:14" ht="21" customHeight="1" x14ac:dyDescent="0.15">
      <c r="A36" s="61" t="str">
        <f t="shared" si="2"/>
        <v>1295_646</v>
      </c>
      <c r="B36" s="194">
        <v>1295</v>
      </c>
      <c r="C36" s="178">
        <f t="shared" si="1"/>
        <v>1295</v>
      </c>
      <c r="D36" s="53" t="str">
        <f ca="1">VLOOKUP($C36,OFFSET([1]characters!$A$1,0,0,COUNTA([1]characters!$A:$A),MATCH(D$1,[1]characters!$1:$1,0)-MATCH($C$1,[1]characters!$1:$1,0)+1),MATCH(D$1,[1]characters!$1:$1,0)-MATCH($C$1,[1]characters!$1:$1,0)+1,FALSE)</f>
        <v>星空の舞奏 ラビット・ユキネ</v>
      </c>
      <c r="E36" s="53">
        <f ca="1">VLOOKUP($C36,OFFSET([1]characters!$A$1,0,0,COUNTA([1]characters!$A:$A),MATCH(E$1,[1]characters!$1:$1,0)-MATCH($C$1,[1]characters!$1:$1,0)+1),MATCH(E$1,[1]characters!$1:$1,0)-MATCH($C$1,[1]characters!$1:$1,0)+1,FALSE)</f>
        <v>5</v>
      </c>
      <c r="F36" s="53" t="str">
        <f ca="1">VLOOKUP($C36,OFFSET([1]characters!$A$1,0,0,COUNTA([1]characters!$A:$A),MATCH(F$1,[1]characters!$1:$1,0)-MATCH($C$1,[1]characters!$1:$1,0)+1),MATCH(F$1,[1]characters!$1:$1,0)-MATCH($C$1,[1]characters!$1:$1,0)+1,FALSE)</f>
        <v>DropWizS</v>
      </c>
      <c r="G36" s="194">
        <v>1296</v>
      </c>
      <c r="H36" s="53" t="str">
        <f ca="1">VLOOKUP($G36,OFFSET([1]characters!$A$1,0,0,COUNTA([1]characters!$A:$A),MATCH(H$1,[1]characters!$1:$1,0)-MATCH($C$1,[1]characters!$1:$1,0)+1),MATCH(H$1,[1]characters!$1:$1,0)-MATCH($C$1,[1]characters!$1:$1,0)+1,FALSE)</f>
        <v>星々駆ける乱奏 ラビット・ユキネ</v>
      </c>
      <c r="I36" s="193">
        <v>646</v>
      </c>
      <c r="J36" s="53" t="str">
        <f ca="1">VLOOKUP($I36,OFFSET([1]characters!$A$1,0,0,COUNTA([1]characters!$A:$A),MATCH(J$1,[1]characters!$1:$1,0)-MATCH($C$1,[1]characters!$1:$1,0)+1),MATCH(J$1,[1]characters!$1:$1,0)-MATCH($C$1,[1]characters!$1:$1,0)+1,FALSE)</f>
        <v>雪女 ユキ</v>
      </c>
      <c r="K36" s="191">
        <v>1</v>
      </c>
      <c r="L36" s="192">
        <v>3</v>
      </c>
      <c r="M36" s="192">
        <v>100</v>
      </c>
      <c r="N36" s="2" t="s">
        <v>289</v>
      </c>
    </row>
    <row r="37" spans="1:14" ht="21" customHeight="1" x14ac:dyDescent="0.15">
      <c r="A37" s="61" t="str">
        <f t="shared" si="2"/>
        <v>1295_837</v>
      </c>
      <c r="B37" s="194">
        <v>1295</v>
      </c>
      <c r="C37" s="178">
        <f t="shared" si="1"/>
        <v>1295</v>
      </c>
      <c r="D37" s="53" t="str">
        <f ca="1">VLOOKUP($C37,OFFSET([1]characters!$A$1,0,0,COUNTA([1]characters!$A:$A),MATCH(D$1,[1]characters!$1:$1,0)-MATCH($C$1,[1]characters!$1:$1,0)+1),MATCH(D$1,[1]characters!$1:$1,0)-MATCH($C$1,[1]characters!$1:$1,0)+1,FALSE)</f>
        <v>星空の舞奏 ラビット・ユキネ</v>
      </c>
      <c r="E37" s="53">
        <f ca="1">VLOOKUP($C37,OFFSET([1]characters!$A$1,0,0,COUNTA([1]characters!$A:$A),MATCH(E$1,[1]characters!$1:$1,0)-MATCH($C$1,[1]characters!$1:$1,0)+1),MATCH(E$1,[1]characters!$1:$1,0)-MATCH($C$1,[1]characters!$1:$1,0)+1,FALSE)</f>
        <v>5</v>
      </c>
      <c r="F37" s="53" t="str">
        <f ca="1">VLOOKUP($C37,OFFSET([1]characters!$A$1,0,0,COUNTA([1]characters!$A:$A),MATCH(F$1,[1]characters!$1:$1,0)-MATCH($C$1,[1]characters!$1:$1,0)+1),MATCH(F$1,[1]characters!$1:$1,0)-MATCH($C$1,[1]characters!$1:$1,0)+1,FALSE)</f>
        <v>DropWizS</v>
      </c>
      <c r="G37" s="194">
        <v>1296</v>
      </c>
      <c r="H37" s="53" t="str">
        <f ca="1">VLOOKUP($G37,OFFSET([1]characters!$A$1,0,0,COUNTA([1]characters!$A:$A),MATCH(H$1,[1]characters!$1:$1,0)-MATCH($C$1,[1]characters!$1:$1,0)+1),MATCH(H$1,[1]characters!$1:$1,0)-MATCH($C$1,[1]characters!$1:$1,0)+1,FALSE)</f>
        <v>星々駆ける乱奏 ラビット・ユキネ</v>
      </c>
      <c r="I37" s="193">
        <v>837</v>
      </c>
      <c r="J37" s="53" t="str">
        <f ca="1">VLOOKUP($I37,OFFSET([1]characters!$A$1,0,0,COUNTA([1]characters!$A:$A),MATCH(J$1,[1]characters!$1:$1,0)-MATCH($C$1,[1]characters!$1:$1,0)+1),MATCH(J$1,[1]characters!$1:$1,0)-MATCH($C$1,[1]characters!$1:$1,0)+1,FALSE)</f>
        <v>リトルハンプティ</v>
      </c>
      <c r="K37" s="191">
        <v>1</v>
      </c>
      <c r="L37" s="192">
        <v>1</v>
      </c>
      <c r="M37" s="192">
        <v>1000</v>
      </c>
      <c r="N37" s="2" t="s">
        <v>289</v>
      </c>
    </row>
    <row r="38" spans="1:14" ht="21" customHeight="1" x14ac:dyDescent="0.15">
      <c r="A38" s="61" t="str">
        <f t="shared" si="2"/>
        <v>1297_108</v>
      </c>
      <c r="B38" s="194">
        <v>1297</v>
      </c>
      <c r="C38" s="178">
        <f t="shared" si="1"/>
        <v>1297</v>
      </c>
      <c r="D38" s="53" t="str">
        <f ca="1">VLOOKUP($C38,OFFSET([1]characters!$A$1,0,0,COUNTA([1]characters!$A:$A),MATCH(D$1,[1]characters!$1:$1,0)-MATCH($C$1,[1]characters!$1:$1,0)+1),MATCH(D$1,[1]characters!$1:$1,0)-MATCH($C$1,[1]characters!$1:$1,0)+1,FALSE)</f>
        <v>雪ミク2017</v>
      </c>
      <c r="E38" s="53">
        <f ca="1">VLOOKUP($C38,OFFSET([1]characters!$A$1,0,0,COUNTA([1]characters!$A:$A),MATCH(E$1,[1]characters!$1:$1,0)-MATCH($C$1,[1]characters!$1:$1,0)+1),MATCH(E$1,[1]characters!$1:$1,0)-MATCH($C$1,[1]characters!$1:$1,0)+1,FALSE)</f>
        <v>5</v>
      </c>
      <c r="F38" s="53" t="str">
        <f ca="1">VLOOKUP($C38,OFFSET([1]characters!$A$1,0,0,COUNTA([1]characters!$A:$A),MATCH(F$1,[1]characters!$1:$1,0)-MATCH($C$1,[1]characters!$1:$1,0)+1),MATCH(F$1,[1]characters!$1:$1,0)-MATCH($C$1,[1]characters!$1:$1,0)+1,FALSE)</f>
        <v>DropWizS</v>
      </c>
      <c r="G38" s="194">
        <v>1298</v>
      </c>
      <c r="H38" s="53" t="str">
        <f ca="1">VLOOKUP($G38,OFFSET([1]characters!$A$1,0,0,COUNTA([1]characters!$A:$A),MATCH(H$1,[1]characters!$1:$1,0)-MATCH($C$1,[1]characters!$1:$1,0)+1),MATCH(H$1,[1]characters!$1:$1,0)-MATCH($C$1,[1]characters!$1:$1,0)+1,FALSE)</f>
        <v>星空の歌姫 雪ミク2017</v>
      </c>
      <c r="I38" s="193">
        <v>108</v>
      </c>
      <c r="J38" s="53" t="str">
        <f ca="1">VLOOKUP($I38,OFFSET([1]characters!$A$1,0,0,COUNTA([1]characters!$A:$A),MATCH(J$1,[1]characters!$1:$1,0)-MATCH($C$1,[1]characters!$1:$1,0)+1),MATCH(J$1,[1]characters!$1:$1,0)-MATCH($C$1,[1]characters!$1:$1,0)+1,FALSE)</f>
        <v>森のマッドハッター</v>
      </c>
      <c r="K38" s="191">
        <v>1</v>
      </c>
      <c r="L38" s="192">
        <v>1</v>
      </c>
      <c r="M38" s="192">
        <v>10</v>
      </c>
      <c r="N38" s="2" t="s">
        <v>289</v>
      </c>
    </row>
    <row r="39" spans="1:14" ht="21" customHeight="1" x14ac:dyDescent="0.15">
      <c r="A39" s="61" t="str">
        <f t="shared" si="2"/>
        <v>1297_502</v>
      </c>
      <c r="B39" s="194">
        <v>1297</v>
      </c>
      <c r="C39" s="178">
        <f t="shared" si="1"/>
        <v>1297</v>
      </c>
      <c r="D39" s="53" t="str">
        <f ca="1">VLOOKUP($C39,OFFSET([1]characters!$A$1,0,0,COUNTA([1]characters!$A:$A),MATCH(D$1,[1]characters!$1:$1,0)-MATCH($C$1,[1]characters!$1:$1,0)+1),MATCH(D$1,[1]characters!$1:$1,0)-MATCH($C$1,[1]characters!$1:$1,0)+1,FALSE)</f>
        <v>雪ミク2017</v>
      </c>
      <c r="E39" s="53">
        <f ca="1">VLOOKUP($C39,OFFSET([1]characters!$A$1,0,0,COUNTA([1]characters!$A:$A),MATCH(E$1,[1]characters!$1:$1,0)-MATCH($C$1,[1]characters!$1:$1,0)+1),MATCH(E$1,[1]characters!$1:$1,0)-MATCH($C$1,[1]characters!$1:$1,0)+1,FALSE)</f>
        <v>5</v>
      </c>
      <c r="F39" s="53" t="str">
        <f ca="1">VLOOKUP($C39,OFFSET([1]characters!$A$1,0,0,COUNTA([1]characters!$A:$A),MATCH(F$1,[1]characters!$1:$1,0)-MATCH($C$1,[1]characters!$1:$1,0)+1),MATCH(F$1,[1]characters!$1:$1,0)-MATCH($C$1,[1]characters!$1:$1,0)+1,FALSE)</f>
        <v>DropWizS</v>
      </c>
      <c r="G39" s="194">
        <v>1298</v>
      </c>
      <c r="H39" s="53" t="str">
        <f ca="1">VLOOKUP($G39,OFFSET([1]characters!$A$1,0,0,COUNTA([1]characters!$A:$A),MATCH(H$1,[1]characters!$1:$1,0)-MATCH($C$1,[1]characters!$1:$1,0)+1),MATCH(H$1,[1]characters!$1:$1,0)-MATCH($C$1,[1]characters!$1:$1,0)+1,FALSE)</f>
        <v>星空の歌姫 雪ミク2017</v>
      </c>
      <c r="I39" s="193">
        <v>502</v>
      </c>
      <c r="J39" s="53" t="str">
        <f ca="1">VLOOKUP($I39,OFFSET([1]characters!$A$1,0,0,COUNTA([1]characters!$A:$A),MATCH(J$1,[1]characters!$1:$1,0)-MATCH($C$1,[1]characters!$1:$1,0)+1),MATCH(J$1,[1]characters!$1:$1,0)-MATCH($C$1,[1]characters!$1:$1,0)+1,FALSE)</f>
        <v>テラベル</v>
      </c>
      <c r="K39" s="191">
        <v>1</v>
      </c>
      <c r="L39" s="192">
        <v>2</v>
      </c>
      <c r="M39" s="192">
        <v>100</v>
      </c>
      <c r="N39" s="2" t="s">
        <v>289</v>
      </c>
    </row>
    <row r="40" spans="1:14" ht="21" customHeight="1" x14ac:dyDescent="0.15">
      <c r="A40" s="61" t="str">
        <f t="shared" si="2"/>
        <v>1297_858</v>
      </c>
      <c r="B40" s="194">
        <v>1297</v>
      </c>
      <c r="C40" s="178">
        <f t="shared" si="1"/>
        <v>1297</v>
      </c>
      <c r="D40" s="53" t="str">
        <f ca="1">VLOOKUP($C40,OFFSET([1]characters!$A$1,0,0,COUNTA([1]characters!$A:$A),MATCH(D$1,[1]characters!$1:$1,0)-MATCH($C$1,[1]characters!$1:$1,0)+1),MATCH(D$1,[1]characters!$1:$1,0)-MATCH($C$1,[1]characters!$1:$1,0)+1,FALSE)</f>
        <v>雪ミク2017</v>
      </c>
      <c r="E40" s="53">
        <f ca="1">VLOOKUP($C40,OFFSET([1]characters!$A$1,0,0,COUNTA([1]characters!$A:$A),MATCH(E$1,[1]characters!$1:$1,0)-MATCH($C$1,[1]characters!$1:$1,0)+1),MATCH(E$1,[1]characters!$1:$1,0)-MATCH($C$1,[1]characters!$1:$1,0)+1,FALSE)</f>
        <v>5</v>
      </c>
      <c r="F40" s="53" t="str">
        <f ca="1">VLOOKUP($C40,OFFSET([1]characters!$A$1,0,0,COUNTA([1]characters!$A:$A),MATCH(F$1,[1]characters!$1:$1,0)-MATCH($C$1,[1]characters!$1:$1,0)+1),MATCH(F$1,[1]characters!$1:$1,0)-MATCH($C$1,[1]characters!$1:$1,0)+1,FALSE)</f>
        <v>DropWizS</v>
      </c>
      <c r="G40" s="194">
        <v>1298</v>
      </c>
      <c r="H40" s="53" t="str">
        <f ca="1">VLOOKUP($G40,OFFSET([1]characters!$A$1,0,0,COUNTA([1]characters!$A:$A),MATCH(H$1,[1]characters!$1:$1,0)-MATCH($C$1,[1]characters!$1:$1,0)+1),MATCH(H$1,[1]characters!$1:$1,0)-MATCH($C$1,[1]characters!$1:$1,0)+1,FALSE)</f>
        <v>星空の歌姫 雪ミク2017</v>
      </c>
      <c r="I40" s="193">
        <v>858</v>
      </c>
      <c r="J40" s="53" t="str">
        <f ca="1">VLOOKUP($I40,OFFSET([1]characters!$A$1,0,0,COUNTA([1]characters!$A:$A),MATCH(J$1,[1]characters!$1:$1,0)-MATCH($C$1,[1]characters!$1:$1,0)+1),MATCH(J$1,[1]characters!$1:$1,0)-MATCH($C$1,[1]characters!$1:$1,0)+1,FALSE)</f>
        <v>Mr.ホエール</v>
      </c>
      <c r="K40" s="191">
        <v>1</v>
      </c>
      <c r="L40" s="192">
        <v>3</v>
      </c>
      <c r="M40" s="192">
        <v>100</v>
      </c>
      <c r="N40" s="2" t="s">
        <v>289</v>
      </c>
    </row>
    <row r="41" spans="1:14" ht="21" customHeight="1" x14ac:dyDescent="0.15">
      <c r="A41" s="61" t="str">
        <f t="shared" si="2"/>
        <v>1297_837</v>
      </c>
      <c r="B41" s="194">
        <v>1297</v>
      </c>
      <c r="C41" s="178">
        <f t="shared" si="1"/>
        <v>1297</v>
      </c>
      <c r="D41" s="53" t="str">
        <f ca="1">VLOOKUP($C41,OFFSET([1]characters!$A$1,0,0,COUNTA([1]characters!$A:$A),MATCH(D$1,[1]characters!$1:$1,0)-MATCH($C$1,[1]characters!$1:$1,0)+1),MATCH(D$1,[1]characters!$1:$1,0)-MATCH($C$1,[1]characters!$1:$1,0)+1,FALSE)</f>
        <v>雪ミク2017</v>
      </c>
      <c r="E41" s="53">
        <f ca="1">VLOOKUP($C41,OFFSET([1]characters!$A$1,0,0,COUNTA([1]characters!$A:$A),MATCH(E$1,[1]characters!$1:$1,0)-MATCH($C$1,[1]characters!$1:$1,0)+1),MATCH(E$1,[1]characters!$1:$1,0)-MATCH($C$1,[1]characters!$1:$1,0)+1,FALSE)</f>
        <v>5</v>
      </c>
      <c r="F41" s="53" t="str">
        <f ca="1">VLOOKUP($C41,OFFSET([1]characters!$A$1,0,0,COUNTA([1]characters!$A:$A),MATCH(F$1,[1]characters!$1:$1,0)-MATCH($C$1,[1]characters!$1:$1,0)+1),MATCH(F$1,[1]characters!$1:$1,0)-MATCH($C$1,[1]characters!$1:$1,0)+1,FALSE)</f>
        <v>DropWizS</v>
      </c>
      <c r="G41" s="194">
        <v>1298</v>
      </c>
      <c r="H41" s="53" t="str">
        <f ca="1">VLOOKUP($G41,OFFSET([1]characters!$A$1,0,0,COUNTA([1]characters!$A:$A),MATCH(H$1,[1]characters!$1:$1,0)-MATCH($C$1,[1]characters!$1:$1,0)+1),MATCH(H$1,[1]characters!$1:$1,0)-MATCH($C$1,[1]characters!$1:$1,0)+1,FALSE)</f>
        <v>星空の歌姫 雪ミク2017</v>
      </c>
      <c r="I41" s="193">
        <v>837</v>
      </c>
      <c r="J41" s="53" t="str">
        <f ca="1">VLOOKUP($I41,OFFSET([1]characters!$A$1,0,0,COUNTA([1]characters!$A:$A),MATCH(J$1,[1]characters!$1:$1,0)-MATCH($C$1,[1]characters!$1:$1,0)+1),MATCH(J$1,[1]characters!$1:$1,0)-MATCH($C$1,[1]characters!$1:$1,0)+1,FALSE)</f>
        <v>リトルハンプティ</v>
      </c>
      <c r="K41" s="191">
        <v>1</v>
      </c>
      <c r="L41" s="192">
        <v>1</v>
      </c>
      <c r="M41" s="192">
        <v>1000</v>
      </c>
      <c r="N41" s="2" t="s">
        <v>289</v>
      </c>
    </row>
    <row r="42" spans="1:14" ht="21" customHeight="1" x14ac:dyDescent="0.15">
      <c r="A42" s="61" t="str">
        <f t="shared" si="2"/>
        <v>1300_106</v>
      </c>
      <c r="B42" s="190">
        <v>1300</v>
      </c>
      <c r="C42" s="178">
        <f t="shared" si="1"/>
        <v>1300</v>
      </c>
      <c r="D42" s="53" t="str">
        <f ca="1">VLOOKUP($C42,OFFSET([1]characters!$A$1,0,0,COUNTA([1]characters!$A:$A),MATCH(D$1,[1]characters!$1:$1,0)-MATCH($C$1,[1]characters!$1:$1,0)+1),MATCH(D$1,[1]characters!$1:$1,0)-MATCH($C$1,[1]characters!$1:$1,0)+1,FALSE)</f>
        <v>歌装の彩唱 紫式部</v>
      </c>
      <c r="E42" s="53">
        <f ca="1">VLOOKUP($C42,OFFSET([1]characters!$A$1,0,0,COUNTA([1]characters!$A:$A),MATCH(E$1,[1]characters!$1:$1,0)-MATCH($C$1,[1]characters!$1:$1,0)+1),MATCH(E$1,[1]characters!$1:$1,0)-MATCH($C$1,[1]characters!$1:$1,0)+1,FALSE)</f>
        <v>5</v>
      </c>
      <c r="F42" s="53" t="str">
        <f ca="1">VLOOKUP($C42,OFFSET([1]characters!$A$1,0,0,COUNTA([1]characters!$A:$A),MATCH(F$1,[1]characters!$1:$1,0)-MATCH($C$1,[1]characters!$1:$1,0)+1),MATCH(F$1,[1]characters!$1:$1,0)-MATCH($C$1,[1]characters!$1:$1,0)+1,FALSE)</f>
        <v>DropWizS</v>
      </c>
      <c r="G42" s="194">
        <v>1301</v>
      </c>
      <c r="H42" s="53" t="str">
        <f ca="1">VLOOKUP($G42,OFFSET([1]characters!$A$1,0,0,COUNTA([1]characters!$A:$A),MATCH(H$1,[1]characters!$1:$1,0)-MATCH($C$1,[1]characters!$1:$1,0)+1),MATCH(H$1,[1]characters!$1:$1,0)-MATCH($C$1,[1]characters!$1:$1,0)+1,FALSE)</f>
        <v>歌装の萌響女 紫式部</v>
      </c>
      <c r="I42" s="193">
        <v>106</v>
      </c>
      <c r="J42" s="53" t="str">
        <f ca="1">VLOOKUP($I42,OFFSET([1]characters!$A$1,0,0,COUNTA([1]characters!$A:$A),MATCH(J$1,[1]characters!$1:$1,0)-MATCH($C$1,[1]characters!$1:$1,0)+1),MATCH(J$1,[1]characters!$1:$1,0)-MATCH($C$1,[1]characters!$1:$1,0)+1,FALSE)</f>
        <v>グリーンラビット</v>
      </c>
      <c r="K42" s="191">
        <v>1</v>
      </c>
      <c r="L42" s="192">
        <v>1</v>
      </c>
      <c r="M42" s="192">
        <v>10</v>
      </c>
      <c r="N42" s="2" t="s">
        <v>289</v>
      </c>
    </row>
    <row r="43" spans="1:14" ht="21" customHeight="1" x14ac:dyDescent="0.15">
      <c r="A43" s="61" t="str">
        <f t="shared" si="2"/>
        <v>1300_107</v>
      </c>
      <c r="B43" s="190">
        <v>1300</v>
      </c>
      <c r="C43" s="178">
        <f t="shared" si="1"/>
        <v>1300</v>
      </c>
      <c r="D43" s="53" t="str">
        <f ca="1">VLOOKUP($C43,OFFSET([1]characters!$A$1,0,0,COUNTA([1]characters!$A:$A),MATCH(D$1,[1]characters!$1:$1,0)-MATCH($C$1,[1]characters!$1:$1,0)+1),MATCH(D$1,[1]characters!$1:$1,0)-MATCH($C$1,[1]characters!$1:$1,0)+1,FALSE)</f>
        <v>歌装の彩唱 紫式部</v>
      </c>
      <c r="E43" s="53">
        <f ca="1">VLOOKUP($C43,OFFSET([1]characters!$A$1,0,0,COUNTA([1]characters!$A:$A),MATCH(E$1,[1]characters!$1:$1,0)-MATCH($C$1,[1]characters!$1:$1,0)+1),MATCH(E$1,[1]characters!$1:$1,0)-MATCH($C$1,[1]characters!$1:$1,0)+1,FALSE)</f>
        <v>5</v>
      </c>
      <c r="F43" s="53" t="str">
        <f ca="1">VLOOKUP($C43,OFFSET([1]characters!$A$1,0,0,COUNTA([1]characters!$A:$A),MATCH(F$1,[1]characters!$1:$1,0)-MATCH($C$1,[1]characters!$1:$1,0)+1),MATCH(F$1,[1]characters!$1:$1,0)-MATCH($C$1,[1]characters!$1:$1,0)+1,FALSE)</f>
        <v>DropWizS</v>
      </c>
      <c r="G43" s="194">
        <v>1301</v>
      </c>
      <c r="H43" s="53" t="str">
        <f ca="1">VLOOKUP($G43,OFFSET([1]characters!$A$1,0,0,COUNTA([1]characters!$A:$A),MATCH(H$1,[1]characters!$1:$1,0)-MATCH($C$1,[1]characters!$1:$1,0)+1),MATCH(H$1,[1]characters!$1:$1,0)-MATCH($C$1,[1]characters!$1:$1,0)+1,FALSE)</f>
        <v>歌装の萌響女 紫式部</v>
      </c>
      <c r="I43" s="193">
        <v>107</v>
      </c>
      <c r="J43" s="53" t="str">
        <f ca="1">VLOOKUP($I43,OFFSET([1]characters!$A$1,0,0,COUNTA([1]characters!$A:$A),MATCH(J$1,[1]characters!$1:$1,0)-MATCH($C$1,[1]characters!$1:$1,0)+1),MATCH(J$1,[1]characters!$1:$1,0)-MATCH($C$1,[1]characters!$1:$1,0)+1,FALSE)</f>
        <v>グリーンキャタップ</v>
      </c>
      <c r="K43" s="191">
        <v>1</v>
      </c>
      <c r="L43" s="192">
        <v>1</v>
      </c>
      <c r="M43" s="192">
        <v>10</v>
      </c>
      <c r="N43" s="2" t="s">
        <v>289</v>
      </c>
    </row>
    <row r="44" spans="1:14" ht="21" customHeight="1" x14ac:dyDescent="0.15">
      <c r="A44" s="61" t="str">
        <f t="shared" si="2"/>
        <v>1300_357</v>
      </c>
      <c r="B44" s="190">
        <v>1300</v>
      </c>
      <c r="C44" s="178">
        <f t="shared" si="1"/>
        <v>1300</v>
      </c>
      <c r="D44" s="53" t="str">
        <f ca="1">VLOOKUP($C44,OFFSET([1]characters!$A$1,0,0,COUNTA([1]characters!$A:$A),MATCH(D$1,[1]characters!$1:$1,0)-MATCH($C$1,[1]characters!$1:$1,0)+1),MATCH(D$1,[1]characters!$1:$1,0)-MATCH($C$1,[1]characters!$1:$1,0)+1,FALSE)</f>
        <v>歌装の彩唱 紫式部</v>
      </c>
      <c r="E44" s="53">
        <f ca="1">VLOOKUP($C44,OFFSET([1]characters!$A$1,0,0,COUNTA([1]characters!$A:$A),MATCH(E$1,[1]characters!$1:$1,0)-MATCH($C$1,[1]characters!$1:$1,0)+1),MATCH(E$1,[1]characters!$1:$1,0)-MATCH($C$1,[1]characters!$1:$1,0)+1,FALSE)</f>
        <v>5</v>
      </c>
      <c r="F44" s="53" t="str">
        <f ca="1">VLOOKUP($C44,OFFSET([1]characters!$A$1,0,0,COUNTA([1]characters!$A:$A),MATCH(F$1,[1]characters!$1:$1,0)-MATCH($C$1,[1]characters!$1:$1,0)+1),MATCH(F$1,[1]characters!$1:$1,0)-MATCH($C$1,[1]characters!$1:$1,0)+1,FALSE)</f>
        <v>DropWizS</v>
      </c>
      <c r="G44" s="194">
        <v>1301</v>
      </c>
      <c r="H44" s="53" t="str">
        <f ca="1">VLOOKUP($G44,OFFSET([1]characters!$A$1,0,0,COUNTA([1]characters!$A:$A),MATCH(H$1,[1]characters!$1:$1,0)-MATCH($C$1,[1]characters!$1:$1,0)+1),MATCH(H$1,[1]characters!$1:$1,0)-MATCH($C$1,[1]characters!$1:$1,0)+1,FALSE)</f>
        <v>歌装の萌響女 紫式部</v>
      </c>
      <c r="I44" s="193">
        <v>357</v>
      </c>
      <c r="J44" s="53" t="str">
        <f ca="1">VLOOKUP($I44,OFFSET([1]characters!$A$1,0,0,COUNTA([1]characters!$A:$A),MATCH(J$1,[1]characters!$1:$1,0)-MATCH($C$1,[1]characters!$1:$1,0)+1),MATCH(J$1,[1]characters!$1:$1,0)-MATCH($C$1,[1]characters!$1:$1,0)+1,FALSE)</f>
        <v>千風のグリフォン</v>
      </c>
      <c r="K44" s="191">
        <v>1</v>
      </c>
      <c r="L44" s="192">
        <v>1</v>
      </c>
      <c r="M44" s="192">
        <v>10</v>
      </c>
      <c r="N44" s="2" t="s">
        <v>289</v>
      </c>
    </row>
    <row r="45" spans="1:14" ht="21" customHeight="1" x14ac:dyDescent="0.15">
      <c r="A45" s="61" t="str">
        <f t="shared" si="2"/>
        <v>1300_837</v>
      </c>
      <c r="B45" s="194">
        <v>1300</v>
      </c>
      <c r="C45" s="178">
        <f t="shared" si="1"/>
        <v>1300</v>
      </c>
      <c r="D45" s="53" t="str">
        <f ca="1">VLOOKUP($C45,OFFSET([1]characters!$A$1,0,0,COUNTA([1]characters!$A:$A),MATCH(D$1,[1]characters!$1:$1,0)-MATCH($C$1,[1]characters!$1:$1,0)+1),MATCH(D$1,[1]characters!$1:$1,0)-MATCH($C$1,[1]characters!$1:$1,0)+1,FALSE)</f>
        <v>歌装の彩唱 紫式部</v>
      </c>
      <c r="E45" s="53">
        <f ca="1">VLOOKUP($C45,OFFSET([1]characters!$A$1,0,0,COUNTA([1]characters!$A:$A),MATCH(E$1,[1]characters!$1:$1,0)-MATCH($C$1,[1]characters!$1:$1,0)+1),MATCH(E$1,[1]characters!$1:$1,0)-MATCH($C$1,[1]characters!$1:$1,0)+1,FALSE)</f>
        <v>5</v>
      </c>
      <c r="F45" s="53" t="str">
        <f ca="1">VLOOKUP($C45,OFFSET([1]characters!$A$1,0,0,COUNTA([1]characters!$A:$A),MATCH(F$1,[1]characters!$1:$1,0)-MATCH($C$1,[1]characters!$1:$1,0)+1),MATCH(F$1,[1]characters!$1:$1,0)-MATCH($C$1,[1]characters!$1:$1,0)+1,FALSE)</f>
        <v>DropWizS</v>
      </c>
      <c r="G45" s="194">
        <v>1301</v>
      </c>
      <c r="H45" s="53" t="str">
        <f ca="1">VLOOKUP($G45,OFFSET([1]characters!$A$1,0,0,COUNTA([1]characters!$A:$A),MATCH(H$1,[1]characters!$1:$1,0)-MATCH($C$1,[1]characters!$1:$1,0)+1),MATCH(H$1,[1]characters!$1:$1,0)-MATCH($C$1,[1]characters!$1:$1,0)+1,FALSE)</f>
        <v>歌装の萌響女 紫式部</v>
      </c>
      <c r="I45" s="193">
        <v>837</v>
      </c>
      <c r="J45" s="53" t="str">
        <f ca="1">VLOOKUP($I45,OFFSET([1]characters!$A$1,0,0,COUNTA([1]characters!$A:$A),MATCH(J$1,[1]characters!$1:$1,0)-MATCH($C$1,[1]characters!$1:$1,0)+1),MATCH(J$1,[1]characters!$1:$1,0)-MATCH($C$1,[1]characters!$1:$1,0)+1,FALSE)</f>
        <v>リトルハンプティ</v>
      </c>
      <c r="K45" s="191">
        <v>1</v>
      </c>
      <c r="L45" s="192">
        <v>1</v>
      </c>
      <c r="M45" s="192">
        <v>1000</v>
      </c>
      <c r="N45" s="2" t="s">
        <v>289</v>
      </c>
    </row>
    <row r="46" spans="1:14" ht="21" customHeight="1" x14ac:dyDescent="0.15">
      <c r="A46" s="61" t="str">
        <f t="shared" si="2"/>
        <v>1302_114</v>
      </c>
      <c r="B46" s="194">
        <v>1302</v>
      </c>
      <c r="C46" s="178">
        <f t="shared" si="1"/>
        <v>1302</v>
      </c>
      <c r="D46" s="53" t="str">
        <f ca="1">VLOOKUP($C46,OFFSET([1]characters!$A$1,0,0,COUNTA([1]characters!$A:$A),MATCH(D$1,[1]characters!$1:$1,0)-MATCH($C$1,[1]characters!$1:$1,0)+1),MATCH(D$1,[1]characters!$1:$1,0)-MATCH($C$1,[1]characters!$1:$1,0)+1,FALSE)</f>
        <v>超天突符 イナバ</v>
      </c>
      <c r="E46" s="53">
        <f ca="1">VLOOKUP($C46,OFFSET([1]characters!$A$1,0,0,COUNTA([1]characters!$A:$A),MATCH(E$1,[1]characters!$1:$1,0)-MATCH($C$1,[1]characters!$1:$1,0)+1),MATCH(E$1,[1]characters!$1:$1,0)-MATCH($C$1,[1]characters!$1:$1,0)+1,FALSE)</f>
        <v>5</v>
      </c>
      <c r="F46" s="53" t="str">
        <f ca="1">VLOOKUP($C46,OFFSET([1]characters!$A$1,0,0,COUNTA([1]characters!$A:$A),MATCH(F$1,[1]characters!$1:$1,0)-MATCH($C$1,[1]characters!$1:$1,0)+1),MATCH(F$1,[1]characters!$1:$1,0)-MATCH($C$1,[1]characters!$1:$1,0)+1,FALSE)</f>
        <v>DropWizS</v>
      </c>
      <c r="G46" s="194">
        <v>1303</v>
      </c>
      <c r="H46" s="53" t="str">
        <f ca="1">VLOOKUP($G46,OFFSET([1]characters!$A$1,0,0,COUNTA([1]characters!$A:$A),MATCH(H$1,[1]characters!$1:$1,0)-MATCH($C$1,[1]characters!$1:$1,0)+1),MATCH(H$1,[1]characters!$1:$1,0)-MATCH($C$1,[1]characters!$1:$1,0)+1,FALSE)</f>
        <v>転調･超天突符 イナバ</v>
      </c>
      <c r="I46" s="193">
        <v>114</v>
      </c>
      <c r="J46" s="53" t="str">
        <f ca="1">VLOOKUP($I46,OFFSET([1]characters!$A$1,0,0,COUNTA([1]characters!$A:$A),MATCH(J$1,[1]characters!$1:$1,0)-MATCH($C$1,[1]characters!$1:$1,0)+1),MATCH(J$1,[1]characters!$1:$1,0)-MATCH($C$1,[1]characters!$1:$1,0)+1,FALSE)</f>
        <v>イエローラビット</v>
      </c>
      <c r="K46" s="191">
        <v>1</v>
      </c>
      <c r="L46" s="192">
        <v>1</v>
      </c>
      <c r="M46" s="192">
        <v>10</v>
      </c>
      <c r="N46" s="2" t="s">
        <v>289</v>
      </c>
    </row>
    <row r="47" spans="1:14" ht="21" customHeight="1" x14ac:dyDescent="0.15">
      <c r="A47" s="61" t="str">
        <f t="shared" si="2"/>
        <v>1302_115</v>
      </c>
      <c r="B47" s="194">
        <v>1302</v>
      </c>
      <c r="C47" s="178">
        <f t="shared" si="1"/>
        <v>1302</v>
      </c>
      <c r="D47" s="53" t="str">
        <f ca="1">VLOOKUP($C47,OFFSET([1]characters!$A$1,0,0,COUNTA([1]characters!$A:$A),MATCH(D$1,[1]characters!$1:$1,0)-MATCH($C$1,[1]characters!$1:$1,0)+1),MATCH(D$1,[1]characters!$1:$1,0)-MATCH($C$1,[1]characters!$1:$1,0)+1,FALSE)</f>
        <v>超天突符 イナバ</v>
      </c>
      <c r="E47" s="53">
        <f ca="1">VLOOKUP($C47,OFFSET([1]characters!$A$1,0,0,COUNTA([1]characters!$A:$A),MATCH(E$1,[1]characters!$1:$1,0)-MATCH($C$1,[1]characters!$1:$1,0)+1),MATCH(E$1,[1]characters!$1:$1,0)-MATCH($C$1,[1]characters!$1:$1,0)+1,FALSE)</f>
        <v>5</v>
      </c>
      <c r="F47" s="53" t="str">
        <f ca="1">VLOOKUP($C47,OFFSET([1]characters!$A$1,0,0,COUNTA([1]characters!$A:$A),MATCH(F$1,[1]characters!$1:$1,0)-MATCH($C$1,[1]characters!$1:$1,0)+1),MATCH(F$1,[1]characters!$1:$1,0)-MATCH($C$1,[1]characters!$1:$1,0)+1,FALSE)</f>
        <v>DropWizS</v>
      </c>
      <c r="G47" s="194">
        <v>1303</v>
      </c>
      <c r="H47" s="53" t="str">
        <f ca="1">VLOOKUP($G47,OFFSET([1]characters!$A$1,0,0,COUNTA([1]characters!$A:$A),MATCH(H$1,[1]characters!$1:$1,0)-MATCH($C$1,[1]characters!$1:$1,0)+1),MATCH(H$1,[1]characters!$1:$1,0)-MATCH($C$1,[1]characters!$1:$1,0)+1,FALSE)</f>
        <v>転調･超天突符 イナバ</v>
      </c>
      <c r="I47" s="193">
        <v>115</v>
      </c>
      <c r="J47" s="53" t="str">
        <f ca="1">VLOOKUP($I47,OFFSET([1]characters!$A$1,0,0,COUNTA([1]characters!$A:$A),MATCH(J$1,[1]characters!$1:$1,0)-MATCH($C$1,[1]characters!$1:$1,0)+1),MATCH(J$1,[1]characters!$1:$1,0)-MATCH($C$1,[1]characters!$1:$1,0)+1,FALSE)</f>
        <v>イエローキャタップ</v>
      </c>
      <c r="K47" s="191">
        <v>1</v>
      </c>
      <c r="L47" s="192">
        <v>1</v>
      </c>
      <c r="M47" s="192">
        <v>10</v>
      </c>
      <c r="N47" s="2" t="s">
        <v>289</v>
      </c>
    </row>
    <row r="48" spans="1:14" ht="21" customHeight="1" x14ac:dyDescent="0.15">
      <c r="A48" s="61" t="str">
        <f t="shared" si="2"/>
        <v>1302_359</v>
      </c>
      <c r="B48" s="194">
        <v>1302</v>
      </c>
      <c r="C48" s="178">
        <f t="shared" si="1"/>
        <v>1302</v>
      </c>
      <c r="D48" s="53" t="str">
        <f ca="1">VLOOKUP($C48,OFFSET([1]characters!$A$1,0,0,COUNTA([1]characters!$A:$A),MATCH(D$1,[1]characters!$1:$1,0)-MATCH($C$1,[1]characters!$1:$1,0)+1),MATCH(D$1,[1]characters!$1:$1,0)-MATCH($C$1,[1]characters!$1:$1,0)+1,FALSE)</f>
        <v>超天突符 イナバ</v>
      </c>
      <c r="E48" s="53">
        <f ca="1">VLOOKUP($C48,OFFSET([1]characters!$A$1,0,0,COUNTA([1]characters!$A:$A),MATCH(E$1,[1]characters!$1:$1,0)-MATCH($C$1,[1]characters!$1:$1,0)+1),MATCH(E$1,[1]characters!$1:$1,0)-MATCH($C$1,[1]characters!$1:$1,0)+1,FALSE)</f>
        <v>5</v>
      </c>
      <c r="F48" s="53" t="str">
        <f ca="1">VLOOKUP($C48,OFFSET([1]characters!$A$1,0,0,COUNTA([1]characters!$A:$A),MATCH(F$1,[1]characters!$1:$1,0)-MATCH($C$1,[1]characters!$1:$1,0)+1),MATCH(F$1,[1]characters!$1:$1,0)-MATCH($C$1,[1]characters!$1:$1,0)+1,FALSE)</f>
        <v>DropWizS</v>
      </c>
      <c r="G48" s="194">
        <v>1303</v>
      </c>
      <c r="H48" s="53" t="str">
        <f ca="1">VLOOKUP($G48,OFFSET([1]characters!$A$1,0,0,COUNTA([1]characters!$A:$A),MATCH(H$1,[1]characters!$1:$1,0)-MATCH($C$1,[1]characters!$1:$1,0)+1),MATCH(H$1,[1]characters!$1:$1,0)-MATCH($C$1,[1]characters!$1:$1,0)+1,FALSE)</f>
        <v>転調･超天突符 イナバ</v>
      </c>
      <c r="I48" s="193">
        <v>359</v>
      </c>
      <c r="J48" s="53" t="str">
        <f ca="1">VLOOKUP($I48,OFFSET([1]characters!$A$1,0,0,COUNTA([1]characters!$A:$A),MATCH(J$1,[1]characters!$1:$1,0)-MATCH($C$1,[1]characters!$1:$1,0)+1),MATCH(J$1,[1]characters!$1:$1,0)-MATCH($C$1,[1]characters!$1:$1,0)+1,FALSE)</f>
        <v>醒電の眠りネズミ</v>
      </c>
      <c r="K48" s="191">
        <v>1</v>
      </c>
      <c r="L48" s="192">
        <v>1</v>
      </c>
      <c r="M48" s="192">
        <v>10</v>
      </c>
      <c r="N48" s="2" t="s">
        <v>289</v>
      </c>
    </row>
    <row r="49" spans="1:14" ht="21" customHeight="1" x14ac:dyDescent="0.15">
      <c r="A49" s="61" t="str">
        <f t="shared" si="2"/>
        <v>1302_837</v>
      </c>
      <c r="B49" s="194">
        <v>1302</v>
      </c>
      <c r="C49" s="178">
        <f t="shared" si="1"/>
        <v>1302</v>
      </c>
      <c r="D49" s="53" t="str">
        <f ca="1">VLOOKUP($C49,OFFSET([1]characters!$A$1,0,0,COUNTA([1]characters!$A:$A),MATCH(D$1,[1]characters!$1:$1,0)-MATCH($C$1,[1]characters!$1:$1,0)+1),MATCH(D$1,[1]characters!$1:$1,0)-MATCH($C$1,[1]characters!$1:$1,0)+1,FALSE)</f>
        <v>超天突符 イナバ</v>
      </c>
      <c r="E49" s="53">
        <f ca="1">VLOOKUP($C49,OFFSET([1]characters!$A$1,0,0,COUNTA([1]characters!$A:$A),MATCH(E$1,[1]characters!$1:$1,0)-MATCH($C$1,[1]characters!$1:$1,0)+1),MATCH(E$1,[1]characters!$1:$1,0)-MATCH($C$1,[1]characters!$1:$1,0)+1,FALSE)</f>
        <v>5</v>
      </c>
      <c r="F49" s="53" t="str">
        <f ca="1">VLOOKUP($C49,OFFSET([1]characters!$A$1,0,0,COUNTA([1]characters!$A:$A),MATCH(F$1,[1]characters!$1:$1,0)-MATCH($C$1,[1]characters!$1:$1,0)+1),MATCH(F$1,[1]characters!$1:$1,0)-MATCH($C$1,[1]characters!$1:$1,0)+1,FALSE)</f>
        <v>DropWizS</v>
      </c>
      <c r="G49" s="194">
        <v>1303</v>
      </c>
      <c r="H49" s="53" t="str">
        <f ca="1">VLOOKUP($G49,OFFSET([1]characters!$A$1,0,0,COUNTA([1]characters!$A:$A),MATCH(H$1,[1]characters!$1:$1,0)-MATCH($C$1,[1]characters!$1:$1,0)+1),MATCH(H$1,[1]characters!$1:$1,0)-MATCH($C$1,[1]characters!$1:$1,0)+1,FALSE)</f>
        <v>転調･超天突符 イナバ</v>
      </c>
      <c r="I49" s="193">
        <v>837</v>
      </c>
      <c r="J49" s="53" t="str">
        <f ca="1">VLOOKUP($I49,OFFSET([1]characters!$A$1,0,0,COUNTA([1]characters!$A:$A),MATCH(J$1,[1]characters!$1:$1,0)-MATCH($C$1,[1]characters!$1:$1,0)+1),MATCH(J$1,[1]characters!$1:$1,0)-MATCH($C$1,[1]characters!$1:$1,0)+1,FALSE)</f>
        <v>リトルハンプティ</v>
      </c>
      <c r="K49" s="191">
        <v>1</v>
      </c>
      <c r="L49" s="192">
        <v>1</v>
      </c>
      <c r="M49" s="192">
        <v>1000</v>
      </c>
      <c r="N49" s="2" t="s">
        <v>289</v>
      </c>
    </row>
    <row r="50" spans="1:14" ht="21" customHeight="1" x14ac:dyDescent="0.15">
      <c r="A50" s="61" t="str">
        <f t="shared" si="2"/>
        <v>1304_110</v>
      </c>
      <c r="B50" s="190">
        <v>1304</v>
      </c>
      <c r="C50" s="178">
        <f t="shared" si="1"/>
        <v>1304</v>
      </c>
      <c r="D50" s="53" t="str">
        <f ca="1">VLOOKUP($C50,OFFSET([1]characters!$A$1,0,0,COUNTA([1]characters!$A:$A),MATCH(D$1,[1]characters!$1:$1,0)-MATCH($C$1,[1]characters!$1:$1,0)+1),MATCH(D$1,[1]characters!$1:$1,0)-MATCH($C$1,[1]characters!$1:$1,0)+1,FALSE)</f>
        <v>演鼠の響笛音 ハーメルン</v>
      </c>
      <c r="E50" s="53">
        <f ca="1">VLOOKUP($C50,OFFSET([1]characters!$A$1,0,0,COUNTA([1]characters!$A:$A),MATCH(E$1,[1]characters!$1:$1,0)-MATCH($C$1,[1]characters!$1:$1,0)+1),MATCH(E$1,[1]characters!$1:$1,0)-MATCH($C$1,[1]characters!$1:$1,0)+1,FALSE)</f>
        <v>5</v>
      </c>
      <c r="F50" s="53" t="str">
        <f ca="1">VLOOKUP($C50,OFFSET([1]characters!$A$1,0,0,COUNTA([1]characters!$A:$A),MATCH(F$1,[1]characters!$1:$1,0)-MATCH($C$1,[1]characters!$1:$1,0)+1),MATCH(F$1,[1]characters!$1:$1,0)-MATCH($C$1,[1]characters!$1:$1,0)+1,FALSE)</f>
        <v>DropWizS</v>
      </c>
      <c r="G50" s="194">
        <v>1305</v>
      </c>
      <c r="H50" s="53" t="str">
        <f ca="1">VLOOKUP($G50,OFFSET([1]characters!$A$1,0,0,COUNTA([1]characters!$A:$A),MATCH(H$1,[1]characters!$1:$1,0)-MATCH($C$1,[1]characters!$1:$1,0)+1),MATCH(H$1,[1]characters!$1:$1,0)-MATCH($C$1,[1]characters!$1:$1,0)+1,FALSE)</f>
        <v>響界廻る睡鼠楽 ハーメルン</v>
      </c>
      <c r="I50" s="193">
        <v>110</v>
      </c>
      <c r="J50" s="53" t="str">
        <f ca="1">VLOOKUP($I50,OFFSET([1]characters!$A$1,0,0,COUNTA([1]characters!$A:$A),MATCH(J$1,[1]characters!$1:$1,0)-MATCH($C$1,[1]characters!$1:$1,0)+1),MATCH(J$1,[1]characters!$1:$1,0)-MATCH($C$1,[1]characters!$1:$1,0)+1,FALSE)</f>
        <v>ブルーラビット</v>
      </c>
      <c r="K50" s="191">
        <v>1</v>
      </c>
      <c r="L50" s="192">
        <v>1</v>
      </c>
      <c r="M50" s="192">
        <v>10</v>
      </c>
      <c r="N50" s="2" t="s">
        <v>289</v>
      </c>
    </row>
    <row r="51" spans="1:14" ht="21" customHeight="1" x14ac:dyDescent="0.15">
      <c r="A51" s="61" t="str">
        <f t="shared" si="2"/>
        <v>1304_111</v>
      </c>
      <c r="B51" s="190">
        <v>1304</v>
      </c>
      <c r="C51" s="178">
        <f t="shared" si="1"/>
        <v>1304</v>
      </c>
      <c r="D51" s="53" t="str">
        <f ca="1">VLOOKUP($C51,OFFSET([1]characters!$A$1,0,0,COUNTA([1]characters!$A:$A),MATCH(D$1,[1]characters!$1:$1,0)-MATCH($C$1,[1]characters!$1:$1,0)+1),MATCH(D$1,[1]characters!$1:$1,0)-MATCH($C$1,[1]characters!$1:$1,0)+1,FALSE)</f>
        <v>演鼠の響笛音 ハーメルン</v>
      </c>
      <c r="E51" s="53">
        <f ca="1">VLOOKUP($C51,OFFSET([1]characters!$A$1,0,0,COUNTA([1]characters!$A:$A),MATCH(E$1,[1]characters!$1:$1,0)-MATCH($C$1,[1]characters!$1:$1,0)+1),MATCH(E$1,[1]characters!$1:$1,0)-MATCH($C$1,[1]characters!$1:$1,0)+1,FALSE)</f>
        <v>5</v>
      </c>
      <c r="F51" s="53" t="str">
        <f ca="1">VLOOKUP($C51,OFFSET([1]characters!$A$1,0,0,COUNTA([1]characters!$A:$A),MATCH(F$1,[1]characters!$1:$1,0)-MATCH($C$1,[1]characters!$1:$1,0)+1),MATCH(F$1,[1]characters!$1:$1,0)-MATCH($C$1,[1]characters!$1:$1,0)+1,FALSE)</f>
        <v>DropWizS</v>
      </c>
      <c r="G51" s="194">
        <v>1305</v>
      </c>
      <c r="H51" s="53" t="str">
        <f ca="1">VLOOKUP($G51,OFFSET([1]characters!$A$1,0,0,COUNTA([1]characters!$A:$A),MATCH(H$1,[1]characters!$1:$1,0)-MATCH($C$1,[1]characters!$1:$1,0)+1),MATCH(H$1,[1]characters!$1:$1,0)-MATCH($C$1,[1]characters!$1:$1,0)+1,FALSE)</f>
        <v>響界廻る睡鼠楽 ハーメルン</v>
      </c>
      <c r="I51" s="193">
        <v>111</v>
      </c>
      <c r="J51" s="53" t="str">
        <f ca="1">VLOOKUP($I51,OFFSET([1]characters!$A$1,0,0,COUNTA([1]characters!$A:$A),MATCH(J$1,[1]characters!$1:$1,0)-MATCH($C$1,[1]characters!$1:$1,0)+1),MATCH(J$1,[1]characters!$1:$1,0)-MATCH($C$1,[1]characters!$1:$1,0)+1,FALSE)</f>
        <v>ブルーキャタップ</v>
      </c>
      <c r="K51" s="191">
        <v>1</v>
      </c>
      <c r="L51" s="192">
        <v>1</v>
      </c>
      <c r="M51" s="192">
        <v>10</v>
      </c>
      <c r="N51" s="2" t="s">
        <v>289</v>
      </c>
    </row>
    <row r="52" spans="1:14" ht="21" customHeight="1" x14ac:dyDescent="0.15">
      <c r="A52" s="61" t="str">
        <f t="shared" si="2"/>
        <v>1304_358</v>
      </c>
      <c r="B52" s="190">
        <v>1304</v>
      </c>
      <c r="C52" s="178">
        <f t="shared" si="1"/>
        <v>1304</v>
      </c>
      <c r="D52" s="53" t="str">
        <f ca="1">VLOOKUP($C52,OFFSET([1]characters!$A$1,0,0,COUNTA([1]characters!$A:$A),MATCH(D$1,[1]characters!$1:$1,0)-MATCH($C$1,[1]characters!$1:$1,0)+1),MATCH(D$1,[1]characters!$1:$1,0)-MATCH($C$1,[1]characters!$1:$1,0)+1,FALSE)</f>
        <v>演鼠の響笛音 ハーメルン</v>
      </c>
      <c r="E52" s="53">
        <f ca="1">VLOOKUP($C52,OFFSET([1]characters!$A$1,0,0,COUNTA([1]characters!$A:$A),MATCH(E$1,[1]characters!$1:$1,0)-MATCH($C$1,[1]characters!$1:$1,0)+1),MATCH(E$1,[1]characters!$1:$1,0)-MATCH($C$1,[1]characters!$1:$1,0)+1,FALSE)</f>
        <v>5</v>
      </c>
      <c r="F52" s="53" t="str">
        <f ca="1">VLOOKUP($C52,OFFSET([1]characters!$A$1,0,0,COUNTA([1]characters!$A:$A),MATCH(F$1,[1]characters!$1:$1,0)-MATCH($C$1,[1]characters!$1:$1,0)+1),MATCH(F$1,[1]characters!$1:$1,0)-MATCH($C$1,[1]characters!$1:$1,0)+1,FALSE)</f>
        <v>DropWizS</v>
      </c>
      <c r="G52" s="194">
        <v>1305</v>
      </c>
      <c r="H52" s="53" t="str">
        <f ca="1">VLOOKUP($G52,OFFSET([1]characters!$A$1,0,0,COUNTA([1]characters!$A:$A),MATCH(H$1,[1]characters!$1:$1,0)-MATCH($C$1,[1]characters!$1:$1,0)+1),MATCH(H$1,[1]characters!$1:$1,0)-MATCH($C$1,[1]characters!$1:$1,0)+1,FALSE)</f>
        <v>響界廻る睡鼠楽 ハーメルン</v>
      </c>
      <c r="I52" s="193">
        <v>358</v>
      </c>
      <c r="J52" s="53" t="str">
        <f ca="1">VLOOKUP($I52,OFFSET([1]characters!$A$1,0,0,COUNTA([1]characters!$A:$A),MATCH(J$1,[1]characters!$1:$1,0)-MATCH($C$1,[1]characters!$1:$1,0)+1),MATCH(J$1,[1]characters!$1:$1,0)-MATCH($C$1,[1]characters!$1:$1,0)+1,FALSE)</f>
        <v>深淵の代用ウミガメ</v>
      </c>
      <c r="K52" s="191">
        <v>1</v>
      </c>
      <c r="L52" s="192">
        <v>1</v>
      </c>
      <c r="M52" s="192">
        <v>10</v>
      </c>
      <c r="N52" s="2" t="s">
        <v>289</v>
      </c>
    </row>
    <row r="53" spans="1:14" ht="21" customHeight="1" x14ac:dyDescent="0.15">
      <c r="A53" s="61" t="str">
        <f t="shared" si="2"/>
        <v>1304_837</v>
      </c>
      <c r="B53" s="190">
        <v>1304</v>
      </c>
      <c r="C53" s="178">
        <f t="shared" si="1"/>
        <v>1304</v>
      </c>
      <c r="D53" s="53" t="str">
        <f ca="1">VLOOKUP($C53,OFFSET([1]characters!$A$1,0,0,COUNTA([1]characters!$A:$A),MATCH(D$1,[1]characters!$1:$1,0)-MATCH($C$1,[1]characters!$1:$1,0)+1),MATCH(D$1,[1]characters!$1:$1,0)-MATCH($C$1,[1]characters!$1:$1,0)+1,FALSE)</f>
        <v>演鼠の響笛音 ハーメルン</v>
      </c>
      <c r="E53" s="53">
        <f ca="1">VLOOKUP($C53,OFFSET([1]characters!$A$1,0,0,COUNTA([1]characters!$A:$A),MATCH(E$1,[1]characters!$1:$1,0)-MATCH($C$1,[1]characters!$1:$1,0)+1),MATCH(E$1,[1]characters!$1:$1,0)-MATCH($C$1,[1]characters!$1:$1,0)+1,FALSE)</f>
        <v>5</v>
      </c>
      <c r="F53" s="53" t="str">
        <f ca="1">VLOOKUP($C53,OFFSET([1]characters!$A$1,0,0,COUNTA([1]characters!$A:$A),MATCH(F$1,[1]characters!$1:$1,0)-MATCH($C$1,[1]characters!$1:$1,0)+1),MATCH(F$1,[1]characters!$1:$1,0)-MATCH($C$1,[1]characters!$1:$1,0)+1,FALSE)</f>
        <v>DropWizS</v>
      </c>
      <c r="G53" s="194">
        <v>1305</v>
      </c>
      <c r="H53" s="53" t="str">
        <f ca="1">VLOOKUP($G53,OFFSET([1]characters!$A$1,0,0,COUNTA([1]characters!$A:$A),MATCH(H$1,[1]characters!$1:$1,0)-MATCH($C$1,[1]characters!$1:$1,0)+1),MATCH(H$1,[1]characters!$1:$1,0)-MATCH($C$1,[1]characters!$1:$1,0)+1,FALSE)</f>
        <v>響界廻る睡鼠楽 ハーメルン</v>
      </c>
      <c r="I53" s="193">
        <v>837</v>
      </c>
      <c r="J53" s="53" t="str">
        <f ca="1">VLOOKUP($I53,OFFSET([1]characters!$A$1,0,0,COUNTA([1]characters!$A:$A),MATCH(J$1,[1]characters!$1:$1,0)-MATCH($C$1,[1]characters!$1:$1,0)+1),MATCH(J$1,[1]characters!$1:$1,0)-MATCH($C$1,[1]characters!$1:$1,0)+1,FALSE)</f>
        <v>リトルハンプティ</v>
      </c>
      <c r="K53" s="191">
        <v>1</v>
      </c>
      <c r="L53" s="192">
        <v>1</v>
      </c>
      <c r="M53" s="192">
        <v>1000</v>
      </c>
      <c r="N53" s="2" t="s">
        <v>289</v>
      </c>
    </row>
    <row r="54" spans="1:14" ht="21" customHeight="1" x14ac:dyDescent="0.15">
      <c r="A54" s="61" t="str">
        <f t="shared" si="2"/>
        <v>1306_527</v>
      </c>
      <c r="B54" s="194">
        <v>1306</v>
      </c>
      <c r="C54" s="178">
        <f t="shared" si="1"/>
        <v>1306</v>
      </c>
      <c r="D54" s="53" t="str">
        <f ca="1">VLOOKUP($C54,OFFSET([1]characters!$A$1,0,0,COUNTA([1]characters!$A:$A),MATCH(D$1,[1]characters!$1:$1,0)-MATCH($C$1,[1]characters!$1:$1,0)+1),MATCH(D$1,[1]characters!$1:$1,0)-MATCH($C$1,[1]characters!$1:$1,0)+1,FALSE)</f>
        <v>玉響の唱天 ルシファー</v>
      </c>
      <c r="E54" s="53">
        <f ca="1">VLOOKUP($C54,OFFSET([1]characters!$A$1,0,0,COUNTA([1]characters!$A:$A),MATCH(E$1,[1]characters!$1:$1,0)-MATCH($C$1,[1]characters!$1:$1,0)+1),MATCH(E$1,[1]characters!$1:$1,0)-MATCH($C$1,[1]characters!$1:$1,0)+1,FALSE)</f>
        <v>5</v>
      </c>
      <c r="F54" s="53" t="str">
        <f ca="1">VLOOKUP($C54,OFFSET([1]characters!$A$1,0,0,COUNTA([1]characters!$A:$A),MATCH(F$1,[1]characters!$1:$1,0)-MATCH($C$1,[1]characters!$1:$1,0)+1),MATCH(F$1,[1]characters!$1:$1,0)-MATCH($C$1,[1]characters!$1:$1,0)+1,FALSE)</f>
        <v>DropWizSS</v>
      </c>
      <c r="G54" s="194">
        <v>1307</v>
      </c>
      <c r="H54" s="53" t="str">
        <f ca="1">VLOOKUP($G54,OFFSET([1]characters!$A$1,0,0,COUNTA([1]characters!$A:$A),MATCH(H$1,[1]characters!$1:$1,0)-MATCH($C$1,[1]characters!$1:$1,0)+1),MATCH(H$1,[1]characters!$1:$1,0)-MATCH($C$1,[1]characters!$1:$1,0)+1,FALSE)</f>
        <v>彩翼の唱天史 ルシファー</v>
      </c>
      <c r="I54" s="193">
        <v>527</v>
      </c>
      <c r="J54" s="53" t="str">
        <f ca="1">VLOOKUP($I54,OFFSET([1]characters!$A$1,0,0,COUNTA([1]characters!$A:$A),MATCH(J$1,[1]characters!$1:$1,0)-MATCH($C$1,[1]characters!$1:$1,0)+1),MATCH(J$1,[1]characters!$1:$1,0)-MATCH($C$1,[1]characters!$1:$1,0)+1,FALSE)</f>
        <v>初音ミクV3</v>
      </c>
      <c r="K54" s="191">
        <v>1</v>
      </c>
      <c r="L54" s="192">
        <v>1</v>
      </c>
      <c r="M54" s="192">
        <v>100</v>
      </c>
      <c r="N54" s="2" t="s">
        <v>289</v>
      </c>
    </row>
    <row r="55" spans="1:14" ht="21" customHeight="1" x14ac:dyDescent="0.15">
      <c r="A55" s="61" t="str">
        <f t="shared" si="2"/>
        <v>1306_1300</v>
      </c>
      <c r="B55" s="194">
        <v>1306</v>
      </c>
      <c r="C55" s="178">
        <f t="shared" si="1"/>
        <v>1306</v>
      </c>
      <c r="D55" s="53" t="str">
        <f ca="1">VLOOKUP($C55,OFFSET([1]characters!$A$1,0,0,COUNTA([1]characters!$A:$A),MATCH(D$1,[1]characters!$1:$1,0)-MATCH($C$1,[1]characters!$1:$1,0)+1),MATCH(D$1,[1]characters!$1:$1,0)-MATCH($C$1,[1]characters!$1:$1,0)+1,FALSE)</f>
        <v>玉響の唱天 ルシファー</v>
      </c>
      <c r="E55" s="53">
        <f ca="1">VLOOKUP($C55,OFFSET([1]characters!$A$1,0,0,COUNTA([1]characters!$A:$A),MATCH(E$1,[1]characters!$1:$1,0)-MATCH($C$1,[1]characters!$1:$1,0)+1),MATCH(E$1,[1]characters!$1:$1,0)-MATCH($C$1,[1]characters!$1:$1,0)+1,FALSE)</f>
        <v>5</v>
      </c>
      <c r="F55" s="53" t="str">
        <f ca="1">VLOOKUP($C55,OFFSET([1]characters!$A$1,0,0,COUNTA([1]characters!$A:$A),MATCH(F$1,[1]characters!$1:$1,0)-MATCH($C$1,[1]characters!$1:$1,0)+1),MATCH(F$1,[1]characters!$1:$1,0)-MATCH($C$1,[1]characters!$1:$1,0)+1,FALSE)</f>
        <v>DropWizSS</v>
      </c>
      <c r="G55" s="194">
        <v>1307</v>
      </c>
      <c r="H55" s="53" t="str">
        <f ca="1">VLOOKUP($G55,OFFSET([1]characters!$A$1,0,0,COUNTA([1]characters!$A:$A),MATCH(H$1,[1]characters!$1:$1,0)-MATCH($C$1,[1]characters!$1:$1,0)+1),MATCH(H$1,[1]characters!$1:$1,0)-MATCH($C$1,[1]characters!$1:$1,0)+1,FALSE)</f>
        <v>彩翼の唱天史 ルシファー</v>
      </c>
      <c r="I55" s="193">
        <v>1300</v>
      </c>
      <c r="J55" s="53" t="str">
        <f ca="1">VLOOKUP($I55,OFFSET([1]characters!$A$1,0,0,COUNTA([1]characters!$A:$A),MATCH(J$1,[1]characters!$1:$1,0)-MATCH($C$1,[1]characters!$1:$1,0)+1),MATCH(J$1,[1]characters!$1:$1,0)-MATCH($C$1,[1]characters!$1:$1,0)+1,FALSE)</f>
        <v>歌装の彩唱 紫式部</v>
      </c>
      <c r="K55" s="191">
        <v>1</v>
      </c>
      <c r="L55" s="192">
        <v>1</v>
      </c>
      <c r="M55" s="192">
        <v>100</v>
      </c>
      <c r="N55" s="2" t="s">
        <v>289</v>
      </c>
    </row>
    <row r="56" spans="1:14" ht="21" customHeight="1" x14ac:dyDescent="0.15">
      <c r="A56" s="61" t="str">
        <f t="shared" si="2"/>
        <v>1306_1302</v>
      </c>
      <c r="B56" s="194">
        <v>1306</v>
      </c>
      <c r="C56" s="178">
        <f t="shared" si="1"/>
        <v>1306</v>
      </c>
      <c r="D56" s="53" t="str">
        <f ca="1">VLOOKUP($C56,OFFSET([1]characters!$A$1,0,0,COUNTA([1]characters!$A:$A),MATCH(D$1,[1]characters!$1:$1,0)-MATCH($C$1,[1]characters!$1:$1,0)+1),MATCH(D$1,[1]characters!$1:$1,0)-MATCH($C$1,[1]characters!$1:$1,0)+1,FALSE)</f>
        <v>玉響の唱天 ルシファー</v>
      </c>
      <c r="E56" s="53">
        <f ca="1">VLOOKUP($C56,OFFSET([1]characters!$A$1,0,0,COUNTA([1]characters!$A:$A),MATCH(E$1,[1]characters!$1:$1,0)-MATCH($C$1,[1]characters!$1:$1,0)+1),MATCH(E$1,[1]characters!$1:$1,0)-MATCH($C$1,[1]characters!$1:$1,0)+1,FALSE)</f>
        <v>5</v>
      </c>
      <c r="F56" s="53" t="str">
        <f ca="1">VLOOKUP($C56,OFFSET([1]characters!$A$1,0,0,COUNTA([1]characters!$A:$A),MATCH(F$1,[1]characters!$1:$1,0)-MATCH($C$1,[1]characters!$1:$1,0)+1),MATCH(F$1,[1]characters!$1:$1,0)-MATCH($C$1,[1]characters!$1:$1,0)+1,FALSE)</f>
        <v>DropWizSS</v>
      </c>
      <c r="G56" s="194">
        <v>1307</v>
      </c>
      <c r="H56" s="53" t="str">
        <f ca="1">VLOOKUP($G56,OFFSET([1]characters!$A$1,0,0,COUNTA([1]characters!$A:$A),MATCH(H$1,[1]characters!$1:$1,0)-MATCH($C$1,[1]characters!$1:$1,0)+1),MATCH(H$1,[1]characters!$1:$1,0)-MATCH($C$1,[1]characters!$1:$1,0)+1,FALSE)</f>
        <v>彩翼の唱天史 ルシファー</v>
      </c>
      <c r="I56" s="193">
        <v>1302</v>
      </c>
      <c r="J56" s="53" t="str">
        <f ca="1">VLOOKUP($I56,OFFSET([1]characters!$A$1,0,0,COUNTA([1]characters!$A:$A),MATCH(J$1,[1]characters!$1:$1,0)-MATCH($C$1,[1]characters!$1:$1,0)+1),MATCH(J$1,[1]characters!$1:$1,0)-MATCH($C$1,[1]characters!$1:$1,0)+1,FALSE)</f>
        <v>超天突符 イナバ</v>
      </c>
      <c r="K56" s="191">
        <v>1</v>
      </c>
      <c r="L56" s="192">
        <v>1</v>
      </c>
      <c r="M56" s="192">
        <v>100</v>
      </c>
      <c r="N56" s="2" t="s">
        <v>289</v>
      </c>
    </row>
    <row r="57" spans="1:14" ht="21" customHeight="1" x14ac:dyDescent="0.15">
      <c r="A57" s="61" t="str">
        <f t="shared" si="2"/>
        <v>1306_1304</v>
      </c>
      <c r="B57" s="194">
        <v>1306</v>
      </c>
      <c r="C57" s="178">
        <f t="shared" si="1"/>
        <v>1306</v>
      </c>
      <c r="D57" s="53" t="str">
        <f ca="1">VLOOKUP($C57,OFFSET([1]characters!$A$1,0,0,COUNTA([1]characters!$A:$A),MATCH(D$1,[1]characters!$1:$1,0)-MATCH($C$1,[1]characters!$1:$1,0)+1),MATCH(D$1,[1]characters!$1:$1,0)-MATCH($C$1,[1]characters!$1:$1,0)+1,FALSE)</f>
        <v>玉響の唱天 ルシファー</v>
      </c>
      <c r="E57" s="53">
        <f ca="1">VLOOKUP($C57,OFFSET([1]characters!$A$1,0,0,COUNTA([1]characters!$A:$A),MATCH(E$1,[1]characters!$1:$1,0)-MATCH($C$1,[1]characters!$1:$1,0)+1),MATCH(E$1,[1]characters!$1:$1,0)-MATCH($C$1,[1]characters!$1:$1,0)+1,FALSE)</f>
        <v>5</v>
      </c>
      <c r="F57" s="53" t="str">
        <f ca="1">VLOOKUP($C57,OFFSET([1]characters!$A$1,0,0,COUNTA([1]characters!$A:$A),MATCH(F$1,[1]characters!$1:$1,0)-MATCH($C$1,[1]characters!$1:$1,0)+1),MATCH(F$1,[1]characters!$1:$1,0)-MATCH($C$1,[1]characters!$1:$1,0)+1,FALSE)</f>
        <v>DropWizSS</v>
      </c>
      <c r="G57" s="194">
        <v>1307</v>
      </c>
      <c r="H57" s="53" t="str">
        <f ca="1">VLOOKUP($G57,OFFSET([1]characters!$A$1,0,0,COUNTA([1]characters!$A:$A),MATCH(H$1,[1]characters!$1:$1,0)-MATCH($C$1,[1]characters!$1:$1,0)+1),MATCH(H$1,[1]characters!$1:$1,0)-MATCH($C$1,[1]characters!$1:$1,0)+1,FALSE)</f>
        <v>彩翼の唱天史 ルシファー</v>
      </c>
      <c r="I57" s="193">
        <v>1304</v>
      </c>
      <c r="J57" s="53" t="str">
        <f ca="1">VLOOKUP($I57,OFFSET([1]characters!$A$1,0,0,COUNTA([1]characters!$A:$A),MATCH(J$1,[1]characters!$1:$1,0)-MATCH($C$1,[1]characters!$1:$1,0)+1),MATCH(J$1,[1]characters!$1:$1,0)-MATCH($C$1,[1]characters!$1:$1,0)+1,FALSE)</f>
        <v>演鼠の響笛音 ハーメルン</v>
      </c>
      <c r="K57" s="191">
        <v>1</v>
      </c>
      <c r="L57" s="192">
        <v>1</v>
      </c>
      <c r="M57" s="192">
        <v>100</v>
      </c>
      <c r="N57" s="2" t="s">
        <v>289</v>
      </c>
    </row>
    <row r="58" spans="1:14" ht="21" customHeight="1" x14ac:dyDescent="0.15">
      <c r="A58" s="61" t="str">
        <f t="shared" si="2"/>
        <v>1306_837</v>
      </c>
      <c r="B58" s="194">
        <v>1306</v>
      </c>
      <c r="C58" s="178">
        <f t="shared" si="1"/>
        <v>1306</v>
      </c>
      <c r="D58" s="53" t="str">
        <f ca="1">VLOOKUP($C58,OFFSET([1]characters!$A$1,0,0,COUNTA([1]characters!$A:$A),MATCH(D$1,[1]characters!$1:$1,0)-MATCH($C$1,[1]characters!$1:$1,0)+1),MATCH(D$1,[1]characters!$1:$1,0)-MATCH($C$1,[1]characters!$1:$1,0)+1,FALSE)</f>
        <v>玉響の唱天 ルシファー</v>
      </c>
      <c r="E58" s="53">
        <f ca="1">VLOOKUP($C58,OFFSET([1]characters!$A$1,0,0,COUNTA([1]characters!$A:$A),MATCH(E$1,[1]characters!$1:$1,0)-MATCH($C$1,[1]characters!$1:$1,0)+1),MATCH(E$1,[1]characters!$1:$1,0)-MATCH($C$1,[1]characters!$1:$1,0)+1,FALSE)</f>
        <v>5</v>
      </c>
      <c r="F58" s="53" t="str">
        <f ca="1">VLOOKUP($C58,OFFSET([1]characters!$A$1,0,0,COUNTA([1]characters!$A:$A),MATCH(F$1,[1]characters!$1:$1,0)-MATCH($C$1,[1]characters!$1:$1,0)+1),MATCH(F$1,[1]characters!$1:$1,0)-MATCH($C$1,[1]characters!$1:$1,0)+1,FALSE)</f>
        <v>DropWizSS</v>
      </c>
      <c r="G58" s="194">
        <v>1307</v>
      </c>
      <c r="H58" s="53" t="str">
        <f ca="1">VLOOKUP($G58,OFFSET([1]characters!$A$1,0,0,COUNTA([1]characters!$A:$A),MATCH(H$1,[1]characters!$1:$1,0)-MATCH($C$1,[1]characters!$1:$1,0)+1),MATCH(H$1,[1]characters!$1:$1,0)-MATCH($C$1,[1]characters!$1:$1,0)+1,FALSE)</f>
        <v>彩翼の唱天史 ルシファー</v>
      </c>
      <c r="I58" s="193">
        <v>837</v>
      </c>
      <c r="J58" s="53" t="str">
        <f ca="1">VLOOKUP($I58,OFFSET([1]characters!$A$1,0,0,COUNTA([1]characters!$A:$A),MATCH(J$1,[1]characters!$1:$1,0)-MATCH($C$1,[1]characters!$1:$1,0)+1),MATCH(J$1,[1]characters!$1:$1,0)-MATCH($C$1,[1]characters!$1:$1,0)+1,FALSE)</f>
        <v>リトルハンプティ</v>
      </c>
      <c r="K58" s="191">
        <v>1</v>
      </c>
      <c r="L58" s="192">
        <v>1</v>
      </c>
      <c r="M58" s="192">
        <v>1000</v>
      </c>
      <c r="N58" s="2" t="s">
        <v>289</v>
      </c>
    </row>
    <row r="59" spans="1:14" ht="21" customHeight="1" x14ac:dyDescent="0.15">
      <c r="A59" s="61" t="str">
        <f t="shared" si="2"/>
        <v>1309_280</v>
      </c>
      <c r="B59" s="194">
        <v>1309</v>
      </c>
      <c r="C59" s="178">
        <f t="shared" si="1"/>
        <v>1309</v>
      </c>
      <c r="D59" s="53" t="str">
        <f ca="1">VLOOKUP($C59,OFFSET([1]characters!$A$1,0,0,COUNTA([1]characters!$A:$A),MATCH(D$1,[1]characters!$1:$1,0)-MATCH($C$1,[1]characters!$1:$1,0)+1),MATCH(D$1,[1]characters!$1:$1,0)-MATCH($C$1,[1]characters!$1:$1,0)+1,FALSE)</f>
        <v>虹彩の美唱姫 初音ミク・アペンド</v>
      </c>
      <c r="E59" s="53">
        <f ca="1">VLOOKUP($C59,OFFSET([1]characters!$A$1,0,0,COUNTA([1]characters!$A:$A),MATCH(E$1,[1]characters!$1:$1,0)-MATCH($C$1,[1]characters!$1:$1,0)+1),MATCH(E$1,[1]characters!$1:$1,0)-MATCH($C$1,[1]characters!$1:$1,0)+1,FALSE)</f>
        <v>6</v>
      </c>
      <c r="F59" s="53" t="str">
        <f ca="1">VLOOKUP($C59,OFFSET([1]characters!$A$1,0,0,COUNTA([1]characters!$A:$A),MATCH(F$1,[1]characters!$1:$1,0)-MATCH($C$1,[1]characters!$1:$1,0)+1),MATCH(F$1,[1]characters!$1:$1,0)-MATCH($C$1,[1]characters!$1:$1,0)+1,FALSE)</f>
        <v>PremiumSSS</v>
      </c>
      <c r="G59" s="194">
        <v>1310</v>
      </c>
      <c r="H59" s="53" t="str">
        <f ca="1">VLOOKUP($G59,OFFSET([1]characters!$A$1,0,0,COUNTA([1]characters!$A:$A),MATCH(H$1,[1]characters!$1:$1,0)-MATCH($C$1,[1]characters!$1:$1,0)+1),MATCH(H$1,[1]characters!$1:$1,0)-MATCH($C$1,[1]characters!$1:$1,0)+1,FALSE)</f>
        <v>聖律する歌姫 初音ミク・アペンド</v>
      </c>
      <c r="I59" s="193">
        <v>280</v>
      </c>
      <c r="J59" s="53" t="str">
        <f ca="1">VLOOKUP($I59,OFFSET([1]characters!$A$1,0,0,COUNTA([1]characters!$A:$A),MATCH(J$1,[1]characters!$1:$1,0)-MATCH($C$1,[1]characters!$1:$1,0)+1),MATCH(J$1,[1]characters!$1:$1,0)-MATCH($C$1,[1]characters!$1:$1,0)+1,FALSE)</f>
        <v>リンドブルム</v>
      </c>
      <c r="K59" s="191">
        <v>1</v>
      </c>
      <c r="L59" s="192">
        <v>2</v>
      </c>
      <c r="M59" s="192">
        <v>100</v>
      </c>
      <c r="N59" s="2" t="s">
        <v>289</v>
      </c>
    </row>
    <row r="60" spans="1:14" ht="21" customHeight="1" x14ac:dyDescent="0.15">
      <c r="A60" s="61" t="str">
        <f t="shared" si="2"/>
        <v>1309_780</v>
      </c>
      <c r="B60" s="190">
        <v>1309</v>
      </c>
      <c r="C60" s="178">
        <f t="shared" si="1"/>
        <v>1309</v>
      </c>
      <c r="D60" s="53" t="str">
        <f ca="1">VLOOKUP($C60,OFFSET([1]characters!$A$1,0,0,COUNTA([1]characters!$A:$A),MATCH(D$1,[1]characters!$1:$1,0)-MATCH($C$1,[1]characters!$1:$1,0)+1),MATCH(D$1,[1]characters!$1:$1,0)-MATCH($C$1,[1]characters!$1:$1,0)+1,FALSE)</f>
        <v>虹彩の美唱姫 初音ミク・アペンド</v>
      </c>
      <c r="E60" s="53">
        <f ca="1">VLOOKUP($C60,OFFSET([1]characters!$A$1,0,0,COUNTA([1]characters!$A:$A),MATCH(E$1,[1]characters!$1:$1,0)-MATCH($C$1,[1]characters!$1:$1,0)+1),MATCH(E$1,[1]characters!$1:$1,0)-MATCH($C$1,[1]characters!$1:$1,0)+1,FALSE)</f>
        <v>6</v>
      </c>
      <c r="F60" s="53" t="str">
        <f ca="1">VLOOKUP($C60,OFFSET([1]characters!$A$1,0,0,COUNTA([1]characters!$A:$A),MATCH(F$1,[1]characters!$1:$1,0)-MATCH($C$1,[1]characters!$1:$1,0)+1),MATCH(F$1,[1]characters!$1:$1,0)-MATCH($C$1,[1]characters!$1:$1,0)+1,FALSE)</f>
        <v>PremiumSSS</v>
      </c>
      <c r="G60" s="194">
        <v>1310</v>
      </c>
      <c r="H60" s="53" t="str">
        <f ca="1">VLOOKUP($G60,OFFSET([1]characters!$A$1,0,0,COUNTA([1]characters!$A:$A),MATCH(H$1,[1]characters!$1:$1,0)-MATCH($C$1,[1]characters!$1:$1,0)+1),MATCH(H$1,[1]characters!$1:$1,0)-MATCH($C$1,[1]characters!$1:$1,0)+1,FALSE)</f>
        <v>聖律する歌姫 初音ミク・アペンド</v>
      </c>
      <c r="I60" s="193">
        <v>780</v>
      </c>
      <c r="J60" s="53" t="str">
        <f ca="1">VLOOKUP($I60,OFFSET([1]characters!$A$1,0,0,COUNTA([1]characters!$A:$A),MATCH(J$1,[1]characters!$1:$1,0)-MATCH($C$1,[1]characters!$1:$1,0)+1),MATCH(J$1,[1]characters!$1:$1,0)-MATCH($C$1,[1]characters!$1:$1,0)+1,FALSE)</f>
        <v>カスケード</v>
      </c>
      <c r="K60" s="191">
        <v>1</v>
      </c>
      <c r="L60" s="192">
        <v>2</v>
      </c>
      <c r="M60" s="192">
        <v>100</v>
      </c>
      <c r="N60" s="2" t="s">
        <v>289</v>
      </c>
    </row>
    <row r="61" spans="1:14" ht="21" customHeight="1" x14ac:dyDescent="0.15">
      <c r="A61" s="61" t="str">
        <f t="shared" si="2"/>
        <v>1310_106</v>
      </c>
      <c r="B61" s="190">
        <v>1310</v>
      </c>
      <c r="C61" s="178">
        <f t="shared" si="1"/>
        <v>1310</v>
      </c>
      <c r="D61" s="53" t="str">
        <f ca="1">VLOOKUP($C61,OFFSET([1]characters!$A$1,0,0,COUNTA([1]characters!$A:$A),MATCH(D$1,[1]characters!$1:$1,0)-MATCH($C$1,[1]characters!$1:$1,0)+1),MATCH(D$1,[1]characters!$1:$1,0)-MATCH($C$1,[1]characters!$1:$1,0)+1,FALSE)</f>
        <v>聖律する歌姫 初音ミク・アペンド</v>
      </c>
      <c r="E61" s="53">
        <f ca="1">VLOOKUP($C61,OFFSET([1]characters!$A$1,0,0,COUNTA([1]characters!$A:$A),MATCH(E$1,[1]characters!$1:$1,0)-MATCH($C$1,[1]characters!$1:$1,0)+1),MATCH(E$1,[1]characters!$1:$1,0)-MATCH($C$1,[1]characters!$1:$1,0)+1,FALSE)</f>
        <v>6</v>
      </c>
      <c r="F61" s="53" t="str">
        <f ca="1">VLOOKUP($C61,OFFSET([1]characters!$A$1,0,0,COUNTA([1]characters!$A:$A),MATCH(F$1,[1]characters!$1:$1,0)-MATCH($C$1,[1]characters!$1:$1,0)+1),MATCH(F$1,[1]characters!$1:$1,0)-MATCH($C$1,[1]characters!$1:$1,0)+1,FALSE)</f>
        <v>PremiumSSS</v>
      </c>
      <c r="G61" s="194">
        <v>1309</v>
      </c>
      <c r="H61" s="53" t="str">
        <f ca="1">VLOOKUP($G61,OFFSET([1]characters!$A$1,0,0,COUNTA([1]characters!$A:$A),MATCH(H$1,[1]characters!$1:$1,0)-MATCH($C$1,[1]characters!$1:$1,0)+1),MATCH(H$1,[1]characters!$1:$1,0)-MATCH($C$1,[1]characters!$1:$1,0)+1,FALSE)</f>
        <v>虹彩の美唱姫 初音ミク・アペンド</v>
      </c>
      <c r="I61" s="193">
        <v>106</v>
      </c>
      <c r="J61" s="53" t="str">
        <f ca="1">VLOOKUP($I61,OFFSET([1]characters!$A$1,0,0,COUNTA([1]characters!$A:$A),MATCH(J$1,[1]characters!$1:$1,0)-MATCH($C$1,[1]characters!$1:$1,0)+1),MATCH(J$1,[1]characters!$1:$1,0)-MATCH($C$1,[1]characters!$1:$1,0)+1,FALSE)</f>
        <v>グリーンラビット</v>
      </c>
      <c r="K61" s="191">
        <v>1</v>
      </c>
      <c r="L61" s="192">
        <v>1</v>
      </c>
      <c r="M61" s="192">
        <v>10</v>
      </c>
      <c r="N61" s="2" t="s">
        <v>289</v>
      </c>
    </row>
    <row r="62" spans="1:14" ht="21" customHeight="1" x14ac:dyDescent="0.15">
      <c r="A62" s="61" t="str">
        <f t="shared" si="2"/>
        <v>1310_107</v>
      </c>
      <c r="B62" s="190">
        <v>1310</v>
      </c>
      <c r="C62" s="178">
        <f t="shared" si="1"/>
        <v>1310</v>
      </c>
      <c r="D62" s="53" t="str">
        <f ca="1">VLOOKUP($C62,OFFSET([1]characters!$A$1,0,0,COUNTA([1]characters!$A:$A),MATCH(D$1,[1]characters!$1:$1,0)-MATCH($C$1,[1]characters!$1:$1,0)+1),MATCH(D$1,[1]characters!$1:$1,0)-MATCH($C$1,[1]characters!$1:$1,0)+1,FALSE)</f>
        <v>聖律する歌姫 初音ミク・アペンド</v>
      </c>
      <c r="E62" s="53">
        <f ca="1">VLOOKUP($C62,OFFSET([1]characters!$A$1,0,0,COUNTA([1]characters!$A:$A),MATCH(E$1,[1]characters!$1:$1,0)-MATCH($C$1,[1]characters!$1:$1,0)+1),MATCH(E$1,[1]characters!$1:$1,0)-MATCH($C$1,[1]characters!$1:$1,0)+1,FALSE)</f>
        <v>6</v>
      </c>
      <c r="F62" s="53" t="str">
        <f ca="1">VLOOKUP($C62,OFFSET([1]characters!$A$1,0,0,COUNTA([1]characters!$A:$A),MATCH(F$1,[1]characters!$1:$1,0)-MATCH($C$1,[1]characters!$1:$1,0)+1),MATCH(F$1,[1]characters!$1:$1,0)-MATCH($C$1,[1]characters!$1:$1,0)+1,FALSE)</f>
        <v>PremiumSSS</v>
      </c>
      <c r="G62" s="194">
        <v>1309</v>
      </c>
      <c r="H62" s="53" t="str">
        <f ca="1">VLOOKUP($G62,OFFSET([1]characters!$A$1,0,0,COUNTA([1]characters!$A:$A),MATCH(H$1,[1]characters!$1:$1,0)-MATCH($C$1,[1]characters!$1:$1,0)+1),MATCH(H$1,[1]characters!$1:$1,0)-MATCH($C$1,[1]characters!$1:$1,0)+1,FALSE)</f>
        <v>虹彩の美唱姫 初音ミク・アペンド</v>
      </c>
      <c r="I62" s="193">
        <v>107</v>
      </c>
      <c r="J62" s="53" t="str">
        <f ca="1">VLOOKUP($I62,OFFSET([1]characters!$A$1,0,0,COUNTA([1]characters!$A:$A),MATCH(J$1,[1]characters!$1:$1,0)-MATCH($C$1,[1]characters!$1:$1,0)+1),MATCH(J$1,[1]characters!$1:$1,0)-MATCH($C$1,[1]characters!$1:$1,0)+1,FALSE)</f>
        <v>グリーンキャタップ</v>
      </c>
      <c r="K62" s="191">
        <v>1</v>
      </c>
      <c r="L62" s="192">
        <v>1</v>
      </c>
      <c r="M62" s="192">
        <v>10</v>
      </c>
      <c r="N62" s="2" t="s">
        <v>289</v>
      </c>
    </row>
    <row r="63" spans="1:14" ht="21" customHeight="1" x14ac:dyDescent="0.15">
      <c r="A63" s="61" t="str">
        <f t="shared" si="2"/>
        <v>1310_108</v>
      </c>
      <c r="B63" s="190">
        <v>1310</v>
      </c>
      <c r="C63" s="178">
        <f t="shared" si="1"/>
        <v>1310</v>
      </c>
      <c r="D63" s="53" t="str">
        <f ca="1">VLOOKUP($C63,OFFSET([1]characters!$A$1,0,0,COUNTA([1]characters!$A:$A),MATCH(D$1,[1]characters!$1:$1,0)-MATCH($C$1,[1]characters!$1:$1,0)+1),MATCH(D$1,[1]characters!$1:$1,0)-MATCH($C$1,[1]characters!$1:$1,0)+1,FALSE)</f>
        <v>聖律する歌姫 初音ミク・アペンド</v>
      </c>
      <c r="E63" s="53">
        <f ca="1">VLOOKUP($C63,OFFSET([1]characters!$A$1,0,0,COUNTA([1]characters!$A:$A),MATCH(E$1,[1]characters!$1:$1,0)-MATCH($C$1,[1]characters!$1:$1,0)+1),MATCH(E$1,[1]characters!$1:$1,0)-MATCH($C$1,[1]characters!$1:$1,0)+1,FALSE)</f>
        <v>6</v>
      </c>
      <c r="F63" s="53" t="str">
        <f ca="1">VLOOKUP($C63,OFFSET([1]characters!$A$1,0,0,COUNTA([1]characters!$A:$A),MATCH(F$1,[1]characters!$1:$1,0)-MATCH($C$1,[1]characters!$1:$1,0)+1),MATCH(F$1,[1]characters!$1:$1,0)-MATCH($C$1,[1]characters!$1:$1,0)+1,FALSE)</f>
        <v>PremiumSSS</v>
      </c>
      <c r="G63" s="194">
        <v>1309</v>
      </c>
      <c r="H63" s="53" t="str">
        <f ca="1">VLOOKUP($G63,OFFSET([1]characters!$A$1,0,0,COUNTA([1]characters!$A:$A),MATCH(H$1,[1]characters!$1:$1,0)-MATCH($C$1,[1]characters!$1:$1,0)+1),MATCH(H$1,[1]characters!$1:$1,0)-MATCH($C$1,[1]characters!$1:$1,0)+1,FALSE)</f>
        <v>虹彩の美唱姫 初音ミク・アペンド</v>
      </c>
      <c r="I63" s="193">
        <v>108</v>
      </c>
      <c r="J63" s="53" t="str">
        <f ca="1">VLOOKUP($I63,OFFSET([1]characters!$A$1,0,0,COUNTA([1]characters!$A:$A),MATCH(J$1,[1]characters!$1:$1,0)-MATCH($C$1,[1]characters!$1:$1,0)+1),MATCH(J$1,[1]characters!$1:$1,0)-MATCH($C$1,[1]characters!$1:$1,0)+1,FALSE)</f>
        <v>森のマッドハッター</v>
      </c>
      <c r="K63" s="191">
        <v>1</v>
      </c>
      <c r="L63" s="192">
        <v>1</v>
      </c>
      <c r="M63" s="192">
        <v>10</v>
      </c>
      <c r="N63" s="2" t="s">
        <v>289</v>
      </c>
    </row>
    <row r="64" spans="1:14" ht="21" customHeight="1" x14ac:dyDescent="0.15">
      <c r="A64" s="61" t="str">
        <f t="shared" ref="A64:A82" si="3">B64&amp;"_"&amp;I64</f>
        <v>1316_108</v>
      </c>
      <c r="B64" s="194">
        <v>1316</v>
      </c>
      <c r="C64" s="178">
        <f t="shared" si="1"/>
        <v>1316</v>
      </c>
      <c r="D64" s="53" t="str">
        <f ca="1">VLOOKUP($C64,OFFSET([1]characters!$A$1,0,0,COUNTA([1]characters!$A:$A),MATCH(D$1,[1]characters!$1:$1,0)-MATCH($C$1,[1]characters!$1:$1,0)+1),MATCH(D$1,[1]characters!$1:$1,0)-MATCH($C$1,[1]characters!$1:$1,0)+1,FALSE)</f>
        <v>初音ミクV4X</v>
      </c>
      <c r="E64" s="53">
        <f ca="1">VLOOKUP($C64,OFFSET([1]characters!$A$1,0,0,COUNTA([1]characters!$A:$A),MATCH(E$1,[1]characters!$1:$1,0)-MATCH($C$1,[1]characters!$1:$1,0)+1),MATCH(E$1,[1]characters!$1:$1,0)-MATCH($C$1,[1]characters!$1:$1,0)+1,FALSE)</f>
        <v>5</v>
      </c>
      <c r="F64" s="53" t="str">
        <f ca="1">VLOOKUP($C64,OFFSET([1]characters!$A$1,0,0,COUNTA([1]characters!$A:$A),MATCH(F$1,[1]characters!$1:$1,0)-MATCH($C$1,[1]characters!$1:$1,0)+1),MATCH(F$1,[1]characters!$1:$1,0)-MATCH($C$1,[1]characters!$1:$1,0)+1,FALSE)</f>
        <v>PremiumSSS</v>
      </c>
      <c r="G64" s="194">
        <v>1317</v>
      </c>
      <c r="H64" s="53" t="str">
        <f ca="1">VLOOKUP($G64,OFFSET([1]characters!$A$1,0,0,COUNTA([1]characters!$A:$A),MATCH(H$1,[1]characters!$1:$1,0)-MATCH($C$1,[1]characters!$1:$1,0)+1),MATCH(H$1,[1]characters!$1:$1,0)-MATCH($C$1,[1]characters!$1:$1,0)+1,FALSE)</f>
        <v>進歌する声域 初音ミクV4X</v>
      </c>
      <c r="I64" s="193">
        <v>108</v>
      </c>
      <c r="J64" s="53" t="str">
        <f ca="1">VLOOKUP($I64,OFFSET([1]characters!$A$1,0,0,COUNTA([1]characters!$A:$A),MATCH(J$1,[1]characters!$1:$1,0)-MATCH($C$1,[1]characters!$1:$1,0)+1),MATCH(J$1,[1]characters!$1:$1,0)-MATCH($C$1,[1]characters!$1:$1,0)+1,FALSE)</f>
        <v>森のマッドハッター</v>
      </c>
      <c r="K64" s="191">
        <v>1</v>
      </c>
      <c r="L64" s="192">
        <v>1</v>
      </c>
      <c r="M64" s="192">
        <v>10</v>
      </c>
      <c r="N64" s="2" t="s">
        <v>289</v>
      </c>
    </row>
    <row r="65" spans="1:14" ht="21" customHeight="1" x14ac:dyDescent="0.15">
      <c r="A65" s="61" t="str">
        <f t="shared" si="3"/>
        <v>1316_420</v>
      </c>
      <c r="B65" s="194">
        <v>1316</v>
      </c>
      <c r="C65" s="178">
        <f t="shared" ref="C65:C82" si="4">B65</f>
        <v>1316</v>
      </c>
      <c r="D65" s="53" t="str">
        <f ca="1">VLOOKUP($C65,OFFSET([1]characters!$A$1,0,0,COUNTA([1]characters!$A:$A),MATCH(D$1,[1]characters!$1:$1,0)-MATCH($C$1,[1]characters!$1:$1,0)+1),MATCH(D$1,[1]characters!$1:$1,0)-MATCH($C$1,[1]characters!$1:$1,0)+1,FALSE)</f>
        <v>初音ミクV4X</v>
      </c>
      <c r="E65" s="53">
        <f ca="1">VLOOKUP($C65,OFFSET([1]characters!$A$1,0,0,COUNTA([1]characters!$A:$A),MATCH(E$1,[1]characters!$1:$1,0)-MATCH($C$1,[1]characters!$1:$1,0)+1),MATCH(E$1,[1]characters!$1:$1,0)-MATCH($C$1,[1]characters!$1:$1,0)+1,FALSE)</f>
        <v>5</v>
      </c>
      <c r="F65" s="53" t="str">
        <f ca="1">VLOOKUP($C65,OFFSET([1]characters!$A$1,0,0,COUNTA([1]characters!$A:$A),MATCH(F$1,[1]characters!$1:$1,0)-MATCH($C$1,[1]characters!$1:$1,0)+1),MATCH(F$1,[1]characters!$1:$1,0)-MATCH($C$1,[1]characters!$1:$1,0)+1,FALSE)</f>
        <v>PremiumSSS</v>
      </c>
      <c r="G65" s="194">
        <v>1317</v>
      </c>
      <c r="H65" s="53" t="str">
        <f ca="1">VLOOKUP($G65,OFFSET([1]characters!$A$1,0,0,COUNTA([1]characters!$A:$A),MATCH(H$1,[1]characters!$1:$1,0)-MATCH($C$1,[1]characters!$1:$1,0)+1),MATCH(H$1,[1]characters!$1:$1,0)-MATCH($C$1,[1]characters!$1:$1,0)+1,FALSE)</f>
        <v>進歌する声域 初音ミクV4X</v>
      </c>
      <c r="I65" s="193">
        <v>420</v>
      </c>
      <c r="J65" s="53" t="str">
        <f ca="1">VLOOKUP($I65,OFFSET([1]characters!$A$1,0,0,COUNTA([1]characters!$A:$A),MATCH(J$1,[1]characters!$1:$1,0)-MATCH($C$1,[1]characters!$1:$1,0)+1),MATCH(J$1,[1]characters!$1:$1,0)-MATCH($C$1,[1]characters!$1:$1,0)+1,FALSE)</f>
        <v>カエデ</v>
      </c>
      <c r="K65" s="191">
        <v>1</v>
      </c>
      <c r="L65" s="192">
        <v>2</v>
      </c>
      <c r="M65" s="192">
        <v>100</v>
      </c>
      <c r="N65" s="2" t="s">
        <v>289</v>
      </c>
    </row>
    <row r="66" spans="1:14" ht="21" customHeight="1" x14ac:dyDescent="0.15">
      <c r="A66" s="61" t="str">
        <f t="shared" si="3"/>
        <v>1316_424</v>
      </c>
      <c r="B66" s="194">
        <v>1316</v>
      </c>
      <c r="C66" s="178">
        <f t="shared" si="4"/>
        <v>1316</v>
      </c>
      <c r="D66" s="53" t="str">
        <f ca="1">VLOOKUP($C66,OFFSET([1]characters!$A$1,0,0,COUNTA([1]characters!$A:$A),MATCH(D$1,[1]characters!$1:$1,0)-MATCH($C$1,[1]characters!$1:$1,0)+1),MATCH(D$1,[1]characters!$1:$1,0)-MATCH($C$1,[1]characters!$1:$1,0)+1,FALSE)</f>
        <v>初音ミクV4X</v>
      </c>
      <c r="E66" s="53">
        <f ca="1">VLOOKUP($C66,OFFSET([1]characters!$A$1,0,0,COUNTA([1]characters!$A:$A),MATCH(E$1,[1]characters!$1:$1,0)-MATCH($C$1,[1]characters!$1:$1,0)+1),MATCH(E$1,[1]characters!$1:$1,0)-MATCH($C$1,[1]characters!$1:$1,0)+1,FALSE)</f>
        <v>5</v>
      </c>
      <c r="F66" s="53" t="str">
        <f ca="1">VLOOKUP($C66,OFFSET([1]characters!$A$1,0,0,COUNTA([1]characters!$A:$A),MATCH(F$1,[1]characters!$1:$1,0)-MATCH($C$1,[1]characters!$1:$1,0)+1),MATCH(F$1,[1]characters!$1:$1,0)-MATCH($C$1,[1]characters!$1:$1,0)+1,FALSE)</f>
        <v>PremiumSSS</v>
      </c>
      <c r="G66" s="194">
        <v>1317</v>
      </c>
      <c r="H66" s="53" t="str">
        <f ca="1">VLOOKUP($G66,OFFSET([1]characters!$A$1,0,0,COUNTA([1]characters!$A:$A),MATCH(H$1,[1]characters!$1:$1,0)-MATCH($C$1,[1]characters!$1:$1,0)+1),MATCH(H$1,[1]characters!$1:$1,0)-MATCH($C$1,[1]characters!$1:$1,0)+1,FALSE)</f>
        <v>進歌する声域 初音ミクV4X</v>
      </c>
      <c r="I66" s="193">
        <v>424</v>
      </c>
      <c r="J66" s="53" t="str">
        <f ca="1">VLOOKUP($I66,OFFSET([1]characters!$A$1,0,0,COUNTA([1]characters!$A:$A),MATCH(J$1,[1]characters!$1:$1,0)-MATCH($C$1,[1]characters!$1:$1,0)+1),MATCH(J$1,[1]characters!$1:$1,0)-MATCH($C$1,[1]characters!$1:$1,0)+1,FALSE)</f>
        <v>フック</v>
      </c>
      <c r="K66" s="191">
        <v>1</v>
      </c>
      <c r="L66" s="192">
        <v>2</v>
      </c>
      <c r="M66" s="192">
        <v>100</v>
      </c>
      <c r="N66" s="2" t="s">
        <v>289</v>
      </c>
    </row>
    <row r="67" spans="1:14" ht="21" customHeight="1" x14ac:dyDescent="0.15">
      <c r="A67" s="61" t="str">
        <f t="shared" si="3"/>
        <v>1316_837</v>
      </c>
      <c r="B67" s="190">
        <v>1316</v>
      </c>
      <c r="C67" s="178">
        <f t="shared" si="4"/>
        <v>1316</v>
      </c>
      <c r="D67" s="53" t="str">
        <f ca="1">VLOOKUP($C67,OFFSET([1]characters!$A$1,0,0,COUNTA([1]characters!$A:$A),MATCH(D$1,[1]characters!$1:$1,0)-MATCH($C$1,[1]characters!$1:$1,0)+1),MATCH(D$1,[1]characters!$1:$1,0)-MATCH($C$1,[1]characters!$1:$1,0)+1,FALSE)</f>
        <v>初音ミクV4X</v>
      </c>
      <c r="E67" s="53">
        <f ca="1">VLOOKUP($C67,OFFSET([1]characters!$A$1,0,0,COUNTA([1]characters!$A:$A),MATCH(E$1,[1]characters!$1:$1,0)-MATCH($C$1,[1]characters!$1:$1,0)+1),MATCH(E$1,[1]characters!$1:$1,0)-MATCH($C$1,[1]characters!$1:$1,0)+1,FALSE)</f>
        <v>5</v>
      </c>
      <c r="F67" s="53" t="str">
        <f ca="1">VLOOKUP($C67,OFFSET([1]characters!$A$1,0,0,COUNTA([1]characters!$A:$A),MATCH(F$1,[1]characters!$1:$1,0)-MATCH($C$1,[1]characters!$1:$1,0)+1),MATCH(F$1,[1]characters!$1:$1,0)-MATCH($C$1,[1]characters!$1:$1,0)+1,FALSE)</f>
        <v>PremiumSSS</v>
      </c>
      <c r="G67" s="194">
        <v>1317</v>
      </c>
      <c r="H67" s="53" t="str">
        <f ca="1">VLOOKUP($G67,OFFSET([1]characters!$A$1,0,0,COUNTA([1]characters!$A:$A),MATCH(H$1,[1]characters!$1:$1,0)-MATCH($C$1,[1]characters!$1:$1,0)+1),MATCH(H$1,[1]characters!$1:$1,0)-MATCH($C$1,[1]characters!$1:$1,0)+1,FALSE)</f>
        <v>進歌する声域 初音ミクV4X</v>
      </c>
      <c r="I67" s="193">
        <v>837</v>
      </c>
      <c r="J67" s="53" t="str">
        <f ca="1">VLOOKUP($I67,OFFSET([1]characters!$A$1,0,0,COUNTA([1]characters!$A:$A),MATCH(J$1,[1]characters!$1:$1,0)-MATCH($C$1,[1]characters!$1:$1,0)+1),MATCH(J$1,[1]characters!$1:$1,0)-MATCH($C$1,[1]characters!$1:$1,0)+1,FALSE)</f>
        <v>リトルハンプティ</v>
      </c>
      <c r="K67" s="191">
        <v>1</v>
      </c>
      <c r="L67" s="192">
        <v>1</v>
      </c>
      <c r="M67" s="192">
        <v>1000</v>
      </c>
      <c r="N67" s="2" t="s">
        <v>289</v>
      </c>
    </row>
    <row r="68" spans="1:14" ht="21" customHeight="1" x14ac:dyDescent="0.15">
      <c r="A68" s="61" t="str">
        <f t="shared" si="3"/>
        <v>1318_115</v>
      </c>
      <c r="B68" s="194">
        <v>1318</v>
      </c>
      <c r="C68" s="178">
        <f t="shared" si="4"/>
        <v>1318</v>
      </c>
      <c r="D68" s="53" t="str">
        <f ca="1">VLOOKUP($C68,OFFSET([1]characters!$A$1,0,0,COUNTA([1]characters!$A:$A),MATCH(D$1,[1]characters!$1:$1,0)-MATCH($C$1,[1]characters!$1:$1,0)+1),MATCH(D$1,[1]characters!$1:$1,0)-MATCH($C$1,[1]characters!$1:$1,0)+1,FALSE)</f>
        <v>鏡音リンV4X</v>
      </c>
      <c r="E68" s="53">
        <f ca="1">VLOOKUP($C68,OFFSET([1]characters!$A$1,0,0,COUNTA([1]characters!$A:$A),MATCH(E$1,[1]characters!$1:$1,0)-MATCH($C$1,[1]characters!$1:$1,0)+1),MATCH(E$1,[1]characters!$1:$1,0)-MATCH($C$1,[1]characters!$1:$1,0)+1,FALSE)</f>
        <v>5</v>
      </c>
      <c r="F68" s="53" t="str">
        <f ca="1">VLOOKUP($C68,OFFSET([1]characters!$A$1,0,0,COUNTA([1]characters!$A:$A),MATCH(F$1,[1]characters!$1:$1,0)-MATCH($C$1,[1]characters!$1:$1,0)+1),MATCH(F$1,[1]characters!$1:$1,0)-MATCH($C$1,[1]characters!$1:$1,0)+1,FALSE)</f>
        <v>PremiumSS</v>
      </c>
      <c r="G68" s="194">
        <v>1319</v>
      </c>
      <c r="H68" s="53" t="str">
        <f ca="1">VLOOKUP($G68,OFFSET([1]characters!$A$1,0,0,COUNTA([1]characters!$A:$A),MATCH(H$1,[1]characters!$1:$1,0)-MATCH($C$1,[1]characters!$1:$1,0)+1),MATCH(H$1,[1]characters!$1:$1,0)-MATCH($C$1,[1]characters!$1:$1,0)+1,FALSE)</f>
        <v>甘恋の激唱歌 鏡音リンV4X</v>
      </c>
      <c r="I68" s="193">
        <v>115</v>
      </c>
      <c r="J68" s="53" t="str">
        <f ca="1">VLOOKUP($I68,OFFSET([1]characters!$A$1,0,0,COUNTA([1]characters!$A:$A),MATCH(J$1,[1]characters!$1:$1,0)-MATCH($C$1,[1]characters!$1:$1,0)+1),MATCH(J$1,[1]characters!$1:$1,0)-MATCH($C$1,[1]characters!$1:$1,0)+1,FALSE)</f>
        <v>イエローキャタップ</v>
      </c>
      <c r="K68" s="191">
        <v>1</v>
      </c>
      <c r="L68" s="192">
        <v>1</v>
      </c>
      <c r="M68" s="192">
        <v>10</v>
      </c>
      <c r="N68" s="2" t="s">
        <v>289</v>
      </c>
    </row>
    <row r="69" spans="1:14" ht="21" customHeight="1" x14ac:dyDescent="0.15">
      <c r="A69" s="61" t="str">
        <f t="shared" si="3"/>
        <v>1318_116</v>
      </c>
      <c r="B69" s="194">
        <v>1318</v>
      </c>
      <c r="C69" s="178">
        <f t="shared" si="4"/>
        <v>1318</v>
      </c>
      <c r="D69" s="53" t="str">
        <f ca="1">VLOOKUP($C69,OFFSET([1]characters!$A$1,0,0,COUNTA([1]characters!$A:$A),MATCH(D$1,[1]characters!$1:$1,0)-MATCH($C$1,[1]characters!$1:$1,0)+1),MATCH(D$1,[1]characters!$1:$1,0)-MATCH($C$1,[1]characters!$1:$1,0)+1,FALSE)</f>
        <v>鏡音リンV4X</v>
      </c>
      <c r="E69" s="53">
        <f ca="1">VLOOKUP($C69,OFFSET([1]characters!$A$1,0,0,COUNTA([1]characters!$A:$A),MATCH(E$1,[1]characters!$1:$1,0)-MATCH($C$1,[1]characters!$1:$1,0)+1),MATCH(E$1,[1]characters!$1:$1,0)-MATCH($C$1,[1]characters!$1:$1,0)+1,FALSE)</f>
        <v>5</v>
      </c>
      <c r="F69" s="53" t="str">
        <f ca="1">VLOOKUP($C69,OFFSET([1]characters!$A$1,0,0,COUNTA([1]characters!$A:$A),MATCH(F$1,[1]characters!$1:$1,0)-MATCH($C$1,[1]characters!$1:$1,0)+1),MATCH(F$1,[1]characters!$1:$1,0)-MATCH($C$1,[1]characters!$1:$1,0)+1,FALSE)</f>
        <v>PremiumSS</v>
      </c>
      <c r="G69" s="194">
        <v>1319</v>
      </c>
      <c r="H69" s="53" t="str">
        <f ca="1">VLOOKUP($G69,OFFSET([1]characters!$A$1,0,0,COUNTA([1]characters!$A:$A),MATCH(H$1,[1]characters!$1:$1,0)-MATCH($C$1,[1]characters!$1:$1,0)+1),MATCH(H$1,[1]characters!$1:$1,0)-MATCH($C$1,[1]characters!$1:$1,0)+1,FALSE)</f>
        <v>甘恋の激唱歌 鏡音リンV4X</v>
      </c>
      <c r="I69" s="193">
        <v>116</v>
      </c>
      <c r="J69" s="53" t="str">
        <f ca="1">VLOOKUP($I69,OFFSET([1]characters!$A$1,0,0,COUNTA([1]characters!$A:$A),MATCH(J$1,[1]characters!$1:$1,0)-MATCH($C$1,[1]characters!$1:$1,0)+1),MATCH(J$1,[1]characters!$1:$1,0)-MATCH($C$1,[1]characters!$1:$1,0)+1,FALSE)</f>
        <v>雷のマッドハッター</v>
      </c>
      <c r="K69" s="191">
        <v>1</v>
      </c>
      <c r="L69" s="192">
        <v>1</v>
      </c>
      <c r="M69" s="192">
        <v>10</v>
      </c>
      <c r="N69" s="2" t="s">
        <v>289</v>
      </c>
    </row>
    <row r="70" spans="1:14" ht="21" customHeight="1" x14ac:dyDescent="0.15">
      <c r="A70" s="61" t="str">
        <f t="shared" si="3"/>
        <v>1318_422</v>
      </c>
      <c r="B70" s="194">
        <v>1318</v>
      </c>
      <c r="C70" s="178">
        <f t="shared" si="4"/>
        <v>1318</v>
      </c>
      <c r="D70" s="53" t="str">
        <f ca="1">VLOOKUP($C70,OFFSET([1]characters!$A$1,0,0,COUNTA([1]characters!$A:$A),MATCH(D$1,[1]characters!$1:$1,0)-MATCH($C$1,[1]characters!$1:$1,0)+1),MATCH(D$1,[1]characters!$1:$1,0)-MATCH($C$1,[1]characters!$1:$1,0)+1,FALSE)</f>
        <v>鏡音リンV4X</v>
      </c>
      <c r="E70" s="53">
        <f ca="1">VLOOKUP($C70,OFFSET([1]characters!$A$1,0,0,COUNTA([1]characters!$A:$A),MATCH(E$1,[1]characters!$1:$1,0)-MATCH($C$1,[1]characters!$1:$1,0)+1),MATCH(E$1,[1]characters!$1:$1,0)-MATCH($C$1,[1]characters!$1:$1,0)+1,FALSE)</f>
        <v>5</v>
      </c>
      <c r="F70" s="53" t="str">
        <f ca="1">VLOOKUP($C70,OFFSET([1]characters!$A$1,0,0,COUNTA([1]characters!$A:$A),MATCH(F$1,[1]characters!$1:$1,0)-MATCH($C$1,[1]characters!$1:$1,0)+1),MATCH(F$1,[1]characters!$1:$1,0)-MATCH($C$1,[1]characters!$1:$1,0)+1,FALSE)</f>
        <v>PremiumSS</v>
      </c>
      <c r="G70" s="194">
        <v>1319</v>
      </c>
      <c r="H70" s="53" t="str">
        <f ca="1">VLOOKUP($G70,OFFSET([1]characters!$A$1,0,0,COUNTA([1]characters!$A:$A),MATCH(H$1,[1]characters!$1:$1,0)-MATCH($C$1,[1]characters!$1:$1,0)+1),MATCH(H$1,[1]characters!$1:$1,0)-MATCH($C$1,[1]characters!$1:$1,0)+1,FALSE)</f>
        <v>甘恋の激唱歌 鏡音リンV4X</v>
      </c>
      <c r="I70" s="193">
        <v>422</v>
      </c>
      <c r="J70" s="53" t="str">
        <f ca="1">VLOOKUP($I70,OFFSET([1]characters!$A$1,0,0,COUNTA([1]characters!$A:$A),MATCH(J$1,[1]characters!$1:$1,0)-MATCH($C$1,[1]characters!$1:$1,0)+1),MATCH(J$1,[1]characters!$1:$1,0)-MATCH($C$1,[1]characters!$1:$1,0)+1,FALSE)</f>
        <v>シュガフル</v>
      </c>
      <c r="K70" s="191">
        <v>1</v>
      </c>
      <c r="L70" s="192">
        <v>1</v>
      </c>
      <c r="M70" s="192">
        <v>100</v>
      </c>
      <c r="N70" s="2" t="s">
        <v>289</v>
      </c>
    </row>
    <row r="71" spans="1:14" ht="21" customHeight="1" x14ac:dyDescent="0.15">
      <c r="A71" s="61" t="str">
        <f t="shared" si="3"/>
        <v>1318_504</v>
      </c>
      <c r="B71" s="194">
        <v>1318</v>
      </c>
      <c r="C71" s="178">
        <f t="shared" si="4"/>
        <v>1318</v>
      </c>
      <c r="D71" s="53" t="str">
        <f ca="1">VLOOKUP($C71,OFFSET([1]characters!$A$1,0,0,COUNTA([1]characters!$A:$A),MATCH(D$1,[1]characters!$1:$1,0)-MATCH($C$1,[1]characters!$1:$1,0)+1),MATCH(D$1,[1]characters!$1:$1,0)-MATCH($C$1,[1]characters!$1:$1,0)+1,FALSE)</f>
        <v>鏡音リンV4X</v>
      </c>
      <c r="E71" s="53">
        <f ca="1">VLOOKUP($C71,OFFSET([1]characters!$A$1,0,0,COUNTA([1]characters!$A:$A),MATCH(E$1,[1]characters!$1:$1,0)-MATCH($C$1,[1]characters!$1:$1,0)+1),MATCH(E$1,[1]characters!$1:$1,0)-MATCH($C$1,[1]characters!$1:$1,0)+1,FALSE)</f>
        <v>5</v>
      </c>
      <c r="F71" s="53" t="str">
        <f ca="1">VLOOKUP($C71,OFFSET([1]characters!$A$1,0,0,COUNTA([1]characters!$A:$A),MATCH(F$1,[1]characters!$1:$1,0)-MATCH($C$1,[1]characters!$1:$1,0)+1),MATCH(F$1,[1]characters!$1:$1,0)-MATCH($C$1,[1]characters!$1:$1,0)+1,FALSE)</f>
        <v>PremiumSS</v>
      </c>
      <c r="G71" s="194">
        <v>1319</v>
      </c>
      <c r="H71" s="53" t="str">
        <f ca="1">VLOOKUP($G71,OFFSET([1]characters!$A$1,0,0,COUNTA([1]characters!$A:$A),MATCH(H$1,[1]characters!$1:$1,0)-MATCH($C$1,[1]characters!$1:$1,0)+1),MATCH(H$1,[1]characters!$1:$1,0)-MATCH($C$1,[1]characters!$1:$1,0)+1,FALSE)</f>
        <v>甘恋の激唱歌 鏡音リンV4X</v>
      </c>
      <c r="I71" s="193">
        <v>504</v>
      </c>
      <c r="J71" s="53" t="str">
        <f ca="1">VLOOKUP($I71,OFFSET([1]characters!$A$1,0,0,COUNTA([1]characters!$A:$A),MATCH(J$1,[1]characters!$1:$1,0)-MATCH($C$1,[1]characters!$1:$1,0)+1),MATCH(J$1,[1]characters!$1:$1,0)-MATCH($C$1,[1]characters!$1:$1,0)+1,FALSE)</f>
        <v>ハイディン・オーガ</v>
      </c>
      <c r="K71" s="191">
        <v>1</v>
      </c>
      <c r="L71" s="192">
        <v>1</v>
      </c>
      <c r="M71" s="192">
        <v>100</v>
      </c>
      <c r="N71" s="2" t="s">
        <v>289</v>
      </c>
    </row>
    <row r="72" spans="1:14" ht="21" customHeight="1" x14ac:dyDescent="0.15">
      <c r="A72" s="61" t="str">
        <f t="shared" si="3"/>
        <v>1318_837</v>
      </c>
      <c r="B72" s="194">
        <v>1318</v>
      </c>
      <c r="C72" s="178">
        <f t="shared" si="4"/>
        <v>1318</v>
      </c>
      <c r="D72" s="53" t="str">
        <f ca="1">VLOOKUP($C72,OFFSET([1]characters!$A$1,0,0,COUNTA([1]characters!$A:$A),MATCH(D$1,[1]characters!$1:$1,0)-MATCH($C$1,[1]characters!$1:$1,0)+1),MATCH(D$1,[1]characters!$1:$1,0)-MATCH($C$1,[1]characters!$1:$1,0)+1,FALSE)</f>
        <v>鏡音リンV4X</v>
      </c>
      <c r="E72" s="53">
        <f ca="1">VLOOKUP($C72,OFFSET([1]characters!$A$1,0,0,COUNTA([1]characters!$A:$A),MATCH(E$1,[1]characters!$1:$1,0)-MATCH($C$1,[1]characters!$1:$1,0)+1),MATCH(E$1,[1]characters!$1:$1,0)-MATCH($C$1,[1]characters!$1:$1,0)+1,FALSE)</f>
        <v>5</v>
      </c>
      <c r="F72" s="53" t="str">
        <f ca="1">VLOOKUP($C72,OFFSET([1]characters!$A$1,0,0,COUNTA([1]characters!$A:$A),MATCH(F$1,[1]characters!$1:$1,0)-MATCH($C$1,[1]characters!$1:$1,0)+1),MATCH(F$1,[1]characters!$1:$1,0)-MATCH($C$1,[1]characters!$1:$1,0)+1,FALSE)</f>
        <v>PremiumSS</v>
      </c>
      <c r="G72" s="194">
        <v>1319</v>
      </c>
      <c r="H72" s="53" t="str">
        <f ca="1">VLOOKUP($G72,OFFSET([1]characters!$A$1,0,0,COUNTA([1]characters!$A:$A),MATCH(H$1,[1]characters!$1:$1,0)-MATCH($C$1,[1]characters!$1:$1,0)+1),MATCH(H$1,[1]characters!$1:$1,0)-MATCH($C$1,[1]characters!$1:$1,0)+1,FALSE)</f>
        <v>甘恋の激唱歌 鏡音リンV4X</v>
      </c>
      <c r="I72" s="193">
        <v>837</v>
      </c>
      <c r="J72" s="53" t="str">
        <f ca="1">VLOOKUP($I72,OFFSET([1]characters!$A$1,0,0,COUNTA([1]characters!$A:$A),MATCH(J$1,[1]characters!$1:$1,0)-MATCH($C$1,[1]characters!$1:$1,0)+1),MATCH(J$1,[1]characters!$1:$1,0)-MATCH($C$1,[1]characters!$1:$1,0)+1,FALSE)</f>
        <v>リトルハンプティ</v>
      </c>
      <c r="K72" s="191">
        <v>1</v>
      </c>
      <c r="L72" s="192">
        <v>1</v>
      </c>
      <c r="M72" s="192">
        <v>1000</v>
      </c>
      <c r="N72" s="2" t="s">
        <v>289</v>
      </c>
    </row>
    <row r="73" spans="1:14" ht="21" customHeight="1" x14ac:dyDescent="0.15">
      <c r="A73" s="61" t="str">
        <f t="shared" si="3"/>
        <v>1320_115</v>
      </c>
      <c r="B73" s="194">
        <v>1320</v>
      </c>
      <c r="C73" s="178">
        <f t="shared" si="4"/>
        <v>1320</v>
      </c>
      <c r="D73" s="53" t="str">
        <f ca="1">VLOOKUP($C73,OFFSET([1]characters!$A$1,0,0,COUNTA([1]characters!$A:$A),MATCH(D$1,[1]characters!$1:$1,0)-MATCH($C$1,[1]characters!$1:$1,0)+1),MATCH(D$1,[1]characters!$1:$1,0)-MATCH($C$1,[1]characters!$1:$1,0)+1,FALSE)</f>
        <v>鏡音レンV4X</v>
      </c>
      <c r="E73" s="53">
        <f ca="1">VLOOKUP($C73,OFFSET([1]characters!$A$1,0,0,COUNTA([1]characters!$A:$A),MATCH(E$1,[1]characters!$1:$1,0)-MATCH($C$1,[1]characters!$1:$1,0)+1),MATCH(E$1,[1]characters!$1:$1,0)-MATCH($C$1,[1]characters!$1:$1,0)+1,FALSE)</f>
        <v>5</v>
      </c>
      <c r="F73" s="53" t="str">
        <f ca="1">VLOOKUP($C73,OFFSET([1]characters!$A$1,0,0,COUNTA([1]characters!$A:$A),MATCH(F$1,[1]characters!$1:$1,0)-MATCH($C$1,[1]characters!$1:$1,0)+1),MATCH(F$1,[1]characters!$1:$1,0)-MATCH($C$1,[1]characters!$1:$1,0)+1,FALSE)</f>
        <v>PremiumSS</v>
      </c>
      <c r="G73" s="194">
        <v>1321</v>
      </c>
      <c r="H73" s="53" t="str">
        <f ca="1">VLOOKUP($G73,OFFSET([1]characters!$A$1,0,0,COUNTA([1]characters!$A:$A),MATCH(H$1,[1]characters!$1:$1,0)-MATCH($C$1,[1]characters!$1:$1,0)+1),MATCH(H$1,[1]characters!$1:$1,0)-MATCH($C$1,[1]characters!$1:$1,0)+1,FALSE)</f>
        <v>純凛の柔唱歌 鏡音レンV4X</v>
      </c>
      <c r="I73" s="193">
        <v>115</v>
      </c>
      <c r="J73" s="53" t="str">
        <f ca="1">VLOOKUP($I73,OFFSET([1]characters!$A$1,0,0,COUNTA([1]characters!$A:$A),MATCH(J$1,[1]characters!$1:$1,0)-MATCH($C$1,[1]characters!$1:$1,0)+1),MATCH(J$1,[1]characters!$1:$1,0)-MATCH($C$1,[1]characters!$1:$1,0)+1,FALSE)</f>
        <v>イエローキャタップ</v>
      </c>
      <c r="K73" s="191">
        <v>1</v>
      </c>
      <c r="L73" s="192">
        <v>1</v>
      </c>
      <c r="M73" s="192">
        <v>10</v>
      </c>
      <c r="N73" s="2" t="s">
        <v>289</v>
      </c>
    </row>
    <row r="74" spans="1:14" ht="21" customHeight="1" x14ac:dyDescent="0.15">
      <c r="A74" s="61" t="str">
        <f t="shared" si="3"/>
        <v>1320_116</v>
      </c>
      <c r="B74" s="194">
        <v>1320</v>
      </c>
      <c r="C74" s="178">
        <f t="shared" si="4"/>
        <v>1320</v>
      </c>
      <c r="D74" s="53" t="str">
        <f ca="1">VLOOKUP($C74,OFFSET([1]characters!$A$1,0,0,COUNTA([1]characters!$A:$A),MATCH(D$1,[1]characters!$1:$1,0)-MATCH($C$1,[1]characters!$1:$1,0)+1),MATCH(D$1,[1]characters!$1:$1,0)-MATCH($C$1,[1]characters!$1:$1,0)+1,FALSE)</f>
        <v>鏡音レンV4X</v>
      </c>
      <c r="E74" s="53">
        <f ca="1">VLOOKUP($C74,OFFSET([1]characters!$A$1,0,0,COUNTA([1]characters!$A:$A),MATCH(E$1,[1]characters!$1:$1,0)-MATCH($C$1,[1]characters!$1:$1,0)+1),MATCH(E$1,[1]characters!$1:$1,0)-MATCH($C$1,[1]characters!$1:$1,0)+1,FALSE)</f>
        <v>5</v>
      </c>
      <c r="F74" s="53" t="str">
        <f ca="1">VLOOKUP($C74,OFFSET([1]characters!$A$1,0,0,COUNTA([1]characters!$A:$A),MATCH(F$1,[1]characters!$1:$1,0)-MATCH($C$1,[1]characters!$1:$1,0)+1),MATCH(F$1,[1]characters!$1:$1,0)-MATCH($C$1,[1]characters!$1:$1,0)+1,FALSE)</f>
        <v>PremiumSS</v>
      </c>
      <c r="G74" s="194">
        <v>1321</v>
      </c>
      <c r="H74" s="53" t="str">
        <f ca="1">VLOOKUP($G74,OFFSET([1]characters!$A$1,0,0,COUNTA([1]characters!$A:$A),MATCH(H$1,[1]characters!$1:$1,0)-MATCH($C$1,[1]characters!$1:$1,0)+1),MATCH(H$1,[1]characters!$1:$1,0)-MATCH($C$1,[1]characters!$1:$1,0)+1,FALSE)</f>
        <v>純凛の柔唱歌 鏡音レンV4X</v>
      </c>
      <c r="I74" s="193">
        <v>116</v>
      </c>
      <c r="J74" s="53" t="str">
        <f ca="1">VLOOKUP($I74,OFFSET([1]characters!$A$1,0,0,COUNTA([1]characters!$A:$A),MATCH(J$1,[1]characters!$1:$1,0)-MATCH($C$1,[1]characters!$1:$1,0)+1),MATCH(J$1,[1]characters!$1:$1,0)-MATCH($C$1,[1]characters!$1:$1,0)+1,FALSE)</f>
        <v>雷のマッドハッター</v>
      </c>
      <c r="K74" s="191">
        <v>1</v>
      </c>
      <c r="L74" s="192">
        <v>1</v>
      </c>
      <c r="M74" s="192">
        <v>10</v>
      </c>
      <c r="N74" s="2" t="s">
        <v>289</v>
      </c>
    </row>
    <row r="75" spans="1:14" ht="21" customHeight="1" x14ac:dyDescent="0.15">
      <c r="A75" s="61" t="str">
        <f t="shared" si="3"/>
        <v>1320_312</v>
      </c>
      <c r="B75" s="194">
        <v>1320</v>
      </c>
      <c r="C75" s="178">
        <f t="shared" si="4"/>
        <v>1320</v>
      </c>
      <c r="D75" s="53" t="str">
        <f ca="1">VLOOKUP($C75,OFFSET([1]characters!$A$1,0,0,COUNTA([1]characters!$A:$A),MATCH(D$1,[1]characters!$1:$1,0)-MATCH($C$1,[1]characters!$1:$1,0)+1),MATCH(D$1,[1]characters!$1:$1,0)-MATCH($C$1,[1]characters!$1:$1,0)+1,FALSE)</f>
        <v>鏡音レンV4X</v>
      </c>
      <c r="E75" s="53">
        <f ca="1">VLOOKUP($C75,OFFSET([1]characters!$A$1,0,0,COUNTA([1]characters!$A:$A),MATCH(E$1,[1]characters!$1:$1,0)-MATCH($C$1,[1]characters!$1:$1,0)+1),MATCH(E$1,[1]characters!$1:$1,0)-MATCH($C$1,[1]characters!$1:$1,0)+1,FALSE)</f>
        <v>5</v>
      </c>
      <c r="F75" s="53" t="str">
        <f ca="1">VLOOKUP($C75,OFFSET([1]characters!$A$1,0,0,COUNTA([1]characters!$A:$A),MATCH(F$1,[1]characters!$1:$1,0)-MATCH($C$1,[1]characters!$1:$1,0)+1),MATCH(F$1,[1]characters!$1:$1,0)-MATCH($C$1,[1]characters!$1:$1,0)+1,FALSE)</f>
        <v>PremiumSS</v>
      </c>
      <c r="G75" s="194">
        <v>1321</v>
      </c>
      <c r="H75" s="53" t="str">
        <f ca="1">VLOOKUP($G75,OFFSET([1]characters!$A$1,0,0,COUNTA([1]characters!$A:$A),MATCH(H$1,[1]characters!$1:$1,0)-MATCH($C$1,[1]characters!$1:$1,0)+1),MATCH(H$1,[1]characters!$1:$1,0)-MATCH($C$1,[1]characters!$1:$1,0)+1,FALSE)</f>
        <v>純凛の柔唱歌 鏡音レンV4X</v>
      </c>
      <c r="I75" s="193">
        <v>312</v>
      </c>
      <c r="J75" s="53" t="str">
        <f ca="1">VLOOKUP($I75,OFFSET([1]characters!$A$1,0,0,COUNTA([1]characters!$A:$A),MATCH(J$1,[1]characters!$1:$1,0)-MATCH($C$1,[1]characters!$1:$1,0)+1),MATCH(J$1,[1]characters!$1:$1,0)-MATCH($C$1,[1]characters!$1:$1,0)+1,FALSE)</f>
        <v>アノマロカリス</v>
      </c>
      <c r="K75" s="191">
        <v>1</v>
      </c>
      <c r="L75" s="192">
        <v>1</v>
      </c>
      <c r="M75" s="192">
        <v>100</v>
      </c>
      <c r="N75" s="2" t="s">
        <v>289</v>
      </c>
    </row>
    <row r="76" spans="1:14" ht="21" customHeight="1" x14ac:dyDescent="0.15">
      <c r="A76" s="61" t="str">
        <f t="shared" si="3"/>
        <v>1320_456</v>
      </c>
      <c r="B76" s="194">
        <v>1320</v>
      </c>
      <c r="C76" s="178">
        <f t="shared" si="4"/>
        <v>1320</v>
      </c>
      <c r="D76" s="53" t="str">
        <f ca="1">VLOOKUP($C76,OFFSET([1]characters!$A$1,0,0,COUNTA([1]characters!$A:$A),MATCH(D$1,[1]characters!$1:$1,0)-MATCH($C$1,[1]characters!$1:$1,0)+1),MATCH(D$1,[1]characters!$1:$1,0)-MATCH($C$1,[1]characters!$1:$1,0)+1,FALSE)</f>
        <v>鏡音レンV4X</v>
      </c>
      <c r="E76" s="53">
        <f ca="1">VLOOKUP($C76,OFFSET([1]characters!$A$1,0,0,COUNTA([1]characters!$A:$A),MATCH(E$1,[1]characters!$1:$1,0)-MATCH($C$1,[1]characters!$1:$1,0)+1),MATCH(E$1,[1]characters!$1:$1,0)-MATCH($C$1,[1]characters!$1:$1,0)+1,FALSE)</f>
        <v>5</v>
      </c>
      <c r="F76" s="53" t="str">
        <f ca="1">VLOOKUP($C76,OFFSET([1]characters!$A$1,0,0,COUNTA([1]characters!$A:$A),MATCH(F$1,[1]characters!$1:$1,0)-MATCH($C$1,[1]characters!$1:$1,0)+1),MATCH(F$1,[1]characters!$1:$1,0)-MATCH($C$1,[1]characters!$1:$1,0)+1,FALSE)</f>
        <v>PremiumSS</v>
      </c>
      <c r="G76" s="194">
        <v>1321</v>
      </c>
      <c r="H76" s="53" t="str">
        <f ca="1">VLOOKUP($G76,OFFSET([1]characters!$A$1,0,0,COUNTA([1]characters!$A:$A),MATCH(H$1,[1]characters!$1:$1,0)-MATCH($C$1,[1]characters!$1:$1,0)+1),MATCH(H$1,[1]characters!$1:$1,0)-MATCH($C$1,[1]characters!$1:$1,0)+1,FALSE)</f>
        <v>純凛の柔唱歌 鏡音レンV4X</v>
      </c>
      <c r="I76" s="193">
        <v>456</v>
      </c>
      <c r="J76" s="53" t="str">
        <f ca="1">VLOOKUP($I76,OFFSET([1]characters!$A$1,0,0,COUNTA([1]characters!$A:$A),MATCH(J$1,[1]characters!$1:$1,0)-MATCH($C$1,[1]characters!$1:$1,0)+1),MATCH(J$1,[1]characters!$1:$1,0)-MATCH($C$1,[1]characters!$1:$1,0)+1,FALSE)</f>
        <v>射絶 ユヅル</v>
      </c>
      <c r="K76" s="191">
        <v>1</v>
      </c>
      <c r="L76" s="192">
        <v>1</v>
      </c>
      <c r="M76" s="192">
        <v>100</v>
      </c>
      <c r="N76" s="2" t="s">
        <v>289</v>
      </c>
    </row>
    <row r="77" spans="1:14" ht="21" customHeight="1" x14ac:dyDescent="0.15">
      <c r="A77" s="61" t="str">
        <f t="shared" si="3"/>
        <v>1320_837</v>
      </c>
      <c r="B77" s="194">
        <v>1320</v>
      </c>
      <c r="C77" s="178">
        <f t="shared" si="4"/>
        <v>1320</v>
      </c>
      <c r="D77" s="53" t="str">
        <f ca="1">VLOOKUP($C77,OFFSET([1]characters!$A$1,0,0,COUNTA([1]characters!$A:$A),MATCH(D$1,[1]characters!$1:$1,0)-MATCH($C$1,[1]characters!$1:$1,0)+1),MATCH(D$1,[1]characters!$1:$1,0)-MATCH($C$1,[1]characters!$1:$1,0)+1,FALSE)</f>
        <v>鏡音レンV4X</v>
      </c>
      <c r="E77" s="53">
        <f ca="1">VLOOKUP($C77,OFFSET([1]characters!$A$1,0,0,COUNTA([1]characters!$A:$A),MATCH(E$1,[1]characters!$1:$1,0)-MATCH($C$1,[1]characters!$1:$1,0)+1),MATCH(E$1,[1]characters!$1:$1,0)-MATCH($C$1,[1]characters!$1:$1,0)+1,FALSE)</f>
        <v>5</v>
      </c>
      <c r="F77" s="53" t="str">
        <f ca="1">VLOOKUP($C77,OFFSET([1]characters!$A$1,0,0,COUNTA([1]characters!$A:$A),MATCH(F$1,[1]characters!$1:$1,0)-MATCH($C$1,[1]characters!$1:$1,0)+1),MATCH(F$1,[1]characters!$1:$1,0)-MATCH($C$1,[1]characters!$1:$1,0)+1,FALSE)</f>
        <v>PremiumSS</v>
      </c>
      <c r="G77" s="194">
        <v>1321</v>
      </c>
      <c r="H77" s="53" t="str">
        <f ca="1">VLOOKUP($G77,OFFSET([1]characters!$A$1,0,0,COUNTA([1]characters!$A:$A),MATCH(H$1,[1]characters!$1:$1,0)-MATCH($C$1,[1]characters!$1:$1,0)+1),MATCH(H$1,[1]characters!$1:$1,0)-MATCH($C$1,[1]characters!$1:$1,0)+1,FALSE)</f>
        <v>純凛の柔唱歌 鏡音レンV4X</v>
      </c>
      <c r="I77" s="193">
        <v>837</v>
      </c>
      <c r="J77" s="53" t="str">
        <f ca="1">VLOOKUP($I77,OFFSET([1]characters!$A$1,0,0,COUNTA([1]characters!$A:$A),MATCH(J$1,[1]characters!$1:$1,0)-MATCH($C$1,[1]characters!$1:$1,0)+1),MATCH(J$1,[1]characters!$1:$1,0)-MATCH($C$1,[1]characters!$1:$1,0)+1,FALSE)</f>
        <v>リトルハンプティ</v>
      </c>
      <c r="K77" s="191">
        <v>1</v>
      </c>
      <c r="L77" s="192">
        <v>1</v>
      </c>
      <c r="M77" s="192">
        <v>1000</v>
      </c>
      <c r="N77" s="2" t="s">
        <v>289</v>
      </c>
    </row>
    <row r="78" spans="1:14" ht="21" customHeight="1" x14ac:dyDescent="0.15">
      <c r="A78" s="61" t="str">
        <f t="shared" si="3"/>
        <v>1322_103</v>
      </c>
      <c r="B78" s="190">
        <v>1322</v>
      </c>
      <c r="C78" s="178">
        <f t="shared" si="4"/>
        <v>1322</v>
      </c>
      <c r="D78" s="53" t="str">
        <f ca="1">VLOOKUP($C78,OFFSET([1]characters!$A$1,0,0,COUNTA([1]characters!$A:$A),MATCH(D$1,[1]characters!$1:$1,0)-MATCH($C$1,[1]characters!$1:$1,0)+1),MATCH(D$1,[1]characters!$1:$1,0)-MATCH($C$1,[1]characters!$1:$1,0)+1,FALSE)</f>
        <v>巡音ルカV4X</v>
      </c>
      <c r="E78" s="53">
        <f ca="1">VLOOKUP($C78,OFFSET([1]characters!$A$1,0,0,COUNTA([1]characters!$A:$A),MATCH(E$1,[1]characters!$1:$1,0)-MATCH($C$1,[1]characters!$1:$1,0)+1),MATCH(E$1,[1]characters!$1:$1,0)-MATCH($C$1,[1]characters!$1:$1,0)+1,FALSE)</f>
        <v>5</v>
      </c>
      <c r="F78" s="53" t="str">
        <f ca="1">VLOOKUP($C78,OFFSET([1]characters!$A$1,0,0,COUNTA([1]characters!$A:$A),MATCH(F$1,[1]characters!$1:$1,0)-MATCH($C$1,[1]characters!$1:$1,0)+1),MATCH(F$1,[1]characters!$1:$1,0)-MATCH($C$1,[1]characters!$1:$1,0)+1,FALSE)</f>
        <v>PremiumSS</v>
      </c>
      <c r="G78" s="194">
        <v>1323</v>
      </c>
      <c r="H78" s="53" t="str">
        <f ca="1">VLOOKUP($G78,OFFSET([1]characters!$A$1,0,0,COUNTA([1]characters!$A:$A),MATCH(H$1,[1]characters!$1:$1,0)-MATCH($C$1,[1]characters!$1:$1,0)+1),MATCH(H$1,[1]characters!$1:$1,0)-MATCH($C$1,[1]characters!$1:$1,0)+1,FALSE)</f>
        <v>吐鳴する響惹 巡音ルカV4X</v>
      </c>
      <c r="I78" s="193">
        <v>103</v>
      </c>
      <c r="J78" s="53" t="str">
        <f ca="1">VLOOKUP($I78,OFFSET([1]characters!$A$1,0,0,COUNTA([1]characters!$A:$A),MATCH(J$1,[1]characters!$1:$1,0)-MATCH($C$1,[1]characters!$1:$1,0)+1),MATCH(J$1,[1]characters!$1:$1,0)-MATCH($C$1,[1]characters!$1:$1,0)+1,FALSE)</f>
        <v>レッドキャタップ</v>
      </c>
      <c r="K78" s="191">
        <v>1</v>
      </c>
      <c r="L78" s="192">
        <v>1</v>
      </c>
      <c r="M78" s="192">
        <v>10</v>
      </c>
      <c r="N78" s="2" t="s">
        <v>289</v>
      </c>
    </row>
    <row r="79" spans="1:14" ht="21" customHeight="1" x14ac:dyDescent="0.15">
      <c r="A79" s="61" t="str">
        <f t="shared" si="3"/>
        <v>1322_104</v>
      </c>
      <c r="B79" s="190">
        <v>1322</v>
      </c>
      <c r="C79" s="178">
        <f t="shared" si="4"/>
        <v>1322</v>
      </c>
      <c r="D79" s="53" t="str">
        <f ca="1">VLOOKUP($C79,OFFSET([1]characters!$A$1,0,0,COUNTA([1]characters!$A:$A),MATCH(D$1,[1]characters!$1:$1,0)-MATCH($C$1,[1]characters!$1:$1,0)+1),MATCH(D$1,[1]characters!$1:$1,0)-MATCH($C$1,[1]characters!$1:$1,0)+1,FALSE)</f>
        <v>巡音ルカV4X</v>
      </c>
      <c r="E79" s="53">
        <f ca="1">VLOOKUP($C79,OFFSET([1]characters!$A$1,0,0,COUNTA([1]characters!$A:$A),MATCH(E$1,[1]characters!$1:$1,0)-MATCH($C$1,[1]characters!$1:$1,0)+1),MATCH(E$1,[1]characters!$1:$1,0)-MATCH($C$1,[1]characters!$1:$1,0)+1,FALSE)</f>
        <v>5</v>
      </c>
      <c r="F79" s="53" t="str">
        <f ca="1">VLOOKUP($C79,OFFSET([1]characters!$A$1,0,0,COUNTA([1]characters!$A:$A),MATCH(F$1,[1]characters!$1:$1,0)-MATCH($C$1,[1]characters!$1:$1,0)+1),MATCH(F$1,[1]characters!$1:$1,0)-MATCH($C$1,[1]characters!$1:$1,0)+1,FALSE)</f>
        <v>PremiumSS</v>
      </c>
      <c r="G79" s="194">
        <v>1323</v>
      </c>
      <c r="H79" s="53" t="str">
        <f ca="1">VLOOKUP($G79,OFFSET([1]characters!$A$1,0,0,COUNTA([1]characters!$A:$A),MATCH(H$1,[1]characters!$1:$1,0)-MATCH($C$1,[1]characters!$1:$1,0)+1),MATCH(H$1,[1]characters!$1:$1,0)-MATCH($C$1,[1]characters!$1:$1,0)+1,FALSE)</f>
        <v>吐鳴する響惹 巡音ルカV4X</v>
      </c>
      <c r="I79" s="193">
        <v>104</v>
      </c>
      <c r="J79" s="53" t="str">
        <f ca="1">VLOOKUP($I79,OFFSET([1]characters!$A$1,0,0,COUNTA([1]characters!$A:$A),MATCH(J$1,[1]characters!$1:$1,0)-MATCH($C$1,[1]characters!$1:$1,0)+1),MATCH(J$1,[1]characters!$1:$1,0)-MATCH($C$1,[1]characters!$1:$1,0)+1,FALSE)</f>
        <v>炎のマッドハッター</v>
      </c>
      <c r="K79" s="191">
        <v>1</v>
      </c>
      <c r="L79" s="192">
        <v>1</v>
      </c>
      <c r="M79" s="192">
        <v>10</v>
      </c>
      <c r="N79" s="2" t="s">
        <v>289</v>
      </c>
    </row>
    <row r="80" spans="1:14" ht="21" customHeight="1" x14ac:dyDescent="0.15">
      <c r="A80" s="61" t="str">
        <f t="shared" si="3"/>
        <v>1322_418</v>
      </c>
      <c r="B80" s="190">
        <v>1322</v>
      </c>
      <c r="C80" s="178">
        <f t="shared" si="4"/>
        <v>1322</v>
      </c>
      <c r="D80" s="53" t="str">
        <f ca="1">VLOOKUP($C80,OFFSET([1]characters!$A$1,0,0,COUNTA([1]characters!$A:$A),MATCH(D$1,[1]characters!$1:$1,0)-MATCH($C$1,[1]characters!$1:$1,0)+1),MATCH(D$1,[1]characters!$1:$1,0)-MATCH($C$1,[1]characters!$1:$1,0)+1,FALSE)</f>
        <v>巡音ルカV4X</v>
      </c>
      <c r="E80" s="53">
        <f ca="1">VLOOKUP($C80,OFFSET([1]characters!$A$1,0,0,COUNTA([1]characters!$A:$A),MATCH(E$1,[1]characters!$1:$1,0)-MATCH($C$1,[1]characters!$1:$1,0)+1),MATCH(E$1,[1]characters!$1:$1,0)-MATCH($C$1,[1]characters!$1:$1,0)+1,FALSE)</f>
        <v>5</v>
      </c>
      <c r="F80" s="53" t="str">
        <f ca="1">VLOOKUP($C80,OFFSET([1]characters!$A$1,0,0,COUNTA([1]characters!$A:$A),MATCH(F$1,[1]characters!$1:$1,0)-MATCH($C$1,[1]characters!$1:$1,0)+1),MATCH(F$1,[1]characters!$1:$1,0)-MATCH($C$1,[1]characters!$1:$1,0)+1,FALSE)</f>
        <v>PremiumSS</v>
      </c>
      <c r="G80" s="194">
        <v>1323</v>
      </c>
      <c r="H80" s="53" t="str">
        <f ca="1">VLOOKUP($G80,OFFSET([1]characters!$A$1,0,0,COUNTA([1]characters!$A:$A),MATCH(H$1,[1]characters!$1:$1,0)-MATCH($C$1,[1]characters!$1:$1,0)+1),MATCH(H$1,[1]characters!$1:$1,0)-MATCH($C$1,[1]characters!$1:$1,0)+1,FALSE)</f>
        <v>吐鳴する響惹 巡音ルカV4X</v>
      </c>
      <c r="I80" s="193">
        <v>418</v>
      </c>
      <c r="J80" s="53" t="str">
        <f ca="1">VLOOKUP($I80,OFFSET([1]characters!$A$1,0,0,COUNTA([1]characters!$A:$A),MATCH(J$1,[1]characters!$1:$1,0)-MATCH($C$1,[1]characters!$1:$1,0)+1),MATCH(J$1,[1]characters!$1:$1,0)-MATCH($C$1,[1]characters!$1:$1,0)+1,FALSE)</f>
        <v>ウラシマ</v>
      </c>
      <c r="K80" s="191">
        <v>1</v>
      </c>
      <c r="L80" s="192">
        <v>1</v>
      </c>
      <c r="M80" s="192">
        <v>100</v>
      </c>
      <c r="N80" s="2" t="s">
        <v>289</v>
      </c>
    </row>
    <row r="81" spans="1:14" ht="21" customHeight="1" x14ac:dyDescent="0.15">
      <c r="A81" s="61" t="str">
        <f t="shared" si="3"/>
        <v>1322_452</v>
      </c>
      <c r="B81" s="190">
        <v>1322</v>
      </c>
      <c r="C81" s="178">
        <f t="shared" si="4"/>
        <v>1322</v>
      </c>
      <c r="D81" s="53" t="str">
        <f ca="1">VLOOKUP($C81,OFFSET([1]characters!$A$1,0,0,COUNTA([1]characters!$A:$A),MATCH(D$1,[1]characters!$1:$1,0)-MATCH($C$1,[1]characters!$1:$1,0)+1),MATCH(D$1,[1]characters!$1:$1,0)-MATCH($C$1,[1]characters!$1:$1,0)+1,FALSE)</f>
        <v>巡音ルカV4X</v>
      </c>
      <c r="E81" s="53">
        <f ca="1">VLOOKUP($C81,OFFSET([1]characters!$A$1,0,0,COUNTA([1]characters!$A:$A),MATCH(E$1,[1]characters!$1:$1,0)-MATCH($C$1,[1]characters!$1:$1,0)+1),MATCH(E$1,[1]characters!$1:$1,0)-MATCH($C$1,[1]characters!$1:$1,0)+1,FALSE)</f>
        <v>5</v>
      </c>
      <c r="F81" s="53" t="str">
        <f ca="1">VLOOKUP($C81,OFFSET([1]characters!$A$1,0,0,COUNTA([1]characters!$A:$A),MATCH(F$1,[1]characters!$1:$1,0)-MATCH($C$1,[1]characters!$1:$1,0)+1),MATCH(F$1,[1]characters!$1:$1,0)-MATCH($C$1,[1]characters!$1:$1,0)+1,FALSE)</f>
        <v>PremiumSS</v>
      </c>
      <c r="G81" s="194">
        <v>1323</v>
      </c>
      <c r="H81" s="53" t="str">
        <f ca="1">VLOOKUP($G81,OFFSET([1]characters!$A$1,0,0,COUNTA([1]characters!$A:$A),MATCH(H$1,[1]characters!$1:$1,0)-MATCH($C$1,[1]characters!$1:$1,0)+1),MATCH(H$1,[1]characters!$1:$1,0)-MATCH($C$1,[1]characters!$1:$1,0)+1,FALSE)</f>
        <v>吐鳴する響惹 巡音ルカV4X</v>
      </c>
      <c r="I81" s="193">
        <v>452</v>
      </c>
      <c r="J81" s="53" t="str">
        <f ca="1">VLOOKUP($I81,OFFSET([1]characters!$A$1,0,0,COUNTA([1]characters!$A:$A),MATCH(J$1,[1]characters!$1:$1,0)-MATCH($C$1,[1]characters!$1:$1,0)+1),MATCH(J$1,[1]characters!$1:$1,0)-MATCH($C$1,[1]characters!$1:$1,0)+1,FALSE)</f>
        <v>猛狐 エゾ</v>
      </c>
      <c r="K81" s="191">
        <v>1</v>
      </c>
      <c r="L81" s="192">
        <v>1</v>
      </c>
      <c r="M81" s="192">
        <v>100</v>
      </c>
      <c r="N81" s="2" t="s">
        <v>289</v>
      </c>
    </row>
    <row r="82" spans="1:14" ht="21" customHeight="1" x14ac:dyDescent="0.15">
      <c r="A82" s="61" t="str">
        <f t="shared" si="3"/>
        <v>1322_837</v>
      </c>
      <c r="B82" s="190">
        <v>1322</v>
      </c>
      <c r="C82" s="178">
        <f t="shared" si="4"/>
        <v>1322</v>
      </c>
      <c r="D82" s="53" t="str">
        <f ca="1">VLOOKUP($C82,OFFSET([1]characters!$A$1,0,0,COUNTA([1]characters!$A:$A),MATCH(D$1,[1]characters!$1:$1,0)-MATCH($C$1,[1]characters!$1:$1,0)+1),MATCH(D$1,[1]characters!$1:$1,0)-MATCH($C$1,[1]characters!$1:$1,0)+1,FALSE)</f>
        <v>巡音ルカV4X</v>
      </c>
      <c r="E82" s="53">
        <f ca="1">VLOOKUP($C82,OFFSET([1]characters!$A$1,0,0,COUNTA([1]characters!$A:$A),MATCH(E$1,[1]characters!$1:$1,0)-MATCH($C$1,[1]characters!$1:$1,0)+1),MATCH(E$1,[1]characters!$1:$1,0)-MATCH($C$1,[1]characters!$1:$1,0)+1,FALSE)</f>
        <v>5</v>
      </c>
      <c r="F82" s="53" t="str">
        <f ca="1">VLOOKUP($C82,OFFSET([1]characters!$A$1,0,0,COUNTA([1]characters!$A:$A),MATCH(F$1,[1]characters!$1:$1,0)-MATCH($C$1,[1]characters!$1:$1,0)+1),MATCH(F$1,[1]characters!$1:$1,0)-MATCH($C$1,[1]characters!$1:$1,0)+1,FALSE)</f>
        <v>PremiumSS</v>
      </c>
      <c r="G82" s="194">
        <v>1323</v>
      </c>
      <c r="H82" s="53" t="str">
        <f ca="1">VLOOKUP($G82,OFFSET([1]characters!$A$1,0,0,COUNTA([1]characters!$A:$A),MATCH(H$1,[1]characters!$1:$1,0)-MATCH($C$1,[1]characters!$1:$1,0)+1),MATCH(H$1,[1]characters!$1:$1,0)-MATCH($C$1,[1]characters!$1:$1,0)+1,FALSE)</f>
        <v>吐鳴する響惹 巡音ルカV4X</v>
      </c>
      <c r="I82" s="193">
        <v>837</v>
      </c>
      <c r="J82" s="53" t="str">
        <f ca="1">VLOOKUP($I82,OFFSET([1]characters!$A$1,0,0,COUNTA([1]characters!$A:$A),MATCH(J$1,[1]characters!$1:$1,0)-MATCH($C$1,[1]characters!$1:$1,0)+1),MATCH(J$1,[1]characters!$1:$1,0)-MATCH($C$1,[1]characters!$1:$1,0)+1,FALSE)</f>
        <v>リトルハンプティ</v>
      </c>
      <c r="K82" s="191">
        <v>1</v>
      </c>
      <c r="L82" s="192">
        <v>1</v>
      </c>
      <c r="M82" s="192">
        <v>1000</v>
      </c>
      <c r="N82" s="2" t="s">
        <v>289</v>
      </c>
    </row>
  </sheetData>
  <sheetProtection selectLockedCells="1" selectUnlockedCells="1"/>
  <autoFilter ref="B1:K1"/>
  <sortState ref="A2:N84">
    <sortCondition ref="B2:B84"/>
    <sortCondition ref="G2:G84"/>
  </sortState>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F33" sqref="F33"/>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301</v>
      </c>
      <c r="B1" s="115" t="s">
        <v>302</v>
      </c>
      <c r="C1" s="116" t="s">
        <v>303</v>
      </c>
      <c r="D1" s="117" t="s">
        <v>304</v>
      </c>
      <c r="E1" s="117" t="s">
        <v>305</v>
      </c>
      <c r="F1" s="117" t="s">
        <v>306</v>
      </c>
      <c r="G1" s="117" t="s">
        <v>307</v>
      </c>
      <c r="H1" s="117" t="s">
        <v>308</v>
      </c>
      <c r="I1" s="173" t="s">
        <v>309</v>
      </c>
      <c r="J1" s="168" t="s">
        <v>310</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1"/>
  <sheetViews>
    <sheetView topLeftCell="A9" workbookViewId="0">
      <selection activeCell="A9" sqref="A9"/>
    </sheetView>
  </sheetViews>
  <sheetFormatPr baseColWidth="12" defaultRowHeight="15" x14ac:dyDescent="0.15"/>
  <cols>
    <col min="2" max="2" width="15.6640625" customWidth="1"/>
    <col min="5" max="5" width="22.6640625" customWidth="1"/>
    <col min="6" max="6" width="58.5" customWidth="1"/>
  </cols>
  <sheetData>
    <row r="1" spans="1:8" s="21" customFormat="1" ht="21" customHeight="1" x14ac:dyDescent="0.15">
      <c r="A1" s="167" t="s">
        <v>138</v>
      </c>
      <c r="B1" s="170" t="s">
        <v>266</v>
      </c>
      <c r="C1" s="115" t="s">
        <v>267</v>
      </c>
      <c r="D1" s="115" t="s">
        <v>268</v>
      </c>
      <c r="E1" s="171" t="s">
        <v>269</v>
      </c>
      <c r="F1" s="171" t="s">
        <v>270</v>
      </c>
      <c r="G1" s="118" t="s">
        <v>271</v>
      </c>
      <c r="H1" s="167" t="s">
        <v>272</v>
      </c>
    </row>
    <row r="2" spans="1:8" s="4" customFormat="1" ht="21" customHeight="1" x14ac:dyDescent="0.15">
      <c r="A2" s="169">
        <v>1309</v>
      </c>
      <c r="B2" s="172" t="str">
        <f>VLOOKUP(A2,[1]characters!$A:$C,3)</f>
        <v>虹彩の美唱姫 初音ミク・アペンド</v>
      </c>
      <c r="C2" s="195">
        <v>1</v>
      </c>
      <c r="D2" s="195">
        <v>316</v>
      </c>
      <c r="E2" s="173" t="str">
        <f>IF(ISERROR(VLOOKUP(D2,[3]abilities!A:D,3,FALSE))=FALSE,VLOOKUP(D2,[3]abilities!A:D,3),IF(ISERROR(VLOOKUP(D2,abilities!A:D,3,FALSE))=FALSE,VLOOKUP(D2,abilities!A:D,3),"なし"))</f>
        <v>対Unknown ダメージUP</v>
      </c>
      <c r="F2" s="173" t="str">
        <f>IF(ISERROR(VLOOKUP(D2,[3]abilities!A:D,4,FALSE))=FALSE,VLOOKUP(D2,[3]abilities!A:D,4),IF(ISERROR(VLOOKUP(D2,abilities!A:D,4,FALSE))=FALSE,VLOOKUP(D2,abilities!A:D,4),"なし"))</f>
        <v>自身の攻撃対象が種族Unknownの場合全ての攻撃の威力をUP</v>
      </c>
      <c r="G2" s="174" t="s">
        <v>273</v>
      </c>
      <c r="H2" s="196" t="s">
        <v>320</v>
      </c>
    </row>
    <row r="3" spans="1:8" s="4" customFormat="1" ht="21" customHeight="1" x14ac:dyDescent="0.15">
      <c r="A3" s="169">
        <v>1309</v>
      </c>
      <c r="B3" s="172" t="str">
        <f>VLOOKUP(A3,[1]characters!$A:$C,3)</f>
        <v>虹彩の美唱姫 初音ミク・アペンド</v>
      </c>
      <c r="C3" s="195">
        <v>2</v>
      </c>
      <c r="D3" s="195">
        <v>200</v>
      </c>
      <c r="E3" s="173" t="str">
        <f>IF(ISERROR(VLOOKUP(D3,[3]abilities!A:D,3,FALSE))=FALSE,VLOOKUP(D3,[3]abilities!A:D,3),IF(ISERROR(VLOOKUP(D3,abilities!A:D,3,FALSE))=FALSE,VLOOKUP(D3,abilities!A:D,3),"なし"))</f>
        <v>ウィルス無効</v>
      </c>
      <c r="F3" s="173" t="str">
        <f>IF(ISERROR(VLOOKUP(D3,[3]abilities!A:D,4,FALSE))=FALSE,VLOOKUP(D3,[3]abilities!A:D,4),IF(ISERROR(VLOOKUP(D3,abilities!A:D,4,FALSE))=FALSE,VLOOKUP(D3,abilities!A:D,4),"なし"))</f>
        <v>自身にかかるウィルスを無効化する</v>
      </c>
      <c r="G3" s="174" t="s">
        <v>273</v>
      </c>
      <c r="H3" s="196" t="s">
        <v>320</v>
      </c>
    </row>
    <row r="4" spans="1:8" s="4" customFormat="1" ht="21" customHeight="1" x14ac:dyDescent="0.15">
      <c r="A4" s="169">
        <v>1317</v>
      </c>
      <c r="B4" s="172" t="str">
        <f>VLOOKUP(A4,[1]characters!$A:$C,3)</f>
        <v>進歌する声域 初音ミクV4X</v>
      </c>
      <c r="C4" s="195">
        <v>1</v>
      </c>
      <c r="D4" s="195">
        <v>100</v>
      </c>
      <c r="E4" s="173" t="str">
        <f>IF(ISERROR(VLOOKUP(D4,[3]abilities!A:D,3,FALSE))=FALSE,VLOOKUP(D4,[3]abilities!A:D,3),IF(ISERROR(VLOOKUP(D4,abilities!A:D,3,FALSE))=FALSE,VLOOKUP(D4,abilities!A:D,3),"なし"))</f>
        <v>プロテクトブレイク</v>
      </c>
      <c r="F4" s="173" t="str">
        <f>IF(ISERROR(VLOOKUP(D4,[3]abilities!A:D,4,FALSE))=FALSE,VLOOKUP(D4,[3]abilities!A:D,4),IF(ISERROR(VLOOKUP(D4,abilities!A:D,4,FALSE))=FALSE,VLOOKUP(D4,abilities!A:D,4),"なし"))</f>
        <v>自身が先頭の時、プロテクトを無視してパネル破壊できる</v>
      </c>
      <c r="G4" s="174" t="s">
        <v>273</v>
      </c>
      <c r="H4" s="196" t="s">
        <v>320</v>
      </c>
    </row>
    <row r="5" spans="1:8" s="4" customFormat="1" ht="21" customHeight="1" x14ac:dyDescent="0.15">
      <c r="A5" s="169">
        <v>1317</v>
      </c>
      <c r="B5" s="172" t="str">
        <f>VLOOKUP(A5,[1]characters!$A:$C,3)</f>
        <v>進歌する声域 初音ミクV4X</v>
      </c>
      <c r="C5" s="195">
        <v>2</v>
      </c>
      <c r="D5" s="195">
        <v>210</v>
      </c>
      <c r="E5" s="173" t="str">
        <f>IF(ISERROR(VLOOKUP(D5,[3]abilities!A:D,3,FALSE))=FALSE,VLOOKUP(D5,[3]abilities!A:D,3),IF(ISERROR(VLOOKUP(D5,abilities!A:D,3,FALSE))=FALSE,VLOOKUP(D5,abilities!A:D,3),"なし"))</f>
        <v>緑・赤・青・黄パネル無効化耐性</v>
      </c>
      <c r="F5" s="173" t="str">
        <f>IF(ISERROR(VLOOKUP(D5,[3]abilities!A:D,4,FALSE))=FALSE,VLOOKUP(D5,[3]abilities!A:D,4),IF(ISERROR(VLOOKUP(D5,abilities!A:D,4,FALSE))=FALSE,VLOOKUP(D5,abilities!A:D,4),"なし"))</f>
        <v>自身が先頭の時、緑・赤・青・黄パネル無効化の影響を受けない</v>
      </c>
      <c r="G5" s="174" t="s">
        <v>273</v>
      </c>
      <c r="H5" s="196" t="s">
        <v>320</v>
      </c>
    </row>
    <row r="6" spans="1:8" s="4" customFormat="1" ht="21" customHeight="1" x14ac:dyDescent="0.15">
      <c r="A6" s="169">
        <v>1323</v>
      </c>
      <c r="B6" s="172" t="str">
        <f>VLOOKUP(A6,[1]characters!$A:$C,3)</f>
        <v>吐鳴する響惹 巡音ルカV4X</v>
      </c>
      <c r="C6" s="195">
        <v>1</v>
      </c>
      <c r="D6" s="195">
        <v>207</v>
      </c>
      <c r="E6" s="173" t="str">
        <f>IF(ISERROR(VLOOKUP(D6,[3]abilities!A:D,3,FALSE))=FALSE,VLOOKUP(D6,[3]abilities!A:D,3),IF(ISERROR(VLOOKUP(D6,abilities!A:D,3,FALSE))=FALSE,VLOOKUP(D6,abilities!A:D,3),"なし"))</f>
        <v>赤・青パネル無効化耐性</v>
      </c>
      <c r="F6" s="173" t="str">
        <f>IF(ISERROR(VLOOKUP(D6,[3]abilities!A:D,4,FALSE))=FALSE,VLOOKUP(D6,[3]abilities!A:D,4),IF(ISERROR(VLOOKUP(D6,abilities!A:D,4,FALSE))=FALSE,VLOOKUP(D6,abilities!A:D,4),"なし"))</f>
        <v>自身が先頭の時、赤・青パネル無効化の影響を受けない</v>
      </c>
      <c r="G6" s="174" t="s">
        <v>273</v>
      </c>
      <c r="H6" s="196" t="s">
        <v>320</v>
      </c>
    </row>
    <row r="7" spans="1:8" s="4" customFormat="1" ht="21" customHeight="1" x14ac:dyDescent="0.15">
      <c r="A7" s="169">
        <v>1323</v>
      </c>
      <c r="B7" s="172" t="str">
        <f>VLOOKUP(A7,[1]characters!$A:$C,3)</f>
        <v>吐鳴する響惹 巡音ルカV4X</v>
      </c>
      <c r="C7" s="195">
        <v>2</v>
      </c>
      <c r="D7" s="195">
        <v>103</v>
      </c>
      <c r="E7" s="173" t="str">
        <f>IF(ISERROR(VLOOKUP(D7,[3]abilities!A:D,3,FALSE))=FALSE,VLOOKUP(D7,[3]abilities!A:D,3),IF(ISERROR(VLOOKUP(D7,abilities!A:D,3,FALSE))=FALSE,VLOOKUP(D7,abilities!A:D,3),"なし"))</f>
        <v>お邪魔ブレイク</v>
      </c>
      <c r="F7" s="173" t="str">
        <f>IF(ISERROR(VLOOKUP(D7,[3]abilities!A:D,4,FALSE))=FALSE,VLOOKUP(D7,[3]abilities!A:D,4),IF(ISERROR(VLOOKUP(D7,abilities!A:D,4,FALSE))=FALSE,VLOOKUP(D7,abilities!A:D,4),"なし"))</f>
        <v>自身が先頭の時、お邪魔パネルを破壊できる</v>
      </c>
      <c r="G7" s="174" t="s">
        <v>273</v>
      </c>
      <c r="H7" s="196" t="s">
        <v>320</v>
      </c>
    </row>
    <row r="8" spans="1:8" s="4" customFormat="1" ht="21" customHeight="1" x14ac:dyDescent="0.15">
      <c r="A8" s="169">
        <v>1319</v>
      </c>
      <c r="B8" s="172" t="str">
        <f>VLOOKUP(A8,[1]characters!$A:$C,3)</f>
        <v>甘恋の激唱歌 鏡音リンV4X</v>
      </c>
      <c r="C8" s="195">
        <v>1</v>
      </c>
      <c r="D8" s="195">
        <v>209</v>
      </c>
      <c r="E8" s="173" t="str">
        <f>IF(ISERROR(VLOOKUP(D8,[3]abilities!A:D,3,FALSE))=FALSE,VLOOKUP(D8,[3]abilities!A:D,3),IF(ISERROR(VLOOKUP(D8,abilities!A:D,3,FALSE))=FALSE,VLOOKUP(D8,abilities!A:D,3),"なし"))</f>
        <v>黄・ハートパネル無効化耐性</v>
      </c>
      <c r="F8" s="173" t="str">
        <f>IF(ISERROR(VLOOKUP(D8,[3]abilities!A:D,4,FALSE))=FALSE,VLOOKUP(D8,[3]abilities!A:D,4),IF(ISERROR(VLOOKUP(D8,abilities!A:D,4,FALSE))=FALSE,VLOOKUP(D8,abilities!A:D,4),"なし"))</f>
        <v>自身が先頭の時、黄・ハートパネル無効化の影響を受けない</v>
      </c>
      <c r="G8" s="174" t="s">
        <v>273</v>
      </c>
      <c r="H8" s="196" t="s">
        <v>320</v>
      </c>
    </row>
    <row r="9" spans="1:8" s="4" customFormat="1" ht="21" customHeight="1" x14ac:dyDescent="0.15">
      <c r="A9" s="169">
        <v>1319</v>
      </c>
      <c r="B9" s="172" t="str">
        <f>VLOOKUP(A9,[1]characters!$A:$C,3)</f>
        <v>甘恋の激唱歌 鏡音リンV4X</v>
      </c>
      <c r="C9" s="195">
        <v>2</v>
      </c>
      <c r="D9" s="195">
        <v>109</v>
      </c>
      <c r="E9" s="173" t="str">
        <f>IF(ISERROR(VLOOKUP(D9,[3]abilities!A:D,3,FALSE))=FALSE,VLOOKUP(D9,[3]abilities!A:D,3),IF(ISERROR(VLOOKUP(D9,abilities!A:D,3,FALSE))=FALSE,VLOOKUP(D9,abilities!A:D,3),"なし"))</f>
        <v>ダメージパネルブレイク</v>
      </c>
      <c r="F9" s="173" t="str">
        <f>IF(ISERROR(VLOOKUP(D9,[3]abilities!A:D,4,FALSE))=FALSE,VLOOKUP(D9,[3]abilities!A:D,4),IF(ISERROR(VLOOKUP(D9,abilities!A:D,4,FALSE))=FALSE,VLOOKUP(D9,abilities!A:D,4),"なし"))</f>
        <v>自身が先頭の時、ダメージを受けずにダメージパネルを破壊できる</v>
      </c>
      <c r="G9" s="174" t="s">
        <v>273</v>
      </c>
      <c r="H9" s="196" t="s">
        <v>320</v>
      </c>
    </row>
    <row r="10" spans="1:8" s="4" customFormat="1" ht="21" customHeight="1" x14ac:dyDescent="0.15">
      <c r="A10" s="169">
        <v>1321</v>
      </c>
      <c r="B10" s="172" t="str">
        <f>VLOOKUP(A10,[1]characters!$A:$C,3)</f>
        <v>純凛の柔唱歌 鏡音レンV4X</v>
      </c>
      <c r="C10" s="195">
        <v>1</v>
      </c>
      <c r="D10" s="195">
        <v>208</v>
      </c>
      <c r="E10" s="173" t="str">
        <f>IF(ISERROR(VLOOKUP(D10,[3]abilities!A:D,3,FALSE))=FALSE,VLOOKUP(D10,[3]abilities!A:D,3),IF(ISERROR(VLOOKUP(D10,abilities!A:D,3,FALSE))=FALSE,VLOOKUP(D10,abilities!A:D,3),"なし"))</f>
        <v>黄・緑パネル無効化耐性</v>
      </c>
      <c r="F10" s="173" t="str">
        <f>IF(ISERROR(VLOOKUP(D10,[3]abilities!A:D,4,FALSE))=FALSE,VLOOKUP(D10,[3]abilities!A:D,4),IF(ISERROR(VLOOKUP(D10,abilities!A:D,4,FALSE))=FALSE,VLOOKUP(D10,abilities!A:D,4),"なし"))</f>
        <v>自身が先頭の時、黄・緑パネル無効化の影響を受けない</v>
      </c>
      <c r="G10" s="174" t="s">
        <v>273</v>
      </c>
      <c r="H10" s="196" t="s">
        <v>320</v>
      </c>
    </row>
    <row r="11" spans="1:8" s="4" customFormat="1" ht="21" customHeight="1" x14ac:dyDescent="0.15">
      <c r="A11" s="169">
        <v>1321</v>
      </c>
      <c r="B11" s="172" t="str">
        <f>VLOOKUP(A11,[1]characters!$A:$C,3)</f>
        <v>純凛の柔唱歌 鏡音レンV4X</v>
      </c>
      <c r="C11" s="195">
        <v>2</v>
      </c>
      <c r="D11" s="195">
        <v>109</v>
      </c>
      <c r="E11" s="173" t="str">
        <f>IF(ISERROR(VLOOKUP(D11,[3]abilities!A:D,3,FALSE))=FALSE,VLOOKUP(D11,[3]abilities!A:D,3),IF(ISERROR(VLOOKUP(D11,abilities!A:D,3,FALSE))=FALSE,VLOOKUP(D11,abilities!A:D,3),"なし"))</f>
        <v>ダメージパネルブレイク</v>
      </c>
      <c r="F11" s="173" t="str">
        <f>IF(ISERROR(VLOOKUP(D11,[3]abilities!A:D,4,FALSE))=FALSE,VLOOKUP(D11,[3]abilities!A:D,4),IF(ISERROR(VLOOKUP(D11,abilities!A:D,4,FALSE))=FALSE,VLOOKUP(D11,abilities!A:D,4),"なし"))</f>
        <v>自身が先頭の時、ダメージを受けずにダメージパネルを破壊できる</v>
      </c>
      <c r="G11" s="174" t="s">
        <v>273</v>
      </c>
      <c r="H11" s="196" t="s">
        <v>320</v>
      </c>
    </row>
    <row r="12" spans="1:8" s="4" customFormat="1" ht="21" customHeight="1" x14ac:dyDescent="0.15">
      <c r="A12" s="169">
        <v>1310</v>
      </c>
      <c r="B12" s="172" t="str">
        <f>VLOOKUP(A12,[1]characters!$A:$C,3)</f>
        <v>聖律する歌姫 初音ミク・アペンド</v>
      </c>
      <c r="C12" s="195">
        <v>1</v>
      </c>
      <c r="D12" s="195">
        <v>210</v>
      </c>
      <c r="E12" s="173" t="str">
        <f>IF(ISERROR(VLOOKUP(D12,[3]abilities!A:D,3,FALSE))=FALSE,VLOOKUP(D12,[3]abilities!A:D,3),IF(ISERROR(VLOOKUP(D12,abilities!A:D,3,FALSE))=FALSE,VLOOKUP(D12,abilities!A:D,3),"なし"))</f>
        <v>緑・赤・青・黄パネル無効化耐性</v>
      </c>
      <c r="F12" s="173" t="str">
        <f>IF(ISERROR(VLOOKUP(D12,[3]abilities!A:D,4,FALSE))=FALSE,VLOOKUP(D12,[3]abilities!A:D,4),IF(ISERROR(VLOOKUP(D12,abilities!A:D,4,FALSE))=FALSE,VLOOKUP(D12,abilities!A:D,4),"なし"))</f>
        <v>自身が先頭の時、緑・赤・青・黄パネル無効化の影響を受けない</v>
      </c>
      <c r="G12" s="174" t="s">
        <v>273</v>
      </c>
      <c r="H12" s="196" t="s">
        <v>320</v>
      </c>
    </row>
    <row r="13" spans="1:8" s="4" customFormat="1" ht="21" customHeight="1" x14ac:dyDescent="0.15">
      <c r="A13" s="169">
        <v>1310</v>
      </c>
      <c r="B13" s="172" t="str">
        <f>VLOOKUP(A13,[1]characters!$A:$C,3)</f>
        <v>聖律する歌姫 初音ミク・アペンド</v>
      </c>
      <c r="C13" s="195">
        <v>2</v>
      </c>
      <c r="D13" s="195">
        <v>109</v>
      </c>
      <c r="E13" s="173" t="str">
        <f>IF(ISERROR(VLOOKUP(D13,[3]abilities!A:D,3,FALSE))=FALSE,VLOOKUP(D13,[3]abilities!A:D,3),IF(ISERROR(VLOOKUP(D13,abilities!A:D,3,FALSE))=FALSE,VLOOKUP(D13,abilities!A:D,3),"なし"))</f>
        <v>ダメージパネルブレイク</v>
      </c>
      <c r="F13" s="173" t="str">
        <f>IF(ISERROR(VLOOKUP(D13,[3]abilities!A:D,4,FALSE))=FALSE,VLOOKUP(D13,[3]abilities!A:D,4),IF(ISERROR(VLOOKUP(D13,abilities!A:D,4,FALSE))=FALSE,VLOOKUP(D13,abilities!A:D,4),"なし"))</f>
        <v>自身が先頭の時、ダメージを受けずにダメージパネルを破壊できる</v>
      </c>
      <c r="G13" s="174" t="s">
        <v>273</v>
      </c>
      <c r="H13" s="196" t="s">
        <v>320</v>
      </c>
    </row>
    <row r="14" spans="1:8" s="4" customFormat="1" ht="21" customHeight="1" x14ac:dyDescent="0.15">
      <c r="A14" s="169">
        <v>1308</v>
      </c>
      <c r="B14" s="172" t="str">
        <f>VLOOKUP(A14,[1]characters!$A:$C,3)</f>
        <v>革鳴の響奏撃 初音ミク</v>
      </c>
      <c r="C14" s="195">
        <v>1</v>
      </c>
      <c r="D14" s="195">
        <v>316</v>
      </c>
      <c r="E14" s="173" t="str">
        <f>IF(ISERROR(VLOOKUP(D14,[3]abilities!A:D,3,FALSE))=FALSE,VLOOKUP(D14,[3]abilities!A:D,3),IF(ISERROR(VLOOKUP(D14,abilities!A:D,3,FALSE))=FALSE,VLOOKUP(D14,abilities!A:D,3),"なし"))</f>
        <v>対Unknown ダメージUP</v>
      </c>
      <c r="F14" s="173" t="str">
        <f>IF(ISERROR(VLOOKUP(D14,[3]abilities!A:D,4,FALSE))=FALSE,VLOOKUP(D14,[3]abilities!A:D,4),IF(ISERROR(VLOOKUP(D14,abilities!A:D,4,FALSE))=FALSE,VLOOKUP(D14,abilities!A:D,4),"なし"))</f>
        <v>自身の攻撃対象が種族Unknownの場合全ての攻撃の威力をUP</v>
      </c>
      <c r="G14" s="174" t="s">
        <v>273</v>
      </c>
      <c r="H14" s="196" t="s">
        <v>320</v>
      </c>
    </row>
    <row r="15" spans="1:8" s="4" customFormat="1" ht="21" customHeight="1" x14ac:dyDescent="0.15">
      <c r="A15" s="169">
        <v>1308</v>
      </c>
      <c r="B15" s="172" t="str">
        <f>VLOOKUP(A15,[1]characters!$A:$C,3)</f>
        <v>革鳴の響奏撃 初音ミク</v>
      </c>
      <c r="C15" s="195">
        <v>2</v>
      </c>
      <c r="D15" s="195">
        <v>100</v>
      </c>
      <c r="E15" s="173" t="str">
        <f>IF(ISERROR(VLOOKUP(D15,[3]abilities!A:D,3,FALSE))=FALSE,VLOOKUP(D15,[3]abilities!A:D,3),IF(ISERROR(VLOOKUP(D15,abilities!A:D,3,FALSE))=FALSE,VLOOKUP(D15,abilities!A:D,3),"なし"))</f>
        <v>プロテクトブレイク</v>
      </c>
      <c r="F15" s="173" t="str">
        <f>IF(ISERROR(VLOOKUP(D15,[3]abilities!A:D,4,FALSE))=FALSE,VLOOKUP(D15,[3]abilities!A:D,4),IF(ISERROR(VLOOKUP(D15,abilities!A:D,4,FALSE))=FALSE,VLOOKUP(D15,abilities!A:D,4),"なし"))</f>
        <v>自身が先頭の時、プロテクトを無視してパネル破壊できる</v>
      </c>
      <c r="G15" s="174" t="s">
        <v>273</v>
      </c>
      <c r="H15" s="196" t="s">
        <v>320</v>
      </c>
    </row>
    <row r="16" spans="1:8" s="4" customFormat="1" ht="21" customHeight="1" x14ac:dyDescent="0.15">
      <c r="A16" s="169">
        <v>1311</v>
      </c>
      <c r="B16" s="172" t="str">
        <f>VLOOKUP(A16,[1]characters!$A:$C,3)</f>
        <v>輪音する大反響 鏡音リン</v>
      </c>
      <c r="C16" s="195">
        <v>1</v>
      </c>
      <c r="D16" s="195">
        <v>316</v>
      </c>
      <c r="E16" s="173" t="str">
        <f>IF(ISERROR(VLOOKUP(D16,[3]abilities!A:D,3,FALSE))=FALSE,VLOOKUP(D16,[3]abilities!A:D,3),IF(ISERROR(VLOOKUP(D16,abilities!A:D,3,FALSE))=FALSE,VLOOKUP(D16,abilities!A:D,3),"なし"))</f>
        <v>対Unknown ダメージUP</v>
      </c>
      <c r="F16" s="173" t="str">
        <f>IF(ISERROR(VLOOKUP(D16,[3]abilities!A:D,4,FALSE))=FALSE,VLOOKUP(D16,[3]abilities!A:D,4),IF(ISERROR(VLOOKUP(D16,abilities!A:D,4,FALSE))=FALSE,VLOOKUP(D16,abilities!A:D,4),"なし"))</f>
        <v>自身の攻撃対象が種族Unknownの場合全ての攻撃の威力をUP</v>
      </c>
      <c r="G16" s="174" t="s">
        <v>273</v>
      </c>
      <c r="H16" s="196" t="s">
        <v>320</v>
      </c>
    </row>
    <row r="17" spans="1:8" s="4" customFormat="1" ht="21" customHeight="1" x14ac:dyDescent="0.15">
      <c r="A17" s="169">
        <v>1312</v>
      </c>
      <c r="B17" s="172" t="str">
        <f>VLOOKUP(A17,[1]characters!$A:$C,3)</f>
        <v>連譜する大残響 鏡音レン</v>
      </c>
      <c r="C17" s="195">
        <v>1</v>
      </c>
      <c r="D17" s="195">
        <v>316</v>
      </c>
      <c r="E17" s="173" t="str">
        <f>IF(ISERROR(VLOOKUP(D17,[3]abilities!A:D,3,FALSE))=FALSE,VLOOKUP(D17,[3]abilities!A:D,3),IF(ISERROR(VLOOKUP(D17,abilities!A:D,3,FALSE))=FALSE,VLOOKUP(D17,abilities!A:D,3),"なし"))</f>
        <v>対Unknown ダメージUP</v>
      </c>
      <c r="F17" s="173" t="str">
        <f>IF(ISERROR(VLOOKUP(D17,[3]abilities!A:D,4,FALSE))=FALSE,VLOOKUP(D17,[3]abilities!A:D,4),IF(ISERROR(VLOOKUP(D17,abilities!A:D,4,FALSE))=FALSE,VLOOKUP(D17,abilities!A:D,4),"なし"))</f>
        <v>自身の攻撃対象が種族Unknownの場合全ての攻撃の威力をUP</v>
      </c>
      <c r="G17" s="174" t="s">
        <v>273</v>
      </c>
      <c r="H17" s="196" t="s">
        <v>320</v>
      </c>
    </row>
    <row r="18" spans="1:8" s="4" customFormat="1" ht="21" customHeight="1" x14ac:dyDescent="0.15">
      <c r="A18" s="169">
        <v>1301</v>
      </c>
      <c r="B18" s="172" t="str">
        <f>VLOOKUP(A18,[1]characters!$A:$C,3)</f>
        <v>歌装の萌響女 紫式部</v>
      </c>
      <c r="C18" s="195">
        <v>1</v>
      </c>
      <c r="D18" s="195">
        <v>109</v>
      </c>
      <c r="E18" s="173" t="str">
        <f>IF(ISERROR(VLOOKUP(D18,[3]abilities!A:D,3,FALSE))=FALSE,VLOOKUP(D18,[3]abilities!A:D,3),IF(ISERROR(VLOOKUP(D18,abilities!A:D,3,FALSE))=FALSE,VLOOKUP(D18,abilities!A:D,3),"なし"))</f>
        <v>ダメージパネルブレイク</v>
      </c>
      <c r="F18" s="173" t="str">
        <f>IF(ISERROR(VLOOKUP(D18,[3]abilities!A:D,4,FALSE))=FALSE,VLOOKUP(D18,[3]abilities!A:D,4),IF(ISERROR(VLOOKUP(D18,abilities!A:D,4,FALSE))=FALSE,VLOOKUP(D18,abilities!A:D,4),"なし"))</f>
        <v>自身が先頭の時、ダメージを受けずにダメージパネルを破壊できる</v>
      </c>
      <c r="G18" s="174" t="s">
        <v>273</v>
      </c>
      <c r="H18" s="196" t="s">
        <v>361</v>
      </c>
    </row>
    <row r="19" spans="1:8" s="4" customFormat="1" ht="21" customHeight="1" x14ac:dyDescent="0.15">
      <c r="A19" s="169">
        <v>1301</v>
      </c>
      <c r="B19" s="172" t="str">
        <f>VLOOKUP(A19,[1]characters!$A:$C,3)</f>
        <v>歌装の萌響女 紫式部</v>
      </c>
      <c r="C19" s="195">
        <v>2</v>
      </c>
      <c r="D19" s="195">
        <v>2900</v>
      </c>
      <c r="E19" s="173" t="str">
        <f>IF(ISERROR(VLOOKUP(D19,[3]abilities!A:D,3,FALSE))=FALSE,VLOOKUP(D19,[3]abilities!A:D,3),IF(ISERROR(VLOOKUP(D19,abilities!A:D,3,FALSE))=FALSE,VLOOKUP(D19,abilities!A:D,3),"なし"))</f>
        <v>フィーバー50 攻撃力小UP</v>
      </c>
      <c r="F19" s="173" t="str">
        <f>IF(ISERROR(VLOOKUP(D19,[3]abilities!A:D,4,FALSE))=FALSE,VLOOKUP(D19,[3]abilities!A:D,4),IF(ISERROR(VLOOKUP(D19,abilities!A:D,4,FALSE))=FALSE,VLOOKUP(D19,abilities!A:D,4),"なし"))</f>
        <v>フィーバーゲージが50％以上の時、自身の攻撃力小UP</v>
      </c>
      <c r="G19" s="174" t="s">
        <v>273</v>
      </c>
      <c r="H19" s="196" t="s">
        <v>354</v>
      </c>
    </row>
    <row r="20" spans="1:8" s="4" customFormat="1" ht="21" customHeight="1" x14ac:dyDescent="0.15">
      <c r="A20" s="169">
        <v>1303</v>
      </c>
      <c r="B20" s="172" t="str">
        <f>VLOOKUP(A20,[1]characters!$A:$C,3)</f>
        <v>転調･超天突符 イナバ</v>
      </c>
      <c r="C20" s="195">
        <v>1</v>
      </c>
      <c r="D20" s="195">
        <v>100</v>
      </c>
      <c r="E20" s="173" t="str">
        <f>IF(ISERROR(VLOOKUP(D20,[3]abilities!A:D,3,FALSE))=FALSE,VLOOKUP(D20,[3]abilities!A:D,3),IF(ISERROR(VLOOKUP(D20,abilities!A:D,3,FALSE))=FALSE,VLOOKUP(D20,abilities!A:D,3),"なし"))</f>
        <v>プロテクトブレイク</v>
      </c>
      <c r="F20" s="173" t="str">
        <f>IF(ISERROR(VLOOKUP(D20,[3]abilities!A:D,4,FALSE))=FALSE,VLOOKUP(D20,[3]abilities!A:D,4),IF(ISERROR(VLOOKUP(D20,abilities!A:D,4,FALSE))=FALSE,VLOOKUP(D20,abilities!A:D,4),"なし"))</f>
        <v>自身が先頭の時、プロテクトを無視してパネル破壊できる</v>
      </c>
      <c r="G20" s="174" t="s">
        <v>273</v>
      </c>
      <c r="H20" s="196" t="s">
        <v>361</v>
      </c>
    </row>
    <row r="21" spans="1:8" s="4" customFormat="1" ht="21" customHeight="1" x14ac:dyDescent="0.15">
      <c r="A21" s="169">
        <v>1303</v>
      </c>
      <c r="B21" s="172" t="str">
        <f>VLOOKUP(A21,[1]characters!$A:$C,3)</f>
        <v>転調･超天突符 イナバ</v>
      </c>
      <c r="C21" s="195">
        <v>2</v>
      </c>
      <c r="D21" s="195">
        <v>811</v>
      </c>
      <c r="E21" s="173" t="str">
        <f>IF(ISERROR(VLOOKUP(D21,[3]abilities!A:D,3,FALSE))=FALSE,VLOOKUP(D21,[3]abilities!A:D,3),IF(ISERROR(VLOOKUP(D21,abilities!A:D,3,FALSE))=FALSE,VLOOKUP(D21,abilities!A:D,3),"なし"))</f>
        <v>パネルブレイク30 攻撃力小UP</v>
      </c>
      <c r="F21" s="173" t="str">
        <f>IF(ISERROR(VLOOKUP(D21,[3]abilities!A:D,4,FALSE))=FALSE,VLOOKUP(D21,[3]abilities!A:D,4),IF(ISERROR(VLOOKUP(D21,abilities!A:D,4,FALSE))=FALSE,VLOOKUP(D21,abilities!A:D,4),"なし"))</f>
        <v>自身が先頭の時、1ターンの間に合計30個以上パネルを破壊した場合に攻撃力小UP</v>
      </c>
      <c r="G21" s="174" t="s">
        <v>273</v>
      </c>
      <c r="H21" s="196" t="s">
        <v>354</v>
      </c>
    </row>
    <row r="22" spans="1:8" s="4" customFormat="1" ht="21" customHeight="1" x14ac:dyDescent="0.15">
      <c r="A22" s="169">
        <v>1305</v>
      </c>
      <c r="B22" s="172" t="str">
        <f>VLOOKUP(A22,[1]characters!$A:$C,3)</f>
        <v>響界廻る睡鼠楽 ハーメルン</v>
      </c>
      <c r="C22" s="195">
        <v>1</v>
      </c>
      <c r="D22" s="195">
        <v>100</v>
      </c>
      <c r="E22" s="173" t="str">
        <f>IF(ISERROR(VLOOKUP(D22,[3]abilities!A:D,3,FALSE))=FALSE,VLOOKUP(D22,[3]abilities!A:D,3),IF(ISERROR(VLOOKUP(D22,abilities!A:D,3,FALSE))=FALSE,VLOOKUP(D22,abilities!A:D,3),"なし"))</f>
        <v>プロテクトブレイク</v>
      </c>
      <c r="F22" s="173" t="str">
        <f>IF(ISERROR(VLOOKUP(D22,[3]abilities!A:D,4,FALSE))=FALSE,VLOOKUP(D22,[3]abilities!A:D,4),IF(ISERROR(VLOOKUP(D22,abilities!A:D,4,FALSE))=FALSE,VLOOKUP(D22,abilities!A:D,4),"なし"))</f>
        <v>自身が先頭の時、プロテクトを無視してパネル破壊できる</v>
      </c>
      <c r="G22" s="174" t="s">
        <v>273</v>
      </c>
      <c r="H22" s="196" t="s">
        <v>320</v>
      </c>
    </row>
    <row r="23" spans="1:8" s="4" customFormat="1" ht="21" customHeight="1" x14ac:dyDescent="0.15">
      <c r="A23" s="169">
        <v>1305</v>
      </c>
      <c r="B23" s="172" t="str">
        <f>VLOOKUP(A23,[1]characters!$A:$C,3)</f>
        <v>響界廻る睡鼠楽 ハーメルン</v>
      </c>
      <c r="C23" s="195">
        <v>2</v>
      </c>
      <c r="D23" s="195">
        <v>812</v>
      </c>
      <c r="E23" s="173" t="str">
        <f>IF(ISERROR(VLOOKUP(D23,[3]abilities!A:D,3,FALSE))=FALSE,VLOOKUP(D23,[3]abilities!A:D,3),IF(ISERROR(VLOOKUP(D23,abilities!A:D,3,FALSE))=FALSE,VLOOKUP(D23,abilities!A:D,3),"なし"))</f>
        <v>パネルブレイク40 HP小回復</v>
      </c>
      <c r="F23" s="173" t="str">
        <f>IF(ISERROR(VLOOKUP(D23,[3]abilities!A:D,4,FALSE))=FALSE,VLOOKUP(D23,[3]abilities!A:D,4),IF(ISERROR(VLOOKUP(D23,abilities!A:D,4,FALSE))=FALSE,VLOOKUP(D23,abilities!A:D,4),"なし"))</f>
        <v>自身が先頭の時、1ターンの間に合計40個以上パネルを破壊した場合にターン終了時HP小回復</v>
      </c>
      <c r="G23" s="174" t="s">
        <v>273</v>
      </c>
      <c r="H23" s="196" t="s">
        <v>354</v>
      </c>
    </row>
    <row r="24" spans="1:8" s="4" customFormat="1" ht="21" customHeight="1" x14ac:dyDescent="0.15">
      <c r="A24" s="169">
        <v>1307</v>
      </c>
      <c r="B24" s="172" t="str">
        <f>VLOOKUP(A24,[1]characters!$A:$C,3)</f>
        <v>彩翼の唱天史 ルシファー</v>
      </c>
      <c r="C24" s="195">
        <v>1</v>
      </c>
      <c r="D24" s="195">
        <v>100</v>
      </c>
      <c r="E24" s="173" t="str">
        <f>IF(ISERROR(VLOOKUP(D24,[3]abilities!A:D,3,FALSE))=FALSE,VLOOKUP(D24,[3]abilities!A:D,3),IF(ISERROR(VLOOKUP(D24,abilities!A:D,3,FALSE))=FALSE,VLOOKUP(D24,abilities!A:D,3),"なし"))</f>
        <v>プロテクトブレイク</v>
      </c>
      <c r="F24" s="173" t="str">
        <f>IF(ISERROR(VLOOKUP(D24,[3]abilities!A:D,4,FALSE))=FALSE,VLOOKUP(D24,[3]abilities!A:D,4),IF(ISERROR(VLOOKUP(D24,abilities!A:D,4,FALSE))=FALSE,VLOOKUP(D24,abilities!A:D,4),"なし"))</f>
        <v>自身が先頭の時、プロテクトを無視してパネル破壊できる</v>
      </c>
      <c r="G24" s="174" t="s">
        <v>273</v>
      </c>
      <c r="H24" s="196" t="s">
        <v>320</v>
      </c>
    </row>
    <row r="25" spans="1:8" s="4" customFormat="1" ht="21" customHeight="1" x14ac:dyDescent="0.15">
      <c r="A25" s="169">
        <v>1307</v>
      </c>
      <c r="B25" s="172" t="str">
        <f>VLOOKUP(A25,[1]characters!$A:$C,3)</f>
        <v>彩翼の唱天史 ルシファー</v>
      </c>
      <c r="C25" s="195">
        <v>2</v>
      </c>
      <c r="D25" s="195">
        <v>201</v>
      </c>
      <c r="E25" s="173" t="str">
        <f>IF(ISERROR(VLOOKUP(D25,[3]abilities!A:D,3,FALSE))=FALSE,VLOOKUP(D25,[3]abilities!A:D,3),IF(ISERROR(VLOOKUP(D25,abilities!A:D,3,FALSE))=FALSE,VLOOKUP(D25,abilities!A:D,3),"なし"))</f>
        <v>スキルバインド無効</v>
      </c>
      <c r="F25" s="173" t="str">
        <f>IF(ISERROR(VLOOKUP(D25,[3]abilities!A:D,4,FALSE))=FALSE,VLOOKUP(D25,[3]abilities!A:D,4),IF(ISERROR(VLOOKUP(D25,abilities!A:D,4,FALSE))=FALSE,VLOOKUP(D25,abilities!A:D,4),"なし"))</f>
        <v>自身にかかるスキルバインドを無効化する</v>
      </c>
      <c r="G25" s="174" t="s">
        <v>273</v>
      </c>
      <c r="H25" s="196" t="s">
        <v>355</v>
      </c>
    </row>
    <row r="26" spans="1:8" s="4" customFormat="1" ht="21" customHeight="1" x14ac:dyDescent="0.15">
      <c r="A26" s="169">
        <v>1296</v>
      </c>
      <c r="B26" s="172" t="str">
        <f>VLOOKUP(A26,[1]characters!$A:$C,3)</f>
        <v>星々駆ける乱奏 ラビット・ユキネ</v>
      </c>
      <c r="C26" s="195">
        <v>1</v>
      </c>
      <c r="D26" s="195">
        <v>103</v>
      </c>
      <c r="E26" s="173" t="str">
        <f>IF(ISERROR(VLOOKUP(D26,[3]abilities!A:D,3,FALSE))=FALSE,VLOOKUP(D26,[3]abilities!A:D,3),IF(ISERROR(VLOOKUP(D26,abilities!A:D,3,FALSE))=FALSE,VLOOKUP(D26,abilities!A:D,3),"なし"))</f>
        <v>お邪魔ブレイク</v>
      </c>
      <c r="F26" s="173" t="str">
        <f>IF(ISERROR(VLOOKUP(D26,[3]abilities!A:D,4,FALSE))=FALSE,VLOOKUP(D26,[3]abilities!A:D,4),IF(ISERROR(VLOOKUP(D26,abilities!A:D,4,FALSE))=FALSE,VLOOKUP(D26,abilities!A:D,4),"なし"))</f>
        <v>自身が先頭の時、お邪魔パネルを破壊できる</v>
      </c>
      <c r="G26" s="174" t="s">
        <v>273</v>
      </c>
      <c r="H26" s="196" t="s">
        <v>361</v>
      </c>
    </row>
    <row r="27" spans="1:8" s="4" customFormat="1" ht="21" customHeight="1" x14ac:dyDescent="0.15">
      <c r="A27" s="169">
        <v>1296</v>
      </c>
      <c r="B27" s="172" t="str">
        <f>VLOOKUP(A27,[1]characters!$A:$C,3)</f>
        <v>星々駆ける乱奏 ラビット・ユキネ</v>
      </c>
      <c r="C27" s="195">
        <v>2</v>
      </c>
      <c r="D27" s="195">
        <v>905</v>
      </c>
      <c r="E27" s="173" t="str">
        <f>IF(ISERROR(VLOOKUP(D27,[3]abilities!A:D,3,FALSE))=FALSE,VLOOKUP(D27,[3]abilities!A:D,3),IF(ISERROR(VLOOKUP(D27,abilities!A:D,3,FALSE))=FALSE,VLOOKUP(D27,abilities!A:D,3),"なし"))</f>
        <v>チェイン12 攻撃力小UP</v>
      </c>
      <c r="F27" s="173" t="str">
        <f>IF(ISERROR(VLOOKUP(D27,[3]abilities!A:D,4,FALSE))=FALSE,VLOOKUP(D27,[3]abilities!A:D,4),IF(ISERROR(VLOOKUP(D27,abilities!A:D,4,FALSE))=FALSE,VLOOKUP(D27,abilities!A:D,4),"なし"))</f>
        <v>自身が先頭の時、1タップで12個以上パネルを繋げた場合に攻撃力小UP(1ターンに1度だけ発動)</v>
      </c>
      <c r="G27" s="174" t="s">
        <v>273</v>
      </c>
      <c r="H27" s="196" t="s">
        <v>354</v>
      </c>
    </row>
    <row r="28" spans="1:8" s="4" customFormat="1" ht="21" customHeight="1" x14ac:dyDescent="0.15">
      <c r="A28" s="169">
        <v>1298</v>
      </c>
      <c r="B28" s="172" t="str">
        <f>VLOOKUP(A28,[1]characters!$A:$C,3)</f>
        <v>星空の歌姫 雪ミク2017</v>
      </c>
      <c r="C28" s="195">
        <v>1</v>
      </c>
      <c r="D28" s="195">
        <v>100</v>
      </c>
      <c r="E28" s="173" t="str">
        <f>IF(ISERROR(VLOOKUP(D28,[3]abilities!A:D,3,FALSE))=FALSE,VLOOKUP(D28,[3]abilities!A:D,3),IF(ISERROR(VLOOKUP(D28,abilities!A:D,3,FALSE))=FALSE,VLOOKUP(D28,abilities!A:D,3),"なし"))</f>
        <v>プロテクトブレイク</v>
      </c>
      <c r="F28" s="173" t="str">
        <f>IF(ISERROR(VLOOKUP(D28,[3]abilities!A:D,4,FALSE))=FALSE,VLOOKUP(D28,[3]abilities!A:D,4),IF(ISERROR(VLOOKUP(D28,abilities!A:D,4,FALSE))=FALSE,VLOOKUP(D28,abilities!A:D,4),"なし"))</f>
        <v>自身が先頭の時、プロテクトを無視してパネル破壊できる</v>
      </c>
      <c r="G28" s="174" t="s">
        <v>273</v>
      </c>
      <c r="H28" s="196" t="s">
        <v>361</v>
      </c>
    </row>
    <row r="29" spans="1:8" s="4" customFormat="1" ht="21" customHeight="1" x14ac:dyDescent="0.15">
      <c r="A29" s="169">
        <v>1298</v>
      </c>
      <c r="B29" s="172" t="str">
        <f>VLOOKUP(A29,[1]characters!$A:$C,3)</f>
        <v>星空の歌姫 雪ミク2017</v>
      </c>
      <c r="C29" s="195">
        <v>2</v>
      </c>
      <c r="D29" s="195">
        <v>807</v>
      </c>
      <c r="E29" s="173" t="str">
        <f>IF(ISERROR(VLOOKUP(D29,[3]abilities!A:D,3,FALSE))=FALSE,VLOOKUP(D29,[3]abilities!A:D,3),IF(ISERROR(VLOOKUP(D29,abilities!A:D,3,FALSE))=FALSE,VLOOKUP(D29,abilities!A:D,3),"なし"))</f>
        <v>パネル18 破壊フィーバーゲージ上昇</v>
      </c>
      <c r="F29" s="173" t="str">
        <f>IF(ISERROR(VLOOKUP(D29,[3]abilities!A:D,4,FALSE))=FALSE,VLOOKUP(D29,[3]abilities!A:D,4),IF(ISERROR(VLOOKUP(D29,abilities!A:D,4,FALSE))=FALSE,VLOOKUP(D29,abilities!A:D,4),"なし"))</f>
        <v>自身が先頭の時、1ターンの間に合計18個以上パネルを破壊した場合にフィーバーゲージ上昇</v>
      </c>
      <c r="G29" s="174" t="s">
        <v>273</v>
      </c>
      <c r="H29" s="196" t="s">
        <v>354</v>
      </c>
    </row>
    <row r="30" spans="1:8" s="4" customFormat="1" ht="21" customHeight="1" x14ac:dyDescent="0.15">
      <c r="A30" s="169">
        <v>1299</v>
      </c>
      <c r="B30" s="172" t="str">
        <f>VLOOKUP(A30,[1]characters!$A:$C,3)</f>
        <v>覚世の楽聖姫 初音ミクV3</v>
      </c>
      <c r="C30" s="195">
        <v>1</v>
      </c>
      <c r="D30" s="195">
        <v>200</v>
      </c>
      <c r="E30" s="173" t="str">
        <f>IF(ISERROR(VLOOKUP(D30,[3]abilities!A:D,3,FALSE))=FALSE,VLOOKUP(D30,[3]abilities!A:D,3),IF(ISERROR(VLOOKUP(D30,abilities!A:D,3,FALSE))=FALSE,VLOOKUP(D30,abilities!A:D,3),"なし"))</f>
        <v>ウィルス無効</v>
      </c>
      <c r="F30" s="173" t="str">
        <f>IF(ISERROR(VLOOKUP(D30,[3]abilities!A:D,4,FALSE))=FALSE,VLOOKUP(D30,[3]abilities!A:D,4),IF(ISERROR(VLOOKUP(D30,abilities!A:D,4,FALSE))=FALSE,VLOOKUP(D30,abilities!A:D,4),"なし"))</f>
        <v>自身にかかるウィルスを無効化する</v>
      </c>
      <c r="G30" s="174" t="s">
        <v>273</v>
      </c>
      <c r="H30" s="196" t="s">
        <v>361</v>
      </c>
    </row>
    <row r="31" spans="1:8" s="4" customFormat="1" ht="21" customHeight="1" x14ac:dyDescent="0.15">
      <c r="A31" s="169">
        <v>1299</v>
      </c>
      <c r="B31" s="172" t="str">
        <f>VLOOKUP(A31,[1]characters!$A:$C,3)</f>
        <v>覚世の楽聖姫 初音ミクV3</v>
      </c>
      <c r="C31" s="195">
        <v>2</v>
      </c>
      <c r="D31" s="195">
        <v>1505</v>
      </c>
      <c r="E31" s="173" t="str">
        <f>IF(ISERROR(VLOOKUP(D31,[3]abilities!A:D,3,FALSE))=FALSE,VLOOKUP(D31,[3]abilities!A:D,3),IF(ISERROR(VLOOKUP(D31,abilities!A:D,3,FALSE))=FALSE,VLOOKUP(D31,abilities!A:D,3),"なし"))</f>
        <v>バリア3939</v>
      </c>
      <c r="F31" s="173" t="str">
        <f>IF(ISERROR(VLOOKUP(D31,[3]abilities!A:D,4,FALSE))=FALSE,VLOOKUP(D31,[3]abilities!A:D,4),IF(ISERROR(VLOOKUP(D31,abilities!A:D,4,FALSE))=FALSE,VLOOKUP(D31,abilities!A:D,4),"なし"))</f>
        <v>戦闘開始時に、自身への直接ダメージを3939まで防ぐバリアを一度だけ展開(バリアは破壊されると復活しない)</v>
      </c>
      <c r="G31" s="174" t="s">
        <v>273</v>
      </c>
      <c r="H31" s="196" t="s">
        <v>354</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L37" sqref="L37"/>
    </sheetView>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A11" sqref="A11"/>
    </sheetView>
  </sheetViews>
  <sheetFormatPr baseColWidth="12" defaultRowHeight="15" x14ac:dyDescent="0.15"/>
  <sheetData>
    <row r="1" spans="1:2" x14ac:dyDescent="0.15">
      <c r="A1" t="s">
        <v>323</v>
      </c>
      <c r="B1" t="s">
        <v>324</v>
      </c>
    </row>
    <row r="2" spans="1:2" x14ac:dyDescent="0.15">
      <c r="A2" t="s">
        <v>325</v>
      </c>
      <c r="B2">
        <v>1</v>
      </c>
    </row>
    <row r="3" spans="1:2" x14ac:dyDescent="0.15">
      <c r="A3" t="s">
        <v>326</v>
      </c>
      <c r="B3">
        <v>1</v>
      </c>
    </row>
    <row r="4" spans="1:2" x14ac:dyDescent="0.15">
      <c r="A4" t="s">
        <v>327</v>
      </c>
      <c r="B4">
        <v>1</v>
      </c>
    </row>
    <row r="5" spans="1:2" x14ac:dyDescent="0.15">
      <c r="A5" t="s">
        <v>328</v>
      </c>
      <c r="B5">
        <v>1</v>
      </c>
    </row>
    <row r="6" spans="1:2" x14ac:dyDescent="0.15">
      <c r="A6" t="s">
        <v>329</v>
      </c>
      <c r="B6">
        <v>1</v>
      </c>
    </row>
    <row r="7" spans="1:2" x14ac:dyDescent="0.15">
      <c r="A7" t="s">
        <v>330</v>
      </c>
      <c r="B7">
        <v>1</v>
      </c>
    </row>
    <row r="8" spans="1:2" x14ac:dyDescent="0.15">
      <c r="A8" t="s">
        <v>331</v>
      </c>
      <c r="B8">
        <v>1</v>
      </c>
    </row>
    <row r="9" spans="1:2" x14ac:dyDescent="0.15">
      <c r="A9" t="s">
        <v>332</v>
      </c>
      <c r="B9">
        <v>1</v>
      </c>
    </row>
    <row r="10" spans="1:2" x14ac:dyDescent="0.15">
      <c r="A10" t="s">
        <v>333</v>
      </c>
      <c r="B10">
        <v>1</v>
      </c>
    </row>
    <row r="11" spans="1:2" x14ac:dyDescent="0.15">
      <c r="A11" t="s">
        <v>334</v>
      </c>
      <c r="B11">
        <v>1</v>
      </c>
    </row>
    <row r="12" spans="1:2" x14ac:dyDescent="0.15">
      <c r="A12" t="s">
        <v>335</v>
      </c>
      <c r="B12">
        <v>1</v>
      </c>
    </row>
    <row r="13" spans="1:2" x14ac:dyDescent="0.15">
      <c r="A13" t="s">
        <v>336</v>
      </c>
      <c r="B13">
        <v>0</v>
      </c>
    </row>
    <row r="14" spans="1:2" x14ac:dyDescent="0.15">
      <c r="A14" t="s">
        <v>337</v>
      </c>
      <c r="B14">
        <v>500</v>
      </c>
    </row>
    <row r="15" spans="1:2" x14ac:dyDescent="0.15">
      <c r="A15" t="s">
        <v>338</v>
      </c>
      <c r="B15">
        <v>600</v>
      </c>
    </row>
    <row r="16" spans="1:2" x14ac:dyDescent="0.15">
      <c r="A16" t="s">
        <v>339</v>
      </c>
      <c r="B16">
        <v>700</v>
      </c>
    </row>
    <row r="17" spans="1:2" x14ac:dyDescent="0.15">
      <c r="A17" t="s">
        <v>340</v>
      </c>
      <c r="B17">
        <v>5500</v>
      </c>
    </row>
    <row r="18" spans="1:2" x14ac:dyDescent="0.15">
      <c r="A18" t="s">
        <v>341</v>
      </c>
      <c r="B18">
        <v>6000</v>
      </c>
    </row>
    <row r="19" spans="1:2" x14ac:dyDescent="0.15">
      <c r="A19" t="s">
        <v>342</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233</v>
      </c>
      <c r="B1" s="30">
        <v>1</v>
      </c>
      <c r="C1" s="30">
        <v>2</v>
      </c>
      <c r="D1" s="30">
        <v>3</v>
      </c>
      <c r="E1" s="30">
        <v>4</v>
      </c>
      <c r="F1" s="30">
        <v>5</v>
      </c>
      <c r="G1" s="30">
        <v>6</v>
      </c>
      <c r="H1" s="30">
        <v>7</v>
      </c>
      <c r="I1" s="30">
        <v>8</v>
      </c>
    </row>
    <row r="2" spans="1:9" s="4" customFormat="1" ht="21" customHeight="1" x14ac:dyDescent="0.15">
      <c r="A2" s="141" t="s">
        <v>234</v>
      </c>
      <c r="B2" s="142"/>
      <c r="C2" s="143"/>
      <c r="D2" s="144" t="s">
        <v>235</v>
      </c>
      <c r="E2" s="144">
        <v>30</v>
      </c>
      <c r="F2" s="144">
        <v>40</v>
      </c>
      <c r="G2" s="144">
        <f>15+F2</f>
        <v>55</v>
      </c>
      <c r="H2" s="143"/>
      <c r="I2" s="143"/>
    </row>
    <row r="3" spans="1:9" s="4" customFormat="1" ht="21" customHeight="1" x14ac:dyDescent="0.15">
      <c r="A3" s="141" t="s">
        <v>236</v>
      </c>
      <c r="B3" s="145"/>
      <c r="C3" s="146"/>
      <c r="D3" s="147" t="s">
        <v>235</v>
      </c>
      <c r="E3" s="147">
        <v>25</v>
      </c>
      <c r="F3" s="147">
        <v>35</v>
      </c>
      <c r="G3" s="144">
        <f t="shared" ref="G3:G4" si="0">15+F3</f>
        <v>50</v>
      </c>
      <c r="H3" s="146"/>
      <c r="I3" s="146"/>
    </row>
    <row r="4" spans="1:9" s="4" customFormat="1" ht="21" customHeight="1" x14ac:dyDescent="0.15">
      <c r="A4" s="141" t="s">
        <v>237</v>
      </c>
      <c r="B4" s="148"/>
      <c r="C4" s="149"/>
      <c r="D4" s="150">
        <v>10</v>
      </c>
      <c r="E4" s="150">
        <v>20</v>
      </c>
      <c r="F4" s="150">
        <v>30</v>
      </c>
      <c r="G4" s="150">
        <f t="shared" si="0"/>
        <v>45</v>
      </c>
      <c r="H4" s="149"/>
      <c r="I4" s="149"/>
    </row>
    <row r="5" spans="1:9" s="4" customFormat="1" ht="21" customHeight="1" x14ac:dyDescent="0.15">
      <c r="A5" s="160" t="s">
        <v>238</v>
      </c>
      <c r="B5" s="155"/>
      <c r="C5" s="156"/>
      <c r="D5" s="26">
        <v>9</v>
      </c>
      <c r="E5" s="26">
        <v>18</v>
      </c>
      <c r="F5" s="26">
        <v>28</v>
      </c>
      <c r="G5" s="37">
        <v>38</v>
      </c>
      <c r="H5" s="156"/>
      <c r="I5" s="156"/>
    </row>
    <row r="6" spans="1:9" s="4" customFormat="1" ht="21" customHeight="1" x14ac:dyDescent="0.15">
      <c r="A6" s="160" t="s">
        <v>239</v>
      </c>
      <c r="B6" s="155"/>
      <c r="C6" s="156"/>
      <c r="D6" s="26">
        <v>7</v>
      </c>
      <c r="E6" s="26">
        <v>16</v>
      </c>
      <c r="F6" s="65" t="s">
        <v>11</v>
      </c>
      <c r="G6" s="65" t="s">
        <v>11</v>
      </c>
      <c r="H6" s="156"/>
      <c r="I6" s="156"/>
    </row>
    <row r="7" spans="1:9" ht="21" customHeight="1" x14ac:dyDescent="0.15">
      <c r="A7" s="70" t="s">
        <v>240</v>
      </c>
      <c r="B7" s="43" t="s">
        <v>11</v>
      </c>
      <c r="C7" s="43" t="s">
        <v>11</v>
      </c>
      <c r="D7" s="37" t="s">
        <v>235</v>
      </c>
      <c r="E7" s="37" t="s">
        <v>235</v>
      </c>
      <c r="F7" s="37" t="s">
        <v>235</v>
      </c>
      <c r="G7" s="37" t="s">
        <v>235</v>
      </c>
      <c r="H7" s="37" t="s">
        <v>235</v>
      </c>
      <c r="I7" s="37" t="s">
        <v>235</v>
      </c>
    </row>
    <row r="8" spans="1:9" ht="21" customHeight="1" x14ac:dyDescent="0.15">
      <c r="A8" s="71" t="s">
        <v>241</v>
      </c>
      <c r="B8" s="43" t="s">
        <v>11</v>
      </c>
      <c r="C8" s="43" t="s">
        <v>11</v>
      </c>
      <c r="D8" s="37" t="s">
        <v>235</v>
      </c>
      <c r="E8" s="37">
        <v>30</v>
      </c>
      <c r="F8" s="37">
        <v>40</v>
      </c>
      <c r="G8" s="37">
        <f>15+F8</f>
        <v>55</v>
      </c>
      <c r="H8" s="37" t="s">
        <v>235</v>
      </c>
      <c r="I8" s="37" t="s">
        <v>235</v>
      </c>
    </row>
    <row r="9" spans="1:9" s="42" customFormat="1" ht="21" customHeight="1" x14ac:dyDescent="0.15">
      <c r="A9" s="72" t="s">
        <v>311</v>
      </c>
      <c r="B9" s="26" t="s">
        <v>11</v>
      </c>
      <c r="C9" s="26" t="s">
        <v>11</v>
      </c>
      <c r="D9" s="102" t="s">
        <v>109</v>
      </c>
      <c r="E9" s="102" t="s">
        <v>109</v>
      </c>
      <c r="F9" s="102">
        <v>38</v>
      </c>
      <c r="G9" s="37">
        <f>15+F9</f>
        <v>53</v>
      </c>
      <c r="H9" s="102" t="s">
        <v>109</v>
      </c>
      <c r="I9" s="102" t="s">
        <v>109</v>
      </c>
    </row>
    <row r="10" spans="1:9" s="42" customFormat="1" ht="21" customHeight="1" x14ac:dyDescent="0.15">
      <c r="A10" s="72" t="s">
        <v>242</v>
      </c>
      <c r="B10" s="26" t="s">
        <v>11</v>
      </c>
      <c r="C10" s="26" t="s">
        <v>11</v>
      </c>
      <c r="D10" s="102" t="s">
        <v>235</v>
      </c>
      <c r="E10" s="102">
        <v>25</v>
      </c>
      <c r="F10" s="102">
        <v>35</v>
      </c>
      <c r="G10" s="37">
        <f t="shared" ref="G10:G11" si="1">15+F10</f>
        <v>50</v>
      </c>
      <c r="H10" s="102" t="s">
        <v>235</v>
      </c>
      <c r="I10" s="102" t="s">
        <v>235</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243</v>
      </c>
      <c r="B12" s="65" t="s">
        <v>11</v>
      </c>
      <c r="C12" s="65" t="s">
        <v>11</v>
      </c>
      <c r="D12" s="26">
        <v>9</v>
      </c>
      <c r="E12" s="26">
        <v>18</v>
      </c>
      <c r="F12" s="26">
        <v>28</v>
      </c>
      <c r="G12" s="37">
        <v>38</v>
      </c>
      <c r="H12" s="65" t="s">
        <v>11</v>
      </c>
      <c r="I12" s="65" t="s">
        <v>11</v>
      </c>
    </row>
    <row r="13" spans="1:9" ht="21" customHeight="1" x14ac:dyDescent="0.15">
      <c r="A13" s="72" t="s">
        <v>244</v>
      </c>
      <c r="B13" s="65" t="s">
        <v>11</v>
      </c>
      <c r="C13" s="65" t="s">
        <v>11</v>
      </c>
      <c r="D13" s="26">
        <v>7</v>
      </c>
      <c r="E13" s="26">
        <v>16</v>
      </c>
      <c r="F13" s="183">
        <v>26</v>
      </c>
      <c r="G13" s="65" t="s">
        <v>11</v>
      </c>
      <c r="H13" s="65" t="s">
        <v>11</v>
      </c>
      <c r="I13" s="65" t="s">
        <v>11</v>
      </c>
    </row>
    <row r="14" spans="1:9" ht="21" customHeight="1" x14ac:dyDescent="0.15">
      <c r="A14" s="101" t="s">
        <v>245</v>
      </c>
      <c r="B14" s="65" t="s">
        <v>11</v>
      </c>
      <c r="C14" s="65" t="s">
        <v>11</v>
      </c>
      <c r="D14" s="26">
        <v>8</v>
      </c>
      <c r="E14" s="26">
        <v>17</v>
      </c>
      <c r="F14" s="26">
        <v>26</v>
      </c>
      <c r="G14" s="65" t="s">
        <v>11</v>
      </c>
      <c r="H14" s="65" t="s">
        <v>11</v>
      </c>
      <c r="I14" s="65" t="s">
        <v>11</v>
      </c>
    </row>
    <row r="15" spans="1:9" ht="21" customHeight="1" x14ac:dyDescent="0.15">
      <c r="A15" s="72" t="s">
        <v>246</v>
      </c>
      <c r="B15" s="65" t="s">
        <v>11</v>
      </c>
      <c r="C15" s="65" t="s">
        <v>11</v>
      </c>
      <c r="D15" s="26">
        <v>8</v>
      </c>
      <c r="E15" s="26">
        <v>17</v>
      </c>
      <c r="F15" s="26">
        <v>26</v>
      </c>
      <c r="G15" s="65" t="s">
        <v>11</v>
      </c>
      <c r="H15" s="65" t="s">
        <v>11</v>
      </c>
      <c r="I15" s="65" t="s">
        <v>11</v>
      </c>
    </row>
    <row r="16" spans="1:9" ht="21" customHeight="1" x14ac:dyDescent="0.15">
      <c r="A16" s="72" t="s">
        <v>247</v>
      </c>
      <c r="B16" s="65" t="s">
        <v>11</v>
      </c>
      <c r="C16" s="65" t="s">
        <v>11</v>
      </c>
      <c r="D16" s="26">
        <v>6</v>
      </c>
      <c r="E16" s="26">
        <v>14</v>
      </c>
      <c r="F16" s="65" t="s">
        <v>11</v>
      </c>
      <c r="G16" s="65" t="s">
        <v>11</v>
      </c>
      <c r="H16" s="65" t="s">
        <v>11</v>
      </c>
      <c r="I16" s="65" t="s">
        <v>11</v>
      </c>
    </row>
    <row r="17" spans="1:9" ht="21" customHeight="1" x14ac:dyDescent="0.15">
      <c r="A17" s="72" t="s">
        <v>248</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249</v>
      </c>
      <c r="B20" s="24">
        <v>1</v>
      </c>
      <c r="C20" s="24">
        <v>1</v>
      </c>
      <c r="D20" s="66" t="s">
        <v>11</v>
      </c>
      <c r="E20" s="66" t="s">
        <v>11</v>
      </c>
      <c r="F20" s="66" t="s">
        <v>11</v>
      </c>
      <c r="G20" s="66" t="s">
        <v>11</v>
      </c>
      <c r="H20" s="66" t="s">
        <v>11</v>
      </c>
      <c r="I20" s="66" t="s">
        <v>11</v>
      </c>
    </row>
    <row r="21" spans="1:9" ht="21" customHeight="1" x14ac:dyDescent="0.15">
      <c r="A21" s="35" t="s">
        <v>250</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234</v>
      </c>
      <c r="B2" s="157"/>
      <c r="C2" s="143"/>
      <c r="D2" s="151" t="s">
        <v>109</v>
      </c>
      <c r="E2" s="151">
        <v>60</v>
      </c>
      <c r="F2" s="151">
        <v>80</v>
      </c>
      <c r="G2" s="151">
        <v>99</v>
      </c>
      <c r="H2" s="143"/>
      <c r="I2" s="143"/>
    </row>
    <row r="3" spans="1:9" s="4" customFormat="1" ht="21" customHeight="1" x14ac:dyDescent="0.15">
      <c r="A3" s="141" t="s">
        <v>236</v>
      </c>
      <c r="B3" s="158"/>
      <c r="C3" s="146"/>
      <c r="D3" s="151" t="s">
        <v>109</v>
      </c>
      <c r="E3" s="151">
        <v>60</v>
      </c>
      <c r="F3" s="151">
        <v>80</v>
      </c>
      <c r="G3" s="151">
        <v>99</v>
      </c>
      <c r="H3" s="146"/>
      <c r="I3" s="146"/>
    </row>
    <row r="4" spans="1:9" s="4" customFormat="1" ht="21" customHeight="1" x14ac:dyDescent="0.15">
      <c r="A4" s="141" t="s">
        <v>230</v>
      </c>
      <c r="B4" s="159"/>
      <c r="C4" s="149"/>
      <c r="D4" s="151">
        <v>40</v>
      </c>
      <c r="E4" s="151">
        <v>60</v>
      </c>
      <c r="F4" s="151">
        <v>80</v>
      </c>
      <c r="G4" s="151">
        <v>99</v>
      </c>
      <c r="H4" s="149"/>
      <c r="I4" s="149"/>
    </row>
    <row r="5" spans="1:9" s="4" customFormat="1" ht="21" customHeight="1" x14ac:dyDescent="0.15">
      <c r="A5" s="160" t="s">
        <v>238</v>
      </c>
      <c r="B5" s="155"/>
      <c r="C5" s="156"/>
      <c r="D5" s="151">
        <v>40</v>
      </c>
      <c r="E5" s="151">
        <v>60</v>
      </c>
      <c r="F5" s="151">
        <v>80</v>
      </c>
      <c r="G5" s="151">
        <v>99</v>
      </c>
      <c r="H5" s="156"/>
      <c r="I5" s="156"/>
    </row>
    <row r="6" spans="1:9" s="4" customFormat="1" ht="21" customHeight="1" x14ac:dyDescent="0.15">
      <c r="A6" s="160" t="s">
        <v>239</v>
      </c>
      <c r="B6" s="155"/>
      <c r="C6" s="156"/>
      <c r="D6" s="151">
        <v>40</v>
      </c>
      <c r="E6" s="151">
        <v>60</v>
      </c>
      <c r="F6" s="151" t="s">
        <v>109</v>
      </c>
      <c r="G6" s="151" t="s">
        <v>109</v>
      </c>
      <c r="H6" s="156"/>
      <c r="I6" s="156"/>
    </row>
    <row r="7" spans="1:9" ht="21" customHeight="1" x14ac:dyDescent="0.15">
      <c r="A7" s="70" t="s">
        <v>206</v>
      </c>
      <c r="B7" s="38" t="s">
        <v>109</v>
      </c>
      <c r="C7" s="38" t="s">
        <v>109</v>
      </c>
      <c r="D7" s="38" t="s">
        <v>109</v>
      </c>
      <c r="E7" s="38" t="s">
        <v>109</v>
      </c>
      <c r="F7" s="38" t="s">
        <v>109</v>
      </c>
      <c r="G7" s="38" t="s">
        <v>109</v>
      </c>
      <c r="H7" s="38" t="s">
        <v>109</v>
      </c>
      <c r="I7" s="38" t="s">
        <v>109</v>
      </c>
    </row>
    <row r="8" spans="1:9" ht="21" customHeight="1" x14ac:dyDescent="0.15">
      <c r="A8" s="71" t="s">
        <v>241</v>
      </c>
      <c r="B8" s="38" t="s">
        <v>109</v>
      </c>
      <c r="C8" s="38" t="s">
        <v>109</v>
      </c>
      <c r="D8" s="38" t="s">
        <v>109</v>
      </c>
      <c r="E8" s="38">
        <v>60</v>
      </c>
      <c r="F8" s="38">
        <v>80</v>
      </c>
      <c r="G8" s="38">
        <v>99</v>
      </c>
      <c r="H8" s="38" t="s">
        <v>109</v>
      </c>
      <c r="I8" s="38" t="s">
        <v>109</v>
      </c>
    </row>
    <row r="9" spans="1:9" s="42" customFormat="1" ht="21" customHeight="1" x14ac:dyDescent="0.15">
      <c r="A9" s="72" t="s">
        <v>312</v>
      </c>
      <c r="B9" s="62" t="s">
        <v>109</v>
      </c>
      <c r="C9" s="62" t="s">
        <v>109</v>
      </c>
      <c r="D9" s="62" t="s">
        <v>109</v>
      </c>
      <c r="E9" s="62" t="s">
        <v>109</v>
      </c>
      <c r="F9" s="62">
        <v>80</v>
      </c>
      <c r="G9" s="62">
        <v>99</v>
      </c>
      <c r="H9" s="62" t="s">
        <v>109</v>
      </c>
      <c r="I9" s="62" t="s">
        <v>109</v>
      </c>
    </row>
    <row r="10" spans="1:9" s="42" customFormat="1" ht="21" customHeight="1" x14ac:dyDescent="0.15">
      <c r="A10" s="72" t="s">
        <v>242</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209</v>
      </c>
      <c r="B12" s="67" t="s">
        <v>109</v>
      </c>
      <c r="C12" s="67" t="s">
        <v>109</v>
      </c>
      <c r="D12" s="34">
        <v>40</v>
      </c>
      <c r="E12" s="34">
        <v>60</v>
      </c>
      <c r="F12" s="34">
        <v>80</v>
      </c>
      <c r="G12" s="62">
        <v>99</v>
      </c>
      <c r="H12" s="67" t="s">
        <v>109</v>
      </c>
      <c r="I12" s="67" t="s">
        <v>109</v>
      </c>
    </row>
    <row r="13" spans="1:9" ht="21" customHeight="1" x14ac:dyDescent="0.15">
      <c r="A13" s="72" t="s">
        <v>205</v>
      </c>
      <c r="B13" s="67" t="s">
        <v>109</v>
      </c>
      <c r="C13" s="67" t="s">
        <v>109</v>
      </c>
      <c r="D13" s="34">
        <v>40</v>
      </c>
      <c r="E13" s="34">
        <v>60</v>
      </c>
      <c r="F13" s="184">
        <v>80</v>
      </c>
      <c r="G13" s="67" t="s">
        <v>109</v>
      </c>
      <c r="H13" s="67" t="s">
        <v>109</v>
      </c>
      <c r="I13" s="67" t="s">
        <v>109</v>
      </c>
    </row>
    <row r="14" spans="1:9" ht="21" customHeight="1" x14ac:dyDescent="0.15">
      <c r="A14" s="101" t="s">
        <v>245</v>
      </c>
      <c r="B14" s="67" t="s">
        <v>109</v>
      </c>
      <c r="C14" s="67" t="s">
        <v>109</v>
      </c>
      <c r="D14" s="34">
        <v>40</v>
      </c>
      <c r="E14" s="34">
        <v>60</v>
      </c>
      <c r="F14" s="34">
        <v>80</v>
      </c>
      <c r="G14" s="67" t="s">
        <v>109</v>
      </c>
      <c r="H14" s="67" t="s">
        <v>109</v>
      </c>
      <c r="I14" s="67" t="s">
        <v>109</v>
      </c>
    </row>
    <row r="15" spans="1:9" ht="21" customHeight="1" x14ac:dyDescent="0.15">
      <c r="A15" s="72" t="s">
        <v>246</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248</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215</v>
      </c>
      <c r="F19" s="67" t="s">
        <v>215</v>
      </c>
      <c r="G19" s="67" t="s">
        <v>215</v>
      </c>
      <c r="H19" s="67" t="s">
        <v>215</v>
      </c>
      <c r="I19" s="67" t="s">
        <v>215</v>
      </c>
    </row>
    <row r="20" spans="1:9" ht="21" customHeight="1" x14ac:dyDescent="0.15">
      <c r="A20" s="74" t="s">
        <v>249</v>
      </c>
      <c r="B20" s="34">
        <v>10</v>
      </c>
      <c r="C20" s="34">
        <v>20</v>
      </c>
      <c r="D20" s="67" t="s">
        <v>215</v>
      </c>
      <c r="E20" s="67" t="s">
        <v>215</v>
      </c>
      <c r="F20" s="67" t="s">
        <v>215</v>
      </c>
      <c r="G20" s="67" t="s">
        <v>215</v>
      </c>
      <c r="H20" s="67" t="s">
        <v>215</v>
      </c>
      <c r="I20" s="67" t="s">
        <v>215</v>
      </c>
    </row>
    <row r="21" spans="1:9" ht="21" customHeight="1" x14ac:dyDescent="0.15">
      <c r="A21" s="35" t="s">
        <v>250</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234</v>
      </c>
      <c r="B2" s="142"/>
      <c r="C2" s="143"/>
      <c r="D2" s="151" t="s">
        <v>109</v>
      </c>
      <c r="E2" s="152" t="s">
        <v>59</v>
      </c>
      <c r="F2" s="152" t="s">
        <v>59</v>
      </c>
      <c r="G2" s="152" t="s">
        <v>251</v>
      </c>
      <c r="H2" s="143"/>
      <c r="I2" s="143"/>
    </row>
    <row r="3" spans="1:11" s="4" customFormat="1" ht="21" customHeight="1" x14ac:dyDescent="0.15">
      <c r="A3" s="141" t="s">
        <v>236</v>
      </c>
      <c r="B3" s="145"/>
      <c r="C3" s="146"/>
      <c r="D3" s="152" t="s">
        <v>59</v>
      </c>
      <c r="E3" s="152" t="s">
        <v>59</v>
      </c>
      <c r="F3" s="152" t="s">
        <v>59</v>
      </c>
      <c r="G3" s="152" t="s">
        <v>229</v>
      </c>
      <c r="H3" s="146"/>
      <c r="I3" s="146"/>
    </row>
    <row r="4" spans="1:11" s="4" customFormat="1" ht="21" customHeight="1" x14ac:dyDescent="0.15">
      <c r="A4" s="141" t="s">
        <v>230</v>
      </c>
      <c r="B4" s="148"/>
      <c r="C4" s="149"/>
      <c r="D4" s="153" t="s">
        <v>59</v>
      </c>
      <c r="E4" s="153" t="s">
        <v>59</v>
      </c>
      <c r="F4" s="153" t="s">
        <v>59</v>
      </c>
      <c r="G4" s="152" t="s">
        <v>229</v>
      </c>
      <c r="H4" s="149"/>
      <c r="I4" s="149"/>
    </row>
    <row r="5" spans="1:11" s="4" customFormat="1" ht="21" customHeight="1" x14ac:dyDescent="0.15">
      <c r="A5" s="160" t="s">
        <v>238</v>
      </c>
      <c r="B5" s="155"/>
      <c r="C5" s="156"/>
      <c r="D5" s="153" t="s">
        <v>59</v>
      </c>
      <c r="E5" s="153" t="s">
        <v>59</v>
      </c>
      <c r="F5" s="153" t="s">
        <v>59</v>
      </c>
      <c r="G5" s="152" t="s">
        <v>219</v>
      </c>
      <c r="H5" s="156"/>
      <c r="I5" s="156"/>
    </row>
    <row r="6" spans="1:11" s="4" customFormat="1" ht="21" customHeight="1" x14ac:dyDescent="0.15">
      <c r="A6" s="160" t="s">
        <v>239</v>
      </c>
      <c r="B6" s="155"/>
      <c r="C6" s="156"/>
      <c r="D6" s="161" t="s">
        <v>60</v>
      </c>
      <c r="E6" s="161" t="s">
        <v>60</v>
      </c>
      <c r="F6" s="151" t="s">
        <v>109</v>
      </c>
      <c r="G6" s="151" t="s">
        <v>109</v>
      </c>
      <c r="H6" s="156"/>
      <c r="I6" s="156"/>
    </row>
    <row r="7" spans="1:11" ht="21" customHeight="1" x14ac:dyDescent="0.15">
      <c r="A7" s="70" t="s">
        <v>206</v>
      </c>
      <c r="B7" s="38" t="s">
        <v>109</v>
      </c>
      <c r="C7" s="38" t="s">
        <v>109</v>
      </c>
      <c r="D7" s="38" t="s">
        <v>109</v>
      </c>
      <c r="E7" s="38" t="s">
        <v>109</v>
      </c>
      <c r="F7" s="38" t="s">
        <v>109</v>
      </c>
      <c r="G7" s="38" t="s">
        <v>109</v>
      </c>
      <c r="H7" s="38" t="s">
        <v>109</v>
      </c>
      <c r="I7" s="38" t="s">
        <v>109</v>
      </c>
    </row>
    <row r="8" spans="1:11" ht="21" customHeight="1" x14ac:dyDescent="0.15">
      <c r="A8" s="71" t="s">
        <v>241</v>
      </c>
      <c r="B8" s="38" t="s">
        <v>109</v>
      </c>
      <c r="C8" s="38" t="s">
        <v>109</v>
      </c>
      <c r="D8" s="38" t="s">
        <v>216</v>
      </c>
      <c r="E8" s="48" t="s">
        <v>115</v>
      </c>
      <c r="F8" s="48" t="s">
        <v>115</v>
      </c>
      <c r="G8" s="48" t="s">
        <v>217</v>
      </c>
      <c r="H8" s="38" t="s">
        <v>216</v>
      </c>
      <c r="I8" s="38" t="s">
        <v>109</v>
      </c>
    </row>
    <row r="9" spans="1:11" s="42" customFormat="1" ht="21" customHeight="1" x14ac:dyDescent="0.15">
      <c r="A9" s="72" t="s">
        <v>311</v>
      </c>
      <c r="B9" s="62" t="s">
        <v>109</v>
      </c>
      <c r="C9" s="62" t="s">
        <v>109</v>
      </c>
      <c r="D9" s="62" t="s">
        <v>109</v>
      </c>
      <c r="E9" s="62" t="s">
        <v>109</v>
      </c>
      <c r="F9" s="48" t="s">
        <v>59</v>
      </c>
      <c r="G9" s="48" t="s">
        <v>115</v>
      </c>
      <c r="H9" s="62" t="s">
        <v>109</v>
      </c>
      <c r="I9" s="62" t="s">
        <v>109</v>
      </c>
    </row>
    <row r="10" spans="1:11" s="42" customFormat="1" ht="21" customHeight="1" x14ac:dyDescent="0.15">
      <c r="A10" s="72" t="s">
        <v>242</v>
      </c>
      <c r="B10" s="62" t="s">
        <v>109</v>
      </c>
      <c r="C10" s="62" t="s">
        <v>109</v>
      </c>
      <c r="D10" s="62" t="s">
        <v>109</v>
      </c>
      <c r="E10" s="48" t="s">
        <v>59</v>
      </c>
      <c r="F10" s="48" t="s">
        <v>59</v>
      </c>
      <c r="G10" s="48" t="s">
        <v>115</v>
      </c>
      <c r="H10" s="62" t="s">
        <v>218</v>
      </c>
      <c r="I10" s="62" t="s">
        <v>218</v>
      </c>
    </row>
    <row r="11" spans="1:11" ht="21" customHeight="1" x14ac:dyDescent="0.15">
      <c r="A11" s="72" t="s">
        <v>9</v>
      </c>
      <c r="B11" s="67" t="s">
        <v>109</v>
      </c>
      <c r="C11" s="67" t="s">
        <v>109</v>
      </c>
      <c r="D11" s="48" t="s">
        <v>59</v>
      </c>
      <c r="E11" s="48" t="s">
        <v>59</v>
      </c>
      <c r="F11" s="48" t="s">
        <v>59</v>
      </c>
      <c r="G11" s="48" t="s">
        <v>219</v>
      </c>
      <c r="H11" s="67" t="s">
        <v>218</v>
      </c>
      <c r="I11" s="67" t="s">
        <v>218</v>
      </c>
      <c r="K11" s="25" t="s">
        <v>12</v>
      </c>
    </row>
    <row r="12" spans="1:11" ht="21" customHeight="1" x14ac:dyDescent="0.15">
      <c r="A12" s="72" t="s">
        <v>209</v>
      </c>
      <c r="B12" s="67" t="s">
        <v>109</v>
      </c>
      <c r="C12" s="67" t="s">
        <v>109</v>
      </c>
      <c r="D12" s="49" t="s">
        <v>59</v>
      </c>
      <c r="E12" s="49" t="s">
        <v>59</v>
      </c>
      <c r="F12" s="49" t="s">
        <v>59</v>
      </c>
      <c r="G12" s="48" t="s">
        <v>219</v>
      </c>
      <c r="H12" s="67" t="s">
        <v>218</v>
      </c>
      <c r="I12" s="67" t="s">
        <v>218</v>
      </c>
      <c r="K12" s="27" t="s">
        <v>13</v>
      </c>
    </row>
    <row r="13" spans="1:11" ht="21" customHeight="1" x14ac:dyDescent="0.15">
      <c r="A13" s="72" t="s">
        <v>205</v>
      </c>
      <c r="B13" s="67" t="s">
        <v>109</v>
      </c>
      <c r="C13" s="67" t="s">
        <v>109</v>
      </c>
      <c r="D13" s="50" t="s">
        <v>60</v>
      </c>
      <c r="E13" s="50" t="s">
        <v>60</v>
      </c>
      <c r="F13" s="185" t="s">
        <v>59</v>
      </c>
      <c r="G13" s="67" t="s">
        <v>109</v>
      </c>
      <c r="H13" s="67" t="s">
        <v>109</v>
      </c>
      <c r="I13" s="67" t="s">
        <v>109</v>
      </c>
      <c r="K13" s="68" t="s">
        <v>35</v>
      </c>
    </row>
    <row r="14" spans="1:11" ht="21" customHeight="1" x14ac:dyDescent="0.15">
      <c r="A14" s="101" t="s">
        <v>245</v>
      </c>
      <c r="B14" s="67" t="s">
        <v>109</v>
      </c>
      <c r="C14" s="67" t="s">
        <v>109</v>
      </c>
      <c r="D14" s="51" t="s">
        <v>59</v>
      </c>
      <c r="E14" s="51" t="s">
        <v>59</v>
      </c>
      <c r="F14" s="51" t="s">
        <v>59</v>
      </c>
      <c r="G14" s="67" t="s">
        <v>109</v>
      </c>
      <c r="H14" s="67" t="s">
        <v>109</v>
      </c>
      <c r="I14" s="67" t="s">
        <v>109</v>
      </c>
      <c r="K14" s="69"/>
    </row>
    <row r="15" spans="1:11" ht="21" customHeight="1" x14ac:dyDescent="0.15">
      <c r="A15" s="72" t="s">
        <v>246</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248</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249</v>
      </c>
      <c r="B20" s="49" t="s">
        <v>63</v>
      </c>
      <c r="C20" s="49" t="s">
        <v>63</v>
      </c>
      <c r="D20" s="67" t="s">
        <v>109</v>
      </c>
      <c r="E20" s="67" t="s">
        <v>109</v>
      </c>
      <c r="F20" s="67" t="s">
        <v>109</v>
      </c>
      <c r="G20" s="67" t="s">
        <v>109</v>
      </c>
      <c r="H20" s="67" t="s">
        <v>109</v>
      </c>
      <c r="I20" s="67" t="s">
        <v>109</v>
      </c>
    </row>
    <row r="21" spans="1:9" ht="21" customHeight="1" x14ac:dyDescent="0.15">
      <c r="A21" s="35" t="s">
        <v>250</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227</v>
      </c>
      <c r="B2" s="142"/>
      <c r="C2" s="143"/>
      <c r="D2" s="154" t="s">
        <v>11</v>
      </c>
      <c r="E2" s="154">
        <v>8000</v>
      </c>
      <c r="F2" s="154">
        <v>10000</v>
      </c>
      <c r="G2" s="154">
        <v>14000</v>
      </c>
      <c r="H2" s="143"/>
      <c r="I2" s="143"/>
    </row>
    <row r="3" spans="1:9" s="4" customFormat="1" ht="21" customHeight="1" x14ac:dyDescent="0.15">
      <c r="A3" s="141" t="s">
        <v>228</v>
      </c>
      <c r="B3" s="145"/>
      <c r="C3" s="146"/>
      <c r="D3" s="154" t="s">
        <v>11</v>
      </c>
      <c r="E3" s="154">
        <v>7500</v>
      </c>
      <c r="F3" s="154">
        <v>9500</v>
      </c>
      <c r="G3" s="154">
        <v>13000</v>
      </c>
      <c r="H3" s="146"/>
      <c r="I3" s="146"/>
    </row>
    <row r="4" spans="1:9" s="4" customFormat="1" ht="21" customHeight="1" x14ac:dyDescent="0.15">
      <c r="A4" s="141" t="s">
        <v>230</v>
      </c>
      <c r="B4" s="148"/>
      <c r="C4" s="149"/>
      <c r="D4" s="154">
        <v>5000</v>
      </c>
      <c r="E4" s="154">
        <v>7000</v>
      </c>
      <c r="F4" s="154">
        <v>9000</v>
      </c>
      <c r="G4" s="154">
        <v>12000</v>
      </c>
      <c r="H4" s="149"/>
      <c r="I4" s="149"/>
    </row>
    <row r="5" spans="1:9" s="4" customFormat="1" ht="21" customHeight="1" x14ac:dyDescent="0.15">
      <c r="A5" s="160" t="s">
        <v>231</v>
      </c>
      <c r="B5" s="155"/>
      <c r="C5" s="156"/>
      <c r="D5" s="154">
        <v>4900</v>
      </c>
      <c r="E5" s="154">
        <v>6700</v>
      </c>
      <c r="F5" s="154">
        <v>8500</v>
      </c>
      <c r="G5" s="154">
        <v>11000</v>
      </c>
      <c r="H5" s="156"/>
      <c r="I5" s="156"/>
    </row>
    <row r="6" spans="1:9" s="4" customFormat="1" ht="21" customHeight="1" x14ac:dyDescent="0.15">
      <c r="A6" s="160" t="s">
        <v>232</v>
      </c>
      <c r="B6" s="155"/>
      <c r="C6" s="156"/>
      <c r="D6" s="154">
        <v>4800</v>
      </c>
      <c r="E6" s="154">
        <v>6600</v>
      </c>
      <c r="F6" s="154" t="s">
        <v>11</v>
      </c>
      <c r="G6" s="154" t="s">
        <v>11</v>
      </c>
      <c r="H6" s="156"/>
      <c r="I6" s="156"/>
    </row>
    <row r="7" spans="1:9" ht="21" customHeight="1" x14ac:dyDescent="0.15">
      <c r="A7" s="70" t="s">
        <v>206</v>
      </c>
      <c r="B7" s="43" t="s">
        <v>11</v>
      </c>
      <c r="C7" s="43" t="s">
        <v>11</v>
      </c>
      <c r="D7" s="43" t="s">
        <v>11</v>
      </c>
      <c r="E7" s="43" t="s">
        <v>11</v>
      </c>
      <c r="F7" s="43" t="s">
        <v>11</v>
      </c>
      <c r="G7" s="43" t="s">
        <v>11</v>
      </c>
      <c r="H7" s="43" t="s">
        <v>11</v>
      </c>
      <c r="I7" s="43" t="s">
        <v>11</v>
      </c>
    </row>
    <row r="8" spans="1:9" ht="21" customHeight="1" x14ac:dyDescent="0.15">
      <c r="A8" s="71" t="s">
        <v>207</v>
      </c>
      <c r="B8" s="43" t="s">
        <v>11</v>
      </c>
      <c r="C8" s="43" t="s">
        <v>11</v>
      </c>
      <c r="D8" s="43" t="s">
        <v>11</v>
      </c>
      <c r="E8" s="43">
        <v>8000</v>
      </c>
      <c r="F8" s="26">
        <v>10000</v>
      </c>
      <c r="G8" s="43">
        <v>14000</v>
      </c>
      <c r="H8" s="43" t="s">
        <v>11</v>
      </c>
      <c r="I8" s="43" t="s">
        <v>11</v>
      </c>
    </row>
    <row r="9" spans="1:9" s="42" customFormat="1" ht="21" customHeight="1" x14ac:dyDescent="0.15">
      <c r="A9" s="182" t="s">
        <v>313</v>
      </c>
      <c r="B9" s="26" t="s">
        <v>11</v>
      </c>
      <c r="C9" s="26" t="s">
        <v>11</v>
      </c>
      <c r="D9" s="26" t="s">
        <v>11</v>
      </c>
      <c r="E9" s="26" t="s">
        <v>11</v>
      </c>
      <c r="F9" s="26">
        <v>10000</v>
      </c>
      <c r="G9" s="43">
        <v>14000</v>
      </c>
      <c r="H9" s="26" t="s">
        <v>11</v>
      </c>
      <c r="I9" s="26" t="s">
        <v>11</v>
      </c>
    </row>
    <row r="10" spans="1:9" s="42" customFormat="1" ht="21" customHeight="1" x14ac:dyDescent="0.15">
      <c r="A10" s="72" t="s">
        <v>208</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209</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210</v>
      </c>
      <c r="B14" s="65" t="s">
        <v>11</v>
      </c>
      <c r="C14" s="65" t="s">
        <v>11</v>
      </c>
      <c r="D14" s="65" t="s">
        <v>11</v>
      </c>
      <c r="E14" s="26">
        <v>6300</v>
      </c>
      <c r="F14" s="65" t="s">
        <v>11</v>
      </c>
      <c r="G14" s="65" t="s">
        <v>11</v>
      </c>
      <c r="H14" s="65" t="s">
        <v>11</v>
      </c>
      <c r="I14" s="65" t="s">
        <v>11</v>
      </c>
    </row>
    <row r="15" spans="1:9" ht="21" customHeight="1" x14ac:dyDescent="0.15">
      <c r="A15" s="72" t="s">
        <v>211</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212</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213</v>
      </c>
      <c r="B20" s="26">
        <v>1500</v>
      </c>
      <c r="C20" s="26">
        <v>2300</v>
      </c>
      <c r="D20" s="65" t="s">
        <v>11</v>
      </c>
      <c r="E20" s="65" t="s">
        <v>11</v>
      </c>
      <c r="F20" s="65" t="s">
        <v>11</v>
      </c>
      <c r="G20" s="65" t="s">
        <v>11</v>
      </c>
      <c r="H20" s="65" t="s">
        <v>11</v>
      </c>
      <c r="I20" s="65" t="s">
        <v>11</v>
      </c>
    </row>
    <row r="21" spans="1:9" ht="21" customHeight="1" x14ac:dyDescent="0.15">
      <c r="A21" s="35" t="s">
        <v>214</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198</v>
      </c>
      <c r="B2" s="11">
        <v>591</v>
      </c>
    </row>
    <row r="3" spans="1:4" x14ac:dyDescent="0.15">
      <c r="A3" t="s">
        <v>199</v>
      </c>
      <c r="B3" s="128">
        <v>592</v>
      </c>
    </row>
    <row r="4" spans="1:4" x14ac:dyDescent="0.15">
      <c r="A4" t="s">
        <v>200</v>
      </c>
      <c r="B4" s="128">
        <v>593</v>
      </c>
    </row>
    <row r="7" spans="1:4" x14ac:dyDescent="0.15">
      <c r="A7" t="s">
        <v>201</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220</v>
      </c>
    </row>
    <row r="13" spans="1:4" x14ac:dyDescent="0.15">
      <c r="B13" t="s">
        <v>224</v>
      </c>
      <c r="C13" t="s">
        <v>225</v>
      </c>
      <c r="D13" t="s">
        <v>226</v>
      </c>
    </row>
    <row r="14" spans="1:4" x14ac:dyDescent="0.15">
      <c r="A14" t="s">
        <v>222</v>
      </c>
      <c r="B14" t="e">
        <f>VLOOKUP($B2,units!$A:$BN,63)</f>
        <v>#N/A</v>
      </c>
      <c r="C14" t="e">
        <f>VLOOKUP($B2,units!$A:$BN,64)</f>
        <v>#N/A</v>
      </c>
      <c r="D14" t="e">
        <f>VLOOKUP($B2,units!$A:$BN,66)</f>
        <v>#N/A</v>
      </c>
    </row>
    <row r="15" spans="1:4" x14ac:dyDescent="0.15">
      <c r="A15" t="s">
        <v>223</v>
      </c>
      <c r="B15" t="e">
        <f>VLOOKUP($B3,units!$A:$BN,63)</f>
        <v>#N/A</v>
      </c>
      <c r="C15" t="e">
        <f>VLOOKUP($B3,units!$A:$BN,64)</f>
        <v>#N/A</v>
      </c>
      <c r="D15" t="e">
        <f>VLOOKUP($B3,units!$A:$BN,66)</f>
        <v>#N/A</v>
      </c>
    </row>
    <row r="16" spans="1:4" x14ac:dyDescent="0.15">
      <c r="A16" t="s">
        <v>221</v>
      </c>
      <c r="B16" t="e">
        <f>VLOOKUP($B4,units!$A:$BN,63)</f>
        <v>#N/A</v>
      </c>
      <c r="C16" t="e">
        <f>VLOOKUP($B4,units!$A:$BN,64)</f>
        <v>#N/A</v>
      </c>
      <c r="D16" t="e">
        <f>VLOOKUP($B4,units!$A:$BN,66)</f>
        <v>#N/A</v>
      </c>
    </row>
    <row r="19" spans="1:1" ht="19" customHeight="1" x14ac:dyDescent="0.15">
      <c r="A19" t="s">
        <v>202</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203</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204</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2017-06-06T09:15:43Z</dcterms:modified>
</cp:coreProperties>
</file>