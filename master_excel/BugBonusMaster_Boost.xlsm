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5980" yWindow="660" windowWidth="21240" windowHeight="15520" tabRatio="500" activeTab="1"/>
  </bookViews>
  <sheets>
    <sheet name="output" sheetId="1" r:id="rId1"/>
    <sheet name="bugbonuses" sheetId="2" r:id="rId2"/>
  </sheets>
  <externalReferences>
    <externalReference r:id="rId3"/>
  </externalReferenc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" i="2" l="1"/>
  <c r="D8" i="2"/>
  <c r="C9" i="2"/>
  <c r="D9" i="2"/>
  <c r="C7" i="2"/>
  <c r="D7" i="2"/>
  <c r="C15" i="2"/>
  <c r="D15" i="2"/>
  <c r="C14" i="2"/>
  <c r="D14" i="2"/>
  <c r="C13" i="2"/>
  <c r="D13" i="2"/>
  <c r="C17" i="2"/>
  <c r="C18" i="2"/>
  <c r="C19" i="2"/>
  <c r="C20" i="2"/>
  <c r="C21" i="2"/>
  <c r="C22" i="2"/>
  <c r="C23" i="2"/>
  <c r="C12" i="2"/>
  <c r="D12" i="2"/>
  <c r="C16" i="2"/>
  <c r="D16" i="2"/>
  <c r="D17" i="2"/>
  <c r="D18" i="2"/>
  <c r="D19" i="2"/>
  <c r="D20" i="2"/>
  <c r="D21" i="2"/>
  <c r="D22" i="2"/>
  <c r="D23" i="2"/>
  <c r="C11" i="2"/>
  <c r="D11" i="2"/>
  <c r="C10" i="2"/>
  <c r="D10" i="2"/>
  <c r="C6" i="2"/>
  <c r="D6" i="2"/>
  <c r="C3" i="2"/>
  <c r="D3" i="2"/>
  <c r="C4" i="2"/>
  <c r="D4" i="2"/>
  <c r="C5" i="2"/>
  <c r="D5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<sst xmlns="http://schemas.openxmlformats.org/spreadsheetml/2006/main" count="115" uniqueCount="38">
  <si>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</si>
  <si>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</si>
  <si>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</si>
  <si>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</si>
  <si>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</si>
  <si>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</si>
  <si>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</si>
  <si>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</si>
  <si>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</si>
  <si>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</si>
  <si>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</si>
  <si>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</si>
  <si>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</si>
  <si>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</si>
  <si>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</si>
  <si>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</si>
  <si>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</si>
  <si>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</si>
  <si>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</si>
  <si>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</si>
  <si>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</si>
  <si>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</si>
  <si>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</si>
  <si>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</si>
  <si>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</si>
  <si>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</si>
  <si>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</si>
  <si>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2015-03-27 00:00:00</t>
  </si>
  <si>
    <t>2970-01-01 09:00:00</t>
  </si>
  <si>
    <t>stage_bug_bonuses_</t>
    <phoneticPr fontId="3"/>
  </si>
  <si>
    <t>stage_target</t>
    <phoneticPr fontId="3"/>
  </si>
  <si>
    <t>old</t>
    <phoneticPr fontId="4"/>
  </si>
  <si>
    <t>unit</t>
  </si>
  <si>
    <t>boost</t>
    <phoneticPr fontId="3"/>
  </si>
  <si>
    <t>bit</t>
  </si>
  <si>
    <t>link</t>
  </si>
  <si>
    <t>null</t>
    <phoneticPr fontId="3"/>
  </si>
  <si>
    <t>null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</si>
</sst>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3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0" borderId="1" xfId="0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0" fillId="0" borderId="2" xfId="0" applyFill="1" applyBorder="1"/>
  </cellXfs>
  <cellStyles count="43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125</v>
          </cell>
          <cell r="K268">
            <v>40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1</v>
          </cell>
          <cell r="K404">
            <v>15</v>
          </cell>
          <cell r="L404">
            <v>750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1</v>
          </cell>
          <cell r="K405">
            <v>18</v>
          </cell>
          <cell r="L405">
            <v>990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>
            <v>0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1</v>
          </cell>
          <cell r="K406">
            <v>19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>
            <v>0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965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1</v>
          </cell>
          <cell r="K407">
            <v>20</v>
          </cell>
          <cell r="L407">
            <v>1300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>
            <v>0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965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コスト30以下限定</v>
          </cell>
          <cell r="I408" t="str">
            <v>タワーオブザクイーン</v>
          </cell>
          <cell r="J408">
            <v>1</v>
          </cell>
          <cell r="K408">
            <v>24</v>
          </cell>
          <cell r="L408">
            <v>1680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>
            <v>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965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コスト30以下ヒューマン限定</v>
          </cell>
          <cell r="I409" t="str">
            <v>タワーオブザクイーン</v>
          </cell>
          <cell r="J409">
            <v>1</v>
          </cell>
          <cell r="K409">
            <v>25</v>
          </cell>
          <cell r="L409">
            <v>1875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>
            <v>0</v>
          </cell>
          <cell r="U409">
            <v>13400</v>
          </cell>
          <cell r="V409">
            <v>5</v>
          </cell>
          <cell r="W409" t="str">
            <v>5階 コスト30以下限定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965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コスト制限なし</v>
          </cell>
          <cell r="I410" t="str">
            <v>タワーオブザクイーン</v>
          </cell>
          <cell r="J410">
            <v>1</v>
          </cell>
          <cell r="K410">
            <v>28</v>
          </cell>
          <cell r="L410">
            <v>2240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>
            <v>0</v>
          </cell>
          <cell r="U410">
            <v>13400</v>
          </cell>
          <cell r="V410">
            <v>6</v>
          </cell>
          <cell r="W410" t="str">
            <v>6階 コスト30以下ヒューマン限定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965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コスト28以下限定</v>
          </cell>
          <cell r="I411" t="str">
            <v>タワーオブザクイーン</v>
          </cell>
          <cell r="J411">
            <v>1</v>
          </cell>
          <cell r="K411">
            <v>30</v>
          </cell>
          <cell r="L411">
            <v>2550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0</v>
          </cell>
          <cell r="U411">
            <v>13400</v>
          </cell>
          <cell r="V411">
            <v>7</v>
          </cell>
          <cell r="W411" t="str">
            <v>7階 コスト制限なし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965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コスト28以下ヒューマン限定</v>
          </cell>
          <cell r="I412" t="str">
            <v>タワーオブザクイーン</v>
          </cell>
          <cell r="J412">
            <v>1</v>
          </cell>
          <cell r="K412">
            <v>31</v>
          </cell>
          <cell r="L412">
            <v>2790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0</v>
          </cell>
          <cell r="U412">
            <v>13400</v>
          </cell>
          <cell r="V412">
            <v>8</v>
          </cell>
          <cell r="W412" t="str">
            <v>8階 コスト28以下限定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965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ボナンザ 現る！</v>
          </cell>
          <cell r="I413" t="str">
            <v>タワーオブザクイーン</v>
          </cell>
          <cell r="J413">
            <v>1</v>
          </cell>
          <cell r="K413">
            <v>35</v>
          </cell>
          <cell r="L413">
            <v>3325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0</v>
          </cell>
          <cell r="U413">
            <v>13400</v>
          </cell>
          <cell r="V413">
            <v>9</v>
          </cell>
          <cell r="W413" t="str">
            <v>9階 コスト28以下ヒューマン限定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965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コスト30以下限定</v>
          </cell>
          <cell r="I414" t="str">
            <v>タワーオブザクイーン</v>
          </cell>
          <cell r="J414">
            <v>1</v>
          </cell>
          <cell r="K414">
            <v>37</v>
          </cell>
          <cell r="L414">
            <v>3700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>
            <v>0</v>
          </cell>
          <cell r="U414">
            <v>13400</v>
          </cell>
          <cell r="V414">
            <v>10</v>
          </cell>
          <cell r="W414" t="str">
            <v>10階 ボナンザ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965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コスト30以下ヒューマン限定</v>
          </cell>
          <cell r="I415" t="str">
            <v>タワーオブザクイーン</v>
          </cell>
          <cell r="J415">
            <v>1</v>
          </cell>
          <cell r="K415">
            <v>38</v>
          </cell>
          <cell r="L415">
            <v>3990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>
            <v>0</v>
          </cell>
          <cell r="U415">
            <v>13400</v>
          </cell>
          <cell r="V415">
            <v>11</v>
          </cell>
          <cell r="W415" t="str">
            <v>11階 コスト30以下限定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965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コスト制限なし</v>
          </cell>
          <cell r="I416" t="str">
            <v>タワーオブザクイーン</v>
          </cell>
          <cell r="J416">
            <v>1</v>
          </cell>
          <cell r="K416">
            <v>39</v>
          </cell>
          <cell r="L416">
            <v>4290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>
            <v>0</v>
          </cell>
          <cell r="U416">
            <v>13400</v>
          </cell>
          <cell r="V416">
            <v>12</v>
          </cell>
          <cell r="W416" t="str">
            <v>12階 コスト30以下ヒューマン限定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965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1</v>
          </cell>
          <cell r="K417">
            <v>40</v>
          </cell>
          <cell r="L417">
            <v>4600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>
            <v>0</v>
          </cell>
          <cell r="U417">
            <v>13400</v>
          </cell>
          <cell r="V417">
            <v>13</v>
          </cell>
          <cell r="W417" t="str">
            <v>13階 コスト制限なし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965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アヴァルシアの女王 ボナンザ</v>
          </cell>
          <cell r="I418" t="str">
            <v>タワーオブザクイーン</v>
          </cell>
          <cell r="J418">
            <v>1</v>
          </cell>
          <cell r="K418">
            <v>50</v>
          </cell>
          <cell r="L418">
            <v>6250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0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965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1</v>
          </cell>
          <cell r="C846">
            <v>47010</v>
          </cell>
          <cell r="D846" t="str">
            <v>ホワイトデー襲来（仮）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【上級】ホワイトデー襲来（仮）</v>
          </cell>
          <cell r="I846" t="str">
            <v>地獄級</v>
          </cell>
          <cell r="J846">
            <v>822</v>
          </cell>
          <cell r="K846">
            <v>15</v>
          </cell>
          <cell r="L846">
            <v>2000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969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1</v>
          </cell>
          <cell r="C847">
            <v>47010</v>
          </cell>
          <cell r="D847" t="str">
            <v>ホワイトデー襲来（仮）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【ウィザード級】ホワイトデー襲来（仮）</v>
          </cell>
          <cell r="I847" t="str">
            <v>地獄級</v>
          </cell>
          <cell r="J847">
            <v>822</v>
          </cell>
          <cell r="K847">
            <v>30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969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1</v>
          </cell>
          <cell r="C848">
            <v>47011</v>
          </cell>
          <cell r="D848" t="str">
            <v>ホワイトデーお返し（仮）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ホワイトデーお返し（仮）</v>
          </cell>
          <cell r="I848" t="str">
            <v>地獄級</v>
          </cell>
          <cell r="J848">
            <v>1351</v>
          </cell>
          <cell r="K848">
            <v>1</v>
          </cell>
          <cell r="L848">
            <v>500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926</v>
          </cell>
          <cell r="AD848">
            <v>6</v>
          </cell>
          <cell r="AE848" t="str">
            <v>everyone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49001_1</v>
          </cell>
          <cell r="B874">
            <v>3</v>
          </cell>
          <cell r="C874">
            <v>49001</v>
          </cell>
          <cell r="D874" t="str">
            <v>熱唱！初音ミクV3</v>
          </cell>
          <cell r="E874" t="str">
            <v>コラボ降臨1</v>
          </cell>
          <cell r="F874">
            <v>1</v>
          </cell>
          <cell r="G874" t="str">
            <v>ja</v>
          </cell>
          <cell r="H874" t="str">
            <v>【ウィザード級】熱唱！初音ミクV3</v>
          </cell>
          <cell r="I874" t="str">
            <v>地獄級</v>
          </cell>
          <cell r="J874">
            <v>528</v>
          </cell>
          <cell r="K874">
            <v>40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910</v>
          </cell>
          <cell r="AD874">
            <v>6</v>
          </cell>
          <cell r="AE874" t="str">
            <v>everyone</v>
          </cell>
        </row>
        <row r="875">
          <cell r="A875" t="str">
            <v>49002_1</v>
          </cell>
          <cell r="B875">
            <v>3</v>
          </cell>
          <cell r="C875">
            <v>49002</v>
          </cell>
          <cell r="D875" t="str">
            <v>園原杏里襲来！</v>
          </cell>
          <cell r="E875" t="str">
            <v>コラボ降臨2</v>
          </cell>
          <cell r="F875">
            <v>1</v>
          </cell>
          <cell r="G875" t="str">
            <v>ja</v>
          </cell>
          <cell r="H875" t="str">
            <v>【ウィザード級】園原杏里襲来</v>
          </cell>
          <cell r="I875" t="str">
            <v>地獄級</v>
          </cell>
          <cell r="J875">
            <v>699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917</v>
          </cell>
          <cell r="AD875">
            <v>6</v>
          </cell>
          <cell r="AE875" t="str">
            <v>everyone</v>
          </cell>
        </row>
        <row r="876">
          <cell r="A876" t="str">
            <v>49002_2</v>
          </cell>
          <cell r="B876">
            <v>3</v>
          </cell>
          <cell r="C876">
            <v>49002</v>
          </cell>
          <cell r="D876" t="str">
            <v>園原杏里襲来！</v>
          </cell>
          <cell r="E876" t="str">
            <v>コラボ降臨2</v>
          </cell>
          <cell r="F876">
            <v>2</v>
          </cell>
          <cell r="G876" t="str">
            <v>ja</v>
          </cell>
          <cell r="H876" t="str">
            <v>【ノーコンテニュー】園原杏里襲来</v>
          </cell>
          <cell r="I876" t="str">
            <v>地獄級</v>
          </cell>
          <cell r="J876">
            <v>699</v>
          </cell>
          <cell r="K876">
            <v>40</v>
          </cell>
          <cell r="L876">
            <v>4500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917</v>
          </cell>
          <cell r="AD876">
            <v>6</v>
          </cell>
          <cell r="AE876" t="str">
            <v>everyone</v>
          </cell>
        </row>
        <row r="877">
          <cell r="A877" t="str">
            <v>49003_1</v>
          </cell>
          <cell r="B877">
            <v>3</v>
          </cell>
          <cell r="C877">
            <v>49003</v>
          </cell>
          <cell r="D877" t="str">
            <v>折原臨也襲来！</v>
          </cell>
          <cell r="E877" t="str">
            <v>コラボ降臨3</v>
          </cell>
          <cell r="F877">
            <v>1</v>
          </cell>
          <cell r="G877" t="str">
            <v>ja</v>
          </cell>
          <cell r="H877" t="str">
            <v>【ウィザード級】折原臨也襲来</v>
          </cell>
          <cell r="I877" t="str">
            <v>地獄級</v>
          </cell>
          <cell r="J877">
            <v>701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918</v>
          </cell>
          <cell r="AD877">
            <v>6</v>
          </cell>
          <cell r="AE877" t="str">
            <v>everyone</v>
          </cell>
        </row>
        <row r="878">
          <cell r="A878" t="str">
            <v>49003_2</v>
          </cell>
          <cell r="B878">
            <v>3</v>
          </cell>
          <cell r="C878">
            <v>49003</v>
          </cell>
          <cell r="D878" t="str">
            <v>折原臨也襲来！</v>
          </cell>
          <cell r="E878" t="str">
            <v>コラボ降臨3</v>
          </cell>
          <cell r="F878">
            <v>2</v>
          </cell>
          <cell r="G878" t="str">
            <v>ja</v>
          </cell>
          <cell r="H878" t="str">
            <v>【ノーコンテニュー】折原臨也襲来</v>
          </cell>
          <cell r="I878" t="str">
            <v>地獄級</v>
          </cell>
          <cell r="J878">
            <v>701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918</v>
          </cell>
          <cell r="AD878">
            <v>6</v>
          </cell>
          <cell r="AE878" t="str">
            <v>everyone</v>
          </cell>
        </row>
        <row r="879">
          <cell r="A879" t="str">
            <v>49004_1</v>
          </cell>
          <cell r="B879">
            <v>3</v>
          </cell>
          <cell r="C879">
            <v>49004</v>
          </cell>
          <cell r="D879" t="str">
            <v>サンリオ好きなのだーれだ♪</v>
          </cell>
          <cell r="E879" t="str">
            <v>コラボ降臨4</v>
          </cell>
          <cell r="F879">
            <v>1</v>
          </cell>
          <cell r="G879" t="str">
            <v>ja</v>
          </cell>
          <cell r="H879" t="str">
            <v>【超絶】サンリオ好きなのだーれだ♪</v>
          </cell>
          <cell r="I879" t="str">
            <v>地獄級</v>
          </cell>
          <cell r="J879">
            <v>0</v>
          </cell>
          <cell r="K879">
            <v>35</v>
          </cell>
          <cell r="L879">
            <v>4200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934</v>
          </cell>
          <cell r="AD879">
            <v>6</v>
          </cell>
          <cell r="AE879" t="str">
            <v>everyone</v>
          </cell>
        </row>
        <row r="880">
          <cell r="A880" t="str">
            <v>49004_2</v>
          </cell>
          <cell r="B880">
            <v>3</v>
          </cell>
          <cell r="C880">
            <v>49004</v>
          </cell>
          <cell r="D880" t="str">
            <v>サンリオ好きなのだーれだ♪</v>
          </cell>
          <cell r="E880" t="str">
            <v>コラボ降臨4</v>
          </cell>
          <cell r="F880">
            <v>2</v>
          </cell>
          <cell r="G880" t="str">
            <v>ja</v>
          </cell>
          <cell r="H880" t="str">
            <v>【ｳｨｻﾞ】サンリオ好きなのだーれだ♪</v>
          </cell>
          <cell r="I880" t="str">
            <v>地獄級</v>
          </cell>
          <cell r="J880">
            <v>0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934</v>
          </cell>
          <cell r="AD880">
            <v>6</v>
          </cell>
          <cell r="AE880" t="str">
            <v>everyone</v>
          </cell>
        </row>
        <row r="881">
          <cell r="A881" t="str">
            <v>49004_3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3</v>
          </cell>
          <cell r="G881" t="str">
            <v>ja</v>
          </cell>
          <cell r="H881" t="str">
            <v>【ﾉｰｺﾝ】サンリオ好きなのだーれだ♪</v>
          </cell>
          <cell r="I881" t="str">
            <v>地獄級</v>
          </cell>
          <cell r="J881">
            <v>0</v>
          </cell>
          <cell r="K881">
            <v>40</v>
          </cell>
          <cell r="L881">
            <v>4500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49005_1</v>
          </cell>
          <cell r="B882">
            <v>1</v>
          </cell>
          <cell r="C882">
            <v>49005</v>
          </cell>
          <cell r="D882" t="str">
            <v>襲来クエスト</v>
          </cell>
          <cell r="E882" t="str">
            <v>コラボ降臨5</v>
          </cell>
          <cell r="F882">
            <v>1</v>
          </cell>
          <cell r="G882" t="str">
            <v>ja</v>
          </cell>
          <cell r="H882" t="str">
            <v>【ウィザード級】襲来クエスト</v>
          </cell>
          <cell r="I882" t="str">
            <v>地獄級</v>
          </cell>
          <cell r="J882">
            <v>8013</v>
          </cell>
          <cell r="K882">
            <v>40</v>
          </cell>
          <cell r="L882">
            <v>4200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910</v>
          </cell>
          <cell r="AD882">
            <v>6</v>
          </cell>
          <cell r="AE882" t="str">
            <v>everyone</v>
          </cell>
        </row>
        <row r="883">
          <cell r="A883" t="str">
            <v>49006_1</v>
          </cell>
          <cell r="B883">
            <v>3</v>
          </cell>
          <cell r="C883">
            <v>49006</v>
          </cell>
          <cell r="D883" t="str">
            <v>超大型巨人襲来！</v>
          </cell>
          <cell r="E883" t="str">
            <v>コラボ降臨6</v>
          </cell>
          <cell r="F883">
            <v>1</v>
          </cell>
          <cell r="G883" t="str">
            <v>ja</v>
          </cell>
          <cell r="H883" t="str">
            <v>【超絶級】超大型巨人襲来</v>
          </cell>
          <cell r="I883" t="str">
            <v>地獄級</v>
          </cell>
          <cell r="J883">
            <v>980</v>
          </cell>
          <cell r="K883">
            <v>35</v>
          </cell>
          <cell r="L883">
            <v>4200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937</v>
          </cell>
          <cell r="AD883">
            <v>6</v>
          </cell>
          <cell r="AE883" t="str">
            <v>everyone</v>
          </cell>
        </row>
        <row r="884">
          <cell r="A884" t="str">
            <v>49006_2</v>
          </cell>
          <cell r="B884">
            <v>3</v>
          </cell>
          <cell r="C884">
            <v>49006</v>
          </cell>
          <cell r="D884" t="str">
            <v>超大型巨人襲来！</v>
          </cell>
          <cell r="E884" t="str">
            <v>コラボ降臨6</v>
          </cell>
          <cell r="F884">
            <v>2</v>
          </cell>
          <cell r="G884" t="str">
            <v>ja</v>
          </cell>
          <cell r="H884" t="str">
            <v>【ウィザード級】超大型巨人襲来</v>
          </cell>
          <cell r="I884" t="str">
            <v>地獄級</v>
          </cell>
          <cell r="J884">
            <v>980</v>
          </cell>
          <cell r="K884">
            <v>40</v>
          </cell>
          <cell r="L884">
            <v>4500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937</v>
          </cell>
          <cell r="AD884">
            <v>6</v>
          </cell>
          <cell r="AE884" t="str">
            <v>everyone</v>
          </cell>
        </row>
        <row r="885">
          <cell r="A885" t="str">
            <v>49007_1</v>
          </cell>
          <cell r="B885">
            <v>1</v>
          </cell>
          <cell r="C885">
            <v>49007</v>
          </cell>
          <cell r="D885" t="str">
            <v>アザゼル（台）</v>
          </cell>
          <cell r="E885" t="str">
            <v>コラボ降臨4</v>
          </cell>
          <cell r="F885">
            <v>1</v>
          </cell>
          <cell r="G885" t="str">
            <v>ja</v>
          </cell>
          <cell r="H885" t="str">
            <v>【超絶】アザゼル（台）</v>
          </cell>
          <cell r="I885" t="str">
            <v>地獄級</v>
          </cell>
          <cell r="J885">
            <v>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934</v>
          </cell>
          <cell r="AD885">
            <v>6</v>
          </cell>
          <cell r="AE885" t="str">
            <v>everyone</v>
          </cell>
        </row>
        <row r="886">
          <cell r="A886" t="str">
            <v>49007_2</v>
          </cell>
          <cell r="B886">
            <v>1</v>
          </cell>
          <cell r="C886">
            <v>49007</v>
          </cell>
          <cell r="D886" t="str">
            <v>アザゼル（台）</v>
          </cell>
          <cell r="E886" t="str">
            <v>コラボ降臨4</v>
          </cell>
          <cell r="F886">
            <v>2</v>
          </cell>
          <cell r="G886" t="str">
            <v>ja</v>
          </cell>
          <cell r="H886" t="str">
            <v>【ｳｨｻﾞ】アザゼル（台）</v>
          </cell>
          <cell r="I886" t="str">
            <v>地獄級</v>
          </cell>
          <cell r="J886">
            <v>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934</v>
          </cell>
          <cell r="AD886">
            <v>6</v>
          </cell>
          <cell r="AE886" t="str">
            <v>everyone</v>
          </cell>
        </row>
        <row r="887">
          <cell r="A887" t="str">
            <v>49007_3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3</v>
          </cell>
          <cell r="G887" t="str">
            <v>ja</v>
          </cell>
          <cell r="H887" t="str">
            <v>【ﾉｰｺﾝ】アザゼル（台）</v>
          </cell>
          <cell r="I887" t="str">
            <v>地獄級</v>
          </cell>
          <cell r="J887">
            <v>0</v>
          </cell>
          <cell r="K887">
            <v>40</v>
          </cell>
          <cell r="L887">
            <v>4500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49008_1</v>
          </cell>
          <cell r="B888">
            <v>3</v>
          </cell>
          <cell r="C888">
            <v>49008</v>
          </cell>
          <cell r="D888" t="str">
            <v>熱唱！初音ミクV3</v>
          </cell>
          <cell r="E888" t="str">
            <v>コラボ降臨1</v>
          </cell>
          <cell r="F888">
            <v>1</v>
          </cell>
          <cell r="G888" t="str">
            <v>ja</v>
          </cell>
          <cell r="H888" t="str">
            <v>【ウィザード級】熱唱！初音ミクV3</v>
          </cell>
          <cell r="I888" t="str">
            <v>地獄級</v>
          </cell>
          <cell r="J888">
            <v>1299</v>
          </cell>
          <cell r="K888">
            <v>30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910</v>
          </cell>
          <cell r="AD888">
            <v>6</v>
          </cell>
          <cell r="AE888" t="str">
            <v>everyone</v>
          </cell>
        </row>
        <row r="889">
          <cell r="A889" t="str">
            <v>49009_1</v>
          </cell>
          <cell r="B889">
            <v>3</v>
          </cell>
          <cell r="C889">
            <v>49009</v>
          </cell>
          <cell r="D889" t="str">
            <v>電子音協奏曲</v>
          </cell>
          <cell r="E889" t="str">
            <v>コラボ降臨7</v>
          </cell>
          <cell r="F889">
            <v>1</v>
          </cell>
          <cell r="G889" t="str">
            <v>ja</v>
          </cell>
          <cell r="H889" t="str">
            <v>【ウィザード級】電子音協奏曲</v>
          </cell>
          <cell r="I889" t="str">
            <v>地獄級</v>
          </cell>
          <cell r="J889">
            <v>1305</v>
          </cell>
          <cell r="K889">
            <v>30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910</v>
          </cell>
          <cell r="AD889">
            <v>6</v>
          </cell>
          <cell r="AE889" t="str">
            <v>everyone</v>
          </cell>
        </row>
        <row r="890">
          <cell r="A890" t="str">
            <v>49010_1</v>
          </cell>
          <cell r="B890">
            <v>3</v>
          </cell>
          <cell r="C890">
            <v>49010</v>
          </cell>
          <cell r="D890" t="str">
            <v>走り抜けろ！ALICE GP</v>
          </cell>
          <cell r="E890" t="str">
            <v>コラボ降臨8</v>
          </cell>
          <cell r="F890">
            <v>1</v>
          </cell>
          <cell r="G890" t="str">
            <v>ja</v>
          </cell>
          <cell r="H890" t="str">
            <v>【ｳｨｻﾞ】走り抜けろ！ALICE GP</v>
          </cell>
          <cell r="I890" t="str">
            <v>地獄級</v>
          </cell>
          <cell r="J890">
            <v>1303</v>
          </cell>
          <cell r="K890">
            <v>30</v>
          </cell>
          <cell r="L890">
            <v>4500</v>
          </cell>
          <cell r="M890">
            <v>1</v>
          </cell>
          <cell r="N890">
            <v>0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987</v>
          </cell>
          <cell r="AD890">
            <v>6</v>
          </cell>
          <cell r="AE890" t="str">
            <v>everyone</v>
          </cell>
        </row>
        <row r="891">
          <cell r="A891" t="str">
            <v>49011_1</v>
          </cell>
          <cell r="B891">
            <v>3</v>
          </cell>
          <cell r="C891">
            <v>49011</v>
          </cell>
          <cell r="D891" t="str">
            <v>秘密のイベント潜入作戦</v>
          </cell>
          <cell r="E891" t="str">
            <v>コラボ降臨9</v>
          </cell>
          <cell r="F891">
            <v>1</v>
          </cell>
          <cell r="G891" t="str">
            <v>ja</v>
          </cell>
          <cell r="H891" t="str">
            <v>【ｳｨｻﾞ】秘密のイベント潜入作戦</v>
          </cell>
          <cell r="I891" t="str">
            <v>地獄級</v>
          </cell>
          <cell r="J891">
            <v>1301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909</v>
          </cell>
          <cell r="AD891">
            <v>6</v>
          </cell>
          <cell r="AE891" t="str">
            <v>everyone</v>
          </cell>
        </row>
        <row r="892">
          <cell r="A892" t="str">
            <v>49012_1</v>
          </cell>
          <cell r="B892">
            <v>3</v>
          </cell>
          <cell r="C892">
            <v>49012</v>
          </cell>
          <cell r="D892" t="str">
            <v>園原杏里襲来！</v>
          </cell>
          <cell r="E892" t="str">
            <v>コラボ降臨2（復刻）</v>
          </cell>
          <cell r="F892">
            <v>1</v>
          </cell>
          <cell r="G892" t="str">
            <v>ja</v>
          </cell>
          <cell r="H892" t="str">
            <v>【ウィザード級】園原杏里襲来</v>
          </cell>
          <cell r="I892" t="str">
            <v>地獄級</v>
          </cell>
          <cell r="J892">
            <v>699</v>
          </cell>
          <cell r="K892">
            <v>40</v>
          </cell>
          <cell r="L892">
            <v>4500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917</v>
          </cell>
          <cell r="AD892">
            <v>6</v>
          </cell>
          <cell r="AE892" t="str">
            <v>everyone</v>
          </cell>
        </row>
        <row r="893">
          <cell r="A893" t="str">
            <v>49013_1</v>
          </cell>
          <cell r="B893">
            <v>3</v>
          </cell>
          <cell r="C893">
            <v>49013</v>
          </cell>
          <cell r="D893" t="str">
            <v>折原臨也襲来！</v>
          </cell>
          <cell r="E893" t="str">
            <v>コラボ降臨3（復刻）</v>
          </cell>
          <cell r="F893">
            <v>1</v>
          </cell>
          <cell r="G893" t="str">
            <v>ja</v>
          </cell>
          <cell r="H893" t="str">
            <v>【ウィザード級】折原臨也襲来</v>
          </cell>
          <cell r="I893" t="str">
            <v>地獄級</v>
          </cell>
          <cell r="J893">
            <v>701</v>
          </cell>
          <cell r="K893">
            <v>40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918</v>
          </cell>
          <cell r="AD893">
            <v>6</v>
          </cell>
          <cell r="AE893" t="str">
            <v>everyone</v>
          </cell>
        </row>
        <row r="894">
          <cell r="A894" t="str">
            <v>49014_1</v>
          </cell>
          <cell r="B894">
            <v>1</v>
          </cell>
          <cell r="C894">
            <v>49014</v>
          </cell>
          <cell r="D894" t="str">
            <v>C魔</v>
          </cell>
          <cell r="E894" t="str">
            <v>コラボ降臨10</v>
          </cell>
          <cell r="F894">
            <v>1</v>
          </cell>
          <cell r="G894" t="str">
            <v>ja</v>
          </cell>
          <cell r="H894" t="str">
            <v>【超絶級】C魔</v>
          </cell>
          <cell r="I894" t="str">
            <v>地獄級</v>
          </cell>
          <cell r="J894">
            <v>1524</v>
          </cell>
          <cell r="K894">
            <v>35</v>
          </cell>
          <cell r="L894">
            <v>4200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918</v>
          </cell>
          <cell r="AD894">
            <v>6</v>
          </cell>
          <cell r="AE894" t="str">
            <v>everyone</v>
          </cell>
        </row>
        <row r="895">
          <cell r="A895" t="str">
            <v>49014_2</v>
          </cell>
          <cell r="B895">
            <v>1</v>
          </cell>
          <cell r="C895">
            <v>49014</v>
          </cell>
          <cell r="D895" t="str">
            <v>C魔</v>
          </cell>
          <cell r="E895" t="str">
            <v>コラボ降臨10</v>
          </cell>
          <cell r="F895">
            <v>2</v>
          </cell>
          <cell r="G895" t="str">
            <v>ja</v>
          </cell>
          <cell r="H895" t="str">
            <v>【ウィザード級】C魔</v>
          </cell>
          <cell r="I895" t="str">
            <v>地獄級</v>
          </cell>
          <cell r="J895">
            <v>1524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50001_1</v>
          </cell>
          <cell r="B896">
            <v>3</v>
          </cell>
          <cell r="C896">
            <v>50001</v>
          </cell>
          <cell r="D896" t="str">
            <v>麒麟襲来！</v>
          </cell>
          <cell r="E896" t="str">
            <v>超降臨1</v>
          </cell>
          <cell r="F896">
            <v>1</v>
          </cell>
          <cell r="G896" t="str">
            <v>ja</v>
          </cell>
          <cell r="H896" t="str">
            <v xml:space="preserve">【超ウィザード級】麒麟襲来 </v>
          </cell>
          <cell r="I896" t="str">
            <v>超地獄級</v>
          </cell>
          <cell r="J896">
            <v>329</v>
          </cell>
          <cell r="K896">
            <v>40</v>
          </cell>
          <cell r="L896">
            <v>5200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character</v>
          </cell>
          <cell r="T896">
            <v>432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905</v>
          </cell>
          <cell r="AD896">
            <v>6</v>
          </cell>
          <cell r="AE896" t="str">
            <v>everyone</v>
          </cell>
        </row>
        <row r="897">
          <cell r="A897" t="str">
            <v>50002_1</v>
          </cell>
          <cell r="B897">
            <v>3</v>
          </cell>
          <cell r="C897">
            <v>50002</v>
          </cell>
          <cell r="D897" t="str">
            <v>オーディン襲来！</v>
          </cell>
          <cell r="E897" t="str">
            <v>超降臨2</v>
          </cell>
          <cell r="F897">
            <v>1</v>
          </cell>
          <cell r="G897" t="str">
            <v>ja</v>
          </cell>
          <cell r="H897" t="str">
            <v xml:space="preserve">【超ウィザード級】オーディン襲来 </v>
          </cell>
          <cell r="I897" t="str">
            <v>超地獄級</v>
          </cell>
          <cell r="J897">
            <v>331</v>
          </cell>
          <cell r="K897">
            <v>40</v>
          </cell>
          <cell r="L897">
            <v>5200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character</v>
          </cell>
          <cell r="T897">
            <v>573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911</v>
          </cell>
          <cell r="AD897">
            <v>6</v>
          </cell>
          <cell r="AE897" t="str">
            <v>everyone</v>
          </cell>
        </row>
        <row r="898">
          <cell r="A898" t="str">
            <v>50003_1</v>
          </cell>
          <cell r="B898">
            <v>3</v>
          </cell>
          <cell r="C898">
            <v>50003</v>
          </cell>
          <cell r="D898" t="str">
            <v>織田信長襲来！</v>
          </cell>
          <cell r="E898" t="str">
            <v>超降臨3</v>
          </cell>
          <cell r="F898">
            <v>1</v>
          </cell>
          <cell r="G898" t="str">
            <v>ja</v>
          </cell>
          <cell r="H898" t="str">
            <v xml:space="preserve">【超ウィザード級】織田信長襲来 </v>
          </cell>
          <cell r="I898" t="str">
            <v>超地獄級</v>
          </cell>
          <cell r="J898">
            <v>0</v>
          </cell>
          <cell r="K898">
            <v>40</v>
          </cell>
          <cell r="L898">
            <v>5200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character</v>
          </cell>
          <cell r="T898">
            <v>726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920</v>
          </cell>
          <cell r="AD898">
            <v>6</v>
          </cell>
          <cell r="AE898" t="str">
            <v>everyone</v>
          </cell>
        </row>
        <row r="899">
          <cell r="A899" t="str">
            <v>50004_1</v>
          </cell>
          <cell r="B899">
            <v>3</v>
          </cell>
          <cell r="C899">
            <v>50004</v>
          </cell>
          <cell r="D899" t="str">
            <v>ルシファー襲来！</v>
          </cell>
          <cell r="E899" t="str">
            <v>超降臨4</v>
          </cell>
          <cell r="F899">
            <v>1</v>
          </cell>
          <cell r="G899" t="str">
            <v>ja</v>
          </cell>
          <cell r="H899" t="str">
            <v xml:space="preserve">【超ウィザード級】ルシファー襲来 </v>
          </cell>
          <cell r="I899" t="str">
            <v>超地獄級</v>
          </cell>
          <cell r="J899">
            <v>0</v>
          </cell>
          <cell r="K899">
            <v>40</v>
          </cell>
          <cell r="L899">
            <v>5200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character</v>
          </cell>
          <cell r="T899">
            <v>846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928</v>
          </cell>
          <cell r="AD899">
            <v>6</v>
          </cell>
          <cell r="AE899" t="str">
            <v>everyone</v>
          </cell>
        </row>
        <row r="900">
          <cell r="A900" t="str">
            <v>50005_1</v>
          </cell>
          <cell r="B900">
            <v>3</v>
          </cell>
          <cell r="C900">
            <v>50005</v>
          </cell>
          <cell r="D900" t="str">
            <v>ゼウス襲来！</v>
          </cell>
          <cell r="E900" t="str">
            <v>超降臨5</v>
          </cell>
          <cell r="F900">
            <v>1</v>
          </cell>
          <cell r="G900" t="str">
            <v>ja</v>
          </cell>
          <cell r="H900" t="str">
            <v>【超ウィザード級】ゼウス襲来</v>
          </cell>
          <cell r="I900" t="str">
            <v>超地獄級</v>
          </cell>
          <cell r="J900">
            <v>0</v>
          </cell>
          <cell r="K900">
            <v>40</v>
          </cell>
          <cell r="L900">
            <v>5200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character</v>
          </cell>
          <cell r="T900">
            <v>929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935</v>
          </cell>
          <cell r="AD900">
            <v>6</v>
          </cell>
          <cell r="AE900" t="str">
            <v>everyone</v>
          </cell>
        </row>
        <row r="901">
          <cell r="A901" t="str">
            <v>50006_1</v>
          </cell>
          <cell r="B901">
            <v>3</v>
          </cell>
          <cell r="C901">
            <v>50006</v>
          </cell>
          <cell r="D901" t="str">
            <v>セト襲来！</v>
          </cell>
          <cell r="E901" t="str">
            <v>超降臨6</v>
          </cell>
          <cell r="F901">
            <v>1</v>
          </cell>
          <cell r="G901" t="str">
            <v>ja</v>
          </cell>
          <cell r="H901" t="str">
            <v>【超ウィザード級】セト襲来</v>
          </cell>
          <cell r="I901" t="str">
            <v>超地獄級</v>
          </cell>
          <cell r="J901">
            <v>0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1010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939</v>
          </cell>
          <cell r="AD901">
            <v>6</v>
          </cell>
          <cell r="AE901" t="str">
            <v>everyone</v>
          </cell>
        </row>
        <row r="902">
          <cell r="A902" t="str">
            <v>50007_1</v>
          </cell>
          <cell r="B902">
            <v>3</v>
          </cell>
          <cell r="C902">
            <v>50007</v>
          </cell>
          <cell r="D902" t="str">
            <v>ギルガメッシュ襲来！</v>
          </cell>
          <cell r="E902" t="str">
            <v>超降臨7</v>
          </cell>
          <cell r="F902">
            <v>1</v>
          </cell>
          <cell r="G902" t="str">
            <v>ja</v>
          </cell>
          <cell r="H902" t="str">
            <v>【超ウィザ】ギルガメッシュ襲来</v>
          </cell>
          <cell r="I902" t="str">
            <v>超地獄級</v>
          </cell>
          <cell r="J902">
            <v>0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1065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945</v>
          </cell>
          <cell r="AD902">
            <v>6</v>
          </cell>
          <cell r="AE902" t="str">
            <v>everyone</v>
          </cell>
        </row>
        <row r="903">
          <cell r="A903" t="str">
            <v>50008_1</v>
          </cell>
          <cell r="B903">
            <v>3</v>
          </cell>
          <cell r="C903">
            <v>50008</v>
          </cell>
          <cell r="D903" t="str">
            <v>呂布襲来！</v>
          </cell>
          <cell r="E903" t="str">
            <v>超降臨8</v>
          </cell>
          <cell r="F903">
            <v>1</v>
          </cell>
          <cell r="G903" t="str">
            <v>ja</v>
          </cell>
          <cell r="H903" t="str">
            <v>【超ウィザード級】呂布襲来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1135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950</v>
          </cell>
          <cell r="AD903">
            <v>6</v>
          </cell>
          <cell r="AE903" t="str">
            <v>everyone</v>
          </cell>
        </row>
        <row r="904">
          <cell r="A904" t="str">
            <v>50009_1</v>
          </cell>
          <cell r="B904">
            <v>1</v>
          </cell>
          <cell r="C904">
            <v>50009</v>
          </cell>
          <cell r="D904" t="str">
            <v>ヘラ襲来！</v>
          </cell>
          <cell r="E904" t="str">
            <v>超降臨9</v>
          </cell>
          <cell r="F904">
            <v>1</v>
          </cell>
          <cell r="G904" t="str">
            <v>ja</v>
          </cell>
          <cell r="H904" t="str">
            <v>【超ウィザード級】ヘラ襲来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1206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955</v>
          </cell>
          <cell r="AD904">
            <v>6</v>
          </cell>
          <cell r="AE904" t="str">
            <v>everyone</v>
          </cell>
        </row>
        <row r="905">
          <cell r="A905" t="str">
            <v>50010_1</v>
          </cell>
          <cell r="B905">
            <v>3</v>
          </cell>
          <cell r="C905">
            <v>50010</v>
          </cell>
          <cell r="D905" t="str">
            <v>カフカ襲来！</v>
          </cell>
          <cell r="E905" t="str">
            <v>超降臨10</v>
          </cell>
          <cell r="F905">
            <v>1</v>
          </cell>
          <cell r="G905" t="str">
            <v>ja</v>
          </cell>
          <cell r="H905" t="str">
            <v>【超ウィザード級】カフカ襲来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1222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957</v>
          </cell>
          <cell r="AD905">
            <v>6</v>
          </cell>
          <cell r="AE905" t="str">
            <v>everyone</v>
          </cell>
        </row>
        <row r="906">
          <cell r="A906" t="str">
            <v>50011_1</v>
          </cell>
          <cell r="B906">
            <v>3</v>
          </cell>
          <cell r="C906">
            <v>50011</v>
          </cell>
          <cell r="D906" t="str">
            <v>ヘラ襲来！</v>
          </cell>
          <cell r="E906" t="str">
            <v>超降臨9</v>
          </cell>
          <cell r="F906">
            <v>1</v>
          </cell>
          <cell r="G906" t="str">
            <v>ja</v>
          </cell>
          <cell r="H906" t="str">
            <v>【超ウィザード級】ヘラ襲来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1206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955</v>
          </cell>
          <cell r="AD906">
            <v>6</v>
          </cell>
          <cell r="AE906" t="str">
            <v>everyone</v>
          </cell>
        </row>
        <row r="907">
          <cell r="A907" t="str">
            <v>50012_1</v>
          </cell>
          <cell r="B907">
            <v>3</v>
          </cell>
          <cell r="C907">
            <v>50012</v>
          </cell>
          <cell r="D907" t="str">
            <v>豊臣秀吉襲来！</v>
          </cell>
          <cell r="E907" t="str">
            <v>超降臨11</v>
          </cell>
          <cell r="F907">
            <v>1</v>
          </cell>
          <cell r="G907" t="str">
            <v>ja</v>
          </cell>
          <cell r="H907" t="str">
            <v>【超ウィザード級】豊臣秀吉襲来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1242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959</v>
          </cell>
          <cell r="AD907">
            <v>6</v>
          </cell>
          <cell r="AE907" t="str">
            <v>everyone</v>
          </cell>
        </row>
        <row r="908">
          <cell r="A908" t="str">
            <v>50013_1</v>
          </cell>
          <cell r="B908">
            <v>3</v>
          </cell>
          <cell r="C908">
            <v>50013</v>
          </cell>
          <cell r="D908" t="str">
            <v>ロキ襲来！</v>
          </cell>
          <cell r="E908" t="str">
            <v>超降臨12</v>
          </cell>
          <cell r="F908">
            <v>1</v>
          </cell>
          <cell r="G908" t="str">
            <v>ja</v>
          </cell>
          <cell r="H908" t="str">
            <v>【超ウィザード級】ロキ襲来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1258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961</v>
          </cell>
          <cell r="AD908">
            <v>6</v>
          </cell>
          <cell r="AE908" t="str">
            <v>everyone</v>
          </cell>
        </row>
        <row r="909">
          <cell r="A909" t="str">
            <v>50014_1</v>
          </cell>
          <cell r="B909">
            <v>3</v>
          </cell>
          <cell r="C909">
            <v>50014</v>
          </cell>
          <cell r="D909" t="str">
            <v>スサノオ襲来！</v>
          </cell>
          <cell r="E909" t="str">
            <v>超降臨13</v>
          </cell>
          <cell r="F909">
            <v>1</v>
          </cell>
          <cell r="G909" t="str">
            <v>ja</v>
          </cell>
          <cell r="H909" t="str">
            <v>【超ウィザード級】スサノオ襲来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1330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967</v>
          </cell>
          <cell r="AD909">
            <v>6</v>
          </cell>
          <cell r="AE909" t="str">
            <v>everyone</v>
          </cell>
        </row>
        <row r="910">
          <cell r="A910" t="str">
            <v>51001_1</v>
          </cell>
          <cell r="B910">
            <v>3</v>
          </cell>
          <cell r="C910">
            <v>51001</v>
          </cell>
          <cell r="D910" t="str">
            <v>麒麟襲来！</v>
          </cell>
          <cell r="E910" t="str">
            <v>超降臨1</v>
          </cell>
          <cell r="F910">
            <v>1</v>
          </cell>
          <cell r="G910" t="str">
            <v>ja</v>
          </cell>
          <cell r="H910" t="str">
            <v xml:space="preserve">【超ウィザード級】麒麟襲来 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432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905</v>
          </cell>
          <cell r="AD910">
            <v>6</v>
          </cell>
          <cell r="AE910" t="str">
            <v>everyone</v>
          </cell>
        </row>
        <row r="911">
          <cell r="A911" t="str">
            <v>51002_1</v>
          </cell>
          <cell r="B911">
            <v>3</v>
          </cell>
          <cell r="C911">
            <v>51002</v>
          </cell>
          <cell r="D911" t="str">
            <v>オーディン襲来！</v>
          </cell>
          <cell r="E911" t="str">
            <v>超降臨2</v>
          </cell>
          <cell r="F911">
            <v>1</v>
          </cell>
          <cell r="G911" t="str">
            <v>ja</v>
          </cell>
          <cell r="H911" t="str">
            <v>【超ウィザード級】オーディン襲来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573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911</v>
          </cell>
          <cell r="AD911">
            <v>6</v>
          </cell>
          <cell r="AE911" t="str">
            <v>everyone</v>
          </cell>
        </row>
        <row r="912">
          <cell r="A912" t="str">
            <v>58001_1</v>
          </cell>
          <cell r="B912">
            <v>1</v>
          </cell>
          <cell r="C912">
            <v>58001</v>
          </cell>
          <cell r="D912" t="str">
            <v>曹操襲来！</v>
          </cell>
          <cell r="E912" t="str">
            <v>繁体字版超降臨1</v>
          </cell>
          <cell r="F912">
            <v>1</v>
          </cell>
          <cell r="G912" t="str">
            <v>ja</v>
          </cell>
          <cell r="H912" t="str">
            <v>【超ウィザード級】曹操襲来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8083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964</v>
          </cell>
          <cell r="AD912">
            <v>6</v>
          </cell>
          <cell r="AE912" t="str">
            <v>everyone</v>
          </cell>
        </row>
        <row r="913">
          <cell r="A913" t="str">
            <v>59001_1</v>
          </cell>
          <cell r="B913">
            <v>3</v>
          </cell>
          <cell r="C913">
            <v>59001</v>
          </cell>
          <cell r="D913" t="str">
            <v>電子歌姫の堕天使</v>
          </cell>
          <cell r="E913" t="str">
            <v>コラボ超降臨1</v>
          </cell>
          <cell r="F913">
            <v>1</v>
          </cell>
          <cell r="G913" t="str">
            <v>ja</v>
          </cell>
          <cell r="H913" t="str">
            <v>【超ウィザード級】電子歌姫の堕天使</v>
          </cell>
          <cell r="I913" t="str">
            <v>超地獄級</v>
          </cell>
          <cell r="J913">
            <v>0</v>
          </cell>
          <cell r="K913">
            <v>30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1306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968</v>
          </cell>
          <cell r="AD913">
            <v>6</v>
          </cell>
          <cell r="AE913" t="str">
            <v>everyone</v>
          </cell>
        </row>
        <row r="914">
          <cell r="A914" t="str">
            <v>59002_1</v>
          </cell>
          <cell r="B914">
            <v>1</v>
          </cell>
          <cell r="C914">
            <v>59002</v>
          </cell>
          <cell r="D914" t="str">
            <v>C超魔</v>
          </cell>
          <cell r="E914" t="str">
            <v>コラボ超降臨2</v>
          </cell>
          <cell r="F914">
            <v>1</v>
          </cell>
          <cell r="G914" t="str">
            <v>ja</v>
          </cell>
          <cell r="H914" t="str">
            <v>【超ウィザード級】C超魔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1525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60001_1</v>
          </cell>
          <cell r="B915">
            <v>1</v>
          </cell>
          <cell r="C915">
            <v>60001</v>
          </cell>
          <cell r="D915" t="str">
            <v>ヘンペルチャレンジ</v>
          </cell>
          <cell r="E915" t="str">
            <v>ランキング1</v>
          </cell>
          <cell r="F915">
            <v>1</v>
          </cell>
          <cell r="G915" t="str">
            <v>ja</v>
          </cell>
          <cell r="H915" t="str">
            <v>[ウィザード] 第一回</v>
          </cell>
          <cell r="I915" t="str">
            <v>ランキング</v>
          </cell>
          <cell r="J915">
            <v>488</v>
          </cell>
          <cell r="K915">
            <v>5</v>
          </cell>
          <cell r="L915">
            <v>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none</v>
          </cell>
          <cell r="T915">
            <v>0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911</v>
          </cell>
          <cell r="AD915">
            <v>6</v>
          </cell>
          <cell r="AE915" t="str">
            <v>singleonly</v>
          </cell>
        </row>
        <row r="916">
          <cell r="A916" t="str">
            <v>60002_1</v>
          </cell>
          <cell r="B916">
            <v>1</v>
          </cell>
          <cell r="C916">
            <v>60002</v>
          </cell>
          <cell r="D916" t="str">
            <v>ヘンペルチャレンジ</v>
          </cell>
          <cell r="E916" t="str">
            <v>ランキング1</v>
          </cell>
          <cell r="F916">
            <v>1</v>
          </cell>
          <cell r="G916" t="str">
            <v>ja</v>
          </cell>
          <cell r="H916" t="str">
            <v>[超級] 第2回　※Wizと難易度は同じ</v>
          </cell>
          <cell r="I916" t="str">
            <v>ランキング</v>
          </cell>
          <cell r="J916">
            <v>488</v>
          </cell>
          <cell r="K916">
            <v>5</v>
          </cell>
          <cell r="L916">
            <v>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none</v>
          </cell>
          <cell r="T916">
            <v>0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singleonly</v>
          </cell>
        </row>
        <row r="917">
          <cell r="A917" t="str">
            <v>60002_2</v>
          </cell>
          <cell r="B917">
            <v>1</v>
          </cell>
          <cell r="C917">
            <v>60002</v>
          </cell>
          <cell r="D917" t="str">
            <v>ヘンペルチャレンジ</v>
          </cell>
          <cell r="E917" t="str">
            <v>ランキング1</v>
          </cell>
          <cell r="F917">
            <v>2</v>
          </cell>
          <cell r="G917" t="str">
            <v>ja</v>
          </cell>
          <cell r="H917" t="str">
            <v>[ウィザード] 第2回　※Wizと難易度は同じ</v>
          </cell>
          <cell r="I917" t="str">
            <v>ランキング</v>
          </cell>
          <cell r="J917">
            <v>488</v>
          </cell>
          <cell r="K917">
            <v>5</v>
          </cell>
          <cell r="L917">
            <v>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none</v>
          </cell>
          <cell r="T917">
            <v>0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911</v>
          </cell>
          <cell r="AD917">
            <v>6</v>
          </cell>
          <cell r="AE917" t="str">
            <v>singleonly</v>
          </cell>
        </row>
        <row r="918">
          <cell r="A918" t="str">
            <v>60003_1</v>
          </cell>
          <cell r="B918">
            <v>1</v>
          </cell>
          <cell r="C918">
            <v>60003</v>
          </cell>
          <cell r="D918" t="str">
            <v>ヘンペルチャレンジ</v>
          </cell>
          <cell r="E918" t="str">
            <v>ランキング1</v>
          </cell>
          <cell r="F918">
            <v>1</v>
          </cell>
          <cell r="G918" t="str">
            <v>ja</v>
          </cell>
          <cell r="H918" t="str">
            <v>[中級] 第3回　</v>
          </cell>
          <cell r="I918" t="str">
            <v>ランキング</v>
          </cell>
          <cell r="J918">
            <v>488</v>
          </cell>
          <cell r="K918">
            <v>5</v>
          </cell>
          <cell r="L918">
            <v>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none</v>
          </cell>
          <cell r="T918">
            <v>0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911</v>
          </cell>
          <cell r="AD918">
            <v>6</v>
          </cell>
          <cell r="AE918" t="str">
            <v>singleonly</v>
          </cell>
        </row>
        <row r="919">
          <cell r="A919" t="str">
            <v>60003_2</v>
          </cell>
          <cell r="B919">
            <v>1</v>
          </cell>
          <cell r="C919">
            <v>60003</v>
          </cell>
          <cell r="D919" t="str">
            <v>ヘンペルチャレンジ</v>
          </cell>
          <cell r="E919" t="str">
            <v>ランキング1</v>
          </cell>
          <cell r="F919">
            <v>2</v>
          </cell>
          <cell r="G919" t="str">
            <v>ja</v>
          </cell>
          <cell r="H919" t="str">
            <v>[超級] 第3回　</v>
          </cell>
          <cell r="I919" t="str">
            <v>ランキング</v>
          </cell>
          <cell r="J919">
            <v>488</v>
          </cell>
          <cell r="K919">
            <v>5</v>
          </cell>
          <cell r="L919">
            <v>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none</v>
          </cell>
          <cell r="T919">
            <v>0</v>
          </cell>
          <cell r="U919">
            <v>60003</v>
          </cell>
          <cell r="V919">
            <v>1</v>
          </cell>
          <cell r="W919" t="str">
            <v>[中級] 第3回　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911</v>
          </cell>
          <cell r="AD919">
            <v>6</v>
          </cell>
          <cell r="AE919" t="str">
            <v>singleonly</v>
          </cell>
        </row>
        <row r="920">
          <cell r="A920" t="str">
            <v>60003_3</v>
          </cell>
          <cell r="B920">
            <v>1</v>
          </cell>
          <cell r="C920">
            <v>60003</v>
          </cell>
          <cell r="D920" t="str">
            <v>ヘンペルチャレンジ</v>
          </cell>
          <cell r="E920" t="str">
            <v>ランキング1</v>
          </cell>
          <cell r="F920">
            <v>3</v>
          </cell>
          <cell r="G920" t="str">
            <v>ja</v>
          </cell>
          <cell r="H920" t="str">
            <v>[ウィザード] 第3回　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>
            <v>60003</v>
          </cell>
          <cell r="V920">
            <v>2</v>
          </cell>
          <cell r="W920" t="str">
            <v>[超級] 第3回　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60004_1</v>
          </cell>
          <cell r="B921">
            <v>1</v>
          </cell>
          <cell r="C921">
            <v>60004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[ウィザード] 第4回　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60005_1</v>
          </cell>
          <cell r="B922">
            <v>1</v>
          </cell>
          <cell r="C922">
            <v>60005</v>
          </cell>
          <cell r="D922" t="str">
            <v>オイラーチャレンジ</v>
          </cell>
          <cell r="E922" t="str">
            <v>ランキング1</v>
          </cell>
          <cell r="F922">
            <v>1</v>
          </cell>
          <cell r="G922" t="str">
            <v>ja</v>
          </cell>
          <cell r="H922" t="str">
            <v>[ウィザード] 第5回　</v>
          </cell>
          <cell r="I922" t="str">
            <v>ランキング</v>
          </cell>
          <cell r="J922">
            <v>379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923</v>
          </cell>
          <cell r="AD922">
            <v>6</v>
          </cell>
          <cell r="AE922" t="str">
            <v>singleonly</v>
          </cell>
        </row>
        <row r="923">
          <cell r="A923" t="str">
            <v>60006_1</v>
          </cell>
          <cell r="B923">
            <v>0</v>
          </cell>
          <cell r="C923">
            <v>60006</v>
          </cell>
          <cell r="D923" t="str">
            <v>オイラーチャレンジ</v>
          </cell>
          <cell r="E923" t="str">
            <v>ランキング1（本番実装用）</v>
          </cell>
          <cell r="F923">
            <v>1</v>
          </cell>
          <cell r="G923" t="str">
            <v>ja</v>
          </cell>
          <cell r="H923" t="str">
            <v>【中級】オイラーチャレンジ</v>
          </cell>
          <cell r="I923" t="str">
            <v>中級</v>
          </cell>
          <cell r="J923">
            <v>378</v>
          </cell>
          <cell r="K923">
            <v>15</v>
          </cell>
          <cell r="L923">
            <v>1200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>
            <v>60006</v>
          </cell>
          <cell r="V923">
            <v>1</v>
          </cell>
          <cell r="W923" t="str">
            <v>【中級】オイラーチャレンジ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923</v>
          </cell>
          <cell r="AD923">
            <v>6</v>
          </cell>
          <cell r="AE923" t="str">
            <v>singleonly</v>
          </cell>
        </row>
        <row r="924">
          <cell r="A924" t="str">
            <v>60006_2</v>
          </cell>
          <cell r="B924">
            <v>0</v>
          </cell>
          <cell r="C924">
            <v>60006</v>
          </cell>
          <cell r="D924" t="str">
            <v>オイラーチャレンジ</v>
          </cell>
          <cell r="E924" t="str">
            <v>ランキング1（本番実装用）</v>
          </cell>
          <cell r="F924">
            <v>2</v>
          </cell>
          <cell r="G924" t="str">
            <v>ja</v>
          </cell>
          <cell r="H924" t="str">
            <v>【超級】オイラーチャレンジ</v>
          </cell>
          <cell r="I924" t="str">
            <v>超級</v>
          </cell>
          <cell r="J924">
            <v>378</v>
          </cell>
          <cell r="K924">
            <v>30</v>
          </cell>
          <cell r="L924">
            <v>3300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60006</v>
          </cell>
          <cell r="V924">
            <v>2</v>
          </cell>
          <cell r="W924" t="str">
            <v>【超級】オイラーチャレンジ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923</v>
          </cell>
          <cell r="AD924">
            <v>6</v>
          </cell>
          <cell r="AE924" t="str">
            <v>singleonly</v>
          </cell>
        </row>
        <row r="925">
          <cell r="A925" t="str">
            <v>60006_3</v>
          </cell>
          <cell r="B925">
            <v>3</v>
          </cell>
          <cell r="C925">
            <v>60006</v>
          </cell>
          <cell r="D925" t="str">
            <v>オイラーチャレンジ</v>
          </cell>
          <cell r="E925" t="str">
            <v>ランキング1（本番実装用）</v>
          </cell>
          <cell r="F925">
            <v>3</v>
          </cell>
          <cell r="G925" t="str">
            <v>ja</v>
          </cell>
          <cell r="H925" t="str">
            <v>【ウィザード級】オイラーチャレンジ</v>
          </cell>
          <cell r="I925" t="str">
            <v>ウィザード級</v>
          </cell>
          <cell r="J925">
            <v>379</v>
          </cell>
          <cell r="K925">
            <v>35</v>
          </cell>
          <cell r="L925">
            <v>4200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60006</v>
          </cell>
          <cell r="V925">
            <v>3</v>
          </cell>
          <cell r="W925" t="str">
            <v>【ウィザード級】オイラーチャレンジ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923</v>
          </cell>
          <cell r="AD925">
            <v>6</v>
          </cell>
          <cell r="AE925" t="str">
            <v>singleonly</v>
          </cell>
        </row>
        <row r="926">
          <cell r="A926" t="str">
            <v>60007_1</v>
          </cell>
          <cell r="B926">
            <v>0</v>
          </cell>
          <cell r="C926">
            <v>60007</v>
          </cell>
          <cell r="D926" t="str">
            <v>オイラーチャレンジ</v>
          </cell>
          <cell r="E926" t="str">
            <v>ランキング1（改修版）</v>
          </cell>
          <cell r="F926">
            <v>1</v>
          </cell>
          <cell r="G926" t="str">
            <v>ja</v>
          </cell>
          <cell r="H926" t="str">
            <v>【中級】オイラーチャレンジ</v>
          </cell>
          <cell r="I926" t="str">
            <v>中級</v>
          </cell>
          <cell r="J926">
            <v>378</v>
          </cell>
          <cell r="K926">
            <v>15</v>
          </cell>
          <cell r="L926">
            <v>1200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923</v>
          </cell>
          <cell r="AD926">
            <v>6</v>
          </cell>
          <cell r="AE926" t="str">
            <v>singleonly</v>
          </cell>
        </row>
        <row r="927">
          <cell r="A927" t="str">
            <v>60007_2</v>
          </cell>
          <cell r="B927">
            <v>0</v>
          </cell>
          <cell r="C927">
            <v>60007</v>
          </cell>
          <cell r="D927" t="str">
            <v>オイラーチャレンジ</v>
          </cell>
          <cell r="E927" t="str">
            <v>ランキング1（改修版）</v>
          </cell>
          <cell r="F927">
            <v>2</v>
          </cell>
          <cell r="G927" t="str">
            <v>ja</v>
          </cell>
          <cell r="H927" t="str">
            <v>【超級】オイラーチャレンジ</v>
          </cell>
          <cell r="I927" t="str">
            <v>超級</v>
          </cell>
          <cell r="J927">
            <v>378</v>
          </cell>
          <cell r="K927">
            <v>30</v>
          </cell>
          <cell r="L927">
            <v>3300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60007_3</v>
          </cell>
          <cell r="B928">
            <v>3</v>
          </cell>
          <cell r="C928">
            <v>60007</v>
          </cell>
          <cell r="D928" t="str">
            <v>オイラーチャレンジ</v>
          </cell>
          <cell r="E928" t="str">
            <v>ランキング1（改修版）</v>
          </cell>
          <cell r="F928">
            <v>3</v>
          </cell>
          <cell r="G928" t="str">
            <v>ja</v>
          </cell>
          <cell r="H928" t="str">
            <v>【ウィザード級】オイラーチャレンジ</v>
          </cell>
          <cell r="I928" t="str">
            <v>ウィザード級</v>
          </cell>
          <cell r="J928">
            <v>379</v>
          </cell>
          <cell r="K928">
            <v>35</v>
          </cell>
          <cell r="L928">
            <v>4200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60010_1</v>
          </cell>
          <cell r="B929">
            <v>3</v>
          </cell>
          <cell r="C929">
            <v>60010</v>
          </cell>
          <cell r="D929" t="str">
            <v>ラグランジュチャレンジ</v>
          </cell>
          <cell r="E929" t="str">
            <v>ランキング2（ラグランジュ）</v>
          </cell>
          <cell r="F929">
            <v>1</v>
          </cell>
          <cell r="G929" t="str">
            <v>ja</v>
          </cell>
          <cell r="H929" t="str">
            <v>ラグランジュチャレンジ</v>
          </cell>
          <cell r="I929" t="str">
            <v>ウィザード級</v>
          </cell>
          <cell r="J929">
            <v>796</v>
          </cell>
          <cell r="K929">
            <v>35</v>
          </cell>
          <cell r="L929">
            <v>4200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922</v>
          </cell>
          <cell r="AD929">
            <v>6</v>
          </cell>
          <cell r="AE929" t="str">
            <v>singleonly</v>
          </cell>
        </row>
        <row r="930">
          <cell r="A930" t="str">
            <v>60011_1</v>
          </cell>
          <cell r="B930">
            <v>3</v>
          </cell>
          <cell r="C930">
            <v>60011</v>
          </cell>
          <cell r="D930" t="str">
            <v>ユークリッドチャレンジ</v>
          </cell>
          <cell r="E930" t="str">
            <v>ランキング3（ユークリッド）</v>
          </cell>
          <cell r="F930">
            <v>1</v>
          </cell>
          <cell r="G930" t="str">
            <v>ja</v>
          </cell>
          <cell r="H930" t="str">
            <v>ウィザード級</v>
          </cell>
          <cell r="I930" t="str">
            <v>ウィザード級</v>
          </cell>
          <cell r="J930">
            <v>690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 t="str">
            <v>NULL</v>
          </cell>
          <cell r="V930" t="str">
            <v>NULL</v>
          </cell>
          <cell r="W930" t="str">
            <v/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924</v>
          </cell>
          <cell r="AD930">
            <v>6</v>
          </cell>
          <cell r="AE930" t="str">
            <v>singleonly</v>
          </cell>
        </row>
        <row r="931">
          <cell r="A931" t="str">
            <v>60011_2</v>
          </cell>
          <cell r="B931">
            <v>1</v>
          </cell>
          <cell r="C931">
            <v>60011</v>
          </cell>
          <cell r="D931" t="str">
            <v>ユークリッドチャレンジ</v>
          </cell>
          <cell r="E931" t="str">
            <v>ランキング3（ユークリッド）</v>
          </cell>
          <cell r="F931">
            <v>2</v>
          </cell>
          <cell r="G931" t="str">
            <v>ja</v>
          </cell>
          <cell r="H931" t="str">
            <v>超絶級</v>
          </cell>
          <cell r="I931" t="str">
            <v>ウィザード級</v>
          </cell>
          <cell r="J931">
            <v>690</v>
          </cell>
          <cell r="K931">
            <v>30</v>
          </cell>
          <cell r="L931">
            <v>3300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924</v>
          </cell>
          <cell r="AD931">
            <v>6</v>
          </cell>
          <cell r="AE931" t="str">
            <v>singleonly</v>
          </cell>
        </row>
        <row r="932">
          <cell r="A932" t="str">
            <v>60012_1</v>
          </cell>
          <cell r="B932">
            <v>3</v>
          </cell>
          <cell r="C932">
            <v>60012</v>
          </cell>
          <cell r="D932" t="str">
            <v>ユークリッドチャレンジ</v>
          </cell>
          <cell r="E932" t="str">
            <v>ランキング3（ユークリッド）</v>
          </cell>
          <cell r="F932">
            <v>1</v>
          </cell>
          <cell r="G932" t="str">
            <v>ja</v>
          </cell>
          <cell r="H932" t="str">
            <v>ユークリッドチャレンジ</v>
          </cell>
          <cell r="I932" t="str">
            <v>ウィザード級</v>
          </cell>
          <cell r="J932">
            <v>690</v>
          </cell>
          <cell r="K932">
            <v>35</v>
          </cell>
          <cell r="L932">
            <v>4200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924</v>
          </cell>
          <cell r="AD932">
            <v>6</v>
          </cell>
          <cell r="AE932" t="str">
            <v>singleonly</v>
          </cell>
        </row>
        <row r="933">
          <cell r="A933" t="str">
            <v>60013_1</v>
          </cell>
          <cell r="B933">
            <v>0</v>
          </cell>
          <cell r="C933">
            <v>60013</v>
          </cell>
          <cell r="D933" t="str">
            <v>オイラーチャレンジ</v>
          </cell>
          <cell r="E933" t="str">
            <v>ランキング1（再開催版）</v>
          </cell>
          <cell r="F933">
            <v>1</v>
          </cell>
          <cell r="G933" t="str">
            <v>ja</v>
          </cell>
          <cell r="H933" t="str">
            <v>【中級】オイラーチャレンジ</v>
          </cell>
          <cell r="I933" t="str">
            <v>中級</v>
          </cell>
          <cell r="J933">
            <v>378</v>
          </cell>
          <cell r="K933">
            <v>15</v>
          </cell>
          <cell r="L933">
            <v>1200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60013_2</v>
          </cell>
          <cell r="B934">
            <v>0</v>
          </cell>
          <cell r="C934">
            <v>60013</v>
          </cell>
          <cell r="D934" t="str">
            <v>オイラーチャレンジ</v>
          </cell>
          <cell r="E934" t="str">
            <v>ランキング1（再開催版）</v>
          </cell>
          <cell r="F934">
            <v>2</v>
          </cell>
          <cell r="G934" t="str">
            <v>ja</v>
          </cell>
          <cell r="H934" t="str">
            <v>【超級】オイラーチャレンジ</v>
          </cell>
          <cell r="I934" t="str">
            <v>超級</v>
          </cell>
          <cell r="J934">
            <v>378</v>
          </cell>
          <cell r="K934">
            <v>30</v>
          </cell>
          <cell r="L934">
            <v>3300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923</v>
          </cell>
          <cell r="AD934">
            <v>6</v>
          </cell>
          <cell r="AE934" t="str">
            <v>singleonly</v>
          </cell>
        </row>
        <row r="935">
          <cell r="A935" t="str">
            <v>60013_3</v>
          </cell>
          <cell r="B935">
            <v>3</v>
          </cell>
          <cell r="C935">
            <v>60013</v>
          </cell>
          <cell r="D935" t="str">
            <v>オイラーチャレンジ</v>
          </cell>
          <cell r="E935" t="str">
            <v>ランキング1（再開催版）</v>
          </cell>
          <cell r="F935">
            <v>3</v>
          </cell>
          <cell r="G935" t="str">
            <v>ja</v>
          </cell>
          <cell r="H935" t="str">
            <v>【ウィザード級】オイラーチャレンジ</v>
          </cell>
          <cell r="I935" t="str">
            <v>ウィザード級</v>
          </cell>
          <cell r="J935">
            <v>379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923</v>
          </cell>
          <cell r="AD935">
            <v>6</v>
          </cell>
          <cell r="AE935" t="str">
            <v>singleonly</v>
          </cell>
        </row>
        <row r="936">
          <cell r="A936" t="str">
            <v>60014_1</v>
          </cell>
          <cell r="B936">
            <v>3</v>
          </cell>
          <cell r="C936">
            <v>60014</v>
          </cell>
          <cell r="D936" t="str">
            <v xml:space="preserve">クロネッカーチャレンジ </v>
          </cell>
          <cell r="E936" t="str">
            <v>ランキング4（クロネッカー）</v>
          </cell>
          <cell r="F936">
            <v>1</v>
          </cell>
          <cell r="G936" t="str">
            <v>ja</v>
          </cell>
          <cell r="H936" t="str">
            <v>クロネッカーチャレンジ</v>
          </cell>
          <cell r="I936" t="str">
            <v>ウィザード級</v>
          </cell>
          <cell r="J936">
            <v>761</v>
          </cell>
          <cell r="K936">
            <v>35</v>
          </cell>
          <cell r="L936">
            <v>4200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925</v>
          </cell>
          <cell r="AD936">
            <v>6</v>
          </cell>
          <cell r="AE936" t="str">
            <v>singleonly</v>
          </cell>
        </row>
        <row r="937">
          <cell r="A937" t="str">
            <v>60015_1</v>
          </cell>
          <cell r="B937">
            <v>3</v>
          </cell>
          <cell r="C937">
            <v>60015</v>
          </cell>
          <cell r="D937" t="str">
            <v>ラグランジュチャレンジ</v>
          </cell>
          <cell r="E937" t="str">
            <v>ランキング2（再開催）</v>
          </cell>
          <cell r="F937">
            <v>1</v>
          </cell>
          <cell r="G937" t="str">
            <v>ja</v>
          </cell>
          <cell r="H937" t="str">
            <v>ラグランジュチャレンジ</v>
          </cell>
          <cell r="I937" t="str">
            <v>ウィザード級</v>
          </cell>
          <cell r="J937">
            <v>796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922</v>
          </cell>
          <cell r="AD937">
            <v>6</v>
          </cell>
          <cell r="AE937" t="str">
            <v>singleonly</v>
          </cell>
        </row>
        <row r="938">
          <cell r="A938" t="str">
            <v>60016_1</v>
          </cell>
          <cell r="B938">
            <v>3</v>
          </cell>
          <cell r="C938">
            <v>60016</v>
          </cell>
          <cell r="D938" t="str">
            <v>シュレディンガーチャレンジ</v>
          </cell>
          <cell r="E938" t="str">
            <v>ランキング5（シュレディンガー）</v>
          </cell>
          <cell r="F938">
            <v>1</v>
          </cell>
          <cell r="G938" t="str">
            <v>ja</v>
          </cell>
          <cell r="H938" t="str">
            <v>シュレディンガーチャレンジ</v>
          </cell>
          <cell r="I938" t="str">
            <v>ウィザード級</v>
          </cell>
          <cell r="J938">
            <v>797</v>
          </cell>
          <cell r="K938">
            <v>35</v>
          </cell>
          <cell r="L938">
            <v>4200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922</v>
          </cell>
          <cell r="AD938">
            <v>6</v>
          </cell>
          <cell r="AE938" t="str">
            <v>singleonly</v>
          </cell>
        </row>
        <row r="939">
          <cell r="A939" t="str">
            <v>60017_1</v>
          </cell>
          <cell r="B939">
            <v>3</v>
          </cell>
          <cell r="C939">
            <v>60017</v>
          </cell>
          <cell r="D939" t="str">
            <v>ユークリッドチャレンジ</v>
          </cell>
          <cell r="E939" t="str">
            <v>ランキング3（再開催）</v>
          </cell>
          <cell r="F939">
            <v>1</v>
          </cell>
          <cell r="G939" t="str">
            <v>ja</v>
          </cell>
          <cell r="H939" t="str">
            <v>ユークリッドチャレンジ</v>
          </cell>
          <cell r="I939" t="str">
            <v>ウィザード級</v>
          </cell>
          <cell r="J939">
            <v>690</v>
          </cell>
          <cell r="K939">
            <v>35</v>
          </cell>
          <cell r="L939">
            <v>4200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924</v>
          </cell>
          <cell r="AD939">
            <v>6</v>
          </cell>
          <cell r="AE939" t="str">
            <v>singleonly</v>
          </cell>
        </row>
        <row r="940">
          <cell r="A940" t="str">
            <v>60018_1</v>
          </cell>
          <cell r="B940">
            <v>3</v>
          </cell>
          <cell r="C940">
            <v>60018</v>
          </cell>
          <cell r="D940" t="str">
            <v>チューリングチャレンジ</v>
          </cell>
          <cell r="E940" t="str">
            <v>ランキング6</v>
          </cell>
          <cell r="F940">
            <v>1</v>
          </cell>
          <cell r="G940" t="str">
            <v>ja</v>
          </cell>
          <cell r="H940" t="str">
            <v>チューリングチャレンジ</v>
          </cell>
          <cell r="I940" t="str">
            <v>ウィザード級</v>
          </cell>
          <cell r="J940">
            <v>799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60019_1</v>
          </cell>
          <cell r="B941">
            <v>3</v>
          </cell>
          <cell r="C941">
            <v>60019</v>
          </cell>
          <cell r="D941" t="str">
            <v>ヘンペルチャレンジ</v>
          </cell>
          <cell r="E941" t="str">
            <v>ランキング7</v>
          </cell>
          <cell r="F941">
            <v>1</v>
          </cell>
          <cell r="G941" t="str">
            <v>ja</v>
          </cell>
          <cell r="H941" t="str">
            <v>ヘンペルチャレンジ</v>
          </cell>
          <cell r="I941" t="str">
            <v>ウィザード級</v>
          </cell>
          <cell r="J941">
            <v>800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924</v>
          </cell>
          <cell r="AD941">
            <v>6</v>
          </cell>
          <cell r="AE941" t="str">
            <v>singleonly</v>
          </cell>
        </row>
        <row r="942">
          <cell r="A942" t="str">
            <v>60020_1</v>
          </cell>
          <cell r="B942">
            <v>3</v>
          </cell>
          <cell r="C942">
            <v>60020</v>
          </cell>
          <cell r="D942" t="str">
            <v>シュレディンガーチャレンジ</v>
          </cell>
          <cell r="E942" t="str">
            <v>ランキング5（再開催）</v>
          </cell>
          <cell r="F942">
            <v>1</v>
          </cell>
          <cell r="G942" t="str">
            <v>ja</v>
          </cell>
          <cell r="H942" t="str">
            <v>シュレディンガーチャレンジ</v>
          </cell>
          <cell r="I942" t="str">
            <v>ウィザード級</v>
          </cell>
          <cell r="J942">
            <v>797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60021_3</v>
          </cell>
          <cell r="B943">
            <v>1</v>
          </cell>
          <cell r="C943">
            <v>60021</v>
          </cell>
          <cell r="D943" t="str">
            <v>【月曜限定】 黄の素材verハンプ検証</v>
          </cell>
          <cell r="E943" t="str">
            <v>検証</v>
          </cell>
          <cell r="F943">
            <v>3</v>
          </cell>
          <cell r="G943" t="str">
            <v>ja</v>
          </cell>
          <cell r="H943" t="str">
            <v>【上級】ハンプティ検証</v>
          </cell>
          <cell r="I943" t="str">
            <v>上級</v>
          </cell>
          <cell r="J943">
            <v>84</v>
          </cell>
          <cell r="K943">
            <v>20</v>
          </cell>
          <cell r="L943">
            <v>860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101</v>
          </cell>
          <cell r="AD943">
            <v>6</v>
          </cell>
          <cell r="AE943" t="str">
            <v>everyone</v>
          </cell>
        </row>
        <row r="944">
          <cell r="A944" t="str">
            <v>60022_3</v>
          </cell>
          <cell r="B944">
            <v>1</v>
          </cell>
          <cell r="C944">
            <v>60022</v>
          </cell>
          <cell r="D944" t="str">
            <v>【火曜限定】 赤の素材verハンプ検証</v>
          </cell>
          <cell r="E944" t="str">
            <v>検証</v>
          </cell>
          <cell r="F944">
            <v>3</v>
          </cell>
          <cell r="G944" t="str">
            <v>ja</v>
          </cell>
          <cell r="H944" t="str">
            <v>【上級】ハンプティ検証</v>
          </cell>
          <cell r="I944" t="str">
            <v>上級</v>
          </cell>
          <cell r="J944">
            <v>84</v>
          </cell>
          <cell r="K944">
            <v>20</v>
          </cell>
          <cell r="L944">
            <v>860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101</v>
          </cell>
          <cell r="AD944">
            <v>6</v>
          </cell>
          <cell r="AE944" t="str">
            <v>everyone</v>
          </cell>
        </row>
        <row r="945">
          <cell r="A945" t="str">
            <v>60023_3</v>
          </cell>
          <cell r="B945">
            <v>1</v>
          </cell>
          <cell r="C945">
            <v>60023</v>
          </cell>
          <cell r="D945" t="str">
            <v>【水曜限定】 青の素材verハンプ検証</v>
          </cell>
          <cell r="E945" t="str">
            <v>検証</v>
          </cell>
          <cell r="F945">
            <v>3</v>
          </cell>
          <cell r="G945" t="str">
            <v>ja</v>
          </cell>
          <cell r="H945" t="str">
            <v>【上級】ハンプティ検証</v>
          </cell>
          <cell r="I945" t="str">
            <v>上級</v>
          </cell>
          <cell r="J945">
            <v>84</v>
          </cell>
          <cell r="K945">
            <v>20</v>
          </cell>
          <cell r="L945">
            <v>860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101</v>
          </cell>
          <cell r="AD945">
            <v>6</v>
          </cell>
          <cell r="AE945" t="str">
            <v>everyone</v>
          </cell>
        </row>
        <row r="946">
          <cell r="A946" t="str">
            <v>60024_3</v>
          </cell>
          <cell r="B946">
            <v>1</v>
          </cell>
          <cell r="C946">
            <v>60024</v>
          </cell>
          <cell r="D946" t="str">
            <v>【木曜限定】 緑の素材verハンプ検証</v>
          </cell>
          <cell r="E946" t="str">
            <v>検証</v>
          </cell>
          <cell r="F946">
            <v>3</v>
          </cell>
          <cell r="G946" t="str">
            <v>ja</v>
          </cell>
          <cell r="H946" t="str">
            <v>【上級】ハンプティ検証</v>
          </cell>
          <cell r="I946" t="str">
            <v>上級</v>
          </cell>
          <cell r="J946">
            <v>84</v>
          </cell>
          <cell r="K946">
            <v>20</v>
          </cell>
          <cell r="L946">
            <v>860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101</v>
          </cell>
          <cell r="AD946">
            <v>6</v>
          </cell>
          <cell r="AE946" t="str">
            <v>everyone</v>
          </cell>
        </row>
        <row r="947">
          <cell r="A947" t="str">
            <v>60025_1</v>
          </cell>
          <cell r="B947">
            <v>3</v>
          </cell>
          <cell r="C947">
            <v>60025</v>
          </cell>
          <cell r="D947" t="str">
            <v>マリアチャレンジ</v>
          </cell>
          <cell r="E947" t="str">
            <v>ランキング8</v>
          </cell>
          <cell r="F947">
            <v>1</v>
          </cell>
          <cell r="G947" t="str">
            <v>ja</v>
          </cell>
          <cell r="H947" t="str">
            <v>マリアチャレンジ</v>
          </cell>
          <cell r="I947" t="str">
            <v>ウィザード級</v>
          </cell>
          <cell r="J947">
            <v>1274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</v>
          </cell>
          <cell r="AD947">
            <v>6</v>
          </cell>
          <cell r="AE947" t="str">
            <v>singleonly</v>
          </cell>
        </row>
        <row r="948">
          <cell r="A948" t="str">
            <v>60026_1</v>
          </cell>
          <cell r="B948">
            <v>3</v>
          </cell>
          <cell r="C948">
            <v>60026</v>
          </cell>
          <cell r="D948" t="str">
            <v>ハップルチャレンジ</v>
          </cell>
          <cell r="E948" t="str">
            <v>ランキング9</v>
          </cell>
          <cell r="F948">
            <v>1</v>
          </cell>
          <cell r="G948" t="str">
            <v>ja</v>
          </cell>
          <cell r="H948" t="str">
            <v>ハップルチャレンジ</v>
          </cell>
          <cell r="I948" t="str">
            <v>ウィザード級</v>
          </cell>
          <cell r="J948">
            <v>803</v>
          </cell>
          <cell r="K948">
            <v>35</v>
          </cell>
          <cell r="L948">
            <v>4200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925</v>
          </cell>
          <cell r="AD948">
            <v>6</v>
          </cell>
          <cell r="AE948" t="str">
            <v>singleonly</v>
          </cell>
        </row>
        <row r="949">
          <cell r="A949" t="str">
            <v>61011_1</v>
          </cell>
          <cell r="B949">
            <v>1</v>
          </cell>
          <cell r="C949">
            <v>61011</v>
          </cell>
          <cell r="D949" t="str">
            <v>ユークリッドチャレンジコピー</v>
          </cell>
          <cell r="E949" t="str">
            <v>ランキング3（ユークリッド）</v>
          </cell>
          <cell r="F949">
            <v>1</v>
          </cell>
          <cell r="G949" t="str">
            <v>ja</v>
          </cell>
          <cell r="H949" t="str">
            <v>ウィザード級コピー</v>
          </cell>
          <cell r="I949" t="str">
            <v>ウィザード級</v>
          </cell>
          <cell r="J949">
            <v>690</v>
          </cell>
          <cell r="K949">
            <v>35</v>
          </cell>
          <cell r="L949">
            <v>4200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925</v>
          </cell>
          <cell r="AD949">
            <v>6</v>
          </cell>
          <cell r="AE949" t="str">
            <v>singleonly</v>
          </cell>
        </row>
        <row r="950">
          <cell r="A950" t="str">
            <v>60027_1</v>
          </cell>
          <cell r="B950">
            <v>3</v>
          </cell>
          <cell r="C950">
            <v>60027</v>
          </cell>
          <cell r="D950" t="str">
            <v>チューリングチャレンジ</v>
          </cell>
          <cell r="E950" t="str">
            <v>ランキング6（再開催）</v>
          </cell>
          <cell r="F950">
            <v>1</v>
          </cell>
          <cell r="G950" t="str">
            <v>ja</v>
          </cell>
          <cell r="H950" t="str">
            <v>チューリングチャレンジ</v>
          </cell>
          <cell r="I950" t="str">
            <v>ウィザード級</v>
          </cell>
          <cell r="J950">
            <v>799</v>
          </cell>
          <cell r="K950">
            <v>35</v>
          </cell>
          <cell r="L950">
            <v>4200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923</v>
          </cell>
          <cell r="AD950">
            <v>6</v>
          </cell>
          <cell r="AE950" t="str">
            <v>singleonly</v>
          </cell>
        </row>
        <row r="951">
          <cell r="A951" t="str">
            <v>60028_1</v>
          </cell>
          <cell r="B951">
            <v>3</v>
          </cell>
          <cell r="C951">
            <v>60028</v>
          </cell>
          <cell r="D951" t="str">
            <v xml:space="preserve">クロネッカーチャレンジ </v>
          </cell>
          <cell r="E951" t="str">
            <v>ランキング4（再開催）</v>
          </cell>
          <cell r="F951">
            <v>1</v>
          </cell>
          <cell r="G951" t="str">
            <v>ja</v>
          </cell>
          <cell r="H951" t="str">
            <v>クロネッカーチャレンジ</v>
          </cell>
          <cell r="I951" t="str">
            <v>ウィザード級</v>
          </cell>
          <cell r="J951">
            <v>761</v>
          </cell>
          <cell r="K951">
            <v>35</v>
          </cell>
          <cell r="L951">
            <v>4200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925</v>
          </cell>
          <cell r="AD951">
            <v>6</v>
          </cell>
          <cell r="AE951" t="str">
            <v>singleonly</v>
          </cell>
        </row>
        <row r="952">
          <cell r="A952" t="str">
            <v>65525_1</v>
          </cell>
          <cell r="B952">
            <v>1</v>
          </cell>
          <cell r="C952">
            <v>65525</v>
          </cell>
          <cell r="D952" t="str">
            <v>【LB田邉】検証クエスト</v>
          </cell>
          <cell r="E952" t="str">
            <v>検証</v>
          </cell>
          <cell r="F952">
            <v>1</v>
          </cell>
          <cell r="G952" t="str">
            <v>ja</v>
          </cell>
          <cell r="H952" t="str">
            <v>【LB田邉】アニメーション検証</v>
          </cell>
          <cell r="I952" t="str">
            <v>検証</v>
          </cell>
          <cell r="J952">
            <v>1</v>
          </cell>
          <cell r="K952">
            <v>1</v>
          </cell>
          <cell r="L952">
            <v>1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polygon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24</v>
          </cell>
          <cell r="AD952">
            <v>4</v>
          </cell>
          <cell r="AE952" t="str">
            <v>everyone</v>
          </cell>
        </row>
        <row r="953">
          <cell r="A953" t="str">
            <v>65526_1</v>
          </cell>
          <cell r="B953">
            <v>1</v>
          </cell>
          <cell r="C953">
            <v>65526</v>
          </cell>
          <cell r="D953" t="str">
            <v>【LB加藤】検証クエスト</v>
          </cell>
          <cell r="E953" t="str">
            <v>検証</v>
          </cell>
          <cell r="F953">
            <v>1</v>
          </cell>
          <cell r="G953" t="str">
            <v>ja</v>
          </cell>
          <cell r="H953" t="str">
            <v>【LB加藤】検証</v>
          </cell>
          <cell r="I953" t="str">
            <v>検証</v>
          </cell>
          <cell r="J953">
            <v>1</v>
          </cell>
          <cell r="K953">
            <v>1</v>
          </cell>
          <cell r="L953">
            <v>1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polygon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1</v>
          </cell>
          <cell r="AD953">
            <v>6</v>
          </cell>
          <cell r="AE953" t="str">
            <v>everyone</v>
          </cell>
        </row>
        <row r="954">
          <cell r="A954" t="str">
            <v>65526_2</v>
          </cell>
          <cell r="B954">
            <v>1</v>
          </cell>
          <cell r="C954">
            <v>65526</v>
          </cell>
          <cell r="D954" t="str">
            <v>【LB加藤】検証クエスト</v>
          </cell>
          <cell r="E954" t="str">
            <v>検証</v>
          </cell>
          <cell r="F954">
            <v>2</v>
          </cell>
          <cell r="G954" t="str">
            <v>ja</v>
          </cell>
          <cell r="H954" t="str">
            <v>【LB加藤】ハップル仮実装</v>
          </cell>
          <cell r="I954" t="str">
            <v>検証</v>
          </cell>
          <cell r="J954">
            <v>1</v>
          </cell>
          <cell r="K954">
            <v>1</v>
          </cell>
          <cell r="L954">
            <v>1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polygon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1</v>
          </cell>
          <cell r="AD954">
            <v>6</v>
          </cell>
          <cell r="AE954" t="str">
            <v>everyone</v>
          </cell>
        </row>
        <row r="955">
          <cell r="A955" t="str">
            <v>65527_1</v>
          </cell>
          <cell r="B955">
            <v>1</v>
          </cell>
          <cell r="C955">
            <v>65527</v>
          </cell>
          <cell r="D955" t="str">
            <v>【LB小原】検証クエスト</v>
          </cell>
          <cell r="E955" t="str">
            <v>検証</v>
          </cell>
          <cell r="F955">
            <v>1</v>
          </cell>
          <cell r="G955" t="str">
            <v>ja</v>
          </cell>
          <cell r="H955" t="str">
            <v>【LB小原】検証</v>
          </cell>
          <cell r="I955" t="str">
            <v>検証</v>
          </cell>
          <cell r="J955">
            <v>1</v>
          </cell>
          <cell r="K955">
            <v>1</v>
          </cell>
          <cell r="L955">
            <v>1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polygon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1</v>
          </cell>
          <cell r="AD955">
            <v>6</v>
          </cell>
          <cell r="AE955" t="str">
            <v>everyone</v>
          </cell>
        </row>
        <row r="956">
          <cell r="A956" t="str">
            <v>65528_1</v>
          </cell>
          <cell r="B956">
            <v>1</v>
          </cell>
          <cell r="C956">
            <v>65528</v>
          </cell>
          <cell r="D956" t="str">
            <v>【LB保堂】検証クエスト</v>
          </cell>
          <cell r="E956" t="str">
            <v>検証</v>
          </cell>
          <cell r="F956">
            <v>1</v>
          </cell>
          <cell r="G956" t="str">
            <v>ja</v>
          </cell>
          <cell r="H956" t="str">
            <v>【LB保堂】検証</v>
          </cell>
          <cell r="I956" t="str">
            <v>検証</v>
          </cell>
          <cell r="J956">
            <v>1</v>
          </cell>
          <cell r="K956">
            <v>1</v>
          </cell>
          <cell r="L956">
            <v>1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polygon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1</v>
          </cell>
          <cell r="AD956">
            <v>6</v>
          </cell>
          <cell r="AE956" t="str">
            <v>everyone</v>
          </cell>
        </row>
        <row r="957">
          <cell r="A957" t="str">
            <v>65529_1</v>
          </cell>
          <cell r="B957">
            <v>1</v>
          </cell>
          <cell r="C957">
            <v>65529</v>
          </cell>
          <cell r="D957" t="str">
            <v>【LB植松】検証クエスト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【LB植松】検証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1</v>
          </cell>
          <cell r="AD957">
            <v>6</v>
          </cell>
          <cell r="AE957" t="str">
            <v>everyone</v>
          </cell>
        </row>
        <row r="958">
          <cell r="A958" t="str">
            <v>65530_1</v>
          </cell>
          <cell r="B958">
            <v>1</v>
          </cell>
          <cell r="C958">
            <v>65530</v>
          </cell>
          <cell r="D958" t="str">
            <v>【LB渡邉】検証クエスト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【LB渡邉】検証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65531_1</v>
          </cell>
          <cell r="B959">
            <v>1</v>
          </cell>
          <cell r="C959">
            <v>65531</v>
          </cell>
          <cell r="D959" t="str">
            <v>【LB塚本】検証クエスト</v>
          </cell>
          <cell r="E959" t="str">
            <v>検証</v>
          </cell>
          <cell r="F959">
            <v>1</v>
          </cell>
          <cell r="G959" t="str">
            <v>ja</v>
          </cell>
          <cell r="H959" t="str">
            <v>【LB塚本】検証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65531_2</v>
          </cell>
          <cell r="B960">
            <v>1</v>
          </cell>
          <cell r="C960">
            <v>65531</v>
          </cell>
          <cell r="D960" t="str">
            <v>【LB塚本】検証クエスト</v>
          </cell>
          <cell r="E960" t="str">
            <v>検証</v>
          </cell>
          <cell r="F960">
            <v>2</v>
          </cell>
          <cell r="G960" t="str">
            <v>ja</v>
          </cell>
          <cell r="H960" t="str">
            <v>【LB塚本】検証プレイ用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65532_1</v>
          </cell>
          <cell r="B961">
            <v>1</v>
          </cell>
          <cell r="C961">
            <v>65532</v>
          </cell>
          <cell r="D961" t="str">
            <v>【LB山川】検証クエスト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【LB山川】検証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65532_2</v>
          </cell>
          <cell r="B962">
            <v>1</v>
          </cell>
          <cell r="C962">
            <v>65532</v>
          </cell>
          <cell r="D962" t="str">
            <v>【LB山川】検証クエスト</v>
          </cell>
          <cell r="E962" t="str">
            <v>検証</v>
          </cell>
          <cell r="F962">
            <v>2</v>
          </cell>
          <cell r="G962" t="str">
            <v>ja</v>
          </cell>
          <cell r="H962" t="str">
            <v>【LB山川】検証プレイ用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65533_1</v>
          </cell>
          <cell r="B963">
            <v>1</v>
          </cell>
          <cell r="C963">
            <v>65533</v>
          </cell>
          <cell r="D963" t="str">
            <v>【程塚】検証クエスト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【超級】若造よ、身の程を知れ</v>
          </cell>
          <cell r="I963" t="str">
            <v>超級</v>
          </cell>
          <cell r="J963">
            <v>458</v>
          </cell>
          <cell r="K963">
            <v>30</v>
          </cell>
          <cell r="L963">
            <v>3300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none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13</v>
          </cell>
          <cell r="AD963">
            <v>6</v>
          </cell>
          <cell r="AE963" t="str">
            <v>everyone</v>
          </cell>
        </row>
        <row r="964">
          <cell r="A964" t="str">
            <v>65533_2</v>
          </cell>
          <cell r="B964">
            <v>1</v>
          </cell>
          <cell r="C964">
            <v>65533</v>
          </cell>
          <cell r="D964" t="str">
            <v>【程塚】検証クエスト</v>
          </cell>
          <cell r="E964" t="str">
            <v>検証</v>
          </cell>
          <cell r="F964">
            <v>2</v>
          </cell>
          <cell r="G964" t="str">
            <v>ja</v>
          </cell>
          <cell r="H964" t="str">
            <v>【超絶級】若造よ、身の程を知れ</v>
          </cell>
          <cell r="I964" t="str">
            <v>超絶級</v>
          </cell>
          <cell r="J964">
            <v>459</v>
          </cell>
          <cell r="K964">
            <v>35</v>
          </cell>
          <cell r="L964">
            <v>4200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1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13</v>
          </cell>
          <cell r="AD964">
            <v>6</v>
          </cell>
          <cell r="AE964" t="str">
            <v>everyone</v>
          </cell>
        </row>
        <row r="965">
          <cell r="A965" t="str">
            <v>65534_1</v>
          </cell>
          <cell r="B965">
            <v>1</v>
          </cell>
          <cell r="C965">
            <v>65534</v>
          </cell>
          <cell r="D965" t="str">
            <v>【LB久保】検証クエスト</v>
          </cell>
          <cell r="E965" t="str">
            <v>検証</v>
          </cell>
          <cell r="F965">
            <v>1</v>
          </cell>
          <cell r="G965" t="str">
            <v>ja</v>
          </cell>
          <cell r="H965" t="str">
            <v>【LB久保】タワー調整用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24</v>
          </cell>
          <cell r="AD965">
            <v>4</v>
          </cell>
          <cell r="AE965" t="str">
            <v>everyone</v>
          </cell>
        </row>
        <row r="966">
          <cell r="A966" t="str">
            <v>65534_2</v>
          </cell>
          <cell r="B966">
            <v>1</v>
          </cell>
          <cell r="C966">
            <v>65534</v>
          </cell>
          <cell r="D966" t="str">
            <v>【LB久保】検証クエスト</v>
          </cell>
          <cell r="E966" t="str">
            <v>検証</v>
          </cell>
          <cell r="F966">
            <v>2</v>
          </cell>
          <cell r="G966" t="str">
            <v>ja</v>
          </cell>
          <cell r="H966" t="str">
            <v>【LB久保】タワー調整用2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24</v>
          </cell>
          <cell r="AD966">
            <v>4</v>
          </cell>
          <cell r="AE966" t="str">
            <v>everyone</v>
          </cell>
        </row>
        <row r="967">
          <cell r="A967" t="str">
            <v>65535_1</v>
          </cell>
          <cell r="B967">
            <v>1</v>
          </cell>
          <cell r="C967">
            <v>65535</v>
          </cell>
          <cell r="D967" t="str">
            <v>１２３４５６７８９０１２３４５６７８９０１２３４５６７８９０</v>
          </cell>
          <cell r="E967" t="str">
            <v>検証</v>
          </cell>
          <cell r="F967">
            <v>1</v>
          </cell>
          <cell r="G967" t="str">
            <v>ja</v>
          </cell>
          <cell r="H967" t="str">
            <v>テンプレート</v>
          </cell>
          <cell r="I967" t="str">
            <v>検証</v>
          </cell>
          <cell r="J967" t="str">
            <v>NULL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none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903</v>
          </cell>
          <cell r="AD967">
            <v>6</v>
          </cell>
          <cell r="AE967" t="str">
            <v>everyone</v>
          </cell>
        </row>
        <row r="968">
          <cell r="A968" t="str">
            <v>65535_2</v>
          </cell>
          <cell r="B968">
            <v>1</v>
          </cell>
          <cell r="C968">
            <v>65535</v>
          </cell>
          <cell r="D968" t="str">
            <v>１２３４５６７８９０１２３４５６７８９０１２３４５６７８９０</v>
          </cell>
          <cell r="E968" t="str">
            <v>検証</v>
          </cell>
          <cell r="F968">
            <v>2</v>
          </cell>
          <cell r="G968" t="str">
            <v>ja</v>
          </cell>
          <cell r="H968" t="str">
            <v>ランクアップクエスト</v>
          </cell>
          <cell r="I968" t="str">
            <v>検証</v>
          </cell>
          <cell r="J968" t="str">
            <v>NULL</v>
          </cell>
          <cell r="K968">
            <v>1</v>
          </cell>
          <cell r="L968">
            <v>65535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903</v>
          </cell>
          <cell r="AD968">
            <v>6</v>
          </cell>
          <cell r="AE968" t="str">
            <v>everyone</v>
          </cell>
        </row>
        <row r="969">
          <cell r="A969" t="str">
            <v>65535_3</v>
          </cell>
          <cell r="B969">
            <v>1</v>
          </cell>
          <cell r="C969">
            <v>65535</v>
          </cell>
          <cell r="D969" t="str">
            <v>１２３４５６７８９０１２３４５６７８９０１２３４５６７８９０</v>
          </cell>
          <cell r="E969" t="str">
            <v>検証</v>
          </cell>
          <cell r="F969">
            <v>3</v>
          </cell>
          <cell r="G969" t="str">
            <v>ja</v>
          </cell>
          <cell r="H969" t="str">
            <v>サンドボックス</v>
          </cell>
          <cell r="I969" t="str">
            <v>検証</v>
          </cell>
          <cell r="J969" t="str">
            <v>NULL</v>
          </cell>
          <cell r="K969">
            <v>1</v>
          </cell>
          <cell r="L969">
            <v>1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none</v>
          </cell>
          <cell r="T969">
            <v>0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105</v>
          </cell>
          <cell r="AD969">
            <v>6</v>
          </cell>
          <cell r="AE969" t="str">
            <v>everyone</v>
          </cell>
        </row>
        <row r="970">
          <cell r="A970" t="str">
            <v>65535_4</v>
          </cell>
          <cell r="B970">
            <v>1</v>
          </cell>
          <cell r="C970">
            <v>65535</v>
          </cell>
          <cell r="D970" t="str">
            <v>１２３４５６７８９０１２３４５６７８９０１２３４５６７８９０</v>
          </cell>
          <cell r="E970" t="str">
            <v>検証</v>
          </cell>
          <cell r="F970">
            <v>4</v>
          </cell>
          <cell r="G970" t="str">
            <v>ja</v>
          </cell>
          <cell r="H970" t="str">
            <v>フリーズジャンヌ</v>
          </cell>
          <cell r="I970" t="str">
            <v>検証</v>
          </cell>
          <cell r="J970" t="str">
            <v>NULL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105</v>
          </cell>
          <cell r="AD970">
            <v>6</v>
          </cell>
          <cell r="AE970" t="str">
            <v>everyone</v>
          </cell>
        </row>
        <row r="971">
          <cell r="A971" t="str">
            <v>65535_5</v>
          </cell>
          <cell r="B971">
            <v>1</v>
          </cell>
          <cell r="C971">
            <v>65535</v>
          </cell>
          <cell r="D971" t="str">
            <v>１２３４５６７８９０１２３４５６７８９０１２３４５６７８９０</v>
          </cell>
          <cell r="E971" t="str">
            <v>検証</v>
          </cell>
          <cell r="F971">
            <v>5</v>
          </cell>
          <cell r="G971" t="str">
            <v>ja</v>
          </cell>
          <cell r="H971" t="str">
            <v>ウィルスジャンヌ</v>
          </cell>
          <cell r="I971" t="str">
            <v>検証</v>
          </cell>
          <cell r="J971" t="str">
            <v>NULL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none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105</v>
          </cell>
          <cell r="AD971">
            <v>6</v>
          </cell>
          <cell r="AE971" t="str">
            <v>everyone</v>
          </cell>
        </row>
        <row r="972">
          <cell r="A972" t="str">
            <v>65535_6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6</v>
          </cell>
          <cell r="G972" t="str">
            <v>ja</v>
          </cell>
          <cell r="H972" t="str">
            <v>お邪魔ジャンヌ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105</v>
          </cell>
          <cell r="AD972">
            <v>6</v>
          </cell>
          <cell r="AE972" t="str">
            <v>everyone</v>
          </cell>
        </row>
        <row r="973">
          <cell r="A973" t="str">
            <v>65535_7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7</v>
          </cell>
          <cell r="G973" t="str">
            <v>ja</v>
          </cell>
          <cell r="H973" t="str">
            <v>爆風ジャンヌ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1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105</v>
          </cell>
          <cell r="AD973">
            <v>6</v>
          </cell>
          <cell r="AE973" t="str">
            <v>everyone</v>
          </cell>
        </row>
        <row r="974">
          <cell r="A974" t="str">
            <v>65535_8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8</v>
          </cell>
          <cell r="G974" t="str">
            <v>ja</v>
          </cell>
          <cell r="H974" t="str">
            <v>テスト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65535_9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9</v>
          </cell>
          <cell r="G975" t="str">
            <v>ja</v>
          </cell>
          <cell r="H975" t="str">
            <v>本気プロテクトジャンヌ</v>
          </cell>
          <cell r="I975" t="str">
            <v>検証</v>
          </cell>
          <cell r="J975">
            <v>814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65535_10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10</v>
          </cell>
          <cell r="G976" t="str">
            <v>ja</v>
          </cell>
          <cell r="H976" t="str">
            <v>本気ウィルスミケランジェロ</v>
          </cell>
          <cell r="I976" t="str">
            <v>検証</v>
          </cell>
          <cell r="J976">
            <v>1089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workbookViewId="0">
      <selection activeCell="D3" sqref="D3"/>
    </sheetView>
  </sheetViews>
  <sheetFormatPr baseColWidth="12" defaultRowHeight="15" x14ac:dyDescent="0.15"/>
  <sheetData>
    <row r="1" spans="1:23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15">
      <c r="A2" s="5" t="s">
        <v>31</v>
      </c>
      <c r="B2" s="5" t="s">
        <v>29</v>
      </c>
      <c r="C2" s="5" t="s">
        <v>33</v>
      </c>
      <c r="D2" s="5" t="s">
        <v>25</v>
      </c>
      <c r="E2" s="3" t="str">
        <f t="shared" ref="E2" si="0">B2&amp;C2&amp;D2</f>
        <v>stage_bug_bonuses_boost.tmp</v>
      </c>
      <c r="F2" s="5" t="s">
        <v>8</v>
      </c>
      <c r="G2" s="4" t="s">
        <v>7</v>
      </c>
      <c r="H2" s="4" t="s">
        <v>9</v>
      </c>
      <c r="I2" s="4" t="s">
        <v>10</v>
      </c>
      <c r="J2" s="7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161"/>
  <sheetViews>
    <sheetView tabSelected="1" workbookViewId="0">
      <selection activeCell="G16" sqref="G16"/>
    </sheetView>
  </sheetViews>
  <sheetFormatPr baseColWidth="12" defaultRowHeight="15" x14ac:dyDescent="0.15"/>
  <cols>
    <col min="8" max="8" width="12.83203125" customWidth="1"/>
    <col min="17" max="18" width="19" bestFit="1" customWidth="1"/>
  </cols>
  <sheetData>
    <row r="1" spans="1:18" x14ac:dyDescent="0.15">
      <c r="A1" s="4" t="s">
        <v>7</v>
      </c>
      <c r="B1" s="4" t="s">
        <v>9</v>
      </c>
      <c r="C1" s="8" t="s">
        <v>26</v>
      </c>
      <c r="D1" s="9" t="s">
        <v>30</v>
      </c>
      <c r="E1" s="7" t="s">
        <v>11</v>
      </c>
      <c r="F1" s="4" t="s">
        <v>13</v>
      </c>
      <c r="G1" s="4" t="s">
        <v>22</v>
      </c>
      <c r="H1" s="4" t="s">
        <v>12</v>
      </c>
      <c r="I1" s="4" t="s">
        <v>14</v>
      </c>
      <c r="J1" s="4" t="s">
        <v>15</v>
      </c>
      <c r="K1" s="4" t="s">
        <v>16</v>
      </c>
      <c r="L1" s="4" t="s">
        <v>17</v>
      </c>
      <c r="M1" s="4" t="s">
        <v>18</v>
      </c>
      <c r="N1" s="4" t="s">
        <v>19</v>
      </c>
      <c r="O1" s="4" t="s">
        <v>20</v>
      </c>
      <c r="P1" s="4" t="s">
        <v>21</v>
      </c>
      <c r="Q1" s="4" t="s">
        <v>23</v>
      </c>
      <c r="R1" s="4" t="s">
        <v>24</v>
      </c>
    </row>
    <row r="2" spans="1:18" x14ac:dyDescent="0.15">
      <c r="A2" s="6">
        <v>11207</v>
      </c>
      <c r="B2" s="6">
        <v>1</v>
      </c>
      <c r="C2" s="6" t="str">
        <f>A2&amp; "_"&amp;B2</f>
        <v>11207_1</v>
      </c>
      <c r="D2" s="6" t="str">
        <f>VLOOKUP(C2,[1]stages!$A:$AE,31,FALSE)</f>
        <v>singleonly</v>
      </c>
      <c r="E2" s="6">
        <v>1</v>
      </c>
      <c r="F2" s="6">
        <v>125</v>
      </c>
      <c r="G2" s="6">
        <v>1</v>
      </c>
      <c r="H2" s="6" t="s">
        <v>32</v>
      </c>
      <c r="I2" s="6">
        <v>1</v>
      </c>
      <c r="J2" s="6">
        <v>1</v>
      </c>
      <c r="K2" s="6">
        <v>1</v>
      </c>
      <c r="L2" s="6">
        <v>0</v>
      </c>
      <c r="M2" s="6">
        <v>0</v>
      </c>
      <c r="N2" s="6">
        <v>0</v>
      </c>
      <c r="O2" s="6">
        <v>0</v>
      </c>
      <c r="P2" s="6">
        <v>1</v>
      </c>
      <c r="Q2" s="6" t="s">
        <v>27</v>
      </c>
      <c r="R2" s="6" t="s">
        <v>28</v>
      </c>
    </row>
    <row r="3" spans="1:18" x14ac:dyDescent="0.15">
      <c r="A3" s="6">
        <v>11207</v>
      </c>
      <c r="B3" s="6">
        <v>1</v>
      </c>
      <c r="C3" s="6" t="str">
        <f t="shared" ref="C3:C5" si="0">A3&amp; "_"&amp;B3</f>
        <v>11207_1</v>
      </c>
      <c r="D3" s="6" t="str">
        <f>VLOOKUP(C3,[1]stages!$A:$AE,31,FALSE)</f>
        <v>singleonly</v>
      </c>
      <c r="E3" s="6">
        <v>2</v>
      </c>
      <c r="F3" s="6">
        <v>121</v>
      </c>
      <c r="G3" s="6">
        <v>33</v>
      </c>
      <c r="H3" s="6" t="s">
        <v>32</v>
      </c>
      <c r="I3" s="6">
        <v>1</v>
      </c>
      <c r="J3" s="6">
        <v>1</v>
      </c>
      <c r="K3" s="6">
        <v>1</v>
      </c>
      <c r="L3" s="6">
        <v>0</v>
      </c>
      <c r="M3" s="6">
        <v>0</v>
      </c>
      <c r="N3" s="6">
        <v>0</v>
      </c>
      <c r="O3" s="6">
        <v>0</v>
      </c>
      <c r="P3" s="6">
        <v>1</v>
      </c>
      <c r="Q3" s="6" t="s">
        <v>27</v>
      </c>
      <c r="R3" s="6" t="s">
        <v>28</v>
      </c>
    </row>
    <row r="4" spans="1:18" x14ac:dyDescent="0.15">
      <c r="A4" s="6">
        <v>11207</v>
      </c>
      <c r="B4" s="6">
        <v>1</v>
      </c>
      <c r="C4" s="6" t="str">
        <f t="shared" si="0"/>
        <v>11207_1</v>
      </c>
      <c r="D4" s="6" t="str">
        <f>VLOOKUP(C4,[1]stages!$A:$AE,31,FALSE)</f>
        <v>singleonly</v>
      </c>
      <c r="E4" s="6">
        <v>3</v>
      </c>
      <c r="F4" s="6">
        <v>122</v>
      </c>
      <c r="G4" s="6">
        <v>33</v>
      </c>
      <c r="H4" s="6" t="s">
        <v>32</v>
      </c>
      <c r="I4" s="6">
        <v>1</v>
      </c>
      <c r="J4" s="6">
        <v>1</v>
      </c>
      <c r="K4" s="6">
        <v>1</v>
      </c>
      <c r="L4" s="6">
        <v>0</v>
      </c>
      <c r="M4" s="6">
        <v>0</v>
      </c>
      <c r="N4" s="6">
        <v>0</v>
      </c>
      <c r="O4" s="6">
        <v>0</v>
      </c>
      <c r="P4" s="6">
        <v>1</v>
      </c>
      <c r="Q4" s="6" t="s">
        <v>27</v>
      </c>
      <c r="R4" s="6" t="s">
        <v>28</v>
      </c>
    </row>
    <row r="5" spans="1:18" x14ac:dyDescent="0.15">
      <c r="A5" s="6">
        <v>11207</v>
      </c>
      <c r="B5" s="6">
        <v>1</v>
      </c>
      <c r="C5" s="6" t="str">
        <f t="shared" si="0"/>
        <v>11207_1</v>
      </c>
      <c r="D5" s="6" t="str">
        <f>VLOOKUP(C5,[1]stages!$A:$AE,31,FALSE)</f>
        <v>singleonly</v>
      </c>
      <c r="E5" s="6">
        <v>4</v>
      </c>
      <c r="F5" s="6">
        <v>123</v>
      </c>
      <c r="G5" s="6">
        <v>33</v>
      </c>
      <c r="H5" s="6" t="s">
        <v>32</v>
      </c>
      <c r="I5" s="6">
        <v>1</v>
      </c>
      <c r="J5" s="6">
        <v>1</v>
      </c>
      <c r="K5" s="6">
        <v>1</v>
      </c>
      <c r="L5" s="6">
        <v>0</v>
      </c>
      <c r="M5" s="6">
        <v>0</v>
      </c>
      <c r="N5" s="6">
        <v>0</v>
      </c>
      <c r="O5" s="6">
        <v>0</v>
      </c>
      <c r="P5" s="6">
        <v>1</v>
      </c>
      <c r="Q5" s="6" t="s">
        <v>27</v>
      </c>
      <c r="R5" s="6" t="s">
        <v>28</v>
      </c>
    </row>
    <row r="6" spans="1:18" x14ac:dyDescent="0.15">
      <c r="A6" s="6">
        <v>11207</v>
      </c>
      <c r="B6" s="6">
        <v>2</v>
      </c>
      <c r="C6" s="6" t="str">
        <f>A6&amp; "_"&amp;B6</f>
        <v>11207_2</v>
      </c>
      <c r="D6" s="6" t="str">
        <f>VLOOKUP(C6,[1]stages!$A:$AE,31,FALSE)</f>
        <v>singleonly</v>
      </c>
      <c r="E6" s="6">
        <v>5</v>
      </c>
      <c r="F6" s="6">
        <v>5000</v>
      </c>
      <c r="G6" s="6">
        <v>200</v>
      </c>
      <c r="H6" s="6" t="s">
        <v>34</v>
      </c>
      <c r="I6" s="6" t="s">
        <v>36</v>
      </c>
      <c r="J6" s="6">
        <v>1</v>
      </c>
      <c r="K6" s="6">
        <v>1</v>
      </c>
      <c r="L6" s="6">
        <v>0</v>
      </c>
      <c r="M6" s="6">
        <v>0</v>
      </c>
      <c r="N6" s="6">
        <v>0</v>
      </c>
      <c r="O6" s="6">
        <v>0</v>
      </c>
      <c r="P6" s="6">
        <v>1</v>
      </c>
      <c r="Q6" s="6" t="s">
        <v>27</v>
      </c>
      <c r="R6" s="6" t="s">
        <v>28</v>
      </c>
    </row>
    <row r="7" spans="1:18" x14ac:dyDescent="0.15">
      <c r="A7" s="6">
        <v>11207</v>
      </c>
      <c r="B7" s="6">
        <v>2</v>
      </c>
      <c r="C7" s="6" t="str">
        <f>A7&amp; "_"&amp;B7</f>
        <v>11207_2</v>
      </c>
      <c r="D7" s="6" t="str">
        <f>VLOOKUP(C7,[1]stages!$A:$AE,31,FALSE)</f>
        <v>singleonly</v>
      </c>
      <c r="E7" s="6">
        <v>6</v>
      </c>
      <c r="F7" s="6">
        <v>80</v>
      </c>
      <c r="G7" s="6">
        <v>420</v>
      </c>
      <c r="H7" s="6" t="s">
        <v>35</v>
      </c>
      <c r="I7" s="6" t="s">
        <v>37</v>
      </c>
      <c r="J7" s="6">
        <v>1</v>
      </c>
      <c r="K7" s="6">
        <v>1</v>
      </c>
      <c r="L7" s="6">
        <v>0</v>
      </c>
      <c r="M7" s="6">
        <v>0</v>
      </c>
      <c r="N7" s="6">
        <v>0</v>
      </c>
      <c r="O7" s="6">
        <v>0</v>
      </c>
      <c r="P7" s="6">
        <v>1</v>
      </c>
      <c r="Q7" s="6" t="s">
        <v>27</v>
      </c>
      <c r="R7" s="6" t="s">
        <v>28</v>
      </c>
    </row>
    <row r="8" spans="1:18" x14ac:dyDescent="0.15">
      <c r="A8" s="6">
        <v>11207</v>
      </c>
      <c r="B8" s="6">
        <v>2</v>
      </c>
      <c r="C8" s="6" t="str">
        <f>A8&amp; "_"&amp;B8</f>
        <v>11207_2</v>
      </c>
      <c r="D8" s="6" t="str">
        <f>VLOOKUP(C8,[1]stages!$A:$AE,31,FALSE)</f>
        <v>singleonly</v>
      </c>
      <c r="E8" s="6">
        <v>7</v>
      </c>
      <c r="F8" s="6">
        <v>125</v>
      </c>
      <c r="G8" s="6">
        <v>60</v>
      </c>
      <c r="H8" s="6" t="s">
        <v>32</v>
      </c>
      <c r="I8" s="6">
        <v>1</v>
      </c>
      <c r="J8" s="6">
        <v>1</v>
      </c>
      <c r="K8" s="6">
        <v>1</v>
      </c>
      <c r="L8" s="6">
        <v>0</v>
      </c>
      <c r="M8" s="6">
        <v>0</v>
      </c>
      <c r="N8" s="6">
        <v>0</v>
      </c>
      <c r="O8" s="6">
        <v>0</v>
      </c>
      <c r="P8" s="6">
        <v>1</v>
      </c>
      <c r="Q8" s="6" t="s">
        <v>27</v>
      </c>
      <c r="R8" s="6" t="s">
        <v>28</v>
      </c>
    </row>
    <row r="9" spans="1:18" x14ac:dyDescent="0.15">
      <c r="A9" s="6">
        <v>11207</v>
      </c>
      <c r="B9" s="6">
        <v>2</v>
      </c>
      <c r="C9" s="6" t="str">
        <f>A9&amp; "_"&amp;B9</f>
        <v>11207_2</v>
      </c>
      <c r="D9" s="6" t="str">
        <f>VLOOKUP(C9,[1]stages!$A:$AE,31,FALSE)</f>
        <v>singleonly</v>
      </c>
      <c r="E9" s="6">
        <v>8</v>
      </c>
      <c r="F9" s="6">
        <v>610</v>
      </c>
      <c r="G9" s="6">
        <v>20</v>
      </c>
      <c r="H9" s="6" t="s">
        <v>32</v>
      </c>
      <c r="I9" s="6">
        <v>1</v>
      </c>
      <c r="J9" s="6">
        <v>1</v>
      </c>
      <c r="K9" s="6">
        <v>1</v>
      </c>
      <c r="L9" s="6">
        <v>0</v>
      </c>
      <c r="M9" s="6">
        <v>0</v>
      </c>
      <c r="N9" s="6">
        <v>0</v>
      </c>
      <c r="O9" s="6">
        <v>0</v>
      </c>
      <c r="P9" s="6">
        <v>1</v>
      </c>
      <c r="Q9" s="6" t="s">
        <v>27</v>
      </c>
      <c r="R9" s="6" t="s">
        <v>28</v>
      </c>
    </row>
    <row r="10" spans="1:18" x14ac:dyDescent="0.15">
      <c r="A10" s="6">
        <v>11207</v>
      </c>
      <c r="B10" s="6">
        <v>2</v>
      </c>
      <c r="C10" s="6" t="str">
        <f t="shared" ref="C10:C23" si="1">A10&amp; "_"&amp;B10</f>
        <v>11207_2</v>
      </c>
      <c r="D10" s="6" t="str">
        <f>VLOOKUP(C10,[1]stages!$A:$AE,31,FALSE)</f>
        <v>singleonly</v>
      </c>
      <c r="E10" s="6">
        <v>9</v>
      </c>
      <c r="F10" s="6">
        <v>121</v>
      </c>
      <c r="G10" s="6">
        <v>80</v>
      </c>
      <c r="H10" s="6" t="s">
        <v>32</v>
      </c>
      <c r="I10" s="6">
        <v>1</v>
      </c>
      <c r="J10" s="6">
        <v>1</v>
      </c>
      <c r="K10" s="6">
        <v>1</v>
      </c>
      <c r="L10" s="6">
        <v>0</v>
      </c>
      <c r="M10" s="6">
        <v>0</v>
      </c>
      <c r="N10" s="6">
        <v>0</v>
      </c>
      <c r="O10" s="6">
        <v>0</v>
      </c>
      <c r="P10" s="6">
        <v>1</v>
      </c>
      <c r="Q10" s="6" t="s">
        <v>27</v>
      </c>
      <c r="R10" s="6" t="s">
        <v>28</v>
      </c>
    </row>
    <row r="11" spans="1:18" x14ac:dyDescent="0.15">
      <c r="A11" s="6">
        <v>11207</v>
      </c>
      <c r="B11" s="6">
        <v>2</v>
      </c>
      <c r="C11" s="6" t="str">
        <f t="shared" si="1"/>
        <v>11207_2</v>
      </c>
      <c r="D11" s="6" t="str">
        <f>VLOOKUP(C11,[1]stages!$A:$AE,31,FALSE)</f>
        <v>singleonly</v>
      </c>
      <c r="E11" s="6">
        <v>10</v>
      </c>
      <c r="F11" s="6">
        <v>122</v>
      </c>
      <c r="G11" s="6">
        <v>80</v>
      </c>
      <c r="H11" s="6" t="s">
        <v>32</v>
      </c>
      <c r="I11" s="6">
        <v>1</v>
      </c>
      <c r="J11" s="6">
        <v>1</v>
      </c>
      <c r="K11" s="6">
        <v>1</v>
      </c>
      <c r="L11" s="6">
        <v>0</v>
      </c>
      <c r="M11" s="6">
        <v>0</v>
      </c>
      <c r="N11" s="6">
        <v>0</v>
      </c>
      <c r="O11" s="6">
        <v>0</v>
      </c>
      <c r="P11" s="6">
        <v>1</v>
      </c>
      <c r="Q11" s="6" t="s">
        <v>27</v>
      </c>
      <c r="R11" s="6" t="s">
        <v>28</v>
      </c>
    </row>
    <row r="12" spans="1:18" x14ac:dyDescent="0.15">
      <c r="A12" s="6">
        <v>11207</v>
      </c>
      <c r="B12" s="6">
        <v>2</v>
      </c>
      <c r="C12" s="6" t="str">
        <f t="shared" si="1"/>
        <v>11207_2</v>
      </c>
      <c r="D12" s="6" t="str">
        <f>VLOOKUP(C12,[1]stages!$A:$AE,31,FALSE)</f>
        <v>singleonly</v>
      </c>
      <c r="E12" s="6">
        <v>11</v>
      </c>
      <c r="F12" s="6">
        <v>123</v>
      </c>
      <c r="G12" s="6">
        <v>80</v>
      </c>
      <c r="H12" s="6" t="s">
        <v>32</v>
      </c>
      <c r="I12" s="6">
        <v>1</v>
      </c>
      <c r="J12" s="6">
        <v>1</v>
      </c>
      <c r="K12" s="6">
        <v>1</v>
      </c>
      <c r="L12" s="6">
        <v>0</v>
      </c>
      <c r="M12" s="6">
        <v>0</v>
      </c>
      <c r="N12" s="6">
        <v>0</v>
      </c>
      <c r="O12" s="6">
        <v>0</v>
      </c>
      <c r="P12" s="6">
        <v>1</v>
      </c>
      <c r="Q12" s="6" t="s">
        <v>27</v>
      </c>
      <c r="R12" s="6" t="s">
        <v>28</v>
      </c>
    </row>
    <row r="13" spans="1:18" x14ac:dyDescent="0.15">
      <c r="A13" s="6">
        <v>11207</v>
      </c>
      <c r="B13" s="6">
        <v>2</v>
      </c>
      <c r="C13" s="6" t="str">
        <f t="shared" ref="C13:C15" si="2">A13&amp; "_"&amp;B13</f>
        <v>11207_2</v>
      </c>
      <c r="D13" s="6" t="str">
        <f>VLOOKUP(C13,[1]stages!$A:$AE,31,FALSE)</f>
        <v>singleonly</v>
      </c>
      <c r="E13" s="6">
        <v>12</v>
      </c>
      <c r="F13" s="6">
        <v>607</v>
      </c>
      <c r="G13" s="6">
        <v>20</v>
      </c>
      <c r="H13" s="6" t="s">
        <v>32</v>
      </c>
      <c r="I13" s="6">
        <v>1</v>
      </c>
      <c r="J13" s="6">
        <v>1</v>
      </c>
      <c r="K13" s="6">
        <v>1</v>
      </c>
      <c r="L13" s="6">
        <v>0</v>
      </c>
      <c r="M13" s="6">
        <v>0</v>
      </c>
      <c r="N13" s="6">
        <v>0</v>
      </c>
      <c r="O13" s="6">
        <v>0</v>
      </c>
      <c r="P13" s="6">
        <v>1</v>
      </c>
      <c r="Q13" s="6" t="s">
        <v>27</v>
      </c>
      <c r="R13" s="6" t="s">
        <v>28</v>
      </c>
    </row>
    <row r="14" spans="1:18" x14ac:dyDescent="0.15">
      <c r="A14" s="6">
        <v>11207</v>
      </c>
      <c r="B14" s="6">
        <v>2</v>
      </c>
      <c r="C14" s="6" t="str">
        <f t="shared" si="2"/>
        <v>11207_2</v>
      </c>
      <c r="D14" s="6" t="str">
        <f>VLOOKUP(C14,[1]stages!$A:$AE,31,FALSE)</f>
        <v>singleonly</v>
      </c>
      <c r="E14" s="6">
        <v>13</v>
      </c>
      <c r="F14" s="6">
        <v>608</v>
      </c>
      <c r="G14" s="6">
        <v>20</v>
      </c>
      <c r="H14" s="6" t="s">
        <v>32</v>
      </c>
      <c r="I14" s="6">
        <v>1</v>
      </c>
      <c r="J14" s="6">
        <v>1</v>
      </c>
      <c r="K14" s="6">
        <v>1</v>
      </c>
      <c r="L14" s="6">
        <v>0</v>
      </c>
      <c r="M14" s="6">
        <v>0</v>
      </c>
      <c r="N14" s="6">
        <v>0</v>
      </c>
      <c r="O14" s="6">
        <v>0</v>
      </c>
      <c r="P14" s="6">
        <v>1</v>
      </c>
      <c r="Q14" s="6" t="s">
        <v>27</v>
      </c>
      <c r="R14" s="6" t="s">
        <v>28</v>
      </c>
    </row>
    <row r="15" spans="1:18" x14ac:dyDescent="0.15">
      <c r="A15" s="6">
        <v>11207</v>
      </c>
      <c r="B15" s="6">
        <v>2</v>
      </c>
      <c r="C15" s="6" t="str">
        <f t="shared" si="2"/>
        <v>11207_2</v>
      </c>
      <c r="D15" s="6" t="str">
        <f>VLOOKUP(C15,[1]stages!$A:$AE,31,FALSE)</f>
        <v>singleonly</v>
      </c>
      <c r="E15" s="6">
        <v>14</v>
      </c>
      <c r="F15" s="6">
        <v>609</v>
      </c>
      <c r="G15" s="6">
        <v>20</v>
      </c>
      <c r="H15" s="6" t="s">
        <v>32</v>
      </c>
      <c r="I15" s="6">
        <v>1</v>
      </c>
      <c r="J15" s="6">
        <v>1</v>
      </c>
      <c r="K15" s="6">
        <v>1</v>
      </c>
      <c r="L15" s="6">
        <v>0</v>
      </c>
      <c r="M15" s="6">
        <v>0</v>
      </c>
      <c r="N15" s="6">
        <v>0</v>
      </c>
      <c r="O15" s="6">
        <v>0</v>
      </c>
      <c r="P15" s="6">
        <v>1</v>
      </c>
      <c r="Q15" s="6" t="s">
        <v>27</v>
      </c>
      <c r="R15" s="6" t="s">
        <v>28</v>
      </c>
    </row>
    <row r="16" spans="1:18" x14ac:dyDescent="0.15">
      <c r="A16" s="10">
        <v>12003</v>
      </c>
      <c r="B16" s="10">
        <v>1</v>
      </c>
      <c r="C16" s="10" t="str">
        <f t="shared" si="1"/>
        <v>12003_1</v>
      </c>
      <c r="D16" s="6" t="str">
        <f>VLOOKUP(C16,[1]stages!$A:$AE,31,FALSE)</f>
        <v>singleonly</v>
      </c>
      <c r="E16" s="6">
        <v>15</v>
      </c>
      <c r="F16" s="10">
        <v>346</v>
      </c>
      <c r="G16" s="10">
        <v>0</v>
      </c>
      <c r="H16" s="6" t="s">
        <v>32</v>
      </c>
      <c r="I16" s="6">
        <v>1</v>
      </c>
      <c r="J16" s="6">
        <v>1</v>
      </c>
      <c r="K16" s="6">
        <v>1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 t="s">
        <v>27</v>
      </c>
      <c r="R16" s="6" t="s">
        <v>28</v>
      </c>
    </row>
    <row r="17" spans="1:18" x14ac:dyDescent="0.15">
      <c r="A17" s="10">
        <v>12003</v>
      </c>
      <c r="B17" s="10">
        <v>1</v>
      </c>
      <c r="C17" s="10" t="str">
        <f t="shared" si="1"/>
        <v>12003_1</v>
      </c>
      <c r="D17" s="6" t="str">
        <f>VLOOKUP(C17,[1]stages!$A:$AE,31,FALSE)</f>
        <v>singleonly</v>
      </c>
      <c r="E17" s="6">
        <v>16</v>
      </c>
      <c r="F17" s="6">
        <v>347</v>
      </c>
      <c r="G17" s="6">
        <v>100</v>
      </c>
      <c r="H17" s="6" t="s">
        <v>32</v>
      </c>
      <c r="I17" s="6">
        <v>1</v>
      </c>
      <c r="J17" s="6">
        <v>1</v>
      </c>
      <c r="K17" s="6">
        <v>1</v>
      </c>
      <c r="L17" s="6">
        <v>0</v>
      </c>
      <c r="M17" s="6">
        <v>0</v>
      </c>
      <c r="N17" s="6">
        <v>0</v>
      </c>
      <c r="O17" s="6">
        <v>0</v>
      </c>
      <c r="P17" s="6">
        <v>1</v>
      </c>
      <c r="Q17" s="6" t="s">
        <v>27</v>
      </c>
      <c r="R17" s="6" t="s">
        <v>28</v>
      </c>
    </row>
    <row r="18" spans="1:18" x14ac:dyDescent="0.15">
      <c r="A18" s="10">
        <v>12003</v>
      </c>
      <c r="B18" s="6">
        <v>2</v>
      </c>
      <c r="C18" s="10" t="str">
        <f t="shared" si="1"/>
        <v>12003_2</v>
      </c>
      <c r="D18" s="6" t="str">
        <f>VLOOKUP(C18,[1]stages!$A:$AE,31,FALSE)</f>
        <v>singleonly</v>
      </c>
      <c r="E18" s="6">
        <v>17</v>
      </c>
      <c r="F18" s="6">
        <v>342</v>
      </c>
      <c r="G18" s="6">
        <v>0</v>
      </c>
      <c r="H18" s="6" t="s">
        <v>32</v>
      </c>
      <c r="I18" s="6">
        <v>1</v>
      </c>
      <c r="J18" s="6">
        <v>1</v>
      </c>
      <c r="K18" s="6">
        <v>1</v>
      </c>
      <c r="L18" s="6">
        <v>0</v>
      </c>
      <c r="M18" s="6">
        <v>0</v>
      </c>
      <c r="N18" s="6">
        <v>0</v>
      </c>
      <c r="O18" s="6">
        <v>0</v>
      </c>
      <c r="P18" s="6">
        <v>1</v>
      </c>
      <c r="Q18" s="6" t="s">
        <v>27</v>
      </c>
      <c r="R18" s="6" t="s">
        <v>28</v>
      </c>
    </row>
    <row r="19" spans="1:18" x14ac:dyDescent="0.15">
      <c r="A19" s="10">
        <v>12003</v>
      </c>
      <c r="B19" s="6">
        <v>2</v>
      </c>
      <c r="C19" s="10" t="str">
        <f t="shared" si="1"/>
        <v>12003_2</v>
      </c>
      <c r="D19" s="6" t="str">
        <f>VLOOKUP(C19,[1]stages!$A:$AE,31,FALSE)</f>
        <v>singleonly</v>
      </c>
      <c r="E19" s="6">
        <v>18</v>
      </c>
      <c r="F19" s="6">
        <v>343</v>
      </c>
      <c r="G19" s="6">
        <v>100</v>
      </c>
      <c r="H19" s="6" t="s">
        <v>32</v>
      </c>
      <c r="I19" s="6">
        <v>1</v>
      </c>
      <c r="J19" s="6">
        <v>1</v>
      </c>
      <c r="K19" s="6">
        <v>1</v>
      </c>
      <c r="L19" s="6">
        <v>0</v>
      </c>
      <c r="M19" s="6">
        <v>0</v>
      </c>
      <c r="N19" s="6">
        <v>0</v>
      </c>
      <c r="O19" s="6">
        <v>0</v>
      </c>
      <c r="P19" s="6">
        <v>1</v>
      </c>
      <c r="Q19" s="6" t="s">
        <v>27</v>
      </c>
      <c r="R19" s="6" t="s">
        <v>28</v>
      </c>
    </row>
    <row r="20" spans="1:18" x14ac:dyDescent="0.15">
      <c r="A20" s="10">
        <v>12003</v>
      </c>
      <c r="B20" s="6">
        <v>3</v>
      </c>
      <c r="C20" s="10" t="str">
        <f t="shared" si="1"/>
        <v>12003_3</v>
      </c>
      <c r="D20" s="6" t="str">
        <f>VLOOKUP(C20,[1]stages!$A:$AE,31,FALSE)</f>
        <v>singleonly</v>
      </c>
      <c r="E20" s="6">
        <v>19</v>
      </c>
      <c r="F20" s="6">
        <v>338</v>
      </c>
      <c r="G20" s="6">
        <v>0</v>
      </c>
      <c r="H20" s="6" t="s">
        <v>32</v>
      </c>
      <c r="I20" s="6">
        <v>1</v>
      </c>
      <c r="J20" s="6">
        <v>1</v>
      </c>
      <c r="K20" s="6">
        <v>1</v>
      </c>
      <c r="L20" s="6">
        <v>0</v>
      </c>
      <c r="M20" s="6">
        <v>0</v>
      </c>
      <c r="N20" s="6">
        <v>0</v>
      </c>
      <c r="O20" s="6">
        <v>0</v>
      </c>
      <c r="P20" s="6">
        <v>1</v>
      </c>
      <c r="Q20" s="6" t="s">
        <v>27</v>
      </c>
      <c r="R20" s="6" t="s">
        <v>28</v>
      </c>
    </row>
    <row r="21" spans="1:18" x14ac:dyDescent="0.15">
      <c r="A21" s="10">
        <v>12003</v>
      </c>
      <c r="B21" s="6">
        <v>3</v>
      </c>
      <c r="C21" s="10" t="str">
        <f t="shared" si="1"/>
        <v>12003_3</v>
      </c>
      <c r="D21" s="6" t="str">
        <f>VLOOKUP(C21,[1]stages!$A:$AE,31,FALSE)</f>
        <v>singleonly</v>
      </c>
      <c r="E21" s="6">
        <v>20</v>
      </c>
      <c r="F21" s="10">
        <v>339</v>
      </c>
      <c r="G21" s="10">
        <v>100</v>
      </c>
      <c r="H21" s="6" t="s">
        <v>32</v>
      </c>
      <c r="I21" s="6">
        <v>1</v>
      </c>
      <c r="J21" s="6">
        <v>1</v>
      </c>
      <c r="K21" s="6">
        <v>1</v>
      </c>
      <c r="L21" s="6">
        <v>0</v>
      </c>
      <c r="M21" s="6">
        <v>0</v>
      </c>
      <c r="N21" s="6">
        <v>0</v>
      </c>
      <c r="O21" s="6">
        <v>0</v>
      </c>
      <c r="P21" s="6">
        <v>1</v>
      </c>
      <c r="Q21" s="6" t="s">
        <v>27</v>
      </c>
      <c r="R21" s="6" t="s">
        <v>28</v>
      </c>
    </row>
    <row r="22" spans="1:18" x14ac:dyDescent="0.15">
      <c r="A22" s="10">
        <v>12003</v>
      </c>
      <c r="B22" s="10">
        <v>4</v>
      </c>
      <c r="C22" s="10" t="str">
        <f t="shared" si="1"/>
        <v>12003_4</v>
      </c>
      <c r="D22" s="6" t="str">
        <f>VLOOKUP(C22,[1]stages!$A:$AE,31,FALSE)</f>
        <v>singleonly</v>
      </c>
      <c r="E22" s="6">
        <v>21</v>
      </c>
      <c r="F22" s="10">
        <v>334</v>
      </c>
      <c r="G22" s="10">
        <v>0</v>
      </c>
      <c r="H22" s="6" t="s">
        <v>32</v>
      </c>
      <c r="I22" s="6">
        <v>1</v>
      </c>
      <c r="J22" s="6">
        <v>1</v>
      </c>
      <c r="K22" s="6">
        <v>1</v>
      </c>
      <c r="L22" s="6">
        <v>0</v>
      </c>
      <c r="M22" s="6">
        <v>0</v>
      </c>
      <c r="N22" s="6">
        <v>0</v>
      </c>
      <c r="O22" s="6">
        <v>0</v>
      </c>
      <c r="P22" s="6">
        <v>1</v>
      </c>
      <c r="Q22" s="6" t="s">
        <v>27</v>
      </c>
      <c r="R22" s="6" t="s">
        <v>28</v>
      </c>
    </row>
    <row r="23" spans="1:18" x14ac:dyDescent="0.15">
      <c r="A23" s="10">
        <v>12003</v>
      </c>
      <c r="B23" s="10">
        <v>4</v>
      </c>
      <c r="C23" s="10" t="str">
        <f t="shared" si="1"/>
        <v>12003_4</v>
      </c>
      <c r="D23" s="6" t="str">
        <f>VLOOKUP(C23,[1]stages!$A:$AE,31,FALSE)</f>
        <v>singleonly</v>
      </c>
      <c r="E23" s="6">
        <v>22</v>
      </c>
      <c r="F23" s="10">
        <v>335</v>
      </c>
      <c r="G23" s="10">
        <v>100</v>
      </c>
      <c r="H23" s="6" t="s">
        <v>32</v>
      </c>
      <c r="I23" s="6">
        <v>1</v>
      </c>
      <c r="J23" s="6">
        <v>1</v>
      </c>
      <c r="K23" s="6">
        <v>1</v>
      </c>
      <c r="L23" s="6">
        <v>0</v>
      </c>
      <c r="M23" s="6">
        <v>0</v>
      </c>
      <c r="N23" s="6">
        <v>0</v>
      </c>
      <c r="O23" s="6">
        <v>0</v>
      </c>
      <c r="P23" s="6">
        <v>1</v>
      </c>
      <c r="Q23" s="6" t="s">
        <v>27</v>
      </c>
      <c r="R23" s="6" t="s">
        <v>28</v>
      </c>
    </row>
    <row r="24" spans="1:18" x14ac:dyDescent="0.15">
      <c r="A24" s="6"/>
      <c r="B24" s="10"/>
      <c r="C24" s="10"/>
      <c r="D24" s="6"/>
      <c r="E24" s="6"/>
      <c r="F24" s="10"/>
      <c r="G24" s="10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1:18" x14ac:dyDescent="0.15">
      <c r="A25" s="6"/>
      <c r="B25" s="10"/>
      <c r="C25" s="10"/>
      <c r="D25" s="6"/>
      <c r="E25" s="6"/>
      <c r="F25" s="10"/>
      <c r="G25" s="10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1:18" x14ac:dyDescent="0.15">
      <c r="A26" s="6"/>
      <c r="B26" s="6"/>
      <c r="C26" s="6"/>
      <c r="D26" s="6"/>
      <c r="E26" s="10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1:18" x14ac:dyDescent="0.15">
      <c r="A27" s="6"/>
      <c r="B27" s="6"/>
      <c r="C27" s="6"/>
      <c r="D27" s="6"/>
      <c r="E27" s="10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1:18" x14ac:dyDescent="0.15">
      <c r="A28" s="6"/>
      <c r="B28" s="6"/>
      <c r="C28" s="6"/>
      <c r="D28" s="6"/>
      <c r="E28" s="10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1:18" x14ac:dyDescent="0.15">
      <c r="A29" s="6"/>
      <c r="B29" s="6"/>
      <c r="C29" s="6"/>
      <c r="D29" s="6"/>
      <c r="E29" s="10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1:18" x14ac:dyDescent="0.15">
      <c r="A30" s="6"/>
      <c r="B30" s="6"/>
      <c r="C30" s="6"/>
      <c r="D30" s="6"/>
      <c r="E30" s="10"/>
      <c r="F30" s="10"/>
      <c r="G30" s="1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x14ac:dyDescent="0.15">
      <c r="A31" s="6"/>
      <c r="B31" s="10"/>
      <c r="C31" s="10"/>
      <c r="D31" s="6"/>
      <c r="E31" s="10"/>
      <c r="F31" s="10"/>
      <c r="G31" s="1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1:18" x14ac:dyDescent="0.15">
      <c r="A32" s="6"/>
      <c r="B32" s="10"/>
      <c r="C32" s="10"/>
      <c r="D32" s="6"/>
      <c r="E32" s="10"/>
      <c r="F32" s="10"/>
      <c r="G32" s="10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x14ac:dyDescent="0.15">
      <c r="A33" s="6"/>
      <c r="B33" s="10"/>
      <c r="C33" s="10"/>
      <c r="D33" s="6"/>
      <c r="E33" s="10"/>
      <c r="F33" s="10"/>
      <c r="G33" s="10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x14ac:dyDescent="0.15">
      <c r="A34" s="6"/>
      <c r="B34" s="10"/>
      <c r="C34" s="10"/>
      <c r="D34" s="6"/>
      <c r="E34" s="10"/>
      <c r="F34" s="10"/>
      <c r="G34" s="10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x14ac:dyDescent="0.15">
      <c r="A35" s="6"/>
      <c r="B35" s="6"/>
      <c r="C35" s="6"/>
      <c r="D35" s="6"/>
      <c r="E35" s="10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1:18" x14ac:dyDescent="0.15">
      <c r="A36" s="6"/>
      <c r="B36" s="6"/>
      <c r="C36" s="6"/>
      <c r="D36" s="6"/>
      <c r="E36" s="10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1:18" x14ac:dyDescent="0.15">
      <c r="A37" s="6"/>
      <c r="B37" s="6"/>
      <c r="C37" s="6"/>
      <c r="D37" s="6"/>
      <c r="E37" s="10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1:18" x14ac:dyDescent="0.15">
      <c r="A38" s="6"/>
      <c r="B38" s="6"/>
      <c r="C38" s="6"/>
      <c r="D38" s="6"/>
      <c r="E38" s="10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8" x14ac:dyDescent="0.15">
      <c r="A39" s="6"/>
      <c r="B39" s="6"/>
      <c r="C39" s="6"/>
      <c r="D39" s="6"/>
      <c r="E39" s="10"/>
      <c r="F39" s="10"/>
      <c r="G39" s="10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8" x14ac:dyDescent="0.15">
      <c r="A40" s="6"/>
      <c r="B40" s="10"/>
      <c r="C40" s="10"/>
      <c r="D40" s="6"/>
      <c r="E40" s="10"/>
      <c r="F40" s="10"/>
      <c r="G40" s="10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x14ac:dyDescent="0.15">
      <c r="A41" s="6"/>
      <c r="B41" s="10"/>
      <c r="C41" s="10"/>
      <c r="D41" s="6"/>
      <c r="E41" s="10"/>
      <c r="F41" s="10"/>
      <c r="G41" s="10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8" x14ac:dyDescent="0.15">
      <c r="A42" s="6"/>
      <c r="B42" s="10"/>
      <c r="C42" s="10"/>
      <c r="D42" s="6"/>
      <c r="E42" s="10"/>
      <c r="F42" s="10"/>
      <c r="G42" s="10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x14ac:dyDescent="0.15">
      <c r="A43" s="6"/>
      <c r="B43" s="10"/>
      <c r="C43" s="10"/>
      <c r="D43" s="6"/>
      <c r="E43" s="10"/>
      <c r="F43" s="10"/>
      <c r="G43" s="10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x14ac:dyDescent="0.15">
      <c r="A44" s="6"/>
      <c r="B44" s="6"/>
      <c r="C44" s="6"/>
      <c r="D44" s="6"/>
      <c r="E44" s="10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x14ac:dyDescent="0.15">
      <c r="A45" s="6"/>
      <c r="B45" s="6"/>
      <c r="C45" s="6"/>
      <c r="D45" s="6"/>
      <c r="E45" s="10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1:18" x14ac:dyDescent="0.15">
      <c r="A46" s="6"/>
      <c r="B46" s="6"/>
      <c r="C46" s="6"/>
      <c r="D46" s="6"/>
      <c r="E46" s="10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</row>
    <row r="47" spans="1:18" x14ac:dyDescent="0.15">
      <c r="A47" s="6"/>
      <c r="B47" s="6"/>
      <c r="C47" s="6"/>
      <c r="D47" s="6"/>
      <c r="E47" s="10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</row>
    <row r="48" spans="1:18" x14ac:dyDescent="0.15">
      <c r="A48" s="6"/>
      <c r="B48" s="6"/>
      <c r="C48" s="6"/>
      <c r="D48" s="6"/>
      <c r="E48" s="10"/>
      <c r="F48" s="10"/>
      <c r="G48" s="10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1:18" x14ac:dyDescent="0.15">
      <c r="A49" s="6"/>
      <c r="B49" s="10"/>
      <c r="C49" s="10"/>
      <c r="D49" s="6"/>
      <c r="E49" s="10"/>
      <c r="F49" s="10"/>
      <c r="G49" s="10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1:18" x14ac:dyDescent="0.15">
      <c r="A50" s="6"/>
      <c r="B50" s="10"/>
      <c r="C50" s="10"/>
      <c r="D50" s="6"/>
      <c r="E50" s="10"/>
      <c r="F50" s="10"/>
      <c r="G50" s="10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</row>
    <row r="51" spans="1:18" x14ac:dyDescent="0.15">
      <c r="A51" s="6"/>
      <c r="B51" s="6"/>
      <c r="C51" s="6"/>
      <c r="D51" s="6"/>
      <c r="E51" s="10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</row>
    <row r="52" spans="1:18" x14ac:dyDescent="0.15">
      <c r="A52" s="6"/>
      <c r="B52" s="6"/>
      <c r="C52" s="6"/>
      <c r="D52" s="6"/>
      <c r="E52" s="10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</row>
    <row r="53" spans="1:18" x14ac:dyDescent="0.15">
      <c r="A53" s="6"/>
      <c r="B53" s="6"/>
      <c r="C53" s="6"/>
      <c r="D53" s="6"/>
      <c r="E53" s="10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1:18" x14ac:dyDescent="0.15">
      <c r="A54" s="6"/>
      <c r="B54" s="6"/>
      <c r="C54" s="6"/>
      <c r="D54" s="6"/>
      <c r="E54" s="10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x14ac:dyDescent="0.15">
      <c r="A55" s="6"/>
      <c r="B55" s="6"/>
      <c r="C55" s="6"/>
      <c r="D55" s="6"/>
      <c r="E55" s="10"/>
      <c r="F55" s="10"/>
      <c r="G55" s="10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x14ac:dyDescent="0.15">
      <c r="A56" s="6"/>
      <c r="B56" s="6"/>
      <c r="C56" s="10"/>
      <c r="D56" s="6"/>
      <c r="E56" s="10"/>
      <c r="F56" s="10"/>
      <c r="G56" s="10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x14ac:dyDescent="0.15">
      <c r="A57" s="6"/>
      <c r="B57" s="6"/>
      <c r="C57" s="10"/>
      <c r="D57" s="6"/>
      <c r="E57" s="10"/>
      <c r="F57" s="10"/>
      <c r="G57" s="10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1:18" x14ac:dyDescent="0.15">
      <c r="A58" s="6"/>
      <c r="B58" s="6"/>
      <c r="C58" s="6"/>
      <c r="D58" s="6"/>
      <c r="E58" s="10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1:18" x14ac:dyDescent="0.15">
      <c r="A59" s="6"/>
      <c r="B59" s="6"/>
      <c r="C59" s="6"/>
      <c r="D59" s="6"/>
      <c r="E59" s="10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spans="1:18" x14ac:dyDescent="0.15">
      <c r="A60" s="6"/>
      <c r="B60" s="6"/>
      <c r="C60" s="6"/>
      <c r="D60" s="6"/>
      <c r="E60" s="10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spans="1:18" x14ac:dyDescent="0.15">
      <c r="A61" s="6"/>
      <c r="B61" s="6"/>
      <c r="C61" s="6"/>
      <c r="D61" s="6"/>
      <c r="E61" s="10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spans="1:18" x14ac:dyDescent="0.15">
      <c r="A62" s="6"/>
      <c r="B62" s="6"/>
      <c r="C62" s="6"/>
      <c r="D62" s="6"/>
      <c r="E62" s="10"/>
      <c r="F62" s="10"/>
      <c r="G62" s="10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spans="1:18" x14ac:dyDescent="0.15">
      <c r="A63" s="6"/>
      <c r="B63" s="6"/>
      <c r="C63" s="10"/>
      <c r="D63" s="6"/>
      <c r="E63" s="10"/>
      <c r="F63" s="10"/>
      <c r="G63" s="10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spans="1:18" x14ac:dyDescent="0.15">
      <c r="A64" s="6"/>
      <c r="B64" s="6"/>
      <c r="C64" s="10"/>
      <c r="D64" s="6"/>
      <c r="E64" s="10"/>
      <c r="F64" s="10"/>
      <c r="G64" s="10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spans="1:18" x14ac:dyDescent="0.15">
      <c r="A65" s="6"/>
      <c r="B65" s="6"/>
      <c r="C65" s="6"/>
      <c r="D65" s="6"/>
      <c r="E65" s="10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8" x14ac:dyDescent="0.15">
      <c r="A66" s="6"/>
      <c r="B66" s="6"/>
      <c r="C66" s="6"/>
      <c r="D66" s="6"/>
      <c r="E66" s="10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8" x14ac:dyDescent="0.15">
      <c r="A67" s="6"/>
      <c r="B67" s="6"/>
      <c r="C67" s="6"/>
      <c r="D67" s="6"/>
      <c r="E67" s="10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8" x14ac:dyDescent="0.15">
      <c r="A68" s="6"/>
      <c r="B68" s="6"/>
      <c r="C68" s="6"/>
      <c r="D68" s="6"/>
      <c r="E68" s="10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 x14ac:dyDescent="0.15">
      <c r="A69" s="6"/>
      <c r="B69" s="6"/>
      <c r="C69" s="6"/>
      <c r="D69" s="6"/>
      <c r="E69" s="10"/>
      <c r="F69" s="10"/>
      <c r="G69" s="10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1:18" x14ac:dyDescent="0.15">
      <c r="A70" s="6"/>
      <c r="B70" s="6"/>
      <c r="C70" s="10"/>
      <c r="D70" s="6"/>
      <c r="E70" s="10"/>
      <c r="F70" s="10"/>
      <c r="G70" s="10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1:18" x14ac:dyDescent="0.15">
      <c r="A71" s="6"/>
      <c r="B71" s="6"/>
      <c r="C71" s="10"/>
      <c r="D71" s="6"/>
      <c r="E71" s="10"/>
      <c r="F71" s="10"/>
      <c r="G71" s="10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1:18" x14ac:dyDescent="0.15">
      <c r="A72" s="10"/>
      <c r="B72" s="10"/>
      <c r="C72" s="10"/>
      <c r="D72" s="6"/>
      <c r="E72" s="10"/>
      <c r="F72" s="10"/>
      <c r="G72" s="10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1:18" x14ac:dyDescent="0.15">
      <c r="A73" s="10"/>
      <c r="B73" s="10"/>
      <c r="C73" s="10"/>
      <c r="D73" s="6"/>
      <c r="E73" s="10"/>
      <c r="F73" s="10"/>
      <c r="G73" s="10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1:18" x14ac:dyDescent="0.15">
      <c r="A74" s="10"/>
      <c r="B74" s="10"/>
      <c r="C74" s="10"/>
      <c r="D74" s="6"/>
      <c r="E74" s="10"/>
      <c r="F74" s="10"/>
      <c r="G74" s="10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1:18" x14ac:dyDescent="0.15">
      <c r="A75" s="10"/>
      <c r="B75" s="10"/>
      <c r="C75" s="10"/>
      <c r="D75" s="6"/>
      <c r="E75" s="10"/>
      <c r="F75" s="10"/>
      <c r="G75" s="10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1:18" x14ac:dyDescent="0.15">
      <c r="A76" s="10"/>
      <c r="B76" s="10"/>
      <c r="C76" s="10"/>
      <c r="D76" s="6"/>
      <c r="E76" s="10"/>
      <c r="F76" s="10"/>
      <c r="G76" s="10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  <row r="77" spans="1:18" x14ac:dyDescent="0.15">
      <c r="A77" s="10"/>
      <c r="B77" s="10"/>
      <c r="C77" s="10"/>
      <c r="D77" s="6"/>
      <c r="E77" s="10"/>
      <c r="F77" s="10"/>
      <c r="G77" s="10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</row>
    <row r="78" spans="1:18" x14ac:dyDescent="0.15">
      <c r="A78" s="10"/>
      <c r="B78" s="10"/>
      <c r="C78" s="10"/>
      <c r="D78" s="6"/>
      <c r="E78" s="10"/>
      <c r="F78" s="10"/>
      <c r="G78" s="10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</row>
    <row r="79" spans="1:18" x14ac:dyDescent="0.15">
      <c r="A79" s="10"/>
      <c r="B79" s="10"/>
      <c r="C79" s="10"/>
      <c r="D79" s="6"/>
      <c r="E79" s="10"/>
      <c r="F79" s="10"/>
      <c r="G79" s="10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</row>
    <row r="80" spans="1:18" x14ac:dyDescent="0.15">
      <c r="A80" s="10"/>
      <c r="B80" s="10"/>
      <c r="C80" s="10"/>
      <c r="D80" s="6"/>
      <c r="E80" s="10"/>
      <c r="F80" s="10"/>
      <c r="G80" s="10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</row>
    <row r="81" spans="1:18" x14ac:dyDescent="0.15">
      <c r="A81" s="10"/>
      <c r="B81" s="10"/>
      <c r="C81" s="10"/>
      <c r="D81" s="6"/>
      <c r="E81" s="10"/>
      <c r="F81" s="10"/>
      <c r="G81" s="10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</row>
    <row r="82" spans="1:18" x14ac:dyDescent="0.15">
      <c r="A82" s="10"/>
      <c r="B82" s="10"/>
      <c r="C82" s="10"/>
      <c r="D82" s="6"/>
      <c r="E82" s="10"/>
      <c r="F82" s="10"/>
      <c r="G82" s="10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</row>
    <row r="83" spans="1:18" x14ac:dyDescent="0.15">
      <c r="A83" s="10"/>
      <c r="B83" s="10"/>
      <c r="C83" s="10"/>
      <c r="D83" s="6"/>
      <c r="E83" s="10"/>
      <c r="F83" s="10"/>
      <c r="G83" s="10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</row>
    <row r="84" spans="1:18" x14ac:dyDescent="0.15">
      <c r="A84" s="10"/>
      <c r="B84" s="10"/>
      <c r="C84" s="10"/>
      <c r="D84" s="6"/>
      <c r="E84" s="10"/>
      <c r="F84" s="10"/>
      <c r="G84" s="10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</row>
    <row r="85" spans="1:18" x14ac:dyDescent="0.15">
      <c r="A85" s="10"/>
      <c r="B85" s="10"/>
      <c r="C85" s="10"/>
      <c r="D85" s="6"/>
      <c r="E85" s="10"/>
      <c r="F85" s="10"/>
      <c r="G85" s="10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</row>
    <row r="86" spans="1:18" x14ac:dyDescent="0.15">
      <c r="A86" s="10"/>
      <c r="B86" s="10"/>
      <c r="C86" s="10"/>
      <c r="D86" s="6"/>
      <c r="E86" s="10"/>
      <c r="F86" s="10"/>
      <c r="G86" s="10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</row>
    <row r="87" spans="1:18" x14ac:dyDescent="0.15">
      <c r="A87" s="10"/>
      <c r="B87" s="10"/>
      <c r="C87" s="10"/>
      <c r="D87" s="6"/>
      <c r="E87" s="10"/>
      <c r="F87" s="10"/>
      <c r="G87" s="10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</row>
    <row r="88" spans="1:18" x14ac:dyDescent="0.15">
      <c r="A88" s="10"/>
      <c r="B88" s="10"/>
      <c r="C88" s="10"/>
      <c r="D88" s="6"/>
      <c r="E88" s="10"/>
      <c r="F88" s="10"/>
      <c r="G88" s="10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</row>
    <row r="89" spans="1:18" x14ac:dyDescent="0.15">
      <c r="A89" s="10"/>
      <c r="B89" s="10"/>
      <c r="C89" s="10"/>
      <c r="D89" s="6"/>
      <c r="E89" s="10"/>
      <c r="F89" s="10"/>
      <c r="G89" s="10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</row>
    <row r="90" spans="1:18" x14ac:dyDescent="0.15">
      <c r="A90" s="10"/>
      <c r="B90" s="10"/>
      <c r="C90" s="10"/>
      <c r="D90" s="6"/>
      <c r="E90" s="10"/>
      <c r="F90" s="10"/>
      <c r="G90" s="10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</row>
    <row r="91" spans="1:18" x14ac:dyDescent="0.15">
      <c r="A91" s="10"/>
      <c r="B91" s="10"/>
      <c r="C91" s="10"/>
      <c r="D91" s="6"/>
      <c r="E91" s="10"/>
      <c r="F91" s="10"/>
      <c r="G91" s="10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</row>
    <row r="92" spans="1:18" x14ac:dyDescent="0.15">
      <c r="A92" s="10"/>
      <c r="B92" s="10"/>
      <c r="C92" s="10"/>
      <c r="D92" s="6"/>
      <c r="E92" s="10"/>
      <c r="F92" s="10"/>
      <c r="G92" s="10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</row>
    <row r="93" spans="1:18" x14ac:dyDescent="0.15">
      <c r="A93" s="6"/>
      <c r="B93" s="6"/>
      <c r="C93" s="6"/>
      <c r="D93" s="6"/>
      <c r="E93" s="10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</row>
    <row r="94" spans="1:18" x14ac:dyDescent="0.15">
      <c r="A94" s="6"/>
      <c r="B94" s="6"/>
      <c r="C94" s="6"/>
      <c r="D94" s="6"/>
      <c r="E94" s="10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</row>
    <row r="95" spans="1:18" x14ac:dyDescent="0.15">
      <c r="A95" s="6"/>
      <c r="B95" s="6"/>
      <c r="C95" s="6"/>
      <c r="D95" s="6"/>
      <c r="E95" s="10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</row>
    <row r="96" spans="1:18" x14ac:dyDescent="0.15">
      <c r="A96" s="6"/>
      <c r="B96" s="6"/>
      <c r="C96" s="6"/>
      <c r="D96" s="6"/>
      <c r="E96" s="10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</row>
    <row r="97" spans="1:18" x14ac:dyDescent="0.15">
      <c r="A97" s="6"/>
      <c r="B97" s="6"/>
      <c r="C97" s="6"/>
      <c r="D97" s="6"/>
      <c r="E97" s="10"/>
      <c r="F97" s="10"/>
      <c r="G97" s="10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</row>
    <row r="98" spans="1:18" x14ac:dyDescent="0.15">
      <c r="A98" s="6"/>
      <c r="B98" s="10"/>
      <c r="C98" s="10"/>
      <c r="D98" s="6"/>
      <c r="E98" s="10"/>
      <c r="F98" s="10"/>
      <c r="G98" s="10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</row>
    <row r="99" spans="1:18" x14ac:dyDescent="0.15">
      <c r="A99" s="6"/>
      <c r="B99" s="10"/>
      <c r="C99" s="10"/>
      <c r="D99" s="6"/>
      <c r="E99" s="10"/>
      <c r="F99" s="10"/>
      <c r="G99" s="10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</row>
    <row r="100" spans="1:18" x14ac:dyDescent="0.15">
      <c r="A100" s="6"/>
      <c r="B100" s="10"/>
      <c r="C100" s="10"/>
      <c r="D100" s="6"/>
      <c r="E100" s="10"/>
      <c r="F100" s="10"/>
      <c r="G100" s="10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</row>
    <row r="101" spans="1:18" x14ac:dyDescent="0.15">
      <c r="A101" s="6"/>
      <c r="B101" s="10"/>
      <c r="C101" s="10"/>
      <c r="D101" s="6"/>
      <c r="E101" s="10"/>
      <c r="F101" s="10"/>
      <c r="G101" s="10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</row>
    <row r="102" spans="1:18" x14ac:dyDescent="0.15">
      <c r="A102" s="6"/>
      <c r="B102" s="6"/>
      <c r="C102" s="6"/>
      <c r="D102" s="6"/>
      <c r="E102" s="10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</row>
    <row r="103" spans="1:18" x14ac:dyDescent="0.15">
      <c r="A103" s="6"/>
      <c r="B103" s="6"/>
      <c r="C103" s="6"/>
      <c r="D103" s="6"/>
      <c r="E103" s="10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</row>
    <row r="104" spans="1:18" x14ac:dyDescent="0.15">
      <c r="A104" s="6"/>
      <c r="B104" s="6"/>
      <c r="C104" s="6"/>
      <c r="D104" s="6"/>
      <c r="E104" s="10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</row>
    <row r="105" spans="1:18" x14ac:dyDescent="0.15">
      <c r="A105" s="6"/>
      <c r="B105" s="6"/>
      <c r="C105" s="6"/>
      <c r="D105" s="6"/>
      <c r="E105" s="10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</row>
    <row r="106" spans="1:18" x14ac:dyDescent="0.15">
      <c r="A106" s="6"/>
      <c r="B106" s="6"/>
      <c r="C106" s="6"/>
      <c r="D106" s="6"/>
      <c r="E106" s="10"/>
      <c r="F106" s="10"/>
      <c r="G106" s="10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</row>
    <row r="107" spans="1:18" x14ac:dyDescent="0.15">
      <c r="A107" s="6"/>
      <c r="B107" s="10"/>
      <c r="C107" s="10"/>
      <c r="D107" s="6"/>
      <c r="E107" s="10"/>
      <c r="F107" s="10"/>
      <c r="G107" s="10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</row>
    <row r="108" spans="1:18" x14ac:dyDescent="0.15">
      <c r="A108" s="6"/>
      <c r="B108" s="10"/>
      <c r="C108" s="10"/>
      <c r="D108" s="6"/>
      <c r="E108" s="10"/>
      <c r="F108" s="10"/>
      <c r="G108" s="10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</row>
    <row r="109" spans="1:18" x14ac:dyDescent="0.15">
      <c r="A109" s="6"/>
      <c r="B109" s="10"/>
      <c r="C109" s="10"/>
      <c r="D109" s="6"/>
      <c r="E109" s="10"/>
      <c r="F109" s="10"/>
      <c r="G109" s="10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</row>
    <row r="110" spans="1:18" x14ac:dyDescent="0.15">
      <c r="A110" s="6"/>
      <c r="B110" s="10"/>
      <c r="C110" s="10"/>
      <c r="D110" s="6"/>
      <c r="E110" s="10"/>
      <c r="F110" s="10"/>
      <c r="G110" s="10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</row>
    <row r="111" spans="1:18" x14ac:dyDescent="0.15">
      <c r="A111" s="6"/>
      <c r="B111" s="6"/>
      <c r="C111" s="6"/>
      <c r="D111" s="6"/>
      <c r="E111" s="10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</row>
    <row r="112" spans="1:18" x14ac:dyDescent="0.15">
      <c r="A112" s="6"/>
      <c r="B112" s="6"/>
      <c r="C112" s="6"/>
      <c r="D112" s="6"/>
      <c r="E112" s="10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</row>
    <row r="113" spans="1:18" x14ac:dyDescent="0.15">
      <c r="A113" s="6"/>
      <c r="B113" s="6"/>
      <c r="C113" s="6"/>
      <c r="D113" s="6"/>
      <c r="E113" s="10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</row>
    <row r="114" spans="1:18" x14ac:dyDescent="0.15">
      <c r="A114" s="6"/>
      <c r="B114" s="6"/>
      <c r="C114" s="6"/>
      <c r="D114" s="6"/>
      <c r="E114" s="10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</row>
    <row r="115" spans="1:18" x14ac:dyDescent="0.15">
      <c r="A115" s="6"/>
      <c r="B115" s="6"/>
      <c r="C115" s="6"/>
      <c r="D115" s="6"/>
      <c r="E115" s="10"/>
      <c r="F115" s="10"/>
      <c r="G115" s="10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</row>
    <row r="116" spans="1:18" x14ac:dyDescent="0.15">
      <c r="A116" s="6"/>
      <c r="B116" s="10"/>
      <c r="C116" s="10"/>
      <c r="D116" s="6"/>
      <c r="E116" s="10"/>
      <c r="F116" s="10"/>
      <c r="G116" s="10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</row>
    <row r="117" spans="1:18" x14ac:dyDescent="0.15">
      <c r="A117" s="6"/>
      <c r="B117" s="10"/>
      <c r="C117" s="10"/>
      <c r="D117" s="6"/>
      <c r="E117" s="10"/>
      <c r="F117" s="10"/>
      <c r="G117" s="10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</row>
    <row r="118" spans="1:18" x14ac:dyDescent="0.15">
      <c r="A118" s="6"/>
      <c r="B118" s="10"/>
      <c r="C118" s="10"/>
      <c r="D118" s="6"/>
      <c r="E118" s="10"/>
      <c r="F118" s="10"/>
      <c r="G118" s="10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</row>
    <row r="119" spans="1:18" x14ac:dyDescent="0.15">
      <c r="A119" s="6"/>
      <c r="B119" s="10"/>
      <c r="C119" s="10"/>
      <c r="D119" s="6"/>
      <c r="E119" s="10"/>
      <c r="F119" s="10"/>
      <c r="G119" s="10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</row>
    <row r="120" spans="1:18" x14ac:dyDescent="0.15">
      <c r="A120" s="6"/>
      <c r="B120" s="6"/>
      <c r="C120" s="6"/>
      <c r="D120" s="6"/>
      <c r="E120" s="10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</row>
    <row r="121" spans="1:18" x14ac:dyDescent="0.15">
      <c r="A121" s="6"/>
      <c r="B121" s="6"/>
      <c r="C121" s="6"/>
      <c r="D121" s="6"/>
      <c r="E121" s="10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</row>
    <row r="122" spans="1:18" x14ac:dyDescent="0.15">
      <c r="A122" s="6"/>
      <c r="B122" s="6"/>
      <c r="C122" s="6"/>
      <c r="D122" s="6"/>
      <c r="E122" s="10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</row>
    <row r="123" spans="1:18" x14ac:dyDescent="0.15">
      <c r="A123" s="6"/>
      <c r="B123" s="6"/>
      <c r="C123" s="6"/>
      <c r="D123" s="6"/>
      <c r="E123" s="10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</row>
    <row r="124" spans="1:18" x14ac:dyDescent="0.15">
      <c r="A124" s="6"/>
      <c r="B124" s="6"/>
      <c r="C124" s="6"/>
      <c r="D124" s="6"/>
      <c r="E124" s="10"/>
      <c r="F124" s="10"/>
      <c r="G124" s="10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</row>
    <row r="125" spans="1:18" x14ac:dyDescent="0.15">
      <c r="A125" s="6"/>
      <c r="B125" s="10"/>
      <c r="C125" s="10"/>
      <c r="D125" s="6"/>
      <c r="E125" s="10"/>
      <c r="F125" s="10"/>
      <c r="G125" s="10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</row>
    <row r="126" spans="1:18" x14ac:dyDescent="0.15">
      <c r="A126" s="6"/>
      <c r="B126" s="10"/>
      <c r="C126" s="10"/>
      <c r="D126" s="6"/>
      <c r="E126" s="10"/>
      <c r="F126" s="10"/>
      <c r="G126" s="10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</row>
    <row r="127" spans="1:18" x14ac:dyDescent="0.15">
      <c r="A127" s="6"/>
      <c r="B127" s="10"/>
      <c r="C127" s="10"/>
      <c r="D127" s="6"/>
      <c r="E127" s="10"/>
      <c r="F127" s="10"/>
      <c r="G127" s="10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</row>
    <row r="128" spans="1:18" x14ac:dyDescent="0.15">
      <c r="A128" s="6"/>
      <c r="B128" s="10"/>
      <c r="C128" s="10"/>
      <c r="D128" s="6"/>
      <c r="E128" s="10"/>
      <c r="F128" s="10"/>
      <c r="G128" s="10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</row>
    <row r="129" spans="1:18" x14ac:dyDescent="0.15">
      <c r="A129" s="6"/>
      <c r="B129" s="6"/>
      <c r="C129" s="6"/>
      <c r="D129" s="6"/>
      <c r="E129" s="10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</row>
    <row r="130" spans="1:18" x14ac:dyDescent="0.15">
      <c r="A130" s="6"/>
      <c r="B130" s="6"/>
      <c r="C130" s="6"/>
      <c r="D130" s="6"/>
      <c r="E130" s="10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</row>
    <row r="131" spans="1:18" x14ac:dyDescent="0.15">
      <c r="A131" s="6"/>
      <c r="B131" s="6"/>
      <c r="C131" s="6"/>
      <c r="D131" s="6"/>
      <c r="E131" s="10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</row>
    <row r="132" spans="1:18" x14ac:dyDescent="0.15">
      <c r="A132" s="6"/>
      <c r="B132" s="6"/>
      <c r="C132" s="6"/>
      <c r="D132" s="6"/>
      <c r="E132" s="10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</row>
    <row r="133" spans="1:18" x14ac:dyDescent="0.15">
      <c r="A133" s="6"/>
      <c r="B133" s="6"/>
      <c r="C133" s="6"/>
      <c r="D133" s="6"/>
      <c r="E133" s="10"/>
      <c r="F133" s="10"/>
      <c r="G133" s="10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</row>
    <row r="134" spans="1:18" x14ac:dyDescent="0.15">
      <c r="A134" s="6"/>
      <c r="B134" s="10"/>
      <c r="C134" s="10"/>
      <c r="D134" s="6"/>
      <c r="E134" s="10"/>
      <c r="F134" s="10"/>
      <c r="G134" s="10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</row>
    <row r="135" spans="1:18" x14ac:dyDescent="0.15">
      <c r="A135" s="6"/>
      <c r="B135" s="10"/>
      <c r="C135" s="10"/>
      <c r="D135" s="6"/>
      <c r="E135" s="10"/>
      <c r="F135" s="10"/>
      <c r="G135" s="10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</row>
    <row r="136" spans="1:18" x14ac:dyDescent="0.15">
      <c r="A136" s="6"/>
      <c r="B136" s="6"/>
      <c r="C136" s="6"/>
      <c r="D136" s="6"/>
      <c r="E136" s="10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</row>
    <row r="137" spans="1:18" x14ac:dyDescent="0.15">
      <c r="A137" s="6"/>
      <c r="B137" s="6"/>
      <c r="C137" s="6"/>
      <c r="D137" s="6"/>
      <c r="E137" s="10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</row>
    <row r="138" spans="1:18" x14ac:dyDescent="0.15">
      <c r="A138" s="6"/>
      <c r="B138" s="6"/>
      <c r="C138" s="6"/>
      <c r="D138" s="6"/>
      <c r="E138" s="10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</row>
    <row r="139" spans="1:18" x14ac:dyDescent="0.15">
      <c r="A139" s="6"/>
      <c r="B139" s="6"/>
      <c r="C139" s="6"/>
      <c r="D139" s="6"/>
      <c r="E139" s="10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</row>
    <row r="140" spans="1:18" x14ac:dyDescent="0.15">
      <c r="A140" s="6"/>
      <c r="B140" s="6"/>
      <c r="C140" s="6"/>
      <c r="D140" s="6"/>
      <c r="E140" s="10"/>
      <c r="F140" s="10"/>
      <c r="G140" s="10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</row>
    <row r="141" spans="1:18" x14ac:dyDescent="0.15">
      <c r="A141" s="6"/>
      <c r="B141" s="6"/>
      <c r="C141" s="10"/>
      <c r="D141" s="6"/>
      <c r="E141" s="10"/>
      <c r="F141" s="10"/>
      <c r="G141" s="10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</row>
    <row r="142" spans="1:18" x14ac:dyDescent="0.15">
      <c r="A142" s="6"/>
      <c r="B142" s="6"/>
      <c r="C142" s="10"/>
      <c r="D142" s="6"/>
      <c r="E142" s="10"/>
      <c r="F142" s="10"/>
      <c r="G142" s="10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</row>
    <row r="143" spans="1:18" x14ac:dyDescent="0.15">
      <c r="A143" s="6"/>
      <c r="B143" s="6"/>
      <c r="C143" s="6"/>
      <c r="D143" s="6"/>
      <c r="E143" s="10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</row>
    <row r="144" spans="1:18" x14ac:dyDescent="0.15">
      <c r="A144" s="6"/>
      <c r="B144" s="6"/>
      <c r="C144" s="6"/>
      <c r="D144" s="6"/>
      <c r="E144" s="10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</row>
    <row r="145" spans="1:18" x14ac:dyDescent="0.15">
      <c r="A145" s="6"/>
      <c r="B145" s="6"/>
      <c r="C145" s="6"/>
      <c r="D145" s="6"/>
      <c r="E145" s="10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</row>
    <row r="146" spans="1:18" x14ac:dyDescent="0.15">
      <c r="A146" s="6"/>
      <c r="B146" s="6"/>
      <c r="C146" s="6"/>
      <c r="D146" s="6"/>
      <c r="E146" s="10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</row>
    <row r="147" spans="1:18" x14ac:dyDescent="0.15">
      <c r="A147" s="6"/>
      <c r="B147" s="6"/>
      <c r="C147" s="6"/>
      <c r="D147" s="6"/>
      <c r="E147" s="10"/>
      <c r="F147" s="10"/>
      <c r="G147" s="10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</row>
    <row r="148" spans="1:18" x14ac:dyDescent="0.15">
      <c r="A148" s="6"/>
      <c r="B148" s="6"/>
      <c r="C148" s="10"/>
      <c r="D148" s="6"/>
      <c r="E148" s="10"/>
      <c r="F148" s="10"/>
      <c r="G148" s="10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</row>
    <row r="149" spans="1:18" x14ac:dyDescent="0.15">
      <c r="A149" s="6"/>
      <c r="B149" s="6"/>
      <c r="C149" s="10"/>
      <c r="D149" s="6"/>
      <c r="E149" s="10"/>
      <c r="F149" s="10"/>
      <c r="G149" s="10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</row>
    <row r="150" spans="1:18" x14ac:dyDescent="0.15">
      <c r="A150" s="6"/>
      <c r="B150" s="6"/>
      <c r="C150" s="6"/>
      <c r="D150" s="6"/>
      <c r="E150" s="10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</row>
    <row r="151" spans="1:18" x14ac:dyDescent="0.15">
      <c r="A151" s="6"/>
      <c r="B151" s="6"/>
      <c r="C151" s="6"/>
      <c r="D151" s="6"/>
      <c r="E151" s="10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</row>
    <row r="152" spans="1:18" x14ac:dyDescent="0.15">
      <c r="A152" s="6"/>
      <c r="B152" s="6"/>
      <c r="C152" s="6"/>
      <c r="D152" s="6"/>
      <c r="E152" s="10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</row>
    <row r="153" spans="1:18" x14ac:dyDescent="0.15">
      <c r="A153" s="6"/>
      <c r="B153" s="6"/>
      <c r="C153" s="6"/>
      <c r="D153" s="6"/>
      <c r="E153" s="10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</row>
    <row r="154" spans="1:18" x14ac:dyDescent="0.15">
      <c r="A154" s="6"/>
      <c r="B154" s="6"/>
      <c r="C154" s="6"/>
      <c r="D154" s="6"/>
      <c r="E154" s="10"/>
      <c r="F154" s="10"/>
      <c r="G154" s="10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</row>
    <row r="155" spans="1:18" x14ac:dyDescent="0.15">
      <c r="A155" s="6"/>
      <c r="B155" s="6"/>
      <c r="C155" s="10"/>
      <c r="D155" s="6"/>
      <c r="E155" s="10"/>
      <c r="F155" s="10"/>
      <c r="G155" s="10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</row>
    <row r="156" spans="1:18" x14ac:dyDescent="0.15">
      <c r="A156" s="6"/>
      <c r="B156" s="6"/>
      <c r="C156" s="10"/>
      <c r="D156" s="6"/>
      <c r="E156" s="10"/>
      <c r="F156" s="10"/>
      <c r="G156" s="10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</row>
    <row r="157" spans="1:18" x14ac:dyDescent="0.15">
      <c r="E157" s="10"/>
    </row>
    <row r="158" spans="1:18" x14ac:dyDescent="0.15">
      <c r="E158" s="10"/>
    </row>
    <row r="159" spans="1:18" x14ac:dyDescent="0.15">
      <c r="E159" s="10"/>
    </row>
    <row r="160" spans="1:18" x14ac:dyDescent="0.15">
      <c r="E160" s="10"/>
    </row>
    <row r="161" spans="5:5" x14ac:dyDescent="0.15">
      <c r="E161" s="10"/>
    </row>
  </sheetData>
  <phoneticPr fontId="3"/>
  <dataValidations count="1">
    <dataValidation type="list" allowBlank="1" showInputMessage="1" showErrorMessage="1" sqref="H2:H15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Microsoft Office ユーザー</cp:lastModifiedBy>
  <dcterms:created xsi:type="dcterms:W3CDTF">2015-11-13T00:42:33Z</dcterms:created>
  <dcterms:modified xsi:type="dcterms:W3CDTF">2017-02-28T10:38:38Z</dcterms:modified>
</cp:coreProperties>
</file>