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4400" yWindow="1860" windowWidth="24400" windowHeight="14860" tabRatio="963" activeTab="7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コスト" sheetId="13" r:id="rId8"/>
    <sheet name="レベル" sheetId="12" r:id="rId9"/>
    <sheet name="経験値" sheetId="10" r:id="rId10"/>
    <sheet name="RC6SV" sheetId="11" r:id="rId11"/>
    <sheet name="ビット" sheetId="15" r:id="rId12"/>
    <sheet name="チェックシート" sheetId="55" r:id="rId13"/>
  </sheets>
  <externalReferences>
    <externalReference r:id="rId14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49" l="1"/>
  <c r="C4" i="49"/>
  <c r="C5" i="49"/>
  <c r="C6" i="49"/>
  <c r="C7" i="49"/>
  <c r="C8" i="49"/>
  <c r="C9" i="49"/>
  <c r="C10" i="49"/>
  <c r="G11" i="13"/>
  <c r="G10" i="13"/>
  <c r="G9" i="13"/>
  <c r="G8" i="13"/>
  <c r="G5" i="13"/>
  <c r="G4" i="13"/>
  <c r="G3" i="13"/>
  <c r="G2" i="13"/>
  <c r="J2" i="52"/>
  <c r="G2" i="53"/>
  <c r="B2" i="23"/>
  <c r="C2" i="23"/>
  <c r="D2" i="23"/>
  <c r="E2" i="23"/>
  <c r="F2" i="23"/>
  <c r="G2" i="23"/>
  <c r="H2" i="23"/>
  <c r="I2" i="23"/>
  <c r="J2" i="23"/>
  <c r="K2" i="23"/>
  <c r="L2" i="23"/>
  <c r="M2" i="23"/>
  <c r="N2" i="23"/>
  <c r="O2" i="23"/>
  <c r="P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D3" i="54"/>
  <c r="D2" i="54"/>
  <c r="E3" i="54"/>
  <c r="B3" i="54"/>
  <c r="E2" i="54"/>
  <c r="B2" i="54"/>
  <c r="E2" i="53"/>
  <c r="H2" i="52"/>
  <c r="E2" i="52"/>
  <c r="G2" i="3"/>
  <c r="C2" i="3"/>
  <c r="E8" i="49"/>
  <c r="E7" i="49"/>
  <c r="E6" i="49"/>
  <c r="E5" i="49"/>
  <c r="E9" i="49"/>
  <c r="E10" i="49"/>
  <c r="E3" i="49"/>
  <c r="E4" i="49"/>
  <c r="E2" i="49"/>
  <c r="E2" i="3"/>
  <c r="D2" i="3"/>
</calcChain>
</file>

<file path=xl/sharedStrings.xml><?xml version="1.0" encoding="utf-8"?>
<sst xmlns="http://schemas.openxmlformats.org/spreadsheetml/2006/main" count="692" uniqueCount="263">
  <si>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</si>
  <si>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</si>
  <si>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</si>
  <si>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</si>
  <si>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</si>
  <si>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</si>
  <si>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</si>
  <si>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</si>
  <si>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</si>
  <si>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</si>
  <si>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</si>
  <si>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</si>
  <si>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</si>
  <si>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</si>
  <si>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</si>
  <si>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</si>
  <si>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</si>
  <si>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</si>
  <si>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</si>
  <si>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</si>
  <si>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</si>
  <si>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</si>
  <si>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</si>
  <si>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</si>
  <si>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</si>
  <si>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</si>
  <si>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</si>
  <si>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</si>
  <si>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</si>
  <si>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</si>
  <si>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</si>
  <si>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</si>
  <si>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</si>
  <si>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</si>
  <si>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</si>
  <si>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</si>
  <si>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</si>
  <si>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</si>
  <si>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</si>
  <si>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</si>
  <si>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</si>
  <si>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</si>
  <si>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</si>
  <si>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</si>
  <si>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</si>
  <si>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</si>
  <si>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</si>
  <si>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</si>
  <si>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</si>
  <si>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</si>
  <si>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</si>
  <si>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</si>
  <si>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</si>
  <si>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</si>
  <si>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</si>
  <si>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</si>
  <si>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</si>
  <si>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</si>
  <si>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</si>
  <si>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</si>
  <si>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</si>
  <si>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</si>
  <si>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</si>
  <si>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</si>
  <si>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</si>
  <si>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</si>
  <si>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</si>
  <si>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</si>
  <si>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</si>
  <si>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</si>
  <si>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</si>
  <si>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</si>
  <si>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</si>
  <si>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</si>
  <si>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</si>
  <si>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</si>
  <si>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</si>
  <si>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</si>
  <si>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</si>
  <si>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</si>
  <si>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</si>
  <si>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</si>
  <si>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</si>
  <si>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</si>
  <si>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</si>
  <si>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</si>
  <si>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</si>
  <si>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</si>
  <si>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</si>
  <si>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</si>
  <si>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</si>
  <si>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</si>
  <si>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</si>
  <si>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</si>
  <si>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</si>
  <si>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</si>
  <si>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</si>
  <si>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</si>
  <si>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</si>
  <si>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</si>
  <si>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</si>
  <si>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</si>
  <si>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</si>
  <si>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</si>
  <si>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</si>
  <si>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</si>
  <si>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</si>
  <si>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</si>
  <si>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</si>
  <si>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</si>
  <si>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</si>
  <si>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</si>
  <si>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</si>
  <si>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</si>
  <si>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</si>
  <si>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</si>
  <si>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</si>
  <si>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</si>
  <si>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</si>
  <si>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</si>
  <si>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</si>
  <si>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</si>
  <si>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</si>
  <si>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</si>
  <si>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</si>
  <si>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</si>
  <si>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</si>
  <si>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</si>
  <si>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</si>
  <si>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</si>
  <si>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</si>
  <si>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</si>
  <si>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</si>
  <si>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</si>
  <si>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</si>
  <si>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</si>
  <si>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</si>
  <si>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</si>
  <si>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</si>
  <si>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</si>
  <si>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</si>
  <si>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</si>
  <si>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</si>
  <si>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</si>
  <si>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</si>
  <si>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</si>
  <si>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</si>
  <si>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</si>
  <si>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</si>
  <si>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</si>
  <si>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</si>
  <si>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</si>
  <si>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</si>
  <si>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</si>
  <si>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</si>
  <si>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</si>
  <si>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</si>
  <si>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</si>
  <si>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</si>
  <si>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</si>
  <si>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</si>
  <si>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</si>
  <si>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</si>
  <si>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</si>
  <si>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</si>
  <si>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</si>
  <si>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</si>
  <si>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</si>
  <si>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</si>
  <si>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</si>
  <si>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</si>
  <si>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</si>
  <si>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</si>
  <si>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</si>
  <si>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</si>
  <si>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</si>
  <si>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</si>
  <si>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</si>
  <si>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</si>
  <si>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</si>
  <si>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</si>
  <si>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</si>
  <si>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</si>
  <si>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</si>
  <si>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</si>
  <si>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</si>
  <si>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</si>
  <si>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[effect:enhance_unit, target:unit_hp, turn:4, status:attack, val:0.25, calc:add, animation:enhance_unit_all_attack04],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</si>
  <si>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</si>
  <si>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</si>
  <si>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</si>
  <si>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</si>
  <si>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</si>
  <si>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</si>
  <si>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</si>
  <si>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</si>
  <si>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</si>
  <si>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</si>
  <si>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</si>
  <si>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</si>
  <si>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あああ</t>
    <phoneticPr fontId="22"/>
  </si>
  <si>
    <t>cskill</t>
  </si>
  <si>
    <t>いいい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</si>
  <si>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</si>
  <si>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</si>
  <si>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</si>
  <si>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</si>
  <si>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</si>
  <si>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</si>
  <si>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</si>
  <si>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</si>
  <si>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</si>
  <si>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</si>
  <si>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</si>
  <si>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</si>
  <si>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</si>
  <si>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</si>
  <si>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</si>
  <si>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</si>
  <si>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</si>
  <si>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</si>
  <si>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</si>
  <si>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</si>
  <si>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</si>
  <si>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</si>
  <si>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</si>
  <si>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</si>
  <si>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</si>
  <si>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</si>
  <si>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</si>
  <si>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</si>
  <si>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</si>
  <si>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</si>
  <si>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</si>
  <si>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</si>
  <si>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</si>
  <si>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</si>
  <si>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</si>
  <si>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</si>
  <si>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</si>
  <si>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</si>
  <si>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</si>
  <si>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</si>
  <si>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</si>
  <si>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</si>
  <si>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</si>
  <si>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</si>
  <si>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</si>
  <si>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</si>
  <si>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</si>
  <si>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</si>
  <si>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</si>
  <si>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</si>
  <si>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</si>
  <si>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</si>
  <si>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</si>
  <si>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aprilunit</t>
    <phoneticPr fontId="22"/>
  </si>
  <si>
    <t>old</t>
    <phoneticPr fontId="22"/>
  </si>
  <si>
    <t>skip</t>
    <phoneticPr fontId="22"/>
  </si>
  <si>
    <t>ラビット・インストール</t>
  </si>
  <si>
    <r>
      <t>アンチ</t>
    </r>
    <r>
      <rPr>
        <sz val="13"/>
        <color rgb="FF000000"/>
        <rFont val="Helvetica Neue"/>
      </rPr>
      <t>UsagiChan</t>
    </r>
    <r>
      <rPr>
        <sz val="13"/>
        <color rgb="FF000000"/>
        <rFont val="ＭＳ Ｐゴシック"/>
        <family val="2"/>
        <charset val="128"/>
      </rPr>
      <t>プログラム</t>
    </r>
  </si>
  <si>
    <t>1体に特大ダメージ
ウサギタイプの敵に超大ダメージ</t>
    <rPh sb="1" eb="3">
      <t>taiンi</t>
    </rPh>
    <rPh sb="3" eb="5">
      <t>トクダ</t>
    </rPh>
    <phoneticPr fontId="22"/>
  </si>
  <si>
    <r>
      <t>敵、味方ユニットをウサギタイプに変更</t>
    </r>
    <r>
      <rPr>
        <sz val="13"/>
        <color rgb="FF000000"/>
        <rFont val="Helvetica Neue"/>
      </rPr>
      <t xml:space="preserve"> </t>
    </r>
    <r>
      <rPr>
        <sz val="13"/>
        <color rgb="FF000000"/>
        <rFont val="ＭＳ Ｐゴシック"/>
        <family val="2"/>
        <charset val="128"/>
      </rPr>
      <t>＋</t>
    </r>
    <r>
      <rPr>
        <sz val="13"/>
        <color rgb="FF000000"/>
        <rFont val="Helvetica Neue"/>
      </rPr>
      <t xml:space="preserve"> </t>
    </r>
    <r>
      <rPr>
        <sz val="13"/>
        <color rgb="FF000000"/>
        <rFont val="ＭＳ Ｐゴシック"/>
        <family val="2"/>
        <charset val="128"/>
      </rPr>
      <t>パネルをランダムで</t>
    </r>
    <r>
      <rPr>
        <sz val="13"/>
        <color rgb="FF000000"/>
        <rFont val="Helvetica Neue"/>
      </rPr>
      <t>3</t>
    </r>
    <r>
      <rPr>
        <sz val="13"/>
        <color rgb="FF000000"/>
        <rFont val="ＭＳ Ｐゴシック"/>
        <family val="2"/>
        <charset val="128"/>
      </rPr>
      <t>つ</t>
    </r>
    <r>
      <rPr>
        <sz val="13"/>
        <color rgb="FF000000"/>
        <rFont val="Helvetica Neue"/>
      </rPr>
      <t>SC</t>
    </r>
    <r>
      <rPr>
        <sz val="13"/>
        <color rgb="FF000000"/>
        <rFont val="ＭＳ Ｐゴシック"/>
        <family val="2"/>
        <charset val="128"/>
      </rPr>
      <t>パネル(威力特大)に変換</t>
    </r>
    <rPh sb="0" eb="1">
      <t>テk</t>
    </rPh>
    <rPh sb="38" eb="40">
      <t>イリョk</t>
    </rPh>
    <rPh sb="40" eb="42">
      <t>トクダ</t>
    </rPh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</si>
</sst>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3"/>
      <color rgb="FF000000"/>
      <name val="Helvetica Neue"/>
    </font>
    <font>
      <sz val="13"/>
      <color rgb="FF000000"/>
      <name val="ＭＳ Ｐゴシック"/>
      <family val="2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0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71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28" fillId="0" borderId="0" xfId="0" applyFont="1"/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3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horizontal="center" vertical="center"/>
    </xf>
    <xf numFmtId="0" fontId="8" fillId="26" borderId="24" xfId="0" applyFont="1" applyFill="1" applyBorder="1" applyAlignment="1">
      <alignment vertical="center"/>
    </xf>
    <xf numFmtId="0" fontId="16" fillId="26" borderId="4" xfId="0" applyFont="1" applyFill="1" applyBorder="1" applyAlignment="1">
      <alignment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  <xf numFmtId="0" fontId="8" fillId="25" borderId="25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25" borderId="26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27" xfId="0" applyFont="1" applyFill="1" applyBorder="1" applyAlignment="1">
      <alignment horizontal="center" vertical="center"/>
    </xf>
    <xf numFmtId="0" fontId="16" fillId="25" borderId="21" xfId="0" applyFont="1" applyFill="1" applyBorder="1" applyAlignment="1">
      <alignment horizontal="center" vertical="center"/>
    </xf>
    <xf numFmtId="0" fontId="17" fillId="26" borderId="12" xfId="0" applyFont="1" applyFill="1" applyBorder="1" applyAlignment="1">
      <alignment horizontal="center" vertical="center" wrapText="1"/>
    </xf>
    <xf numFmtId="0" fontId="0" fillId="15" borderId="4" xfId="0" applyFill="1" applyBorder="1"/>
    <xf numFmtId="0" fontId="30" fillId="0" borderId="0" xfId="0" applyFont="1"/>
  </cellXfs>
  <cellStyles count="4580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赤字強調" xfId="4"/>
    <cellStyle name="青字強調" xfId="3"/>
  </cellStyles>
  <dxfs count="28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E25" sqref="E25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08" t="s">
        <v>125</v>
      </c>
      <c r="B1" s="108" t="s">
        <v>116</v>
      </c>
      <c r="C1" s="108" t="s">
        <v>117</v>
      </c>
      <c r="D1" s="108" t="s">
        <v>118</v>
      </c>
      <c r="E1" s="108" t="s">
        <v>119</v>
      </c>
      <c r="F1" s="108" t="s">
        <v>120</v>
      </c>
      <c r="G1" s="108" t="s">
        <v>121</v>
      </c>
      <c r="H1" s="108"/>
      <c r="I1" s="108"/>
      <c r="J1" s="108"/>
      <c r="K1" s="108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</row>
    <row r="2" spans="1:23" x14ac:dyDescent="0.15">
      <c r="A2" s="110" t="s">
        <v>257</v>
      </c>
      <c r="B2" s="110" t="s">
        <v>129</v>
      </c>
      <c r="C2" s="169" t="s">
        <v>256</v>
      </c>
      <c r="D2" s="110" t="s">
        <v>128</v>
      </c>
      <c r="E2" s="109" t="str">
        <f>B2&amp;C2&amp;D2</f>
        <v>units_aprilunit.tmp</v>
      </c>
      <c r="F2" s="110" t="s">
        <v>124</v>
      </c>
      <c r="G2" s="64" t="s">
        <v>17</v>
      </c>
      <c r="H2" s="65" t="s">
        <v>96</v>
      </c>
      <c r="I2" s="65" t="s">
        <v>1</v>
      </c>
      <c r="J2" s="65" t="s">
        <v>3</v>
      </c>
      <c r="K2" s="65" t="s">
        <v>2</v>
      </c>
      <c r="L2" s="65" t="s">
        <v>98</v>
      </c>
      <c r="M2" s="65" t="s">
        <v>20</v>
      </c>
      <c r="N2" s="65" t="s">
        <v>103</v>
      </c>
      <c r="O2" s="65" t="s">
        <v>101</v>
      </c>
      <c r="P2" s="65" t="s">
        <v>39</v>
      </c>
      <c r="Q2" s="65" t="s">
        <v>57</v>
      </c>
      <c r="R2" s="110"/>
      <c r="S2" s="110"/>
      <c r="T2" s="110"/>
      <c r="U2" s="110"/>
      <c r="V2" s="110"/>
      <c r="W2" s="110"/>
    </row>
    <row r="3" spans="1:23" x14ac:dyDescent="0.15">
      <c r="A3" s="110" t="s">
        <v>258</v>
      </c>
      <c r="B3" s="110" t="s">
        <v>130</v>
      </c>
      <c r="C3" s="169" t="str">
        <f>C2</f>
        <v>aprilunit</v>
      </c>
      <c r="D3" s="110" t="s">
        <v>128</v>
      </c>
      <c r="E3" s="109" t="str">
        <f>B3&amp;C3&amp;D3</f>
        <v>awake_materials_aprilunit.tmp</v>
      </c>
      <c r="F3" s="110" t="s">
        <v>123</v>
      </c>
      <c r="G3" s="111" t="s">
        <v>38</v>
      </c>
      <c r="H3" s="112" t="s">
        <v>36</v>
      </c>
      <c r="I3" s="112" t="s">
        <v>37</v>
      </c>
      <c r="J3" s="114" t="s">
        <v>126</v>
      </c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</row>
    <row r="4" spans="1:23" x14ac:dyDescent="0.15">
      <c r="A4" s="110" t="s">
        <v>257</v>
      </c>
      <c r="B4" s="110" t="s">
        <v>131</v>
      </c>
      <c r="C4" s="169" t="str">
        <f t="shared" ref="C4:C10" si="0">C3</f>
        <v>aprilunit</v>
      </c>
      <c r="D4" s="110" t="s">
        <v>132</v>
      </c>
      <c r="E4" s="109" t="str">
        <f t="shared" ref="E4" si="1">B4&amp;C4&amp;D4</f>
        <v>unit_levels_calc_aprilunit.tmp</v>
      </c>
      <c r="F4" s="110" t="s">
        <v>122</v>
      </c>
      <c r="G4" s="60" t="s">
        <v>17</v>
      </c>
      <c r="H4" s="61" t="s">
        <v>2</v>
      </c>
      <c r="I4" s="62" t="s">
        <v>79</v>
      </c>
      <c r="J4" s="62" t="s">
        <v>80</v>
      </c>
      <c r="K4" s="62" t="s">
        <v>81</v>
      </c>
      <c r="L4" s="62" t="s">
        <v>82</v>
      </c>
      <c r="M4" s="62" t="s">
        <v>87</v>
      </c>
      <c r="N4" s="62" t="s">
        <v>88</v>
      </c>
      <c r="O4" s="62" t="s">
        <v>89</v>
      </c>
      <c r="P4" s="62" t="s">
        <v>90</v>
      </c>
      <c r="Q4" s="62" t="s">
        <v>91</v>
      </c>
      <c r="R4" s="62" t="s">
        <v>94</v>
      </c>
      <c r="S4" s="62" t="s">
        <v>92</v>
      </c>
      <c r="T4" s="62" t="s">
        <v>93</v>
      </c>
      <c r="U4" s="62" t="s">
        <v>83</v>
      </c>
      <c r="V4" s="62" t="s">
        <v>84</v>
      </c>
      <c r="W4" s="62" t="s">
        <v>85</v>
      </c>
    </row>
    <row r="5" spans="1:23" x14ac:dyDescent="0.15">
      <c r="A5" s="110" t="s">
        <v>257</v>
      </c>
      <c r="B5" s="110" t="s">
        <v>143</v>
      </c>
      <c r="C5" s="169" t="str">
        <f t="shared" si="0"/>
        <v>aprilunit</v>
      </c>
      <c r="D5" s="110" t="s">
        <v>144</v>
      </c>
      <c r="E5" s="109" t="str">
        <f>B5&amp;C5&amp;D5</f>
        <v>unit_skills_data_aprilunit.tmp</v>
      </c>
      <c r="F5" s="110" t="s">
        <v>145</v>
      </c>
      <c r="G5" s="119" t="s">
        <v>20</v>
      </c>
      <c r="H5" s="119" t="s">
        <v>146</v>
      </c>
      <c r="I5" s="119" t="s">
        <v>2</v>
      </c>
      <c r="J5" s="119" t="s">
        <v>147</v>
      </c>
      <c r="K5" s="119" t="s">
        <v>148</v>
      </c>
      <c r="L5" s="119" t="s">
        <v>4</v>
      </c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</row>
    <row r="6" spans="1:23" x14ac:dyDescent="0.15">
      <c r="A6" s="110" t="s">
        <v>257</v>
      </c>
      <c r="B6" s="110" t="s">
        <v>149</v>
      </c>
      <c r="C6" s="169" t="str">
        <f t="shared" si="0"/>
        <v>aprilunit</v>
      </c>
      <c r="D6" s="110" t="s">
        <v>128</v>
      </c>
      <c r="E6" s="109" t="str">
        <f>B6&amp;C6&amp;D6</f>
        <v>unit_skills_i18n_aprilunit.tmp</v>
      </c>
      <c r="F6" s="110" t="s">
        <v>145</v>
      </c>
      <c r="G6" s="119" t="s">
        <v>150</v>
      </c>
      <c r="H6" s="119" t="s">
        <v>134</v>
      </c>
      <c r="I6" s="119" t="s">
        <v>151</v>
      </c>
      <c r="J6" s="119" t="s">
        <v>152</v>
      </c>
      <c r="K6" s="113"/>
      <c r="L6" s="113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</row>
    <row r="7" spans="1:23" x14ac:dyDescent="0.15">
      <c r="A7" s="110" t="s">
        <v>257</v>
      </c>
      <c r="B7" s="110" t="s">
        <v>153</v>
      </c>
      <c r="C7" s="169" t="str">
        <f t="shared" si="0"/>
        <v>aprilunit</v>
      </c>
      <c r="D7" s="110" t="s">
        <v>154</v>
      </c>
      <c r="E7" s="109" t="str">
        <f>B7&amp;C7&amp;D7</f>
        <v>crash_skills_data_aprilunit.tmp</v>
      </c>
      <c r="F7" s="110" t="s">
        <v>155</v>
      </c>
      <c r="G7" s="119" t="s">
        <v>156</v>
      </c>
      <c r="H7" s="119" t="s">
        <v>148</v>
      </c>
      <c r="I7" s="119" t="s">
        <v>4</v>
      </c>
      <c r="J7" s="113"/>
      <c r="K7" s="113"/>
      <c r="L7" s="113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</row>
    <row r="8" spans="1:23" x14ac:dyDescent="0.15">
      <c r="A8" s="110" t="s">
        <v>257</v>
      </c>
      <c r="B8" s="110" t="s">
        <v>157</v>
      </c>
      <c r="C8" s="169" t="str">
        <f t="shared" si="0"/>
        <v>aprilunit</v>
      </c>
      <c r="D8" s="110" t="s">
        <v>158</v>
      </c>
      <c r="E8" s="109" t="str">
        <f t="shared" ref="E8" si="2">B8&amp;C8&amp;D8</f>
        <v>crash_skills_i18n_aprilunit.tmp</v>
      </c>
      <c r="F8" s="110" t="s">
        <v>155</v>
      </c>
      <c r="G8" s="119" t="s">
        <v>159</v>
      </c>
      <c r="H8" s="119" t="s">
        <v>160</v>
      </c>
      <c r="I8" s="119" t="s">
        <v>161</v>
      </c>
      <c r="J8" s="119" t="s">
        <v>162</v>
      </c>
      <c r="K8" s="120"/>
      <c r="L8" s="120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</row>
    <row r="9" spans="1:23" x14ac:dyDescent="0.15">
      <c r="A9" s="110" t="s">
        <v>258</v>
      </c>
      <c r="B9" s="113" t="s">
        <v>135</v>
      </c>
      <c r="C9" s="169" t="str">
        <f t="shared" si="0"/>
        <v>aprilunit</v>
      </c>
      <c r="D9" s="110" t="s">
        <v>158</v>
      </c>
      <c r="E9" s="109" t="str">
        <f t="shared" ref="E9:E10" si="3">B9&amp;C9&amp;D9</f>
        <v>unit_serifs_data_aprilunit.tmp</v>
      </c>
      <c r="F9" s="113" t="s">
        <v>137</v>
      </c>
      <c r="G9" s="118" t="s">
        <v>138</v>
      </c>
      <c r="H9" s="119" t="s">
        <v>139</v>
      </c>
      <c r="I9" s="119" t="s">
        <v>133</v>
      </c>
      <c r="J9" s="117" t="s">
        <v>192</v>
      </c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</row>
    <row r="10" spans="1:23" x14ac:dyDescent="0.15">
      <c r="A10" s="110" t="s">
        <v>184</v>
      </c>
      <c r="B10" s="113" t="s">
        <v>136</v>
      </c>
      <c r="C10" s="169" t="str">
        <f t="shared" si="0"/>
        <v>aprilunit</v>
      </c>
      <c r="D10" s="110" t="s">
        <v>158</v>
      </c>
      <c r="E10" s="109" t="str">
        <f t="shared" si="3"/>
        <v>unit_serifs_i18n_aprilunit.tmp</v>
      </c>
      <c r="F10" s="113" t="s">
        <v>137</v>
      </c>
      <c r="G10" s="118" t="s">
        <v>140</v>
      </c>
      <c r="H10" s="119" t="s">
        <v>141</v>
      </c>
      <c r="I10" s="119" t="s">
        <v>142</v>
      </c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Q2"/>
  <sheetViews>
    <sheetView showGridLines="0" workbookViewId="0">
      <pane xSplit="9" ySplit="1" topLeftCell="BG2" activePane="bottomRight" state="frozen"/>
      <selection pane="topRight" activeCell="J1" sqref="J1"/>
      <selection pane="bottomLeft" activeCell="A3" sqref="A3"/>
      <selection pane="bottomRight" activeCell="A2" sqref="A2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 collapsed="1"/>
    <col min="19" max="19" width="12.33203125" style="13" hidden="1" customWidth="1" outlineLevel="1"/>
    <col min="20" max="22" width="13.6640625" style="13" hidden="1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7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69" ht="21" customHeight="1" x14ac:dyDescent="0.15">
      <c r="A1" s="82" t="s">
        <v>108</v>
      </c>
      <c r="B1" s="84" t="s">
        <v>44</v>
      </c>
      <c r="C1" s="87" t="s">
        <v>27</v>
      </c>
      <c r="D1" s="87" t="s">
        <v>30</v>
      </c>
      <c r="E1" s="87" t="s">
        <v>28</v>
      </c>
      <c r="F1" s="87" t="s">
        <v>29</v>
      </c>
      <c r="G1" s="82" t="s">
        <v>1</v>
      </c>
      <c r="H1" s="85" t="s">
        <v>19</v>
      </c>
      <c r="I1" s="86" t="s">
        <v>0</v>
      </c>
      <c r="J1" s="88" t="s">
        <v>49</v>
      </c>
      <c r="K1" s="88" t="s">
        <v>48</v>
      </c>
      <c r="L1" s="88" t="s">
        <v>50</v>
      </c>
      <c r="M1" s="88" t="s">
        <v>51</v>
      </c>
      <c r="N1" s="82" t="s">
        <v>3</v>
      </c>
      <c r="O1" s="89" t="s">
        <v>2</v>
      </c>
      <c r="P1" s="82" t="s">
        <v>97</v>
      </c>
      <c r="Q1" s="90" t="s">
        <v>18</v>
      </c>
      <c r="R1" s="81" t="s">
        <v>52</v>
      </c>
      <c r="S1" s="91" t="s">
        <v>23</v>
      </c>
      <c r="T1" s="91" t="s">
        <v>24</v>
      </c>
      <c r="U1" s="91" t="s">
        <v>26</v>
      </c>
      <c r="V1" s="91" t="s">
        <v>25</v>
      </c>
      <c r="W1" s="86" t="s">
        <v>32</v>
      </c>
      <c r="X1" s="87" t="s">
        <v>53</v>
      </c>
      <c r="Y1" s="86" t="s">
        <v>33</v>
      </c>
      <c r="Z1" s="87" t="s">
        <v>53</v>
      </c>
      <c r="AA1" s="88" t="s">
        <v>23</v>
      </c>
      <c r="AB1" s="88" t="s">
        <v>24</v>
      </c>
      <c r="AC1" s="88" t="s">
        <v>26</v>
      </c>
      <c r="AD1" s="88" t="s">
        <v>25</v>
      </c>
      <c r="AE1" s="92" t="s">
        <v>100</v>
      </c>
      <c r="AF1" s="81" t="s">
        <v>45</v>
      </c>
      <c r="AG1" s="93" t="s">
        <v>58</v>
      </c>
      <c r="AH1" s="81" t="s">
        <v>45</v>
      </c>
      <c r="AI1" s="93" t="s">
        <v>46</v>
      </c>
      <c r="AJ1" s="83" t="s">
        <v>67</v>
      </c>
      <c r="AK1" s="81" t="s">
        <v>21</v>
      </c>
      <c r="AL1" s="94" t="s">
        <v>68</v>
      </c>
      <c r="AM1" s="95" t="s">
        <v>66</v>
      </c>
      <c r="AN1" s="95" t="s">
        <v>69</v>
      </c>
      <c r="AO1" s="96" t="s">
        <v>31</v>
      </c>
      <c r="AP1" s="92" t="s">
        <v>20</v>
      </c>
      <c r="AQ1" s="97" t="s">
        <v>113</v>
      </c>
      <c r="AR1" s="97" t="s">
        <v>107</v>
      </c>
      <c r="AS1" s="81" t="s">
        <v>104</v>
      </c>
      <c r="AT1" s="92" t="s">
        <v>102</v>
      </c>
      <c r="AU1" s="81" t="s">
        <v>110</v>
      </c>
      <c r="AV1" s="97" t="s">
        <v>107</v>
      </c>
      <c r="AW1" s="81" t="s">
        <v>104</v>
      </c>
      <c r="AX1" s="87" t="s">
        <v>4</v>
      </c>
      <c r="AY1" s="98" t="s">
        <v>54</v>
      </c>
      <c r="AZ1" s="98" t="s">
        <v>55</v>
      </c>
      <c r="BA1" s="98" t="s">
        <v>114</v>
      </c>
      <c r="BB1" s="98" t="s">
        <v>56</v>
      </c>
      <c r="BC1" s="5" t="s">
        <v>22</v>
      </c>
      <c r="BD1" s="101" t="s">
        <v>34</v>
      </c>
      <c r="BE1" s="99" t="s">
        <v>5</v>
      </c>
      <c r="BF1" s="100" t="s">
        <v>6</v>
      </c>
      <c r="BG1" s="102" t="s">
        <v>70</v>
      </c>
      <c r="BH1" s="102" t="s">
        <v>71</v>
      </c>
      <c r="BI1" s="102" t="s">
        <v>72</v>
      </c>
      <c r="BJ1" s="102" t="s">
        <v>73</v>
      </c>
      <c r="BK1" s="103" t="s">
        <v>74</v>
      </c>
      <c r="BL1" s="103" t="s">
        <v>95</v>
      </c>
      <c r="BM1" s="103" t="s">
        <v>75</v>
      </c>
      <c r="BN1" s="103" t="s">
        <v>76</v>
      </c>
      <c r="BO1" s="104" t="s">
        <v>77</v>
      </c>
      <c r="BP1" s="105" t="s">
        <v>78</v>
      </c>
      <c r="BQ1" s="105" t="s">
        <v>86</v>
      </c>
    </row>
    <row r="2" spans="1:69" ht="26" customHeight="1" x14ac:dyDescent="0.15">
      <c r="B2" s="58" t="e">
        <f ca="1">VLOOKUP($A2,OFFSET([1]characters!$A$1,0,0,COUNTA([1]characters!$A:$A),MATCH(B$1,[1]characters!$1:$1,0)-MATCH($A$1,[1]characters!$1:$1,0)+1),MATCH(B$1,[1]characters!$1:$1,0)-MATCH($A$1,[1]characters!$1:$1,0)+1,FALSE)</f>
        <v>#N/A</v>
      </c>
      <c r="C2" s="58" t="e">
        <f ca="1">VLOOKUP($A2,OFFSET([1]characters!$A$1,0,0,COUNTA([1]characters!$A:$A),MATCH(C$1,[1]characters!$1:$1,0)-MATCH($A$1,[1]characters!$1:$1,0)+1),MATCH(C$1,[1]characters!$1:$1,0)-MATCH($A$1,[1]characters!$1:$1,0)+1,FALSE)</f>
        <v>#N/A</v>
      </c>
      <c r="D2" s="58" t="e">
        <f ca="1">VLOOKUP($A2,OFFSET([1]characters!$A$1,0,0,COUNTA([1]characters!$A:$A),MATCH(D$1,[1]characters!$1:$1,0)-MATCH($A$1,[1]characters!$1:$1,0)+1),MATCH(D$1,[1]characters!$1:$1,0)-MATCH($A$1,[1]characters!$1:$1,0)+1,FALSE)</f>
        <v>#N/A</v>
      </c>
      <c r="E2" s="58" t="e">
        <f ca="1">VLOOKUP($A2,OFFSET([1]characters!$A$1,0,0,COUNTA([1]characters!$A:$A),MATCH(E$1,[1]characters!$1:$1,0)-MATCH($A$1,[1]characters!$1:$1,0)+1),MATCH(E$1,[1]characters!$1:$1,0)-MATCH($A$1,[1]characters!$1:$1,0)+1,FALSE)</f>
        <v>#N/A</v>
      </c>
      <c r="F2" s="58" t="e">
        <f ca="1">VLOOKUP($A2,OFFSET([1]characters!$A$1,0,0,COUNTA([1]characters!$A:$A),MATCH(F$1,[1]characters!$1:$1,0)-MATCH($A$1,[1]characters!$1:$1,0)+1),MATCH(F$1,[1]characters!$1:$1,0)-MATCH($A$1,[1]characters!$1:$1,0)+1,FALSE)</f>
        <v>#N/A</v>
      </c>
      <c r="G2" s="58" t="e">
        <f ca="1">VLOOKUP($A2,OFFSET([1]characters!$A$1,0,0,COUNTA([1]characters!$A:$A),MATCH(G$1,[1]characters!$1:$1,0)-MATCH($A$1,[1]characters!$1:$1,0)+1),MATCH(G$1,[1]characters!$1:$1,0)-MATCH($A$1,[1]characters!$1:$1,0)+1,FALSE)</f>
        <v>#N/A</v>
      </c>
      <c r="H2" s="58" t="e">
        <f ca="1">VLOOKUP($A2,OFFSET([1]characters!$A$1,0,0,COUNTA([1]characters!$A:$A),MATCH(H$1,[1]characters!$1:$1,0)-MATCH($A$1,[1]characters!$1:$1,0)+1),MATCH(H$1,[1]characters!$1:$1,0)-MATCH($A$1,[1]characters!$1:$1,0)+1,FALSE)</f>
        <v>#N/A</v>
      </c>
      <c r="I2" s="58" t="e">
        <f ca="1">VLOOKUP($A2,OFFSET([1]characters!$A$1,0,0,COUNTA([1]characters!$A:$A),MATCH(I$1,[1]characters!$1:$1,0)-MATCH($A$1,[1]characters!$1:$1,0)+1),MATCH(I$1,[1]characters!$1:$1,0)-MATCH($A$1,[1]characters!$1:$1,0)+1,FALSE)</f>
        <v>#N/A</v>
      </c>
      <c r="J2" s="11" t="e">
        <f ca="1">VLOOKUP(I2,[1]属性!$A:$E,2,FALSE)</f>
        <v>#N/A</v>
      </c>
      <c r="K2" s="11" t="e">
        <f ca="1">VLOOKUP(I2,[1]属性!$A:$E,3,FALSE)</f>
        <v>#N/A</v>
      </c>
      <c r="L2" s="11" t="e">
        <f ca="1">VLOOKUP(I2,[1]属性!$A:$E,4,FALSE)</f>
        <v>#N/A</v>
      </c>
      <c r="M2" s="11" t="e">
        <f ca="1">VLOOKUP(I2,[1]属性!$A:$E,5,FALSE)</f>
        <v>#N/A</v>
      </c>
      <c r="N2" s="11" t="e">
        <f ca="1">INDEX(コスト!$A$1:$I$20,MATCH(H2,コスト!$A$1:$A$20,FALSE),MATCH(G2,コスト!$A$1:$I$1,FALSE))</f>
        <v>#N/A</v>
      </c>
      <c r="O2" s="11" t="e">
        <f ca="1">INDEX(レベル!$A$1:$I$21,MATCH(H2,レベル!$A$1:$A$21,FALSE),MATCH(G2,レベル!$A$1:$I$1,FALSE))</f>
        <v>#N/A</v>
      </c>
      <c r="P2" s="49" t="e">
        <f t="shared" ref="P2" ca="1" si="0">G2*15</f>
        <v>#N/A</v>
      </c>
      <c r="Q2" s="58" t="e">
        <f ca="1">VLOOKUP($A2,OFFSET([1]characters!$A$1,0,0,COUNTA([1]characters!$A:$A),MATCH(Q$1,[1]characters!$1:$1,0)-MATCH($A$1,[1]characters!$1:$1,0)+1),MATCH(Q$1,[1]characters!$1:$1,0)-MATCH($A$1,[1]characters!$1:$1,0)+1,FALSE)</f>
        <v>#N/A</v>
      </c>
      <c r="R2" s="5" t="e">
        <f ca="1">VLOOKUP(Q2,[1]character_type_i18n!$A:$H,3,FALSE)</f>
        <v>#N/A</v>
      </c>
      <c r="S2" s="11" t="e">
        <f ca="1">VLOOKUP(Q2,[1]character_type_i18n!$A:$H,4,FALSE)</f>
        <v>#N/A</v>
      </c>
      <c r="T2" s="11" t="e">
        <f ca="1">VLOOKUP(Q2,[1]character_type_i18n!$A:$H,5,FALSE)</f>
        <v>#N/A</v>
      </c>
      <c r="U2" s="11" t="e">
        <f ca="1">VLOOKUP(Q2,[1]character_type_i18n!$A:$H,6,FALSE)</f>
        <v>#N/A</v>
      </c>
      <c r="V2" s="11" t="e">
        <f ca="1">VLOOKUP(Q2,[1]character_type_i18n!$A:$H,7,FALSE)</f>
        <v>#N/A</v>
      </c>
      <c r="W2" s="58" t="e">
        <f ca="1">VLOOKUP($A2,OFFSET([1]characters!$A$1,0,0,COUNTA([1]characters!$A:$A),MATCH(W$1,[1]characters!$1:$1,0)-MATCH($A$1,[1]characters!$1:$1,0)+1),MATCH(W$1,[1]characters!$1:$1,0)-MATCH($A$1,[1]characters!$1:$1,0)+1,FALSE)</f>
        <v>#N/A</v>
      </c>
      <c r="X2" s="5" t="e">
        <f ca="1">VLOOKUP(W2,[1]character_tribe_i18n!$A:$H,3,FALSE)</f>
        <v>#N/A</v>
      </c>
      <c r="Y2" s="58" t="e">
        <f ca="1">VLOOKUP($A2,OFFSET([1]characters!$A$1,0,0,COUNTA([1]characters!$A:$A),MATCH(Y$1,[1]characters!$1:$1,0)-MATCH($A$1,[1]characters!$1:$1,0)+1),MATCH(Y$1,[1]characters!$1:$1,0)-MATCH($A$1,[1]characters!$1:$1,0)+1,FALSE)</f>
        <v>#N/A</v>
      </c>
      <c r="Z2" s="5" t="e">
        <f ca="1">VLOOKUP(Y2,[1]character_tribe_i18n!$A:$H,3,FALSE)</f>
        <v>#N/A</v>
      </c>
      <c r="AA2" s="11" t="e">
        <f ca="1">VLOOKUP(W2,[1]character_tribe_i18n!$A:$H,4,FALSE)</f>
        <v>#N/A</v>
      </c>
      <c r="AB2" s="11" t="e">
        <f ca="1">VLOOKUP(W2,[1]character_tribe_i18n!$A:$H,5,FALSE)</f>
        <v>#N/A</v>
      </c>
      <c r="AC2" s="11" t="e">
        <f ca="1">VLOOKUP(W2,[1]character_tribe_i18n!$A:$H,6,FALSE)</f>
        <v>#N/A</v>
      </c>
      <c r="AD2" s="11" t="e">
        <f ca="1">VLOOKUP(W2,[1]character_tribe_i18n!$A:$H,7,FALSE)</f>
        <v>#N/A</v>
      </c>
      <c r="AE2" s="9" t="s">
        <v>183</v>
      </c>
      <c r="AF2" s="63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f ca="1">IF(ISNA(MATCH(A2,AE:AE,0)),A2,INDIRECT(ADDRESS(MATCH(A2,AE:AE,0),COLUMN())))</f>
        <v>0</v>
      </c>
      <c r="AH2" s="63" t="e">
        <f ca="1">VLOOKUP($AG2,OFFSET([1]characters!$A$1,0,0,COUNTA([1]characters!$A:$A),MATCH(AH$1,[1]characters!$1:$1,0)-MATCH($A$1,[1]characters!$1:$1,0)+1),MATCH(AH$1,[1]characters!$1:$1,0)-MATCH($A$1,[1]characters!$1:$1,0)+1,FALSE)</f>
        <v>#N/A</v>
      </c>
      <c r="AI2" s="11" t="str">
        <f>IF(AE2="NULL","NULL",VLOOKUP(G2,ビット!$A$2:$B$7,2))</f>
        <v>NULL</v>
      </c>
      <c r="AJ2" s="6">
        <v>2</v>
      </c>
      <c r="AK2" s="7" t="str">
        <f t="shared" ref="AK2" si="1">IF(AJ2=1,"早熟",IF(AJ2=2,"普通",IF(AJ2=3,"晩成","")))</f>
        <v>普通</v>
      </c>
      <c r="AL2" s="11" t="e">
        <f ca="1">INDEX(経験値!$A$1:$I$20,MATCH(H2,経験値!$A$1:$A$20,FALSE),MATCH(G2,経験値!$A$1:$I$1,FALSE))</f>
        <v>#N/A</v>
      </c>
      <c r="AM2" s="8" t="e">
        <f ca="1">VLOOKUP(G2,経験値!$A$27:$B$31,2)</f>
        <v>#N/A</v>
      </c>
      <c r="AN2" s="17" t="e">
        <f ca="1">VLOOKUP(G2,ビット!$G$2:$H$7,2)</f>
        <v>#N/A</v>
      </c>
      <c r="AO2" s="46"/>
      <c r="AP2" s="68">
        <v>1040</v>
      </c>
      <c r="AQ2" s="58" t="e">
        <f ca="1">VLOOKUP($AP2,OFFSET(unit_skills!$A$1,0,0,COUNTA(unit_skills!$A:$A),MATCH(AQ$1,unit_skills!$1:$1,0)-MATCH($AP$1,unit_skills!$1:$1,0)+1),MATCH(AQ$1,unit_skills!$1:$1,0)-MATCH($AP$1,unit_skills!$1:$1,0)+1,FALSE)</f>
        <v>#N/A</v>
      </c>
      <c r="AR2" s="58" t="e">
        <f ca="1">VLOOKUP($AP2,OFFSET(unit_skills!$A$1,0,0,COUNTA(unit_skills!$A:$A),MATCH(AR$1,unit_skills!$1:$1,0)-MATCH($AP$1,unit_skills!$1:$1,0)+1),MATCH(AR$1,unit_skills!$1:$1,0)-MATCH($AP$1,unit_skills!$1:$1,0)+1,FALSE)</f>
        <v>#N/A</v>
      </c>
      <c r="AS2" s="58" t="e">
        <f ca="1">VLOOKUP($AP2,OFFSET(unit_skills!$A$1,0,0,COUNTA(unit_skills!$A:$A),MATCH(AS$1,unit_skills!$1:$1,0)-MATCH($AP$1,unit_skills!$1:$1,0)+1),MATCH(AS$1,unit_skills!$1:$1,0)-MATCH($AP$1,unit_skills!$1:$1,0)+1,FALSE)</f>
        <v>#N/A</v>
      </c>
      <c r="AT2" s="42">
        <v>1040</v>
      </c>
      <c r="AU2" s="58" t="e">
        <f ca="1">VLOOKUP($AT2,OFFSET(crash_skills!$A$1,0,0,COUNTA(crash_skills!$A:$A),MATCH(AU$1,crash_skills!$1:$1,0)-MATCH($AT$1,crash_skills!$1:$1,0)+1),MATCH(AU$1,crash_skills!$1:$1,0)-MATCH($AT$1,crash_skills!$1:$1,0)+1,FALSE)</f>
        <v>#N/A</v>
      </c>
      <c r="AV2" s="58" t="e">
        <f ca="1">VLOOKUP($AT2,OFFSET(crash_skills!$A$1,0,0,COUNTA(crash_skills!$A:$A),MATCH(AV$1,crash_skills!$1:$1,0)-MATCH($AT$1,crash_skills!$1:$1,0)+1),MATCH(AV$1,crash_skills!$1:$1,0)-MATCH($AT$1,crash_skills!$1:$1,0)+1,FALSE)</f>
        <v>#N/A</v>
      </c>
      <c r="AW2" s="58" t="e">
        <f ca="1">VLOOKUP($AT2,OFFSET(crash_skills!$A$1,0,0,COUNTA(crash_skills!$A:$A),MATCH(AW$1,crash_skills!$1:$1,0)-MATCH($AT$1,crash_skills!$1:$1,0)+1),MATCH(AW$1,crash_skills!$1:$1,0)-MATCH($AT$1,crash_skills!$1:$1,0)+1,FALSE)</f>
        <v>#N/A</v>
      </c>
      <c r="AX2" s="59" t="e">
        <f ca="1">VLOOKUP($A2,OFFSET([1]characters!$A$1,0,0,COUNTA([1]characters!$A:$A),MATCH(AX$1,[1]characters!$1:$1,0)-MATCH($A$1,[1]characters!$1:$1,0)+1),MATCH(AX$1,[1]characters!$1:$1,0)-MATCH($A$1,[1]characters!$1:$1,0)+1,FALSE)</f>
        <v>#N/A</v>
      </c>
      <c r="AY2" s="69">
        <v>1.2</v>
      </c>
      <c r="AZ2" s="69">
        <v>1.3</v>
      </c>
      <c r="BA2" s="69">
        <v>0</v>
      </c>
      <c r="BB2" s="69">
        <v>1.3</v>
      </c>
      <c r="BC2" s="11" t="e">
        <f ca="1">INDEX('RC6SV'!$A$1:$G$20,MATCH(H2,'RC6SV'!$A$1:$A$20,FALSE),MATCH(G2,'RC6SV'!$A$1:$G$1,FALSE))</f>
        <v>#N/A</v>
      </c>
      <c r="BD2" s="49" t="e">
        <f t="shared" ref="BD2" ca="1" si="2">ROUND(BC2*IF(AJ2=1,0.95,IF(AJ2=2,1,IF(AJ2,1.05,0))),0)</f>
        <v>#N/A</v>
      </c>
      <c r="BE2" s="11">
        <f ca="1">ROUND(IFERROR(INDIRECT(ADDRESS(MATCH($A2,$AE:$AE,0),MATCH($BC$1,$1:$1,0))),0),0)</f>
        <v>0</v>
      </c>
      <c r="BF2" s="11" t="e">
        <f ca="1">ROUND(IFERROR(INDIRECT(ADDRESS(MATCH($A2,$AE:$AE,0),10)),INDIRECT(ADDRESS(MATCH($A2,$A:$A,0),10))),0)</f>
        <v>#N/A</v>
      </c>
      <c r="BG2" s="16" t="e">
        <f ca="1">IF($BE2&lt;=0,ROUND(BK2*0.5,0), ROUND($BE2*S2*AA2*J2*AY2*0.8*[1]ステータス!$B$2,0))</f>
        <v>#N/A</v>
      </c>
      <c r="BH2" s="16" t="e">
        <f ca="1">IF($BE2&lt;=0,ROUND(BL2*0.5,0), ROUND($BE2*T2*AB2*K2*AZ2*0.8*[1]ステータス!$C$2,0))</f>
        <v>#N/A</v>
      </c>
      <c r="BI2" s="16" t="e">
        <f ca="1">IF($BE2&lt;=0,ROUND(BM2*0.5,0), ROUND($BE2*U2*AC2*L2*BA2*0.8*[1]ステータス!$D$2,0))</f>
        <v>#N/A</v>
      </c>
      <c r="BJ2" s="16" t="e">
        <f ca="1">IF($BE2&lt;=0,ROUND(BN2*0.5,0), ROUND($BE2*V2*AD2*M2*BB2*0.8*[1]ステータス!$E$2,0))</f>
        <v>#N/A</v>
      </c>
      <c r="BK2" s="11" t="e">
        <f ca="1">ROUND(BD2*S2*AA2*J2*AY2*[1]ステータス!$B$2,0)</f>
        <v>#N/A</v>
      </c>
      <c r="BL2" s="11" t="e">
        <f ca="1">ROUND(BD2*T2*AB2*K2*AZ2*[1]ステータス!$C$2,0)</f>
        <v>#N/A</v>
      </c>
      <c r="BM2" s="11" t="e">
        <f ca="1">ROUND(BD2*U2*AC2*L2*BA2*[1]ステータス!$D$2,0)</f>
        <v>#N/A</v>
      </c>
      <c r="BN2" s="11" t="e">
        <f ca="1">ROUND(BD2*V2*AD2*M2*BB2*[1]ステータス!$E$2,0)</f>
        <v>#N/A</v>
      </c>
      <c r="BO2" s="10">
        <v>0</v>
      </c>
      <c r="BP2" s="10">
        <v>1</v>
      </c>
      <c r="BQ2" s="39" t="s">
        <v>47</v>
      </c>
    </row>
  </sheetData>
  <autoFilter ref="A1:BQ1"/>
  <phoneticPr fontId="10"/>
  <conditionalFormatting sqref="BO1">
    <cfRule type="cellIs" dxfId="27" priority="120" stopIfTrue="1" operator="equal">
      <formula>1</formula>
    </cfRule>
  </conditionalFormatting>
  <conditionalFormatting sqref="BQ1">
    <cfRule type="cellIs" dxfId="26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2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baseColWidth="12" defaultColWidth="13" defaultRowHeight="21" customHeight="1" outlineLevelCol="1" x14ac:dyDescent="0.15"/>
  <cols>
    <col min="1" max="1" width="16.1640625" style="133" bestFit="1" customWidth="1"/>
    <col min="2" max="2" width="13" style="133" bestFit="1" customWidth="1"/>
    <col min="3" max="3" width="21.83203125" style="133" customWidth="1"/>
    <col min="4" max="4" width="41.83203125" style="133" customWidth="1"/>
    <col min="5" max="5" width="9" style="133" customWidth="1"/>
    <col min="6" max="6" width="7.83203125" style="133" bestFit="1" customWidth="1"/>
    <col min="7" max="7" width="8.1640625" style="133" bestFit="1" customWidth="1"/>
    <col min="8" max="8" width="13.6640625" style="133" bestFit="1" customWidth="1"/>
    <col min="9" max="10" width="51.6640625" style="133" customWidth="1"/>
    <col min="11" max="11" width="10.83203125" style="133" customWidth="1" outlineLevel="1"/>
    <col min="12" max="17" width="9.5" style="132" customWidth="1" outlineLevel="1"/>
    <col min="18" max="18" width="20.33203125" style="133" customWidth="1" outlineLevel="1"/>
    <col min="19" max="19" width="10.33203125" style="133" bestFit="1" customWidth="1"/>
    <col min="20" max="16384" width="13" style="133"/>
  </cols>
  <sheetData>
    <row r="1" spans="1:19" s="132" customFormat="1" ht="21" customHeight="1" x14ac:dyDescent="0.15">
      <c r="A1" s="121" t="s">
        <v>20</v>
      </c>
      <c r="B1" s="122" t="s">
        <v>134</v>
      </c>
      <c r="C1" s="123" t="s">
        <v>40</v>
      </c>
      <c r="D1" s="124" t="s">
        <v>163</v>
      </c>
      <c r="E1" s="124" t="s">
        <v>164</v>
      </c>
      <c r="F1" s="121" t="s">
        <v>146</v>
      </c>
      <c r="G1" s="125" t="s">
        <v>2</v>
      </c>
      <c r="H1" s="125" t="s">
        <v>165</v>
      </c>
      <c r="I1" s="125" t="s">
        <v>166</v>
      </c>
      <c r="J1" s="126" t="s">
        <v>185</v>
      </c>
      <c r="K1" s="125" t="s">
        <v>4</v>
      </c>
      <c r="L1" s="127" t="s">
        <v>167</v>
      </c>
      <c r="M1" s="128" t="s">
        <v>168</v>
      </c>
      <c r="N1" s="128" t="s">
        <v>169</v>
      </c>
      <c r="O1" s="128" t="s">
        <v>170</v>
      </c>
      <c r="P1" s="128" t="s">
        <v>171</v>
      </c>
      <c r="Q1" s="129" t="s">
        <v>172</v>
      </c>
      <c r="R1" s="130" t="s">
        <v>173</v>
      </c>
      <c r="S1" s="131" t="s">
        <v>174</v>
      </c>
    </row>
    <row r="2" spans="1:19" ht="21" customHeight="1" x14ac:dyDescent="0.2">
      <c r="A2" s="12"/>
      <c r="B2" s="136" t="s">
        <v>186</v>
      </c>
      <c r="C2" s="170" t="s">
        <v>259</v>
      </c>
      <c r="D2" s="170" t="s">
        <v>262</v>
      </c>
      <c r="E2" s="138">
        <f t="shared" ref="E2" si="0">LEN(D2)</f>
        <v>46</v>
      </c>
      <c r="F2" s="120">
        <v>11</v>
      </c>
      <c r="G2" s="120">
        <v>7</v>
      </c>
      <c r="H2" s="139">
        <f>2001</f>
        <v>2001</v>
      </c>
      <c r="I2" s="139" t="s">
        <v>187</v>
      </c>
      <c r="J2" s="58" t="e">
        <f ca="1">VLOOKUP($A2,OFFSET([1]characters!$A$1,0,0,COUNTA([1]characters!$A:$A),MATCH("name",[1]characters!$1:$1,0)-MATCH("character_id",[1]characters!$1:$1,0)+1),MATCH("name",[1]characters!$1:$1,0)-MATCH("character_id",[1]characters!$1:$1,0)+1,FALSE)</f>
        <v>#N/A</v>
      </c>
      <c r="K2" s="140">
        <v>1</v>
      </c>
      <c r="L2" s="141"/>
      <c r="M2" s="142"/>
      <c r="N2" s="142"/>
      <c r="O2" s="142"/>
      <c r="P2" s="142"/>
      <c r="Q2" s="142"/>
      <c r="R2" s="137"/>
      <c r="S2" s="143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3:E1048576">
    <cfRule type="cellIs" dxfId="25" priority="7" operator="greaterThan">
      <formula>41</formula>
    </cfRule>
  </conditionalFormatting>
  <conditionalFormatting sqref="E2">
    <cfRule type="cellIs" dxfId="24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2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A2" sqref="A2"/>
    </sheetView>
  </sheetViews>
  <sheetFormatPr baseColWidth="12" defaultColWidth="13" defaultRowHeight="21" customHeight="1" x14ac:dyDescent="0.15"/>
  <cols>
    <col min="1" max="2" width="12.1640625" style="133" customWidth="1"/>
    <col min="3" max="3" width="48.83203125" style="134" customWidth="1"/>
    <col min="4" max="4" width="23.83203125" style="134" customWidth="1"/>
    <col min="5" max="5" width="10.5" style="134" customWidth="1"/>
    <col min="6" max="7" width="59.1640625" style="134" customWidth="1"/>
    <col min="8" max="8" width="6.83203125" style="133" bestFit="1" customWidth="1"/>
    <col min="9" max="9" width="20.33203125" style="133" customWidth="1"/>
    <col min="10" max="10" width="5" style="133" bestFit="1" customWidth="1"/>
    <col min="11" max="16384" width="13" style="133"/>
  </cols>
  <sheetData>
    <row r="1" spans="1:19" ht="21" customHeight="1" x14ac:dyDescent="0.15">
      <c r="A1" s="121" t="s">
        <v>182</v>
      </c>
      <c r="B1" s="122" t="s">
        <v>181</v>
      </c>
      <c r="C1" s="123" t="s">
        <v>180</v>
      </c>
      <c r="D1" s="124" t="s">
        <v>179</v>
      </c>
      <c r="E1" s="124" t="s">
        <v>178</v>
      </c>
      <c r="F1" s="125" t="s">
        <v>177</v>
      </c>
      <c r="G1" s="126" t="s">
        <v>185</v>
      </c>
      <c r="H1" s="125" t="s">
        <v>176</v>
      </c>
      <c r="I1" s="126" t="s">
        <v>175</v>
      </c>
      <c r="J1" s="130" t="s">
        <v>174</v>
      </c>
    </row>
    <row r="2" spans="1:19" ht="21" customHeight="1" x14ac:dyDescent="0.2">
      <c r="A2" s="12"/>
      <c r="B2" s="136" t="s">
        <v>188</v>
      </c>
      <c r="C2" s="170" t="s">
        <v>260</v>
      </c>
      <c r="D2" s="137" t="s">
        <v>261</v>
      </c>
      <c r="E2" s="138">
        <f t="shared" ref="E2" si="0">LEN(D2)</f>
        <v>25</v>
      </c>
      <c r="F2" s="120"/>
      <c r="G2" s="58" t="e">
        <f ca="1">VLOOKUP($A2,OFFSET([1]characters!$A$1,0,0,COUNTA([1]characters!$A:$A),MATCH("name",[1]characters!$1:$1,0)-MATCH("character_id",[1]characters!$1:$1,0)+1),MATCH("name",[1]characters!$1:$1,0)-MATCH("character_id",[1]characters!$1:$1,0)+1,FALSE)</f>
        <v>#N/A</v>
      </c>
      <c r="H2" s="139">
        <v>1</v>
      </c>
      <c r="I2" s="139"/>
      <c r="J2" s="144"/>
      <c r="K2" s="140">
        <v>1</v>
      </c>
      <c r="L2" s="141"/>
      <c r="M2" s="142"/>
      <c r="N2" s="142"/>
      <c r="O2" s="142"/>
      <c r="P2" s="142"/>
      <c r="Q2" s="142"/>
      <c r="R2" s="137"/>
      <c r="S2" s="143"/>
    </row>
  </sheetData>
  <sheetProtection selectLockedCells="1" selectUnlockedCells="1"/>
  <autoFilter ref="A1:J1"/>
  <phoneticPr fontId="22"/>
  <conditionalFormatting sqref="E2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5"/>
  <sheetViews>
    <sheetView workbookViewId="0">
      <selection activeCell="C28" sqref="C28"/>
    </sheetView>
  </sheetViews>
  <sheetFormatPr baseColWidth="12" defaultRowHeight="15" outlineLevelCol="1" x14ac:dyDescent="0.15"/>
  <cols>
    <col min="2" max="2" width="12.83203125" style="146"/>
    <col min="4" max="4" width="12.83203125" style="146" customWidth="1" outlineLevel="1"/>
    <col min="5" max="5" width="12.83203125" style="146"/>
  </cols>
  <sheetData>
    <row r="1" spans="1:8" x14ac:dyDescent="0.15">
      <c r="A1" s="117" t="s">
        <v>189</v>
      </c>
      <c r="B1" s="145" t="s">
        <v>190</v>
      </c>
      <c r="C1" s="117" t="s">
        <v>191</v>
      </c>
      <c r="D1" s="145" t="s">
        <v>193</v>
      </c>
      <c r="E1" s="145" t="s">
        <v>194</v>
      </c>
      <c r="F1" s="114" t="s">
        <v>195</v>
      </c>
      <c r="G1" s="117" t="s">
        <v>192</v>
      </c>
      <c r="H1" s="114" t="s">
        <v>196</v>
      </c>
    </row>
    <row r="2" spans="1:8" x14ac:dyDescent="0.15">
      <c r="A2" s="110">
        <v>1</v>
      </c>
      <c r="B2" s="145" t="str">
        <f>VLOOKUP(A2,[1]characters!$A:$C,3,FALSE)</f>
        <v>ジェリー</v>
      </c>
      <c r="C2" s="110" t="s">
        <v>197</v>
      </c>
      <c r="D2" s="145" t="str">
        <f>A2&amp;C2</f>
        <v>1skill</v>
      </c>
      <c r="E2" s="145">
        <f>COUNTIF(D$2:D2,D2)</f>
        <v>1</v>
      </c>
      <c r="F2" s="110" t="s">
        <v>199</v>
      </c>
      <c r="G2" s="110" t="s">
        <v>198</v>
      </c>
      <c r="H2" s="110" t="s">
        <v>200</v>
      </c>
    </row>
    <row r="3" spans="1:8" x14ac:dyDescent="0.15">
      <c r="A3" s="110">
        <v>1</v>
      </c>
      <c r="B3" s="145" t="str">
        <f>VLOOKUP(A3,[1]characters!$A:$C,3,FALSE)</f>
        <v>ジェリー</v>
      </c>
      <c r="C3" s="110" t="s">
        <v>201</v>
      </c>
      <c r="D3" s="145" t="str">
        <f>A3&amp;C3</f>
        <v>1cskill</v>
      </c>
      <c r="E3" s="145">
        <f>COUNTIF(D$2:D3,D3)</f>
        <v>1</v>
      </c>
      <c r="F3" s="110" t="s">
        <v>199</v>
      </c>
      <c r="G3" s="110" t="s">
        <v>198</v>
      </c>
      <c r="H3" s="110" t="s">
        <v>202</v>
      </c>
    </row>
    <row r="4" spans="1:8" x14ac:dyDescent="0.15">
      <c r="A4" s="110"/>
      <c r="B4" s="145"/>
      <c r="C4" s="110"/>
      <c r="D4" s="145"/>
      <c r="E4" s="145"/>
      <c r="F4" s="110"/>
      <c r="G4" s="110"/>
      <c r="H4" s="110"/>
    </row>
    <row r="5" spans="1:8" x14ac:dyDescent="0.15">
      <c r="A5" s="110"/>
      <c r="B5" s="145"/>
      <c r="C5" s="110"/>
      <c r="D5" s="145"/>
      <c r="E5" s="145"/>
      <c r="F5" s="110"/>
      <c r="G5" s="110"/>
      <c r="H5" s="110"/>
    </row>
    <row r="6" spans="1:8" x14ac:dyDescent="0.15">
      <c r="A6" s="110"/>
      <c r="B6" s="145"/>
      <c r="C6" s="110"/>
      <c r="D6" s="145"/>
      <c r="E6" s="145"/>
      <c r="F6" s="110"/>
      <c r="G6" s="110"/>
      <c r="H6" s="110"/>
    </row>
    <row r="7" spans="1:8" x14ac:dyDescent="0.15">
      <c r="A7" s="110"/>
      <c r="B7" s="145"/>
      <c r="C7" s="110"/>
      <c r="D7" s="145"/>
      <c r="E7" s="145"/>
      <c r="F7" s="110"/>
      <c r="G7" s="110"/>
      <c r="H7" s="110"/>
    </row>
    <row r="8" spans="1:8" x14ac:dyDescent="0.15">
      <c r="A8" s="110"/>
      <c r="B8" s="145"/>
      <c r="C8" s="110"/>
      <c r="D8" s="145"/>
      <c r="E8" s="145"/>
      <c r="F8" s="110"/>
      <c r="G8" s="110"/>
      <c r="H8" s="110"/>
    </row>
    <row r="9" spans="1:8" x14ac:dyDescent="0.15">
      <c r="A9" s="110"/>
      <c r="B9" s="145"/>
      <c r="C9" s="110"/>
      <c r="D9" s="145"/>
      <c r="E9" s="145"/>
      <c r="F9" s="110"/>
      <c r="G9" s="110"/>
      <c r="H9" s="110"/>
    </row>
    <row r="10" spans="1:8" x14ac:dyDescent="0.15">
      <c r="A10" s="110"/>
      <c r="B10" s="145"/>
      <c r="C10" s="110"/>
      <c r="D10" s="145"/>
      <c r="E10" s="145"/>
      <c r="F10" s="110"/>
      <c r="G10" s="110"/>
      <c r="H10" s="110"/>
    </row>
    <row r="11" spans="1:8" x14ac:dyDescent="0.15">
      <c r="A11" s="110"/>
      <c r="B11" s="145"/>
      <c r="C11" s="110"/>
      <c r="D11" s="145"/>
      <c r="E11" s="145"/>
      <c r="F11" s="110"/>
      <c r="G11" s="110"/>
      <c r="H11" s="110"/>
    </row>
    <row r="12" spans="1:8" x14ac:dyDescent="0.15">
      <c r="A12" s="110"/>
      <c r="B12" s="145"/>
      <c r="C12" s="110"/>
      <c r="D12" s="145"/>
      <c r="E12" s="145"/>
      <c r="F12" s="110"/>
      <c r="G12" s="110"/>
      <c r="H12" s="110"/>
    </row>
    <row r="13" spans="1:8" x14ac:dyDescent="0.15">
      <c r="A13" s="110"/>
      <c r="B13" s="145"/>
      <c r="C13" s="110"/>
      <c r="D13" s="145"/>
      <c r="E13" s="145"/>
      <c r="F13" s="110"/>
      <c r="G13" s="110"/>
      <c r="H13" s="110"/>
    </row>
    <row r="14" spans="1:8" x14ac:dyDescent="0.15">
      <c r="A14" s="110"/>
      <c r="B14" s="145"/>
      <c r="C14" s="110"/>
      <c r="D14" s="145"/>
      <c r="E14" s="145"/>
      <c r="F14" s="110"/>
      <c r="G14" s="110"/>
      <c r="H14" s="110"/>
    </row>
    <row r="15" spans="1:8" x14ac:dyDescent="0.15">
      <c r="A15" s="110"/>
      <c r="B15" s="145"/>
      <c r="C15" s="110"/>
      <c r="D15" s="145"/>
      <c r="E15" s="145"/>
      <c r="F15" s="110"/>
      <c r="G15" s="110"/>
      <c r="H15" s="110"/>
    </row>
    <row r="16" spans="1:8" x14ac:dyDescent="0.15">
      <c r="A16" s="110"/>
      <c r="B16" s="145"/>
      <c r="C16" s="110"/>
      <c r="D16" s="145"/>
      <c r="E16" s="145"/>
      <c r="F16" s="110"/>
      <c r="G16" s="110"/>
      <c r="H16" s="110"/>
    </row>
    <row r="17" spans="1:8" x14ac:dyDescent="0.15">
      <c r="A17" s="110"/>
      <c r="B17" s="145"/>
      <c r="C17" s="110"/>
      <c r="D17" s="145"/>
      <c r="E17" s="145"/>
      <c r="F17" s="110"/>
      <c r="G17" s="110"/>
      <c r="H17" s="110"/>
    </row>
    <row r="18" spans="1:8" x14ac:dyDescent="0.15">
      <c r="A18" s="110"/>
      <c r="B18" s="145"/>
      <c r="C18" s="110"/>
      <c r="D18" s="145"/>
      <c r="E18" s="145"/>
      <c r="F18" s="110"/>
      <c r="G18" s="110"/>
      <c r="H18" s="110"/>
    </row>
    <row r="19" spans="1:8" x14ac:dyDescent="0.15">
      <c r="A19" s="110"/>
      <c r="B19" s="145"/>
      <c r="C19" s="110"/>
      <c r="D19" s="145"/>
      <c r="E19" s="145"/>
      <c r="F19" s="110"/>
      <c r="G19" s="110"/>
      <c r="H19" s="110"/>
    </row>
    <row r="20" spans="1:8" x14ac:dyDescent="0.15">
      <c r="A20" s="110"/>
      <c r="B20" s="145"/>
      <c r="C20" s="110"/>
      <c r="D20" s="145"/>
      <c r="E20" s="145"/>
      <c r="F20" s="110"/>
      <c r="G20" s="110"/>
      <c r="H20" s="110"/>
    </row>
    <row r="21" spans="1:8" x14ac:dyDescent="0.15">
      <c r="A21" s="110"/>
      <c r="B21" s="145"/>
      <c r="C21" s="110"/>
      <c r="D21" s="145"/>
      <c r="E21" s="145"/>
      <c r="F21" s="110"/>
      <c r="G21" s="110"/>
      <c r="H21" s="110"/>
    </row>
    <row r="22" spans="1:8" x14ac:dyDescent="0.15">
      <c r="A22" s="110"/>
      <c r="B22" s="145"/>
      <c r="C22" s="110"/>
      <c r="D22" s="145"/>
      <c r="E22" s="145"/>
      <c r="F22" s="110"/>
      <c r="G22" s="110"/>
      <c r="H22" s="110"/>
    </row>
    <row r="23" spans="1:8" x14ac:dyDescent="0.15">
      <c r="A23" s="110"/>
      <c r="B23" s="145"/>
      <c r="C23" s="110"/>
      <c r="D23" s="145"/>
      <c r="E23" s="145"/>
      <c r="F23" s="110"/>
      <c r="G23" s="110"/>
      <c r="H23" s="110"/>
    </row>
    <row r="24" spans="1:8" x14ac:dyDescent="0.15">
      <c r="A24" s="110"/>
      <c r="B24" s="145"/>
      <c r="C24" s="110"/>
      <c r="D24" s="145"/>
      <c r="E24" s="145"/>
      <c r="F24" s="110"/>
      <c r="G24" s="110"/>
      <c r="H24" s="110"/>
    </row>
    <row r="25" spans="1:8" x14ac:dyDescent="0.15">
      <c r="A25" s="110"/>
      <c r="B25" s="145"/>
      <c r="C25" s="110"/>
      <c r="D25" s="145"/>
      <c r="E25" s="145"/>
      <c r="F25" s="110"/>
      <c r="G25" s="110"/>
      <c r="H25" s="110"/>
    </row>
  </sheetData>
  <phoneticPr fontId="22"/>
  <dataValidations count="2">
    <dataValidation type="list" allowBlank="1" showInputMessage="1" showErrorMessage="1" sqref="G2:G3">
      <formula1>"maru,giza,kumo"</formula1>
    </dataValidation>
    <dataValidation type="list" allowBlank="1" showInputMessage="1" showErrorMessage="1" sqref="C2:C3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2"/>
  <sheetViews>
    <sheetView showGridLines="0" workbookViewId="0">
      <pane ySplit="1" topLeftCell="A2" activePane="bottomLeft" state="frozen"/>
      <selection pane="bottomLeft" activeCell="B6" sqref="B6"/>
    </sheetView>
  </sheetViews>
  <sheetFormatPr baseColWidth="12" defaultColWidth="13" defaultRowHeight="15" x14ac:dyDescent="0.15"/>
  <cols>
    <col min="1" max="1" width="11.5" style="66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6" t="s">
        <v>99</v>
      </c>
      <c r="B1" s="43" t="s">
        <v>38</v>
      </c>
      <c r="C1" s="20" t="s">
        <v>40</v>
      </c>
      <c r="D1" s="20" t="s">
        <v>42</v>
      </c>
      <c r="E1" s="20" t="s">
        <v>43</v>
      </c>
      <c r="F1" s="44" t="s">
        <v>36</v>
      </c>
      <c r="G1" s="20" t="s">
        <v>41</v>
      </c>
      <c r="H1" s="19" t="s">
        <v>37</v>
      </c>
      <c r="I1" s="115" t="s">
        <v>127</v>
      </c>
    </row>
    <row r="2" spans="1:9" ht="21" customHeight="1" x14ac:dyDescent="0.15">
      <c r="A2" s="66" t="str">
        <f>B2&amp;"_"&amp;F2</f>
        <v>410_101</v>
      </c>
      <c r="B2" s="45">
        <v>410</v>
      </c>
      <c r="C2" s="21" t="e">
        <f ca="1">VLOOKUP($B2,OFFSET(units!$A$1,0,0,COUNTA(units!$A:$A),MATCH(C$1,units!$1:$1,0)-COLUMN(INDIRECT("character_id"))+1),MATCH(C$1,units!$1:$1,0)-COLUMN(INDIRECT("character_id"))+1,FALSE)</f>
        <v>#N/A</v>
      </c>
      <c r="D2" s="21" t="e">
        <f ca="1">VLOOKUP($B2,OFFSET(units!$A$1,0,0,COUNTA(units!$A:$A),MATCH(D$1,units!$1:$1,0)-COLUMN(INDIRECT("character_id"))+1),MATCH(D$1,units!$1:$1,0)-COLUMN(INDIRECT("character_id"))+1,FALSE)</f>
        <v>#N/A</v>
      </c>
      <c r="E2" s="21" t="e">
        <f ca="1">VLOOKUP($B2,OFFSET(units!$A$1,0,0,COUNTA(units!$A:$A),MATCH(E$1,units!$1:$1,0)-COLUMN(INDIRECT("character_id"))+1),MATCH(E$1,units!$1:$1,0)-COLUMN(INDIRECT("character_id"))+1,FALSE)</f>
        <v>#N/A</v>
      </c>
      <c r="F2" s="45">
        <v>101</v>
      </c>
      <c r="G2" s="21" t="str">
        <f>VLOOKUP(F2,[1]characters!$A:$C,3,FALSE)</f>
        <v>レッドチェシャ</v>
      </c>
      <c r="H2" s="18">
        <v>1</v>
      </c>
      <c r="I2" s="116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238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8" t="s">
        <v>239</v>
      </c>
      <c r="B2" s="149"/>
      <c r="C2" s="150"/>
      <c r="D2" s="151" t="s">
        <v>240</v>
      </c>
      <c r="E2" s="151">
        <v>30</v>
      </c>
      <c r="F2" s="151">
        <v>40</v>
      </c>
      <c r="G2" s="151">
        <f>15+F2</f>
        <v>55</v>
      </c>
      <c r="H2" s="150"/>
      <c r="I2" s="150"/>
    </row>
    <row r="3" spans="1:9" s="4" customFormat="1" ht="21" customHeight="1" x14ac:dyDescent="0.15">
      <c r="A3" s="148" t="s">
        <v>241</v>
      </c>
      <c r="B3" s="152"/>
      <c r="C3" s="153"/>
      <c r="D3" s="154" t="s">
        <v>240</v>
      </c>
      <c r="E3" s="154">
        <v>25</v>
      </c>
      <c r="F3" s="154">
        <v>35</v>
      </c>
      <c r="G3" s="151">
        <f t="shared" ref="G3:G5" si="0">15+F3</f>
        <v>50</v>
      </c>
      <c r="H3" s="153"/>
      <c r="I3" s="153"/>
    </row>
    <row r="4" spans="1:9" s="4" customFormat="1" ht="21" customHeight="1" x14ac:dyDescent="0.15">
      <c r="A4" s="148" t="s">
        <v>242</v>
      </c>
      <c r="B4" s="155"/>
      <c r="C4" s="156"/>
      <c r="D4" s="157">
        <v>10</v>
      </c>
      <c r="E4" s="157">
        <v>20</v>
      </c>
      <c r="F4" s="157">
        <v>30</v>
      </c>
      <c r="G4" s="157">
        <f t="shared" si="0"/>
        <v>45</v>
      </c>
      <c r="H4" s="156"/>
      <c r="I4" s="156"/>
    </row>
    <row r="5" spans="1:9" s="4" customFormat="1" ht="21" customHeight="1" x14ac:dyDescent="0.15">
      <c r="A5" s="167" t="s">
        <v>243</v>
      </c>
      <c r="B5" s="162"/>
      <c r="C5" s="163"/>
      <c r="D5" s="29">
        <v>9</v>
      </c>
      <c r="E5" s="29">
        <v>18</v>
      </c>
      <c r="F5" s="29">
        <v>28</v>
      </c>
      <c r="G5" s="40">
        <f t="shared" si="0"/>
        <v>43</v>
      </c>
      <c r="H5" s="163"/>
      <c r="I5" s="163"/>
    </row>
    <row r="6" spans="1:9" s="4" customFormat="1" ht="21" customHeight="1" x14ac:dyDescent="0.15">
      <c r="A6" s="167" t="s">
        <v>244</v>
      </c>
      <c r="B6" s="162"/>
      <c r="C6" s="163"/>
      <c r="D6" s="29">
        <v>7</v>
      </c>
      <c r="E6" s="29">
        <v>16</v>
      </c>
      <c r="F6" s="70" t="s">
        <v>11</v>
      </c>
      <c r="G6" s="70" t="s">
        <v>11</v>
      </c>
      <c r="H6" s="163"/>
      <c r="I6" s="163"/>
    </row>
    <row r="7" spans="1:9" ht="21" customHeight="1" x14ac:dyDescent="0.15">
      <c r="A7" s="75" t="s">
        <v>245</v>
      </c>
      <c r="B7" s="48" t="s">
        <v>11</v>
      </c>
      <c r="C7" s="48" t="s">
        <v>11</v>
      </c>
      <c r="D7" s="40" t="s">
        <v>240</v>
      </c>
      <c r="E7" s="40" t="s">
        <v>240</v>
      </c>
      <c r="F7" s="40" t="s">
        <v>240</v>
      </c>
      <c r="G7" s="40" t="s">
        <v>240</v>
      </c>
      <c r="H7" s="40" t="s">
        <v>240</v>
      </c>
      <c r="I7" s="40" t="s">
        <v>240</v>
      </c>
    </row>
    <row r="8" spans="1:9" ht="21" customHeight="1" x14ac:dyDescent="0.15">
      <c r="A8" s="76" t="s">
        <v>246</v>
      </c>
      <c r="B8" s="48" t="s">
        <v>11</v>
      </c>
      <c r="C8" s="48" t="s">
        <v>11</v>
      </c>
      <c r="D8" s="40" t="s">
        <v>240</v>
      </c>
      <c r="E8" s="40">
        <v>30</v>
      </c>
      <c r="F8" s="40">
        <v>40</v>
      </c>
      <c r="G8" s="40">
        <f>15+F8</f>
        <v>55</v>
      </c>
      <c r="H8" s="40" t="s">
        <v>240</v>
      </c>
      <c r="I8" s="40" t="s">
        <v>240</v>
      </c>
    </row>
    <row r="9" spans="1:9" s="47" customFormat="1" ht="21" customHeight="1" x14ac:dyDescent="0.15">
      <c r="A9" s="77" t="s">
        <v>247</v>
      </c>
      <c r="B9" s="29" t="s">
        <v>11</v>
      </c>
      <c r="C9" s="29" t="s">
        <v>11</v>
      </c>
      <c r="D9" s="107" t="s">
        <v>240</v>
      </c>
      <c r="E9" s="107">
        <v>25</v>
      </c>
      <c r="F9" s="107">
        <v>35</v>
      </c>
      <c r="G9" s="40">
        <f t="shared" ref="G9:G11" si="1">15+F9</f>
        <v>50</v>
      </c>
      <c r="H9" s="107" t="s">
        <v>240</v>
      </c>
      <c r="I9" s="107" t="s">
        <v>240</v>
      </c>
    </row>
    <row r="10" spans="1:9" ht="21" customHeight="1" x14ac:dyDescent="0.15">
      <c r="A10" s="77" t="s">
        <v>9</v>
      </c>
      <c r="B10" s="70" t="s">
        <v>11</v>
      </c>
      <c r="C10" s="70" t="s">
        <v>11</v>
      </c>
      <c r="D10" s="29">
        <v>10</v>
      </c>
      <c r="E10" s="29">
        <v>20</v>
      </c>
      <c r="F10" s="29">
        <v>30</v>
      </c>
      <c r="G10" s="40">
        <f t="shared" si="1"/>
        <v>45</v>
      </c>
      <c r="H10" s="70" t="s">
        <v>11</v>
      </c>
      <c r="I10" s="70" t="s">
        <v>11</v>
      </c>
    </row>
    <row r="11" spans="1:9" ht="21" customHeight="1" x14ac:dyDescent="0.15">
      <c r="A11" s="77" t="s">
        <v>248</v>
      </c>
      <c r="B11" s="70" t="s">
        <v>11</v>
      </c>
      <c r="C11" s="70" t="s">
        <v>11</v>
      </c>
      <c r="D11" s="29">
        <v>9</v>
      </c>
      <c r="E11" s="29">
        <v>18</v>
      </c>
      <c r="F11" s="29">
        <v>28</v>
      </c>
      <c r="G11" s="40">
        <f t="shared" si="1"/>
        <v>43</v>
      </c>
      <c r="H11" s="70" t="s">
        <v>11</v>
      </c>
      <c r="I11" s="70" t="s">
        <v>11</v>
      </c>
    </row>
    <row r="12" spans="1:9" ht="21" customHeight="1" x14ac:dyDescent="0.15">
      <c r="A12" s="77" t="s">
        <v>249</v>
      </c>
      <c r="B12" s="70" t="s">
        <v>11</v>
      </c>
      <c r="C12" s="70" t="s">
        <v>11</v>
      </c>
      <c r="D12" s="29">
        <v>7</v>
      </c>
      <c r="E12" s="29">
        <v>16</v>
      </c>
      <c r="F12" s="70" t="s">
        <v>11</v>
      </c>
      <c r="G12" s="70" t="s">
        <v>11</v>
      </c>
      <c r="H12" s="70" t="s">
        <v>11</v>
      </c>
      <c r="I12" s="70" t="s">
        <v>11</v>
      </c>
    </row>
    <row r="13" spans="1:9" ht="21" customHeight="1" x14ac:dyDescent="0.15">
      <c r="A13" s="106" t="s">
        <v>250</v>
      </c>
      <c r="B13" s="70" t="s">
        <v>11</v>
      </c>
      <c r="C13" s="70" t="s">
        <v>11</v>
      </c>
      <c r="D13" s="29">
        <v>8</v>
      </c>
      <c r="E13" s="29">
        <v>17</v>
      </c>
      <c r="F13" s="29">
        <v>26</v>
      </c>
      <c r="G13" s="70" t="s">
        <v>11</v>
      </c>
      <c r="H13" s="70" t="s">
        <v>11</v>
      </c>
      <c r="I13" s="70" t="s">
        <v>11</v>
      </c>
    </row>
    <row r="14" spans="1:9" ht="21" customHeight="1" x14ac:dyDescent="0.15">
      <c r="A14" s="77" t="s">
        <v>251</v>
      </c>
      <c r="B14" s="70" t="s">
        <v>11</v>
      </c>
      <c r="C14" s="70" t="s">
        <v>11</v>
      </c>
      <c r="D14" s="29">
        <v>8</v>
      </c>
      <c r="E14" s="29">
        <v>17</v>
      </c>
      <c r="F14" s="29">
        <v>26</v>
      </c>
      <c r="G14" s="70" t="s">
        <v>11</v>
      </c>
      <c r="H14" s="70" t="s">
        <v>11</v>
      </c>
      <c r="I14" s="70" t="s">
        <v>11</v>
      </c>
    </row>
    <row r="15" spans="1:9" ht="21" customHeight="1" x14ac:dyDescent="0.15">
      <c r="A15" s="77" t="s">
        <v>252</v>
      </c>
      <c r="B15" s="70" t="s">
        <v>11</v>
      </c>
      <c r="C15" s="70" t="s">
        <v>11</v>
      </c>
      <c r="D15" s="29">
        <v>6</v>
      </c>
      <c r="E15" s="29">
        <v>14</v>
      </c>
      <c r="F15" s="70" t="s">
        <v>11</v>
      </c>
      <c r="G15" s="70" t="s">
        <v>11</v>
      </c>
      <c r="H15" s="70" t="s">
        <v>11</v>
      </c>
      <c r="I15" s="70" t="s">
        <v>11</v>
      </c>
    </row>
    <row r="16" spans="1:9" ht="21" customHeight="1" x14ac:dyDescent="0.15">
      <c r="A16" s="77" t="s">
        <v>253</v>
      </c>
      <c r="B16" s="70" t="s">
        <v>11</v>
      </c>
      <c r="C16" s="29">
        <v>4</v>
      </c>
      <c r="D16" s="29">
        <v>6</v>
      </c>
      <c r="E16" s="29">
        <v>14</v>
      </c>
      <c r="F16" s="70" t="s">
        <v>11</v>
      </c>
      <c r="G16" s="70" t="s">
        <v>11</v>
      </c>
      <c r="H16" s="70" t="s">
        <v>11</v>
      </c>
      <c r="I16" s="70" t="s">
        <v>11</v>
      </c>
    </row>
    <row r="17" spans="1:9" ht="21" customHeight="1" x14ac:dyDescent="0.15">
      <c r="A17" s="77" t="s">
        <v>8</v>
      </c>
      <c r="B17" s="29">
        <v>2</v>
      </c>
      <c r="C17" s="29">
        <v>4</v>
      </c>
      <c r="D17" s="29">
        <v>6</v>
      </c>
      <c r="E17" s="70" t="s">
        <v>11</v>
      </c>
      <c r="F17" s="70" t="s">
        <v>11</v>
      </c>
      <c r="G17" s="70" t="s">
        <v>11</v>
      </c>
      <c r="H17" s="70" t="s">
        <v>11</v>
      </c>
      <c r="I17" s="70" t="s">
        <v>11</v>
      </c>
    </row>
    <row r="18" spans="1:9" ht="21" customHeight="1" x14ac:dyDescent="0.15">
      <c r="A18" s="78" t="s">
        <v>7</v>
      </c>
      <c r="B18" s="32">
        <v>1</v>
      </c>
      <c r="C18" s="32">
        <v>2</v>
      </c>
      <c r="D18" s="71" t="s">
        <v>11</v>
      </c>
      <c r="E18" s="71" t="s">
        <v>11</v>
      </c>
      <c r="F18" s="71" t="s">
        <v>11</v>
      </c>
      <c r="G18" s="71" t="s">
        <v>11</v>
      </c>
      <c r="H18" s="71" t="s">
        <v>11</v>
      </c>
      <c r="I18" s="71" t="s">
        <v>11</v>
      </c>
    </row>
    <row r="19" spans="1:9" ht="21" customHeight="1" x14ac:dyDescent="0.15">
      <c r="A19" s="79" t="s">
        <v>254</v>
      </c>
      <c r="B19" s="27">
        <v>1</v>
      </c>
      <c r="C19" s="27">
        <v>1</v>
      </c>
      <c r="D19" s="71" t="s">
        <v>11</v>
      </c>
      <c r="E19" s="71" t="s">
        <v>11</v>
      </c>
      <c r="F19" s="71" t="s">
        <v>11</v>
      </c>
      <c r="G19" s="71" t="s">
        <v>11</v>
      </c>
      <c r="H19" s="71" t="s">
        <v>11</v>
      </c>
      <c r="I19" s="71" t="s">
        <v>11</v>
      </c>
    </row>
    <row r="20" spans="1:9" ht="21" customHeight="1" x14ac:dyDescent="0.15">
      <c r="A20" s="38" t="s">
        <v>255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C23" sqref="C23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48" t="s">
        <v>239</v>
      </c>
      <c r="B2" s="164"/>
      <c r="C2" s="150"/>
      <c r="D2" s="158" t="s">
        <v>109</v>
      </c>
      <c r="E2" s="158">
        <v>60</v>
      </c>
      <c r="F2" s="158">
        <v>80</v>
      </c>
      <c r="G2" s="158">
        <v>99</v>
      </c>
      <c r="H2" s="150"/>
      <c r="I2" s="150"/>
    </row>
    <row r="3" spans="1:9" s="4" customFormat="1" ht="21" customHeight="1" x14ac:dyDescent="0.15">
      <c r="A3" s="148" t="s">
        <v>241</v>
      </c>
      <c r="B3" s="165"/>
      <c r="C3" s="153"/>
      <c r="D3" s="158" t="s">
        <v>109</v>
      </c>
      <c r="E3" s="158">
        <v>60</v>
      </c>
      <c r="F3" s="158">
        <v>80</v>
      </c>
      <c r="G3" s="158">
        <v>99</v>
      </c>
      <c r="H3" s="153"/>
      <c r="I3" s="153"/>
    </row>
    <row r="4" spans="1:9" s="4" customFormat="1" ht="21" customHeight="1" x14ac:dyDescent="0.15">
      <c r="A4" s="148" t="s">
        <v>235</v>
      </c>
      <c r="B4" s="166"/>
      <c r="C4" s="156"/>
      <c r="D4" s="158">
        <v>40</v>
      </c>
      <c r="E4" s="158">
        <v>60</v>
      </c>
      <c r="F4" s="158">
        <v>80</v>
      </c>
      <c r="G4" s="158">
        <v>99</v>
      </c>
      <c r="H4" s="156"/>
      <c r="I4" s="156"/>
    </row>
    <row r="5" spans="1:9" s="4" customFormat="1" ht="21" customHeight="1" x14ac:dyDescent="0.15">
      <c r="A5" s="167" t="s">
        <v>243</v>
      </c>
      <c r="B5" s="162"/>
      <c r="C5" s="163"/>
      <c r="D5" s="158">
        <v>40</v>
      </c>
      <c r="E5" s="158">
        <v>60</v>
      </c>
      <c r="F5" s="158">
        <v>80</v>
      </c>
      <c r="G5" s="158">
        <v>99</v>
      </c>
      <c r="H5" s="163"/>
      <c r="I5" s="163"/>
    </row>
    <row r="6" spans="1:9" s="4" customFormat="1" ht="21" customHeight="1" x14ac:dyDescent="0.15">
      <c r="A6" s="167" t="s">
        <v>244</v>
      </c>
      <c r="B6" s="162"/>
      <c r="C6" s="163"/>
      <c r="D6" s="158">
        <v>40</v>
      </c>
      <c r="E6" s="158">
        <v>60</v>
      </c>
      <c r="F6" s="158" t="s">
        <v>109</v>
      </c>
      <c r="G6" s="158" t="s">
        <v>109</v>
      </c>
      <c r="H6" s="163"/>
      <c r="I6" s="163"/>
    </row>
    <row r="7" spans="1:9" ht="21" customHeight="1" x14ac:dyDescent="0.15">
      <c r="A7" s="75" t="s">
        <v>211</v>
      </c>
      <c r="B7" s="41" t="s">
        <v>109</v>
      </c>
      <c r="C7" s="41" t="s">
        <v>109</v>
      </c>
      <c r="D7" s="41" t="s">
        <v>109</v>
      </c>
      <c r="E7" s="41" t="s">
        <v>109</v>
      </c>
      <c r="F7" s="41" t="s">
        <v>109</v>
      </c>
      <c r="G7" s="41" t="s">
        <v>109</v>
      </c>
      <c r="H7" s="41" t="s">
        <v>109</v>
      </c>
      <c r="I7" s="41" t="s">
        <v>109</v>
      </c>
    </row>
    <row r="8" spans="1:9" ht="21" customHeight="1" x14ac:dyDescent="0.15">
      <c r="A8" s="76" t="s">
        <v>246</v>
      </c>
      <c r="B8" s="41" t="s">
        <v>109</v>
      </c>
      <c r="C8" s="41" t="s">
        <v>109</v>
      </c>
      <c r="D8" s="41" t="s">
        <v>109</v>
      </c>
      <c r="E8" s="41">
        <v>60</v>
      </c>
      <c r="F8" s="41">
        <v>80</v>
      </c>
      <c r="G8" s="41">
        <v>99</v>
      </c>
      <c r="H8" s="41" t="s">
        <v>109</v>
      </c>
      <c r="I8" s="41" t="s">
        <v>109</v>
      </c>
    </row>
    <row r="9" spans="1:9" s="47" customFormat="1" ht="21" customHeight="1" x14ac:dyDescent="0.15">
      <c r="A9" s="77" t="s">
        <v>247</v>
      </c>
      <c r="B9" s="67" t="s">
        <v>109</v>
      </c>
      <c r="C9" s="67" t="s">
        <v>109</v>
      </c>
      <c r="D9" s="67" t="s">
        <v>109</v>
      </c>
      <c r="E9" s="67">
        <v>60</v>
      </c>
      <c r="F9" s="67">
        <v>80</v>
      </c>
      <c r="G9" s="67">
        <v>99</v>
      </c>
      <c r="H9" s="67" t="s">
        <v>109</v>
      </c>
      <c r="I9" s="67" t="s">
        <v>109</v>
      </c>
    </row>
    <row r="10" spans="1:9" ht="21" customHeight="1" x14ac:dyDescent="0.15">
      <c r="A10" s="77" t="s">
        <v>9</v>
      </c>
      <c r="B10" s="72" t="s">
        <v>109</v>
      </c>
      <c r="C10" s="72" t="s">
        <v>109</v>
      </c>
      <c r="D10" s="37">
        <v>40</v>
      </c>
      <c r="E10" s="37">
        <v>60</v>
      </c>
      <c r="F10" s="37">
        <v>80</v>
      </c>
      <c r="G10" s="41">
        <v>99</v>
      </c>
      <c r="H10" s="72" t="s">
        <v>109</v>
      </c>
      <c r="I10" s="72" t="s">
        <v>109</v>
      </c>
    </row>
    <row r="11" spans="1:9" ht="21" customHeight="1" x14ac:dyDescent="0.15">
      <c r="A11" s="77" t="s">
        <v>214</v>
      </c>
      <c r="B11" s="72" t="s">
        <v>109</v>
      </c>
      <c r="C11" s="72" t="s">
        <v>109</v>
      </c>
      <c r="D11" s="37">
        <v>40</v>
      </c>
      <c r="E11" s="37">
        <v>60</v>
      </c>
      <c r="F11" s="37">
        <v>80</v>
      </c>
      <c r="G11" s="67">
        <v>99</v>
      </c>
      <c r="H11" s="72" t="s">
        <v>109</v>
      </c>
      <c r="I11" s="72" t="s">
        <v>109</v>
      </c>
    </row>
    <row r="12" spans="1:9" ht="21" customHeight="1" x14ac:dyDescent="0.15">
      <c r="A12" s="77" t="s">
        <v>210</v>
      </c>
      <c r="B12" s="72" t="s">
        <v>109</v>
      </c>
      <c r="C12" s="72" t="s">
        <v>109</v>
      </c>
      <c r="D12" s="37">
        <v>40</v>
      </c>
      <c r="E12" s="37">
        <v>60</v>
      </c>
      <c r="F12" s="72" t="s">
        <v>109</v>
      </c>
      <c r="G12" s="72" t="s">
        <v>109</v>
      </c>
      <c r="H12" s="72" t="s">
        <v>109</v>
      </c>
      <c r="I12" s="72" t="s">
        <v>109</v>
      </c>
    </row>
    <row r="13" spans="1:9" ht="21" customHeight="1" x14ac:dyDescent="0.15">
      <c r="A13" s="106" t="s">
        <v>250</v>
      </c>
      <c r="B13" s="72" t="s">
        <v>109</v>
      </c>
      <c r="C13" s="72" t="s">
        <v>109</v>
      </c>
      <c r="D13" s="37">
        <v>40</v>
      </c>
      <c r="E13" s="37">
        <v>60</v>
      </c>
      <c r="F13" s="37">
        <v>80</v>
      </c>
      <c r="G13" s="72" t="s">
        <v>109</v>
      </c>
      <c r="H13" s="72" t="s">
        <v>109</v>
      </c>
      <c r="I13" s="72" t="s">
        <v>109</v>
      </c>
    </row>
    <row r="14" spans="1:9" ht="21" customHeight="1" x14ac:dyDescent="0.15">
      <c r="A14" s="77" t="s">
        <v>251</v>
      </c>
      <c r="B14" s="72" t="s">
        <v>109</v>
      </c>
      <c r="C14" s="72" t="s">
        <v>109</v>
      </c>
      <c r="D14" s="37">
        <v>40</v>
      </c>
      <c r="E14" s="37">
        <v>60</v>
      </c>
      <c r="F14" s="37">
        <v>80</v>
      </c>
      <c r="G14" s="72" t="s">
        <v>109</v>
      </c>
      <c r="H14" s="72" t="s">
        <v>109</v>
      </c>
      <c r="I14" s="72" t="s">
        <v>109</v>
      </c>
    </row>
    <row r="15" spans="1:9" ht="21" customHeight="1" x14ac:dyDescent="0.15">
      <c r="A15" s="77" t="s">
        <v>105</v>
      </c>
      <c r="B15" s="72" t="s">
        <v>109</v>
      </c>
      <c r="C15" s="37">
        <v>30</v>
      </c>
      <c r="D15" s="37">
        <v>40</v>
      </c>
      <c r="E15" s="37">
        <v>60</v>
      </c>
      <c r="F15" s="72" t="s">
        <v>109</v>
      </c>
      <c r="G15" s="72" t="s">
        <v>109</v>
      </c>
      <c r="H15" s="72" t="s">
        <v>109</v>
      </c>
      <c r="I15" s="72" t="s">
        <v>109</v>
      </c>
    </row>
    <row r="16" spans="1:9" ht="21" customHeight="1" x14ac:dyDescent="0.15">
      <c r="A16" s="77" t="s">
        <v>253</v>
      </c>
      <c r="B16" s="72" t="s">
        <v>109</v>
      </c>
      <c r="C16" s="37">
        <v>30</v>
      </c>
      <c r="D16" s="37">
        <v>40</v>
      </c>
      <c r="E16" s="37">
        <v>60</v>
      </c>
      <c r="F16" s="72" t="s">
        <v>109</v>
      </c>
      <c r="G16" s="72" t="s">
        <v>109</v>
      </c>
      <c r="H16" s="72" t="s">
        <v>109</v>
      </c>
      <c r="I16" s="72" t="s">
        <v>109</v>
      </c>
    </row>
    <row r="17" spans="1:9" ht="21" customHeight="1" x14ac:dyDescent="0.15">
      <c r="A17" s="77" t="s">
        <v>8</v>
      </c>
      <c r="B17" s="37">
        <v>15</v>
      </c>
      <c r="C17" s="37">
        <v>30</v>
      </c>
      <c r="D17" s="37">
        <v>40</v>
      </c>
      <c r="E17" s="72" t="s">
        <v>109</v>
      </c>
      <c r="F17" s="72" t="s">
        <v>109</v>
      </c>
      <c r="G17" s="72" t="s">
        <v>109</v>
      </c>
      <c r="H17" s="72" t="s">
        <v>109</v>
      </c>
      <c r="I17" s="72" t="s">
        <v>109</v>
      </c>
    </row>
    <row r="18" spans="1:9" ht="21" customHeight="1" x14ac:dyDescent="0.15">
      <c r="A18" s="78" t="s">
        <v>7</v>
      </c>
      <c r="B18" s="37">
        <v>15</v>
      </c>
      <c r="C18" s="37">
        <v>30</v>
      </c>
      <c r="D18" s="37">
        <v>40</v>
      </c>
      <c r="E18" s="72" t="s">
        <v>220</v>
      </c>
      <c r="F18" s="72" t="s">
        <v>220</v>
      </c>
      <c r="G18" s="72" t="s">
        <v>220</v>
      </c>
      <c r="H18" s="72" t="s">
        <v>220</v>
      </c>
      <c r="I18" s="72" t="s">
        <v>220</v>
      </c>
    </row>
    <row r="19" spans="1:9" ht="21" customHeight="1" x14ac:dyDescent="0.15">
      <c r="A19" s="79" t="s">
        <v>254</v>
      </c>
      <c r="B19" s="37">
        <v>10</v>
      </c>
      <c r="C19" s="37">
        <v>20</v>
      </c>
      <c r="D19" s="72" t="s">
        <v>220</v>
      </c>
      <c r="E19" s="72" t="s">
        <v>220</v>
      </c>
      <c r="F19" s="72" t="s">
        <v>220</v>
      </c>
      <c r="G19" s="72" t="s">
        <v>220</v>
      </c>
      <c r="H19" s="72" t="s">
        <v>220</v>
      </c>
      <c r="I19" s="72" t="s">
        <v>220</v>
      </c>
    </row>
    <row r="20" spans="1:9" ht="21" customHeight="1" x14ac:dyDescent="0.15">
      <c r="A20" s="38" t="s">
        <v>255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A2" sqref="A2:A20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50" t="s">
        <v>10</v>
      </c>
      <c r="B1" s="51">
        <v>1</v>
      </c>
      <c r="C1" s="51">
        <v>2</v>
      </c>
      <c r="D1" s="51">
        <v>3</v>
      </c>
      <c r="E1" s="51">
        <v>4</v>
      </c>
      <c r="F1" s="51">
        <v>5</v>
      </c>
      <c r="G1" s="51">
        <v>6</v>
      </c>
      <c r="H1" s="51">
        <v>7</v>
      </c>
      <c r="I1" s="51">
        <v>8</v>
      </c>
    </row>
    <row r="2" spans="1:11" s="4" customFormat="1" ht="21" customHeight="1" x14ac:dyDescent="0.15">
      <c r="A2" s="148" t="s">
        <v>239</v>
      </c>
      <c r="B2" s="149"/>
      <c r="C2" s="150"/>
      <c r="D2" s="158" t="s">
        <v>109</v>
      </c>
      <c r="E2" s="159" t="s">
        <v>59</v>
      </c>
      <c r="F2" s="159" t="s">
        <v>59</v>
      </c>
      <c r="G2" s="159" t="s">
        <v>224</v>
      </c>
      <c r="H2" s="150"/>
      <c r="I2" s="150"/>
    </row>
    <row r="3" spans="1:11" s="4" customFormat="1" ht="21" customHeight="1" x14ac:dyDescent="0.15">
      <c r="A3" s="148" t="s">
        <v>241</v>
      </c>
      <c r="B3" s="152"/>
      <c r="C3" s="153"/>
      <c r="D3" s="159" t="s">
        <v>59</v>
      </c>
      <c r="E3" s="159" t="s">
        <v>59</v>
      </c>
      <c r="F3" s="159" t="s">
        <v>59</v>
      </c>
      <c r="G3" s="159" t="s">
        <v>234</v>
      </c>
      <c r="H3" s="153"/>
      <c r="I3" s="153"/>
    </row>
    <row r="4" spans="1:11" s="4" customFormat="1" ht="21" customHeight="1" x14ac:dyDescent="0.15">
      <c r="A4" s="148" t="s">
        <v>235</v>
      </c>
      <c r="B4" s="155"/>
      <c r="C4" s="156"/>
      <c r="D4" s="160" t="s">
        <v>59</v>
      </c>
      <c r="E4" s="160" t="s">
        <v>59</v>
      </c>
      <c r="F4" s="160" t="s">
        <v>59</v>
      </c>
      <c r="G4" s="159" t="s">
        <v>234</v>
      </c>
      <c r="H4" s="156"/>
      <c r="I4" s="156"/>
    </row>
    <row r="5" spans="1:11" s="4" customFormat="1" ht="21" customHeight="1" x14ac:dyDescent="0.15">
      <c r="A5" s="167" t="s">
        <v>243</v>
      </c>
      <c r="B5" s="162"/>
      <c r="C5" s="163"/>
      <c r="D5" s="160" t="s">
        <v>59</v>
      </c>
      <c r="E5" s="160" t="s">
        <v>59</v>
      </c>
      <c r="F5" s="160" t="s">
        <v>59</v>
      </c>
      <c r="G5" s="159" t="s">
        <v>224</v>
      </c>
      <c r="H5" s="163"/>
      <c r="I5" s="163"/>
    </row>
    <row r="6" spans="1:11" s="4" customFormat="1" ht="21" customHeight="1" x14ac:dyDescent="0.15">
      <c r="A6" s="167" t="s">
        <v>244</v>
      </c>
      <c r="B6" s="162"/>
      <c r="C6" s="163"/>
      <c r="D6" s="168" t="s">
        <v>60</v>
      </c>
      <c r="E6" s="168" t="s">
        <v>60</v>
      </c>
      <c r="F6" s="158" t="s">
        <v>109</v>
      </c>
      <c r="G6" s="158" t="s">
        <v>109</v>
      </c>
      <c r="H6" s="163"/>
      <c r="I6" s="163"/>
    </row>
    <row r="7" spans="1:11" ht="21" customHeight="1" x14ac:dyDescent="0.15">
      <c r="A7" s="75" t="s">
        <v>211</v>
      </c>
      <c r="B7" s="41" t="s">
        <v>109</v>
      </c>
      <c r="C7" s="41" t="s">
        <v>109</v>
      </c>
      <c r="D7" s="41" t="s">
        <v>109</v>
      </c>
      <c r="E7" s="41" t="s">
        <v>109</v>
      </c>
      <c r="F7" s="41" t="s">
        <v>109</v>
      </c>
      <c r="G7" s="41" t="s">
        <v>109</v>
      </c>
      <c r="H7" s="41" t="s">
        <v>109</v>
      </c>
      <c r="I7" s="41" t="s">
        <v>109</v>
      </c>
    </row>
    <row r="8" spans="1:11" ht="21" customHeight="1" x14ac:dyDescent="0.15">
      <c r="A8" s="76" t="s">
        <v>246</v>
      </c>
      <c r="B8" s="41" t="s">
        <v>109</v>
      </c>
      <c r="C8" s="41" t="s">
        <v>109</v>
      </c>
      <c r="D8" s="41" t="s">
        <v>221</v>
      </c>
      <c r="E8" s="53" t="s">
        <v>115</v>
      </c>
      <c r="F8" s="53" t="s">
        <v>115</v>
      </c>
      <c r="G8" s="53" t="s">
        <v>222</v>
      </c>
      <c r="H8" s="41" t="s">
        <v>221</v>
      </c>
      <c r="I8" s="41" t="s">
        <v>109</v>
      </c>
    </row>
    <row r="9" spans="1:11" s="47" customFormat="1" ht="21" customHeight="1" x14ac:dyDescent="0.15">
      <c r="A9" s="77" t="s">
        <v>247</v>
      </c>
      <c r="B9" s="67" t="s">
        <v>109</v>
      </c>
      <c r="C9" s="67" t="s">
        <v>109</v>
      </c>
      <c r="D9" s="67" t="s">
        <v>109</v>
      </c>
      <c r="E9" s="53" t="s">
        <v>59</v>
      </c>
      <c r="F9" s="53" t="s">
        <v>59</v>
      </c>
      <c r="G9" s="53" t="s">
        <v>115</v>
      </c>
      <c r="H9" s="67" t="s">
        <v>223</v>
      </c>
      <c r="I9" s="67" t="s">
        <v>223</v>
      </c>
    </row>
    <row r="10" spans="1:11" ht="21" customHeight="1" x14ac:dyDescent="0.15">
      <c r="A10" s="77" t="s">
        <v>9</v>
      </c>
      <c r="B10" s="72" t="s">
        <v>109</v>
      </c>
      <c r="C10" s="72" t="s">
        <v>109</v>
      </c>
      <c r="D10" s="53" t="s">
        <v>59</v>
      </c>
      <c r="E10" s="53" t="s">
        <v>59</v>
      </c>
      <c r="F10" s="53" t="s">
        <v>59</v>
      </c>
      <c r="G10" s="53" t="s">
        <v>224</v>
      </c>
      <c r="H10" s="72" t="s">
        <v>223</v>
      </c>
      <c r="I10" s="72" t="s">
        <v>223</v>
      </c>
      <c r="K10" s="28" t="s">
        <v>12</v>
      </c>
    </row>
    <row r="11" spans="1:11" ht="21" customHeight="1" x14ac:dyDescent="0.15">
      <c r="A11" s="77" t="s">
        <v>214</v>
      </c>
      <c r="B11" s="72" t="s">
        <v>109</v>
      </c>
      <c r="C11" s="72" t="s">
        <v>109</v>
      </c>
      <c r="D11" s="54" t="s">
        <v>59</v>
      </c>
      <c r="E11" s="54" t="s">
        <v>59</v>
      </c>
      <c r="F11" s="54" t="s">
        <v>59</v>
      </c>
      <c r="G11" s="53" t="s">
        <v>224</v>
      </c>
      <c r="H11" s="72" t="s">
        <v>223</v>
      </c>
      <c r="I11" s="72" t="s">
        <v>223</v>
      </c>
      <c r="K11" s="30" t="s">
        <v>13</v>
      </c>
    </row>
    <row r="12" spans="1:11" ht="21" customHeight="1" x14ac:dyDescent="0.15">
      <c r="A12" s="77" t="s">
        <v>210</v>
      </c>
      <c r="B12" s="72" t="s">
        <v>109</v>
      </c>
      <c r="C12" s="72" t="s">
        <v>109</v>
      </c>
      <c r="D12" s="55" t="s">
        <v>60</v>
      </c>
      <c r="E12" s="55" t="s">
        <v>60</v>
      </c>
      <c r="F12" s="72" t="s">
        <v>109</v>
      </c>
      <c r="G12" s="72" t="s">
        <v>109</v>
      </c>
      <c r="H12" s="72" t="s">
        <v>109</v>
      </c>
      <c r="I12" s="72" t="s">
        <v>109</v>
      </c>
      <c r="K12" s="73" t="s">
        <v>35</v>
      </c>
    </row>
    <row r="13" spans="1:11" ht="21" customHeight="1" x14ac:dyDescent="0.15">
      <c r="A13" s="106" t="s">
        <v>250</v>
      </c>
      <c r="B13" s="72" t="s">
        <v>109</v>
      </c>
      <c r="C13" s="72" t="s">
        <v>109</v>
      </c>
      <c r="D13" s="56" t="s">
        <v>59</v>
      </c>
      <c r="E13" s="56" t="s">
        <v>59</v>
      </c>
      <c r="F13" s="56" t="s">
        <v>59</v>
      </c>
      <c r="G13" s="72" t="s">
        <v>109</v>
      </c>
      <c r="H13" s="72" t="s">
        <v>109</v>
      </c>
      <c r="I13" s="72" t="s">
        <v>109</v>
      </c>
      <c r="K13" s="74"/>
    </row>
    <row r="14" spans="1:11" ht="21" customHeight="1" x14ac:dyDescent="0.15">
      <c r="A14" s="77" t="s">
        <v>251</v>
      </c>
      <c r="B14" s="72" t="s">
        <v>109</v>
      </c>
      <c r="C14" s="72" t="s">
        <v>109</v>
      </c>
      <c r="D14" s="56" t="s">
        <v>59</v>
      </c>
      <c r="E14" s="56" t="s">
        <v>59</v>
      </c>
      <c r="F14" s="56" t="s">
        <v>59</v>
      </c>
      <c r="G14" s="72" t="s">
        <v>109</v>
      </c>
      <c r="H14" s="72" t="s">
        <v>109</v>
      </c>
      <c r="I14" s="72" t="s">
        <v>109</v>
      </c>
    </row>
    <row r="15" spans="1:11" ht="21" customHeight="1" x14ac:dyDescent="0.15">
      <c r="A15" s="77" t="s">
        <v>105</v>
      </c>
      <c r="B15" s="72" t="s">
        <v>109</v>
      </c>
      <c r="C15" s="72" t="s">
        <v>109</v>
      </c>
      <c r="D15" s="56" t="s">
        <v>60</v>
      </c>
      <c r="E15" s="56" t="s">
        <v>60</v>
      </c>
      <c r="F15" s="72" t="s">
        <v>109</v>
      </c>
      <c r="G15" s="72" t="s">
        <v>109</v>
      </c>
      <c r="H15" s="72" t="s">
        <v>109</v>
      </c>
      <c r="I15" s="72" t="s">
        <v>109</v>
      </c>
    </row>
    <row r="16" spans="1:11" ht="21" customHeight="1" x14ac:dyDescent="0.15">
      <c r="A16" s="77" t="s">
        <v>253</v>
      </c>
      <c r="B16" s="72" t="s">
        <v>109</v>
      </c>
      <c r="C16" s="56" t="s">
        <v>60</v>
      </c>
      <c r="D16" s="56" t="s">
        <v>60</v>
      </c>
      <c r="E16" s="56" t="s">
        <v>60</v>
      </c>
      <c r="F16" s="72" t="s">
        <v>109</v>
      </c>
      <c r="G16" s="72" t="s">
        <v>109</v>
      </c>
      <c r="H16" s="72" t="s">
        <v>109</v>
      </c>
      <c r="I16" s="72" t="s">
        <v>109</v>
      </c>
    </row>
    <row r="17" spans="1:9" ht="21" customHeight="1" x14ac:dyDescent="0.15">
      <c r="A17" s="77" t="s">
        <v>8</v>
      </c>
      <c r="B17" s="57" t="s">
        <v>61</v>
      </c>
      <c r="C17" s="57" t="s">
        <v>61</v>
      </c>
      <c r="D17" s="57" t="s">
        <v>61</v>
      </c>
      <c r="E17" s="72" t="s">
        <v>109</v>
      </c>
      <c r="F17" s="72" t="s">
        <v>109</v>
      </c>
      <c r="G17" s="72" t="s">
        <v>109</v>
      </c>
      <c r="H17" s="72" t="s">
        <v>109</v>
      </c>
      <c r="I17" s="72" t="s">
        <v>109</v>
      </c>
    </row>
    <row r="18" spans="1:9" ht="21" customHeight="1" x14ac:dyDescent="0.15">
      <c r="A18" s="78" t="s">
        <v>7</v>
      </c>
      <c r="B18" s="52" t="s">
        <v>62</v>
      </c>
      <c r="C18" s="52" t="s">
        <v>62</v>
      </c>
      <c r="D18" s="72" t="s">
        <v>109</v>
      </c>
      <c r="E18" s="72" t="s">
        <v>109</v>
      </c>
      <c r="F18" s="72" t="s">
        <v>109</v>
      </c>
      <c r="G18" s="72" t="s">
        <v>109</v>
      </c>
      <c r="H18" s="72" t="s">
        <v>109</v>
      </c>
      <c r="I18" s="72" t="s">
        <v>109</v>
      </c>
    </row>
    <row r="19" spans="1:9" ht="21" customHeight="1" x14ac:dyDescent="0.15">
      <c r="A19" s="79" t="s">
        <v>254</v>
      </c>
      <c r="B19" s="54" t="s">
        <v>63</v>
      </c>
      <c r="C19" s="54" t="s">
        <v>63</v>
      </c>
      <c r="D19" s="72" t="s">
        <v>109</v>
      </c>
      <c r="E19" s="72" t="s">
        <v>109</v>
      </c>
      <c r="F19" s="72" t="s">
        <v>109</v>
      </c>
      <c r="G19" s="72" t="s">
        <v>109</v>
      </c>
      <c r="H19" s="72" t="s">
        <v>109</v>
      </c>
      <c r="I19" s="72" t="s">
        <v>109</v>
      </c>
    </row>
    <row r="20" spans="1:9" ht="21" customHeight="1" x14ac:dyDescent="0.15">
      <c r="A20" s="38" t="s">
        <v>255</v>
      </c>
      <c r="B20" s="80" t="s">
        <v>47</v>
      </c>
      <c r="C20" s="80" t="s">
        <v>47</v>
      </c>
      <c r="D20" s="80" t="s">
        <v>47</v>
      </c>
      <c r="E20" s="80" t="s">
        <v>47</v>
      </c>
      <c r="F20" s="80" t="s">
        <v>47</v>
      </c>
      <c r="G20" s="80" t="s">
        <v>47</v>
      </c>
      <c r="H20" s="80" t="s">
        <v>47</v>
      </c>
      <c r="I20" s="80" t="s">
        <v>47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64</v>
      </c>
      <c r="B26" s="22" t="s">
        <v>65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H8" sqref="H8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8" t="s">
        <v>232</v>
      </c>
      <c r="B2" s="149"/>
      <c r="C2" s="150"/>
      <c r="D2" s="161" t="s">
        <v>11</v>
      </c>
      <c r="E2" s="161">
        <v>8000</v>
      </c>
      <c r="F2" s="161">
        <v>10000</v>
      </c>
      <c r="G2" s="161">
        <v>14000</v>
      </c>
      <c r="H2" s="150"/>
      <c r="I2" s="150"/>
    </row>
    <row r="3" spans="1:9" s="4" customFormat="1" ht="21" customHeight="1" x14ac:dyDescent="0.15">
      <c r="A3" s="148" t="s">
        <v>233</v>
      </c>
      <c r="B3" s="152"/>
      <c r="C3" s="153"/>
      <c r="D3" s="161" t="s">
        <v>11</v>
      </c>
      <c r="E3" s="161">
        <v>7500</v>
      </c>
      <c r="F3" s="161">
        <v>9500</v>
      </c>
      <c r="G3" s="161">
        <v>13000</v>
      </c>
      <c r="H3" s="153"/>
      <c r="I3" s="153"/>
    </row>
    <row r="4" spans="1:9" s="4" customFormat="1" ht="21" customHeight="1" x14ac:dyDescent="0.15">
      <c r="A4" s="148" t="s">
        <v>235</v>
      </c>
      <c r="B4" s="155"/>
      <c r="C4" s="156"/>
      <c r="D4" s="161">
        <v>5000</v>
      </c>
      <c r="E4" s="161">
        <v>7000</v>
      </c>
      <c r="F4" s="161">
        <v>9000</v>
      </c>
      <c r="G4" s="161">
        <v>12000</v>
      </c>
      <c r="H4" s="156"/>
      <c r="I4" s="156"/>
    </row>
    <row r="5" spans="1:9" s="4" customFormat="1" ht="21" customHeight="1" x14ac:dyDescent="0.15">
      <c r="A5" s="167" t="s">
        <v>236</v>
      </c>
      <c r="B5" s="162"/>
      <c r="C5" s="163"/>
      <c r="D5" s="161">
        <v>4900</v>
      </c>
      <c r="E5" s="161">
        <v>6700</v>
      </c>
      <c r="F5" s="161">
        <v>8500</v>
      </c>
      <c r="G5" s="161">
        <v>11000</v>
      </c>
      <c r="H5" s="163"/>
      <c r="I5" s="163"/>
    </row>
    <row r="6" spans="1:9" s="4" customFormat="1" ht="21" customHeight="1" x14ac:dyDescent="0.15">
      <c r="A6" s="167" t="s">
        <v>237</v>
      </c>
      <c r="B6" s="162"/>
      <c r="C6" s="163"/>
      <c r="D6" s="161">
        <v>4800</v>
      </c>
      <c r="E6" s="161">
        <v>6600</v>
      </c>
      <c r="F6" s="161" t="s">
        <v>11</v>
      </c>
      <c r="G6" s="161" t="s">
        <v>11</v>
      </c>
      <c r="H6" s="163"/>
      <c r="I6" s="163"/>
    </row>
    <row r="7" spans="1:9" ht="21" customHeight="1" x14ac:dyDescent="0.15">
      <c r="A7" s="75" t="s">
        <v>211</v>
      </c>
      <c r="B7" s="48" t="s">
        <v>11</v>
      </c>
      <c r="C7" s="48" t="s">
        <v>11</v>
      </c>
      <c r="D7" s="48" t="s">
        <v>11</v>
      </c>
      <c r="E7" s="48" t="s">
        <v>11</v>
      </c>
      <c r="F7" s="48" t="s">
        <v>11</v>
      </c>
      <c r="G7" s="48" t="s">
        <v>11</v>
      </c>
      <c r="H7" s="48" t="s">
        <v>11</v>
      </c>
      <c r="I7" s="48" t="s">
        <v>11</v>
      </c>
    </row>
    <row r="8" spans="1:9" ht="21" customHeight="1" x14ac:dyDescent="0.15">
      <c r="A8" s="76" t="s">
        <v>212</v>
      </c>
      <c r="B8" s="48" t="s">
        <v>11</v>
      </c>
      <c r="C8" s="48" t="s">
        <v>11</v>
      </c>
      <c r="D8" s="48" t="s">
        <v>11</v>
      </c>
      <c r="E8" s="48">
        <v>8000</v>
      </c>
      <c r="F8" s="29">
        <v>10000</v>
      </c>
      <c r="G8" s="48">
        <v>14000</v>
      </c>
      <c r="H8" s="48" t="s">
        <v>11</v>
      </c>
      <c r="I8" s="48" t="s">
        <v>11</v>
      </c>
    </row>
    <row r="9" spans="1:9" s="47" customFormat="1" ht="21" customHeight="1" x14ac:dyDescent="0.15">
      <c r="A9" s="77" t="s">
        <v>213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8">
        <v>13000</v>
      </c>
      <c r="H9" s="29" t="s">
        <v>11</v>
      </c>
      <c r="I9" s="29" t="s">
        <v>11</v>
      </c>
    </row>
    <row r="10" spans="1:9" ht="21" customHeight="1" x14ac:dyDescent="0.15">
      <c r="A10" s="77" t="s">
        <v>9</v>
      </c>
      <c r="B10" s="70" t="s">
        <v>11</v>
      </c>
      <c r="C10" s="70" t="s">
        <v>11</v>
      </c>
      <c r="D10" s="29">
        <v>5000</v>
      </c>
      <c r="E10" s="29">
        <v>7000</v>
      </c>
      <c r="F10" s="29">
        <v>9000</v>
      </c>
      <c r="G10" s="48">
        <v>12000</v>
      </c>
      <c r="H10" s="70" t="s">
        <v>11</v>
      </c>
      <c r="I10" s="70" t="s">
        <v>11</v>
      </c>
    </row>
    <row r="11" spans="1:9" ht="21" customHeight="1" x14ac:dyDescent="0.15">
      <c r="A11" s="77" t="s">
        <v>214</v>
      </c>
      <c r="B11" s="70" t="s">
        <v>11</v>
      </c>
      <c r="C11" s="70" t="s">
        <v>11</v>
      </c>
      <c r="D11" s="29">
        <v>4900</v>
      </c>
      <c r="E11" s="29">
        <v>6700</v>
      </c>
      <c r="F11" s="29">
        <v>8500</v>
      </c>
      <c r="G11" s="48">
        <v>11000</v>
      </c>
      <c r="H11" s="70" t="s">
        <v>11</v>
      </c>
      <c r="I11" s="70" t="s">
        <v>11</v>
      </c>
    </row>
    <row r="12" spans="1:9" ht="21" customHeight="1" x14ac:dyDescent="0.15">
      <c r="A12" s="77" t="s">
        <v>106</v>
      </c>
      <c r="B12" s="70" t="s">
        <v>11</v>
      </c>
      <c r="C12" s="70" t="s">
        <v>11</v>
      </c>
      <c r="D12" s="29">
        <v>4800</v>
      </c>
      <c r="E12" s="29">
        <v>6600</v>
      </c>
      <c r="F12" s="70" t="s">
        <v>11</v>
      </c>
      <c r="G12" s="70" t="s">
        <v>11</v>
      </c>
      <c r="H12" s="70" t="s">
        <v>11</v>
      </c>
      <c r="I12" s="70" t="s">
        <v>11</v>
      </c>
    </row>
    <row r="13" spans="1:9" ht="21" customHeight="1" x14ac:dyDescent="0.15">
      <c r="A13" s="77" t="s">
        <v>215</v>
      </c>
      <c r="B13" s="70" t="s">
        <v>11</v>
      </c>
      <c r="C13" s="70" t="s">
        <v>11</v>
      </c>
      <c r="D13" s="70" t="s">
        <v>11</v>
      </c>
      <c r="E13" s="29">
        <v>6300</v>
      </c>
      <c r="F13" s="70" t="s">
        <v>11</v>
      </c>
      <c r="G13" s="70" t="s">
        <v>11</v>
      </c>
      <c r="H13" s="70" t="s">
        <v>11</v>
      </c>
      <c r="I13" s="70" t="s">
        <v>11</v>
      </c>
    </row>
    <row r="14" spans="1:9" ht="21" customHeight="1" x14ac:dyDescent="0.15">
      <c r="A14" s="77" t="s">
        <v>216</v>
      </c>
      <c r="B14" s="70" t="s">
        <v>11</v>
      </c>
      <c r="C14" s="70" t="s">
        <v>11</v>
      </c>
      <c r="D14" s="29">
        <v>4600</v>
      </c>
      <c r="E14" s="29">
        <v>5800</v>
      </c>
      <c r="F14" s="29">
        <v>7600</v>
      </c>
      <c r="G14" s="70" t="s">
        <v>11</v>
      </c>
      <c r="H14" s="70" t="s">
        <v>11</v>
      </c>
      <c r="I14" s="70" t="s">
        <v>11</v>
      </c>
    </row>
    <row r="15" spans="1:9" ht="21" customHeight="1" x14ac:dyDescent="0.15">
      <c r="A15" s="77" t="s">
        <v>105</v>
      </c>
      <c r="B15" s="70" t="s">
        <v>11</v>
      </c>
      <c r="C15" s="70" t="s">
        <v>11</v>
      </c>
      <c r="D15" s="29">
        <v>4400</v>
      </c>
      <c r="E15" s="29">
        <v>5600</v>
      </c>
      <c r="F15" s="70" t="s">
        <v>11</v>
      </c>
      <c r="G15" s="70" t="s">
        <v>11</v>
      </c>
      <c r="H15" s="70" t="s">
        <v>11</v>
      </c>
      <c r="I15" s="70" t="s">
        <v>11</v>
      </c>
    </row>
    <row r="16" spans="1:9" ht="21" customHeight="1" x14ac:dyDescent="0.15">
      <c r="A16" s="77" t="s">
        <v>217</v>
      </c>
      <c r="B16" s="70" t="s">
        <v>11</v>
      </c>
      <c r="C16" s="29">
        <v>3000</v>
      </c>
      <c r="D16" s="29">
        <v>4200</v>
      </c>
      <c r="E16" s="29">
        <v>5400</v>
      </c>
      <c r="F16" s="70" t="s">
        <v>11</v>
      </c>
      <c r="G16" s="70" t="s">
        <v>11</v>
      </c>
      <c r="H16" s="70" t="s">
        <v>11</v>
      </c>
      <c r="I16" s="70" t="s">
        <v>11</v>
      </c>
    </row>
    <row r="17" spans="1:9" ht="21" customHeight="1" x14ac:dyDescent="0.15">
      <c r="A17" s="77" t="s">
        <v>8</v>
      </c>
      <c r="B17" s="29">
        <v>2000</v>
      </c>
      <c r="C17" s="29">
        <v>2800</v>
      </c>
      <c r="D17" s="29">
        <v>4000</v>
      </c>
      <c r="E17" s="70" t="s">
        <v>11</v>
      </c>
      <c r="F17" s="70" t="s">
        <v>11</v>
      </c>
      <c r="G17" s="70" t="s">
        <v>11</v>
      </c>
      <c r="H17" s="70" t="s">
        <v>11</v>
      </c>
      <c r="I17" s="70" t="s">
        <v>11</v>
      </c>
    </row>
    <row r="18" spans="1:9" ht="21" customHeight="1" x14ac:dyDescent="0.15">
      <c r="A18" s="78" t="s">
        <v>7</v>
      </c>
      <c r="B18" s="29">
        <v>1750</v>
      </c>
      <c r="C18" s="29">
        <v>2550</v>
      </c>
      <c r="D18" s="70" t="s">
        <v>11</v>
      </c>
      <c r="E18" s="70" t="s">
        <v>11</v>
      </c>
      <c r="F18" s="70" t="s">
        <v>11</v>
      </c>
      <c r="G18" s="70" t="s">
        <v>11</v>
      </c>
      <c r="H18" s="70" t="s">
        <v>11</v>
      </c>
      <c r="I18" s="70" t="s">
        <v>11</v>
      </c>
    </row>
    <row r="19" spans="1:9" ht="21" customHeight="1" x14ac:dyDescent="0.15">
      <c r="A19" s="78" t="s">
        <v>218</v>
      </c>
      <c r="B19" s="29">
        <v>1500</v>
      </c>
      <c r="C19" s="29">
        <v>2300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38" t="s">
        <v>219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111</v>
      </c>
      <c r="G1" s="24" t="s">
        <v>112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203</v>
      </c>
      <c r="B2" s="12">
        <v>591</v>
      </c>
    </row>
    <row r="3" spans="1:4" x14ac:dyDescent="0.15">
      <c r="A3" t="s">
        <v>204</v>
      </c>
      <c r="B3" s="135">
        <v>592</v>
      </c>
    </row>
    <row r="4" spans="1:4" x14ac:dyDescent="0.15">
      <c r="A4" t="s">
        <v>205</v>
      </c>
      <c r="B4" s="135">
        <v>593</v>
      </c>
    </row>
    <row r="7" spans="1:4" x14ac:dyDescent="0.15">
      <c r="A7" t="s">
        <v>206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225</v>
      </c>
    </row>
    <row r="13" spans="1:4" x14ac:dyDescent="0.15">
      <c r="B13" t="s">
        <v>229</v>
      </c>
      <c r="C13" t="s">
        <v>230</v>
      </c>
      <c r="D13" t="s">
        <v>231</v>
      </c>
    </row>
    <row r="14" spans="1:4" x14ac:dyDescent="0.15">
      <c r="A14" t="s">
        <v>227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228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226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207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208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209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47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2017-06-06T07:22:25Z</dcterms:modified>
</cp:coreProperties>
</file>