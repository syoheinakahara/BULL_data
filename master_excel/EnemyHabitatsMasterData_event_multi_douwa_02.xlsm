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540" yWindow="460" windowWidth="32700" windowHeight="1954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enemy_habitat_S!$B$1:$Y$1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stage_hints_complete!$B$1:$L$1</definedName>
    <definedName name="_xlnm._FilterDatabase" localSheetId="9" hidden="1">stage_hints_failure!$B$1:$M$12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4" i="10" l="1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O23" i="9"/>
  <c r="N23" i="9"/>
  <c r="M23" i="9"/>
  <c r="L23" i="9"/>
  <c r="K23" i="9"/>
  <c r="J23" i="9"/>
  <c r="I23" i="9"/>
  <c r="H23" i="9"/>
  <c r="G23" i="9"/>
  <c r="E23" i="9"/>
  <c r="D23" i="9"/>
  <c r="A23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B2" i="21"/>
  <c r="I2" i="21"/>
  <c r="J2" i="21"/>
  <c r="G2" i="21"/>
  <c r="F2" i="21"/>
  <c r="D2" i="21"/>
  <c r="C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J16" i="11"/>
  <c r="J15" i="11"/>
  <c r="O16" i="9"/>
  <c r="N16" i="9"/>
  <c r="M16" i="9"/>
  <c r="L16" i="9"/>
  <c r="K16" i="9"/>
  <c r="J16" i="9"/>
  <c r="I16" i="9"/>
  <c r="H16" i="9"/>
  <c r="G16" i="9"/>
  <c r="E16" i="9"/>
  <c r="D16" i="9"/>
  <c r="A16" i="9"/>
  <c r="J18" i="11"/>
  <c r="O19" i="9"/>
  <c r="N19" i="9"/>
  <c r="M19" i="9"/>
  <c r="L19" i="9"/>
  <c r="K19" i="9"/>
  <c r="J19" i="9"/>
  <c r="I19" i="9"/>
  <c r="H19" i="9"/>
  <c r="G19" i="9"/>
  <c r="E19" i="9"/>
  <c r="D19" i="9"/>
  <c r="A19" i="9"/>
  <c r="J17" i="11"/>
  <c r="O18" i="9"/>
  <c r="N18" i="9"/>
  <c r="M18" i="9"/>
  <c r="L18" i="9"/>
  <c r="K18" i="9"/>
  <c r="J18" i="9"/>
  <c r="I18" i="9"/>
  <c r="H18" i="9"/>
  <c r="G18" i="9"/>
  <c r="E18" i="9"/>
  <c r="D18" i="9"/>
  <c r="A18" i="9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E12" i="9"/>
  <c r="W2" i="7"/>
  <c r="E2" i="9"/>
  <c r="E10" i="9"/>
  <c r="V17" i="1"/>
  <c r="E7" i="9"/>
  <c r="V16" i="1"/>
  <c r="E6" i="9"/>
  <c r="V15" i="1"/>
  <c r="E4" i="9"/>
  <c r="V14" i="1"/>
  <c r="E3" i="9"/>
  <c r="V13" i="1"/>
  <c r="V12" i="1"/>
  <c r="V11" i="1"/>
  <c r="V10" i="1"/>
  <c r="V9" i="1"/>
  <c r="V8" i="1"/>
  <c r="V7" i="1"/>
  <c r="V6" i="1"/>
  <c r="V5" i="1"/>
  <c r="V4" i="1"/>
  <c r="V3" i="1"/>
  <c r="V2" i="1"/>
  <c r="O17" i="9"/>
  <c r="N17" i="9"/>
  <c r="M17" i="9"/>
  <c r="L17" i="9"/>
  <c r="K17" i="9"/>
  <c r="J17" i="9"/>
  <c r="I17" i="9"/>
  <c r="H17" i="9"/>
  <c r="G17" i="9"/>
  <c r="E17" i="9"/>
  <c r="D17" i="9"/>
  <c r="A17" i="9"/>
  <c r="J14" i="11"/>
  <c r="O15" i="9"/>
  <c r="N15" i="9"/>
  <c r="M15" i="9"/>
  <c r="L15" i="9"/>
  <c r="K15" i="9"/>
  <c r="J15" i="9"/>
  <c r="I15" i="9"/>
  <c r="H15" i="9"/>
  <c r="G15" i="9"/>
  <c r="E15" i="9"/>
  <c r="D15" i="9"/>
  <c r="A15" i="9"/>
  <c r="J13" i="11"/>
  <c r="O14" i="9"/>
  <c r="N14" i="9"/>
  <c r="M14" i="9"/>
  <c r="L14" i="9"/>
  <c r="K14" i="9"/>
  <c r="J14" i="9"/>
  <c r="I14" i="9"/>
  <c r="H14" i="9"/>
  <c r="G14" i="9"/>
  <c r="E14" i="9"/>
  <c r="D14" i="9"/>
  <c r="A14" i="9"/>
  <c r="J12" i="11"/>
  <c r="O13" i="9"/>
  <c r="N13" i="9"/>
  <c r="M13" i="9"/>
  <c r="L13" i="9"/>
  <c r="K13" i="9"/>
  <c r="J13" i="9"/>
  <c r="I13" i="9"/>
  <c r="H13" i="9"/>
  <c r="G13" i="9"/>
  <c r="E13" i="9"/>
  <c r="D13" i="9"/>
  <c r="A13" i="9"/>
  <c r="J11" i="11"/>
  <c r="O12" i="9"/>
  <c r="N12" i="9"/>
  <c r="M12" i="9"/>
  <c r="L12" i="9"/>
  <c r="K12" i="9"/>
  <c r="J12" i="9"/>
  <c r="I12" i="9"/>
  <c r="H12" i="9"/>
  <c r="G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D10" i="9"/>
  <c r="A10" i="9"/>
  <c r="J8" i="11"/>
  <c r="J9" i="11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D7" i="9"/>
  <c r="A7" i="9"/>
  <c r="J6" i="11"/>
  <c r="O6" i="9"/>
  <c r="N6" i="9"/>
  <c r="M6" i="9"/>
  <c r="L6" i="9"/>
  <c r="K6" i="9"/>
  <c r="J6" i="9"/>
  <c r="I6" i="9"/>
  <c r="H6" i="9"/>
  <c r="G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D4" i="9"/>
  <c r="A4" i="9"/>
  <c r="J3" i="11"/>
  <c r="O3" i="9"/>
  <c r="N3" i="9"/>
  <c r="M3" i="9"/>
  <c r="L3" i="9"/>
  <c r="K3" i="9"/>
  <c r="J3" i="9"/>
  <c r="I3" i="9"/>
  <c r="H3" i="9"/>
  <c r="G3" i="9"/>
  <c r="D3" i="9"/>
  <c r="A3" i="9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8" i="1"/>
  <c r="C10" i="18"/>
  <c r="D10" i="18"/>
  <c r="D2" i="18"/>
  <c r="C4" i="18"/>
  <c r="D4" i="18"/>
  <c r="C3" i="18"/>
  <c r="D3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9" i="18"/>
  <c r="D9" i="18"/>
  <c r="C8" i="18"/>
  <c r="D8" i="18"/>
  <c r="C7" i="18"/>
  <c r="D7" i="18"/>
  <c r="C6" i="18"/>
  <c r="D6" i="18"/>
  <c r="C5" i="18"/>
  <c r="D5" i="18"/>
  <c r="C2" i="18"/>
  <c r="R2" i="7"/>
  <c r="Q2" i="7"/>
  <c r="P2" i="7"/>
  <c r="O2" i="7"/>
  <c r="N2" i="7"/>
  <c r="H2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J2" i="7"/>
  <c r="I2" i="7"/>
  <c r="D2" i="7"/>
  <c r="F2" i="7"/>
  <c r="E2" i="7"/>
  <c r="A2" i="7"/>
  <c r="A11" i="1"/>
  <c r="D11" i="1"/>
  <c r="E11" i="1"/>
  <c r="F11" i="1"/>
  <c r="H11" i="1"/>
  <c r="I11" i="1"/>
  <c r="J11" i="1"/>
  <c r="M11" i="1"/>
  <c r="N11" i="1"/>
  <c r="O11" i="1"/>
  <c r="P11" i="1"/>
  <c r="Q11" i="1"/>
  <c r="AB11" i="1"/>
  <c r="AC11" i="1"/>
  <c r="AD11" i="1"/>
  <c r="AE11" i="1"/>
  <c r="AG11" i="1"/>
  <c r="A6" i="1"/>
  <c r="D6" i="1"/>
  <c r="E6" i="1"/>
  <c r="F6" i="1"/>
  <c r="H6" i="1"/>
  <c r="I6" i="1"/>
  <c r="J6" i="1"/>
  <c r="M6" i="1"/>
  <c r="N6" i="1"/>
  <c r="O6" i="1"/>
  <c r="P6" i="1"/>
  <c r="Q6" i="1"/>
  <c r="AB6" i="1"/>
  <c r="AC6" i="1"/>
  <c r="AD6" i="1"/>
  <c r="AE6" i="1"/>
  <c r="AG6" i="1"/>
  <c r="AB17" i="1"/>
  <c r="AD17" i="1"/>
  <c r="AG17" i="1"/>
  <c r="AE17" i="1"/>
  <c r="AC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AA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AA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AA12" i="1"/>
  <c r="Q12" i="1"/>
  <c r="P12" i="1"/>
  <c r="O12" i="1"/>
  <c r="N12" i="1"/>
  <c r="M12" i="1"/>
  <c r="H12" i="1"/>
  <c r="J12" i="1"/>
  <c r="I12" i="1"/>
  <c r="D12" i="1"/>
  <c r="F12" i="1"/>
  <c r="E12" i="1"/>
  <c r="A12" i="1"/>
  <c r="AB10" i="1"/>
  <c r="AD10" i="1"/>
  <c r="AG10" i="1"/>
  <c r="AE10" i="1"/>
  <c r="AC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AA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Q8" i="1"/>
  <c r="P8" i="1"/>
  <c r="O8" i="1"/>
  <c r="N8" i="1"/>
  <c r="H8" i="1"/>
  <c r="J8" i="1"/>
  <c r="I8" i="1"/>
  <c r="D8" i="1"/>
  <c r="F8" i="1"/>
  <c r="E8" i="1"/>
  <c r="A8" i="1"/>
  <c r="AB7" i="1"/>
  <c r="AD7" i="1"/>
  <c r="AG7" i="1"/>
  <c r="AE7" i="1"/>
  <c r="AC7" i="1"/>
  <c r="AA7" i="1"/>
  <c r="Q7" i="1"/>
  <c r="P7" i="1"/>
  <c r="O7" i="1"/>
  <c r="N7" i="1"/>
  <c r="M7" i="1"/>
  <c r="H7" i="1"/>
  <c r="J7" i="1"/>
  <c r="I7" i="1"/>
  <c r="D7" i="1"/>
  <c r="F7" i="1"/>
  <c r="E7" i="1"/>
  <c r="A7" i="1"/>
  <c r="AB5" i="1"/>
  <c r="AD5" i="1"/>
  <c r="AG5" i="1"/>
  <c r="AE5" i="1"/>
  <c r="AC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AA4" i="1"/>
  <c r="Q4" i="1"/>
  <c r="P4" i="1"/>
  <c r="O4" i="1"/>
  <c r="N4" i="1"/>
  <c r="M4" i="1"/>
  <c r="H4" i="1"/>
  <c r="J4" i="1"/>
  <c r="I4" i="1"/>
  <c r="D4" i="1"/>
  <c r="F4" i="1"/>
  <c r="E4" i="1"/>
  <c r="A4" i="1"/>
  <c r="H11" i="2"/>
  <c r="E11" i="2"/>
  <c r="D11" i="2"/>
  <c r="H2" i="1"/>
  <c r="H3" i="1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B12" i="21"/>
  <c r="I12" i="21"/>
  <c r="J12" i="21"/>
  <c r="G12" i="21"/>
  <c r="F12" i="21"/>
  <c r="D12" i="21"/>
  <c r="C1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AB3" i="1"/>
  <c r="AE3" i="1"/>
  <c r="AD3" i="1"/>
  <c r="AC3" i="1"/>
  <c r="AB2" i="1"/>
  <c r="AE2" i="1"/>
  <c r="AD2" i="1"/>
  <c r="AC2" i="1"/>
  <c r="AA2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<sst xmlns="http://schemas.openxmlformats.org/spreadsheetml/2006/main" count="949" uniqueCount="285">
  <si>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</si>
  <si>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</si>
  <si>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</si>
  <si>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</si>
  <si>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</si>
  <si>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</si>
  <si>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</si>
  <si>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</si>
  <si>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</si>
  <si>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</si>
  <si>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</si>
  <si>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</si>
  <si>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</si>
  <si>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</si>
  <si>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</si>
  <si>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</si>
  <si>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</si>
  <si>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</si>
  <si>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</si>
  <si>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</si>
  <si>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</si>
  <si>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</si>
  <si>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</si>
  <si>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</si>
  <si>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</si>
  <si>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</si>
  <si>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</si>
  <si>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</si>
  <si>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</si>
  <si>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</si>
  <si>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</si>
  <si>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</si>
  <si>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</si>
  <si>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</si>
  <si>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</si>
  <si>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</si>
  <si>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</si>
  <si>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</si>
  <si>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</si>
  <si>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</si>
  <si>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</si>
  <si>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</si>
  <si>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</si>
  <si>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</si>
  <si>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</si>
  <si>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</si>
  <si>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</si>
  <si>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</si>
  <si>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</si>
  <si>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</si>
  <si>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</si>
  <si>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</si>
  <si>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</si>
  <si>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</si>
  <si>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</si>
  <si>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</si>
  <si>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</si>
  <si>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</si>
  <si>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</si>
  <si>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</si>
  <si>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</si>
  <si>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</si>
  <si>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</si>
  <si>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</si>
  <si>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</si>
  <si>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</si>
  <si>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</si>
  <si>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</si>
  <si>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</si>
  <si>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</si>
  <si>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</si>
  <si>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</si>
  <si>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</si>
  <si>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</si>
  <si>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</si>
  <si>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</si>
  <si>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</si>
  <si>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</si>
  <si>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</si>
  <si>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</si>
  <si>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</si>
  <si>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</si>
  <si>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</si>
  <si>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</si>
  <si>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</si>
  <si>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</si>
  <si>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</si>
  <si>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</si>
  <si>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</si>
  <si>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</si>
  <si>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</si>
  <si>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</si>
  <si>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</si>
  <si>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</si>
  <si>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</si>
  <si>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</si>
  <si>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</si>
  <si>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</si>
  <si>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</si>
  <si>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</si>
  <si>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</si>
  <si>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</si>
  <si>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</si>
  <si>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</si>
  <si>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</si>
  <si>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</si>
  <si>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</si>
  <si>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</si>
  <si>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</si>
  <si>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</si>
  <si>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</si>
  <si>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</si>
  <si>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</si>
  <si>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</si>
  <si>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</si>
  <si>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</si>
  <si>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</si>
  <si>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</si>
  <si>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</si>
  <si>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</si>
  <si>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</si>
  <si>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</si>
  <si>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</si>
  <si>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</si>
  <si>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</si>
  <si>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</si>
  <si>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</si>
  <si>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</si>
  <si>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</si>
  <si>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</si>
  <si>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</si>
  <si>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</si>
  <si>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</si>
  <si>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</si>
  <si>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</si>
  <si>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</si>
  <si>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</si>
  <si>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</si>
  <si>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</si>
  <si>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</si>
  <si>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</si>
  <si>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</si>
  <si>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</si>
  <si>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</si>
  <si>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</si>
  <si>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</si>
  <si>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</si>
  <si>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</si>
  <si>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</si>
  <si>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</si>
  <si>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</si>
  <si>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</si>
  <si>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</si>
  <si>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</si>
  <si>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</si>
  <si>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</si>
  <si>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</si>
  <si>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</si>
  <si>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</si>
  <si>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</si>
  <si>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</si>
  <si>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</si>
  <si>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</si>
  <si>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</si>
  <si>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</si>
  <si>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</si>
  <si>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</si>
  <si>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</si>
  <si>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</si>
  <si>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</si>
  <si>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</si>
  <si>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</si>
  <si>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</si>
  <si>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</si>
  <si>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</si>
  <si>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</si>
  <si>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</si>
  <si>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</si>
  <si>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</si>
  <si>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</si>
  <si>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</si>
  <si>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</si>
  <si>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</si>
  <si>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</si>
  <si>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</si>
  <si>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</si>
  <si>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</si>
  <si>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</si>
  <si>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</si>
  <si>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</si>
  <si>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</si>
  <si>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</si>
  <si>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</si>
  <si>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</si>
  <si>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</si>
  <si>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</si>
  <si>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</si>
  <si>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</si>
  <si>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</si>
  <si>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</si>
  <si>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</si>
  <si>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</si>
  <si>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</si>
  <si>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</si>
  <si>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</si>
  <si>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</si>
  <si>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</si>
  <si>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</si>
  <si>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</si>
  <si>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</si>
  <si>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</si>
  <si>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</si>
  <si>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</si>
  <si>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</si>
  <si>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null</t>
    <phoneticPr fontId="5"/>
  </si>
  <si>
    <t>link</t>
    <phoneticPr fontId="5"/>
  </si>
  <si>
    <t>unit</t>
    <phoneticPr fontId="5"/>
  </si>
  <si>
    <t>unit</t>
    <phoneticPr fontId="5"/>
  </si>
  <si>
    <t>unit</t>
    <phoneticPr fontId="5"/>
  </si>
  <si>
    <t>2回連続攻撃</t>
    <rPh sb="1" eb="6">
      <t>カイレンゾクコウゲキ</t>
    </rPh>
    <phoneticPr fontId="5"/>
  </si>
  <si>
    <t>[effect:hungup, target:unit_one, turn:2, rate:1, animation:hungup01]</t>
    <phoneticPr fontId="5"/>
  </si>
  <si>
    <t>2ターンスキルが使えない！</t>
    <phoneticPr fontId="5"/>
  </si>
  <si>
    <t>全体攻撃</t>
    <rPh sb="0" eb="4">
      <t>ゼンタイコウゲキ</t>
    </rPh>
    <phoneticPr fontId="5"/>
  </si>
  <si>
    <t>[effect:spread, val:0.25]</t>
    <phoneticPr fontId="5"/>
  </si>
  <si>
    <t>[effect:force_change_block, new_block:time_bomb, target:block_yellow, count:5, val:0.15, animation:change_block]</t>
    <phoneticPr fontId="5"/>
  </si>
  <si>
    <t>黄パネルを5個時限式ダメージパネルに変換</t>
    <rPh sb="0" eb="1">
      <t>キパネルヲ</t>
    </rPh>
    <rPh sb="6" eb="7">
      <t>コ</t>
    </rPh>
    <rPh sb="7" eb="9">
      <t>ジゲンパネルヘ</t>
    </rPh>
    <rPh sb="18" eb="20">
      <t>ヘンカン</t>
    </rPh>
    <phoneticPr fontId="5"/>
  </si>
  <si>
    <t>[effect:spread, val:0.3]</t>
    <phoneticPr fontId="5"/>
  </si>
  <si>
    <t>null</t>
    <phoneticPr fontId="5"/>
  </si>
  <si>
    <t>old</t>
    <phoneticPr fontId="5"/>
  </si>
  <si>
    <t>[effect:nothing]</t>
    <phoneticPr fontId="5"/>
  </si>
  <si>
    <t>null</t>
    <phoneticPr fontId="5"/>
  </si>
  <si>
    <t>チヴェディアーモ！</t>
    <phoneticPr fontId="5"/>
  </si>
  <si>
    <t>絵本の世界に帰っていった</t>
    <rPh sb="0" eb="2">
      <t>エホンノ</t>
    </rPh>
    <rPh sb="3" eb="5">
      <t>セカイ</t>
    </rPh>
    <phoneticPr fontId="5"/>
  </si>
  <si>
    <t>緑&amp;ハートパネルを時限式ダメージパネルに変換</t>
    <phoneticPr fontId="5"/>
  </si>
  <si>
    <t>[effect:rush, count:2, val:0.6]</t>
    <phoneticPr fontId="5"/>
  </si>
  <si>
    <t>二連爪</t>
    <rPh sb="0" eb="3">
      <t>ニレンソウ</t>
    </rPh>
    <phoneticPr fontId="5"/>
  </si>
  <si>
    <t>沈黙音波</t>
    <rPh sb="0" eb="2">
      <t>チンモクノ</t>
    </rPh>
    <rPh sb="2" eb="4">
      <t>オンパ</t>
    </rPh>
    <phoneticPr fontId="5"/>
  </si>
  <si>
    <t>解除されるまで防御力超大UP</t>
    <rPh sb="10" eb="12">
      <t>チョウダイ</t>
    </rPh>
    <phoneticPr fontId="5"/>
  </si>
  <si>
    <t>ブービートラップ</t>
    <phoneticPr fontId="5"/>
  </si>
  <si>
    <t>亀の防壁</t>
    <rPh sb="2" eb="4">
      <t>ボウヘキ</t>
    </rPh>
    <phoneticPr fontId="5"/>
  </si>
  <si>
    <t>兎の手癖</t>
    <rPh sb="0" eb="1">
      <t>ウサギノイタズラ</t>
    </rPh>
    <rPh sb="2" eb="4">
      <t>テグセ</t>
    </rPh>
    <phoneticPr fontId="5"/>
  </si>
  <si>
    <t>[effect:enhance_enemy, target:myself, turn:-1, status:defense, val:5000, calc:add, animation:enemy_enhance_defense]</t>
    <phoneticPr fontId="5"/>
  </si>
  <si>
    <t>[effect:force_change_block, new_block:time_bomb, target:block_all, count:5, val:0.15, min_time_count:3, max_time_count:3, animation:change_block]</t>
    <phoneticPr fontId="5"/>
  </si>
  <si>
    <t>ランダムなパネルを5個時限式ダメージパネルに変換</t>
    <rPh sb="10" eb="11">
      <t>コ</t>
    </rPh>
    <phoneticPr fontId="5"/>
  </si>
  <si>
    <t>スケアクロウの連続攻撃が強力です
攻撃を集中させて早めに倒しましょう</t>
    <phoneticPr fontId="5"/>
  </si>
  <si>
    <t>[effect:panel_freeze, target:block_red, color:block_red, count:5],[effect:panel_freeze, target:block_blue, color:block_blue, count:5],[effect:panel_freeze, target:block_green, color:block_green, count:5],[effect:panel_freeze, target:block_yellow, color:block_yellow, count:5],[effect:panel_freeze, target:block_heart, color:block_heart, count:5],[effect:panel_freeze, target:crash, count:5],[effect:panel_freeze, target:crack_bomb, count:5]</t>
    <phoneticPr fontId="5"/>
  </si>
  <si>
    <t>時限式ダメージパネル以外パネルプロテクト状態</t>
    <rPh sb="0" eb="2">
      <t>ジゲンシキ</t>
    </rPh>
    <rPh sb="10" eb="12">
      <t>イガイ</t>
    </rPh>
    <phoneticPr fontId="5"/>
  </si>
  <si>
    <t>天罰</t>
    <rPh sb="0" eb="2">
      <t>テンバツ</t>
    </rPh>
    <phoneticPr fontId="5"/>
  </si>
  <si>
    <t>暴飲</t>
    <rPh sb="0" eb="2">
      <t>ボウイン</t>
    </rPh>
    <phoneticPr fontId="5"/>
  </si>
  <si>
    <t>大きなため息</t>
    <rPh sb="0" eb="1">
      <t>オオキナイキ</t>
    </rPh>
    <phoneticPr fontId="5"/>
  </si>
  <si>
    <t>暴食</t>
    <rPh sb="0" eb="2">
      <t>ボウショク</t>
    </rPh>
    <phoneticPr fontId="5"/>
  </si>
  <si>
    <t>[effect:break_attack, val:0.12, lowest_val:1000, count:12, block:block_yellow, target:unit_one]</t>
    <phoneticPr fontId="5"/>
  </si>
  <si>
    <t>硬化する外皮</t>
    <rPh sb="0" eb="2">
      <t>コウカスル</t>
    </rPh>
    <rPh sb="4" eb="6">
      <t>ガイヒ</t>
    </rPh>
    <phoneticPr fontId="5"/>
  </si>
  <si>
    <t>[effect:enhance_enemy, target:myself, turn:-1, status:defense, val:5000, calc:add, animation:enemy_enhance_defense]</t>
    <phoneticPr fontId="5"/>
  </si>
  <si>
    <t>崩壊の星</t>
    <rPh sb="0" eb="2">
      <t>ホウカイスル</t>
    </rPh>
    <rPh sb="3" eb="4">
      <t>ホシ</t>
    </rPh>
    <phoneticPr fontId="5"/>
  </si>
  <si>
    <t>シャークダイブ</t>
    <phoneticPr fontId="5"/>
  </si>
  <si>
    <t>[effect:break_attack, val:0.03, lowest_val:1000, count:-1, block:block_green, target:unit_all]</t>
    <phoneticPr fontId="5"/>
  </si>
  <si>
    <t>解除されるまで防御力超大UP</t>
    <rPh sb="10" eb="11">
      <t>チョウ</t>
    </rPh>
    <rPh sb="11" eb="12">
      <t>dai</t>
    </rPh>
    <phoneticPr fontId="5"/>
  </si>
  <si>
    <t>[effect:spread, val:0.35]</t>
    <phoneticPr fontId="5"/>
  </si>
  <si>
    <t>[effect:force_change_block, new_block:time_bomb, target:block_green, count:0, val:0.2, min_time_count:2, max_time_count:2, animation:change_block],[effect:force_change_block, new_block:time_bomb, target:block_heart, count:0, val:0.2, min_time_count:2, max_time_count:2, animation:change_block]</t>
    <phoneticPr fontId="5"/>
  </si>
  <si>
    <t>グリード・ディ・バレーナ</t>
    <phoneticPr fontId="5"/>
  </si>
  <si>
    <t>黄パネル吸収攻撃（最大12個まで）</t>
    <rPh sb="0" eb="1">
      <t>キ</t>
    </rPh>
    <rPh sb="4" eb="6">
      <t>キュウシュウコウゲキ</t>
    </rPh>
    <rPh sb="6" eb="8">
      <t>コウゲキ</t>
    </rPh>
    <rPh sb="9" eb="11">
      <t>サイダイ</t>
    </rPh>
    <phoneticPr fontId="5"/>
  </si>
  <si>
    <t>[effect:spread, val:0.3]</t>
    <phoneticPr fontId="5"/>
  </si>
  <si>
    <t>[effect:spread, val:0.33]</t>
    <phoneticPr fontId="5"/>
  </si>
  <si>
    <t>すべての緑パネルを吸収し全体攻撃</t>
    <rPh sb="4" eb="5">
      <t>ミドリ</t>
    </rPh>
    <rPh sb="9" eb="11">
      <t>キュウシュウシテ</t>
    </rPh>
    <rPh sb="12" eb="14">
      <t>ゼンタイ</t>
    </rPh>
    <phoneticPr fontId="5"/>
  </si>
  <si>
    <t>暴れる鯨尾</t>
    <rPh sb="0" eb="1">
      <t>アバレル</t>
    </rPh>
    <rPh sb="3" eb="4">
      <t>クジラ</t>
    </rPh>
    <rPh sb="4" eb="5">
      <t>オ</t>
    </rPh>
    <phoneticPr fontId="5"/>
  </si>
  <si>
    <t>ガメックは黄パネルを時限式ダメージパネル
へ変換したり
パネルをプロテクト状態にするので
常に黄パネルをまとめておくと有利です</t>
    <phoneticPr fontId="5"/>
  </si>
  <si>
    <t>ミカエルは一定のターンごとに
時限式ダメージパネルを生成します
パネルをうまく壊して対応しましょう</t>
    <rPh sb="5" eb="7">
      <t>イッテイノターンゴトニ</t>
    </rPh>
    <phoneticPr fontId="5"/>
  </si>
  <si>
    <t>ガメックは防御力が非常に高いです
防御力DOWNのスキルを使うか
防御力を無視できるスキルを使いましょう</t>
    <rPh sb="5" eb="8">
      <t>ボウギョリョクガ</t>
    </rPh>
    <rPh sb="9" eb="11">
      <t>ヒジョウニタカイデス</t>
    </rPh>
    <rPh sb="17" eb="20">
      <t>ボウギョリョク</t>
    </rPh>
    <rPh sb="29" eb="30">
      <t>ツカウカ</t>
    </rPh>
    <rPh sb="33" eb="36">
      <t>ボウギョリョク</t>
    </rPh>
    <rPh sb="37" eb="39">
      <t>ムシデキル</t>
    </rPh>
    <rPh sb="46" eb="47">
      <t>ツカイマショウ</t>
    </rPh>
    <phoneticPr fontId="5"/>
  </si>
  <si>
    <t>ホエールの2ゲージ目は最初に
緑とハートパネルを時限式ダメージパネル
へ変換してきます
緑とハートパネルは減らしておきましょう</t>
    <rPh sb="53" eb="54">
      <t>ヘラシテ</t>
    </rPh>
    <phoneticPr fontId="5"/>
  </si>
  <si>
    <t>ホエールは最初に緑とハートパネルを
時限式ダメージパネルへ変換してきます
緑とハートパネルは減らしておきましょう</t>
    <rPh sb="46" eb="47">
      <t>ヘラシテ</t>
    </rPh>
    <phoneticPr fontId="5"/>
  </si>
  <si>
    <t>ホエールは体力が少なくなると
防御力が大幅に上がります
フィーバーを使って一気に倒しましょう</t>
    <rPh sb="34" eb="35">
      <t>ツカッテ</t>
    </rPh>
    <rPh sb="37" eb="39">
      <t>イッキニ</t>
    </rPh>
    <rPh sb="40" eb="41">
      <t>タオシマショウ</t>
    </rPh>
    <phoneticPr fontId="5"/>
  </si>
  <si>
    <t>[effect:enhance_enemy, target:myself, turn:-1, status:defense, val:2500, calc:add, animation:enemy_enhance_defense]</t>
    <phoneticPr fontId="5"/>
  </si>
  <si>
    <t>[effect:panel_freeze, target:block_red, color:block_red, count:4],[effect:panel_freeze, target:block_blue, color:block_blue, count:4],[effect:panel_freeze, target:block_green, color:block_green, count:4],[effect:panel_freeze, target:block_yellow, color:block_yellow, count:4],[effect:panel_freeze, target:block_heart, color:block_heart, count:4],[effect:panel_freeze, target:crash, count:4],[effect:panel_freeze, target:crack_bomb, count:4]</t>
    <phoneticPr fontId="5"/>
  </si>
  <si>
    <t>解除されるまで防御力大UP</t>
    <rPh sb="10" eb="11">
      <t>dai</t>
    </rPh>
    <phoneticPr fontId="5"/>
  </si>
  <si>
    <t>[effect:force_change_block, new_block:time_bomb, target:block_green, count:0, val:0.2, min_time_count:4, max_time_count:4, animation:change_block],[effect:force_change_block, new_block:time_bomb, target:block_heart, count:0, val:0.2, min_time_count:4, max_time_count:4, animation:change_block]</t>
    <phoneticPr fontId="5"/>
  </si>
  <si>
    <t>[effect:force_change_block, new_block:time_bomb, target:block_yellow, count:5, val:0.1, animation:change_block]</t>
    <phoneticPr fontId="5"/>
  </si>
  <si>
    <t>[effect:enhance_enemy, target:myself, turn:-1, status:defense, val:1000, calc:add, animation:enemy_enhance_defense]</t>
    <phoneticPr fontId="5"/>
  </si>
  <si>
    <t>[effect:panel_freeze, target:block_red, color:block_red, count:3],[effect:panel_freeze, target:block_blue, color:block_blue, count:3],[effect:panel_freeze, target:block_green, color:block_green, count:3],[effect:panel_freeze, target:block_yellow, color:block_yellow, count:3],[effect:panel_freeze, target:block_heart, color:block_heart, count:3],[effect:panel_freeze, target:crash, count:3],[effect:panel_freeze, target:crack_bomb, count:3]</t>
    <phoneticPr fontId="5"/>
  </si>
  <si>
    <t>[effect:force_change_block, new_block:time_bomb, target:block_green, count:0, val:0.15, min_time_count:4, max_time_count:4, animation:change_block],[effect:force_change_block, new_block:time_bomb, target:block_heart, count:0, val:0.2, min_time_count:4, max_time_count:4, animation:change_block]</t>
    <phoneticPr fontId="5"/>
  </si>
  <si>
    <t>[effect:enhance_enemy, target:myself, turn:-1, status:defense, val:1500, calc:add, animation:enemy_enhance_defense]</t>
    <phoneticPr fontId="5"/>
  </si>
  <si>
    <t>解除されるまで防御力UP</t>
    <phoneticPr fontId="5"/>
  </si>
  <si>
    <t>解除されるまで防御力大UP</t>
    <rPh sb="10" eb="11">
      <t>チョウダイ</t>
    </rPh>
    <phoneticPr fontId="5"/>
  </si>
  <si>
    <t>解除されるまで防御力UP</t>
    <phoneticPr fontId="5"/>
  </si>
  <si>
    <t>ホエールの2ゲージ目は体力が半分を切ると
防御力が大幅に上がります
体力が半分を切る前に一気に倒しましょう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</si>
</sst>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69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4" fillId="31" borderId="1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0" fontId="4" fillId="33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center" vertical="center"/>
    </xf>
    <xf numFmtId="0" fontId="6" fillId="35" borderId="9" xfId="0" applyFont="1" applyFill="1" applyBorder="1" applyAlignment="1">
      <alignment vertical="center"/>
    </xf>
    <xf numFmtId="0" fontId="6" fillId="35" borderId="11" xfId="0" applyFont="1" applyFill="1" applyBorder="1" applyAlignment="1">
      <alignment vertical="center"/>
    </xf>
    <xf numFmtId="0" fontId="6" fillId="35" borderId="3" xfId="0" applyFont="1" applyFill="1" applyBorder="1" applyAlignment="1">
      <alignment vertical="center"/>
    </xf>
    <xf numFmtId="0" fontId="8" fillId="36" borderId="4" xfId="0" applyFont="1" applyFill="1" applyBorder="1" applyAlignment="1">
      <alignment vertical="center"/>
    </xf>
    <xf numFmtId="0" fontId="30" fillId="36" borderId="7" xfId="0" applyFont="1" applyFill="1" applyBorder="1"/>
    <xf numFmtId="38" fontId="16" fillId="0" borderId="7" xfId="628" applyFont="1" applyFill="1" applyBorder="1" applyAlignment="1">
      <alignment wrapText="1"/>
    </xf>
    <xf numFmtId="0" fontId="0" fillId="0" borderId="12" xfId="0" applyBorder="1"/>
    <xf numFmtId="0" fontId="27" fillId="0" borderId="12" xfId="0" applyFont="1" applyFill="1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0" borderId="23" xfId="0" applyBorder="1"/>
    <xf numFmtId="0" fontId="27" fillId="0" borderId="23" xfId="0" applyFont="1" applyFill="1" applyBorder="1"/>
    <xf numFmtId="0" fontId="0" fillId="3" borderId="23" xfId="0" applyFill="1" applyBorder="1"/>
    <xf numFmtId="0" fontId="6" fillId="5" borderId="23" xfId="0" applyFont="1" applyFill="1" applyBorder="1" applyAlignment="1">
      <alignment vertical="center"/>
    </xf>
  </cellXfs>
  <cellStyles count="69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A13" sqref="A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228</v>
      </c>
      <c r="B2" s="57" t="s">
        <v>107</v>
      </c>
      <c r="C2" s="62">
        <v>30035</v>
      </c>
      <c r="D2" s="57" t="s">
        <v>108</v>
      </c>
      <c r="E2" s="56" t="str">
        <f>B2&amp;C2&amp;D2</f>
        <v>floors_30035.tmp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228</v>
      </c>
      <c r="B3" s="57" t="s">
        <v>110</v>
      </c>
      <c r="C3" s="62">
        <v>30035</v>
      </c>
      <c r="D3" s="57" t="s">
        <v>108</v>
      </c>
      <c r="E3" s="56" t="str">
        <f>B3&amp;C3&amp;D3</f>
        <v>enemy_habitats_30035.tmp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228</v>
      </c>
      <c r="B4" s="57" t="s">
        <v>112</v>
      </c>
      <c r="C4" s="62">
        <v>30035</v>
      </c>
      <c r="D4" s="57" t="s">
        <v>108</v>
      </c>
      <c r="E4" s="56" t="str">
        <f>B4&amp;C4&amp;D4</f>
        <v>enemy_habitat_S_30035.tmp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228</v>
      </c>
      <c r="B5" s="57" t="s">
        <v>114</v>
      </c>
      <c r="C5" s="62">
        <v>30035</v>
      </c>
      <c r="D5" s="57" t="s">
        <v>108</v>
      </c>
      <c r="E5" s="56" t="str">
        <f>B5&amp;C5&amp;D5</f>
        <v>enemy_skill_sets_30035.tmp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228</v>
      </c>
      <c r="B6" s="57" t="s">
        <v>116</v>
      </c>
      <c r="C6" s="62">
        <v>30035</v>
      </c>
      <c r="D6" s="57" t="s">
        <v>117</v>
      </c>
      <c r="E6" s="56" t="str">
        <f t="shared" ref="E6:E10" si="0">B6&amp;C6&amp;D6</f>
        <v>enemy_skills_tmp_30035.tmp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228</v>
      </c>
      <c r="B7" s="57" t="s">
        <v>118</v>
      </c>
      <c r="C7" s="62">
        <v>30035</v>
      </c>
      <c r="D7" s="57" t="s">
        <v>108</v>
      </c>
      <c r="E7" s="56" t="str">
        <f>B7&amp;C7&amp;D7</f>
        <v>enemy_skills_i18n_30035.tmp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228</v>
      </c>
      <c r="B8" s="57" t="s">
        <v>120</v>
      </c>
      <c r="C8" s="62">
        <v>30035</v>
      </c>
      <c r="D8" s="57" t="s">
        <v>121</v>
      </c>
      <c r="E8" s="56" t="str">
        <f t="shared" si="0"/>
        <v>enemy_skill_triggers_30035.tmp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228</v>
      </c>
      <c r="B9" s="67" t="s">
        <v>178</v>
      </c>
      <c r="C9" s="62">
        <v>30035</v>
      </c>
      <c r="D9" s="67" t="s">
        <v>172</v>
      </c>
      <c r="E9" s="68" t="str">
        <f t="shared" si="0"/>
        <v>stage_bug_bonuses_30035.tmp</v>
      </c>
      <c r="F9" s="67" t="s">
        <v>173</v>
      </c>
      <c r="G9" s="64" t="s">
        <v>151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</row>
    <row r="10" spans="1:30" s="75" customFormat="1" x14ac:dyDescent="0.15">
      <c r="A10" s="61" t="s">
        <v>228</v>
      </c>
      <c r="B10" s="67" t="s">
        <v>202</v>
      </c>
      <c r="C10" s="62">
        <v>30035</v>
      </c>
      <c r="D10" s="67" t="s">
        <v>181</v>
      </c>
      <c r="E10" s="68" t="str">
        <f t="shared" si="0"/>
        <v>stage_hints_data_c_30035.tmp</v>
      </c>
      <c r="F10" s="67" t="s">
        <v>210</v>
      </c>
      <c r="G10" s="72" t="s">
        <v>182</v>
      </c>
      <c r="H10" s="72" t="s">
        <v>174</v>
      </c>
      <c r="I10" s="73" t="s">
        <v>183</v>
      </c>
      <c r="J10" s="66" t="s">
        <v>184</v>
      </c>
      <c r="K10" s="74" t="s">
        <v>185</v>
      </c>
    </row>
    <row r="11" spans="1:30" s="75" customFormat="1" x14ac:dyDescent="0.15">
      <c r="A11" s="61" t="s">
        <v>228</v>
      </c>
      <c r="B11" s="67" t="s">
        <v>203</v>
      </c>
      <c r="C11" s="62">
        <v>30035</v>
      </c>
      <c r="D11" s="67" t="s">
        <v>172</v>
      </c>
      <c r="E11" s="68" t="str">
        <f t="shared" ref="E11:E12" si="1">B11&amp;C11&amp;D11</f>
        <v>stage_hints_data_f_30035.tmp</v>
      </c>
      <c r="F11" s="67" t="s">
        <v>212</v>
      </c>
      <c r="G11" s="72" t="s">
        <v>182</v>
      </c>
      <c r="H11" s="72" t="s">
        <v>174</v>
      </c>
      <c r="I11" s="73" t="s">
        <v>183</v>
      </c>
      <c r="J11" s="66" t="s">
        <v>184</v>
      </c>
      <c r="K11" s="74" t="s">
        <v>185</v>
      </c>
    </row>
    <row r="12" spans="1:30" s="75" customFormat="1" x14ac:dyDescent="0.15">
      <c r="A12" s="61" t="s">
        <v>228</v>
      </c>
      <c r="B12" s="67" t="s">
        <v>204</v>
      </c>
      <c r="C12" s="62">
        <v>30035</v>
      </c>
      <c r="D12" s="67" t="s">
        <v>172</v>
      </c>
      <c r="E12" s="68" t="str">
        <f t="shared" si="1"/>
        <v>stage_hints_i18n_30035.tmp</v>
      </c>
      <c r="F12" s="67" t="s">
        <v>213</v>
      </c>
      <c r="G12" s="73" t="s">
        <v>205</v>
      </c>
      <c r="H12" s="95" t="s">
        <v>206</v>
      </c>
      <c r="I12" s="72" t="s">
        <v>207</v>
      </c>
      <c r="J12" s="96" t="s">
        <v>208</v>
      </c>
      <c r="K12" s="74" t="s">
        <v>209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V2" sqref="V2:X34"/>
      <selection pane="bottomLeft" activeCell="H18" sqref="H18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1" si="0">G2&amp;"-"&amp;I2</f>
        <v>30035_1-1</v>
      </c>
      <c r="B2" s="16" t="str">
        <f>IF(COUNTIF(enemy_habitats!$H:$H,A2),"OK","NG")</f>
        <v>OK</v>
      </c>
      <c r="C2" s="7">
        <v>30035</v>
      </c>
      <c r="D2" s="11" t="str">
        <f ca="1">VLOOKUP($C2,OFFSET([2]quests!$A$1,0,0,COUNTA([2]quests!$A:$A),MATCH(D$1,[2]quests!$1:$1,0)-MATCH($C$1,[2]quests!$1:$1,0)+1),MATCH(D$1,[2]quests!$1:$1,0)-MATCH($C$1,[2]quests!$1:$1,0)+1,FALSE)</f>
        <v>大鯨の呼び声</v>
      </c>
      <c r="E2" s="18" t="str">
        <f ca="1">VLOOKUP($C2,OFFSET([2]quests!$A$1,0,0,COUNTA([2]quests!$A:$A),MATCH(E$1,[2]quests!$1:$1,0)-MATCH($C$1,[2]quests!$1:$1,0)+1),MATCH(E$1,[2]quests!$1:$1,0)-MATCH($C$1,[2]quests!$1:$1,0)+1,FALSE)</f>
        <v>童話シリーズ3本目</v>
      </c>
      <c r="F2" s="21">
        <v>1</v>
      </c>
      <c r="G2" s="23" t="str">
        <f t="shared" ref="G2:G11" si="1">C2&amp;"_"&amp;F2</f>
        <v>30035_1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【中級】大鯨の呼び声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si="0"/>
        <v>30035_1-2</v>
      </c>
      <c r="B3" s="16" t="str">
        <f>IF(COUNTIF(enemy_habitats!$H:$H,A3),"OK","NG")</f>
        <v>OK</v>
      </c>
      <c r="C3" s="7">
        <v>30035</v>
      </c>
      <c r="D3" s="11" t="str">
        <f ca="1">VLOOKUP($C3,OFFSET([2]quests!$A$1,0,0,COUNTA([2]quests!$A:$A),MATCH(D$1,[2]quests!$1:$1,0)-MATCH($C$1,[2]quests!$1:$1,0)+1),MATCH(D$1,[2]quests!$1:$1,0)-MATCH($C$1,[2]quests!$1:$1,0)+1,FALSE)</f>
        <v>大鯨の呼び声</v>
      </c>
      <c r="E3" s="18" t="str">
        <f ca="1">VLOOKUP($C3,OFFSET([2]quests!$A$1,0,0,COUNTA([2]quests!$A:$A),MATCH(E$1,[2]quests!$1:$1,0)-MATCH($C$1,[2]quests!$1:$1,0)+1),MATCH(E$1,[2]quests!$1:$1,0)-MATCH($C$1,[2]quests!$1:$1,0)+1,FALSE)</f>
        <v>童話シリーズ3本目</v>
      </c>
      <c r="F3" s="21">
        <v>1</v>
      </c>
      <c r="G3" s="23" t="str">
        <f t="shared" si="1"/>
        <v>30035_1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【中級】大鯨の呼び声</v>
      </c>
      <c r="I3" s="21">
        <v>2</v>
      </c>
      <c r="J3" s="12">
        <v>45</v>
      </c>
      <c r="K3" s="12">
        <v>45</v>
      </c>
    </row>
    <row r="4" spans="1:11" ht="21" customHeight="1" x14ac:dyDescent="0.15">
      <c r="A4" s="16" t="str">
        <f t="shared" si="0"/>
        <v>30035_1-3</v>
      </c>
      <c r="B4" s="16" t="str">
        <f>IF(COUNTIF(enemy_habitats!$H:$H,A4),"OK","NG")</f>
        <v>OK</v>
      </c>
      <c r="C4" s="7">
        <v>30035</v>
      </c>
      <c r="D4" s="11" t="str">
        <f ca="1">VLOOKUP($C4,OFFSET([2]quests!$A$1,0,0,COUNTA([2]quests!$A:$A),MATCH(D$1,[2]quests!$1:$1,0)-MATCH($C$1,[2]quests!$1:$1,0)+1),MATCH(D$1,[2]quests!$1:$1,0)-MATCH($C$1,[2]quests!$1:$1,0)+1,FALSE)</f>
        <v>大鯨の呼び声</v>
      </c>
      <c r="E4" s="18" t="str">
        <f ca="1">VLOOKUP($C4,OFFSET([2]quests!$A$1,0,0,COUNTA([2]quests!$A:$A),MATCH(E$1,[2]quests!$1:$1,0)-MATCH($C$1,[2]quests!$1:$1,0)+1),MATCH(E$1,[2]quests!$1:$1,0)-MATCH($C$1,[2]quests!$1:$1,0)+1,FALSE)</f>
        <v>童話シリーズ3本目</v>
      </c>
      <c r="F4" s="21">
        <v>1</v>
      </c>
      <c r="G4" s="23" t="str">
        <f t="shared" si="1"/>
        <v>30035_1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【中級】大鯨の呼び声</v>
      </c>
      <c r="I4" s="21">
        <v>3</v>
      </c>
      <c r="J4" s="12">
        <v>30</v>
      </c>
      <c r="K4" s="12">
        <v>30</v>
      </c>
    </row>
    <row r="5" spans="1:11" ht="21" customHeight="1" x14ac:dyDescent="0.15">
      <c r="A5" s="16" t="str">
        <f t="shared" si="0"/>
        <v>30035_2-1</v>
      </c>
      <c r="B5" s="16" t="str">
        <f>IF(COUNTIF(enemy_habitats!$H:$H,A5),"OK","NG")</f>
        <v>OK</v>
      </c>
      <c r="C5" s="7">
        <v>30035</v>
      </c>
      <c r="D5" s="11" t="str">
        <f ca="1">VLOOKUP($C5,OFFSET([2]quests!$A$1,0,0,COUNTA([2]quests!$A:$A),MATCH(D$1,[2]quests!$1:$1,0)-MATCH($C$1,[2]quests!$1:$1,0)+1),MATCH(D$1,[2]quests!$1:$1,0)-MATCH($C$1,[2]quests!$1:$1,0)+1,FALSE)</f>
        <v>大鯨の呼び声</v>
      </c>
      <c r="E5" s="18" t="str">
        <f ca="1">VLOOKUP($C5,OFFSET([2]quests!$A$1,0,0,COUNTA([2]quests!$A:$A),MATCH(E$1,[2]quests!$1:$1,0)-MATCH($C$1,[2]quests!$1:$1,0)+1),MATCH(E$1,[2]quests!$1:$1,0)-MATCH($C$1,[2]quests!$1:$1,0)+1,FALSE)</f>
        <v>童話シリーズ3本目</v>
      </c>
      <c r="F5" s="21">
        <v>2</v>
      </c>
      <c r="G5" s="23" t="str">
        <f t="shared" si="1"/>
        <v>30035_2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【上級】大鯨の呼び声</v>
      </c>
      <c r="I5" s="21">
        <v>1</v>
      </c>
      <c r="J5" s="12">
        <v>45</v>
      </c>
      <c r="K5" s="12">
        <v>45</v>
      </c>
    </row>
    <row r="6" spans="1:11" ht="21" customHeight="1" x14ac:dyDescent="0.15">
      <c r="A6" s="16" t="str">
        <f t="shared" si="0"/>
        <v>30035_2-2</v>
      </c>
      <c r="B6" s="16" t="str">
        <f>IF(COUNTIF(enemy_habitats!$H:$H,A6),"OK","NG")</f>
        <v>OK</v>
      </c>
      <c r="C6" s="7">
        <v>30035</v>
      </c>
      <c r="D6" s="11" t="str">
        <f ca="1">VLOOKUP($C6,OFFSET([2]quests!$A$1,0,0,COUNTA([2]quests!$A:$A),MATCH(D$1,[2]quests!$1:$1,0)-MATCH($C$1,[2]quests!$1:$1,0)+1),MATCH(D$1,[2]quests!$1:$1,0)-MATCH($C$1,[2]quests!$1:$1,0)+1,FALSE)</f>
        <v>大鯨の呼び声</v>
      </c>
      <c r="E6" s="18" t="str">
        <f ca="1">VLOOKUP($C6,OFFSET([2]quests!$A$1,0,0,COUNTA([2]quests!$A:$A),MATCH(E$1,[2]quests!$1:$1,0)-MATCH($C$1,[2]quests!$1:$1,0)+1),MATCH(E$1,[2]quests!$1:$1,0)-MATCH($C$1,[2]quests!$1:$1,0)+1,FALSE)</f>
        <v>童話シリーズ3本目</v>
      </c>
      <c r="F6" s="21">
        <v>2</v>
      </c>
      <c r="G6" s="23" t="str">
        <f t="shared" si="1"/>
        <v>30035_2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【上級】大鯨の呼び声</v>
      </c>
      <c r="I6" s="21">
        <v>2</v>
      </c>
      <c r="J6" s="12">
        <v>50</v>
      </c>
      <c r="K6" s="12">
        <v>50</v>
      </c>
    </row>
    <row r="7" spans="1:11" ht="21" customHeight="1" x14ac:dyDescent="0.15">
      <c r="A7" s="16" t="str">
        <f t="shared" si="0"/>
        <v>30035_2-3</v>
      </c>
      <c r="B7" s="16" t="str">
        <f>IF(COUNTIF(enemy_habitats!$H:$H,A7),"OK","NG")</f>
        <v>OK</v>
      </c>
      <c r="C7" s="7">
        <v>30035</v>
      </c>
      <c r="D7" s="11" t="str">
        <f ca="1">VLOOKUP($C7,OFFSET([2]quests!$A$1,0,0,COUNTA([2]quests!$A:$A),MATCH(D$1,[2]quests!$1:$1,0)-MATCH($C$1,[2]quests!$1:$1,0)+1),MATCH(D$1,[2]quests!$1:$1,0)-MATCH($C$1,[2]quests!$1:$1,0)+1,FALSE)</f>
        <v>大鯨の呼び声</v>
      </c>
      <c r="E7" s="18" t="str">
        <f ca="1">VLOOKUP($C7,OFFSET([2]quests!$A$1,0,0,COUNTA([2]quests!$A:$A),MATCH(E$1,[2]quests!$1:$1,0)-MATCH($C$1,[2]quests!$1:$1,0)+1),MATCH(E$1,[2]quests!$1:$1,0)-MATCH($C$1,[2]quests!$1:$1,0)+1,FALSE)</f>
        <v>童話シリーズ3本目</v>
      </c>
      <c r="F7" s="21">
        <v>2</v>
      </c>
      <c r="G7" s="23" t="str">
        <f t="shared" si="1"/>
        <v>30035_2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【上級】大鯨の呼び声</v>
      </c>
      <c r="I7" s="21">
        <v>3</v>
      </c>
      <c r="J7" s="12">
        <v>30</v>
      </c>
      <c r="K7" s="12">
        <v>30</v>
      </c>
    </row>
    <row r="8" spans="1:11" ht="21" customHeight="1" x14ac:dyDescent="0.15">
      <c r="A8" s="16" t="str">
        <f t="shared" si="0"/>
        <v>30035_3-1</v>
      </c>
      <c r="B8" s="16" t="str">
        <f>IF(COUNTIF(enemy_habitats!$H:$H,A8),"OK","NG")</f>
        <v>OK</v>
      </c>
      <c r="C8" s="7">
        <v>30035</v>
      </c>
      <c r="D8" s="11" t="str">
        <f ca="1">VLOOKUP($C8,OFFSET([2]quests!$A$1,0,0,COUNTA([2]quests!$A:$A),MATCH(D$1,[2]quests!$1:$1,0)-MATCH($C$1,[2]quests!$1:$1,0)+1),MATCH(D$1,[2]quests!$1:$1,0)-MATCH($C$1,[2]quests!$1:$1,0)+1,FALSE)</f>
        <v>大鯨の呼び声</v>
      </c>
      <c r="E8" s="18" t="str">
        <f ca="1">VLOOKUP($C8,OFFSET([2]quests!$A$1,0,0,COUNTA([2]quests!$A:$A),MATCH(E$1,[2]quests!$1:$1,0)-MATCH($C$1,[2]quests!$1:$1,0)+1),MATCH(E$1,[2]quests!$1:$1,0)-MATCH($C$1,[2]quests!$1:$1,0)+1,FALSE)</f>
        <v>童話シリーズ3本目</v>
      </c>
      <c r="F8" s="21">
        <v>3</v>
      </c>
      <c r="G8" s="23" t="str">
        <f t="shared" si="1"/>
        <v>30035_3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【超級】大鯨の呼び声</v>
      </c>
      <c r="I8" s="21">
        <v>1</v>
      </c>
      <c r="J8" s="12">
        <v>45</v>
      </c>
      <c r="K8" s="12">
        <v>45</v>
      </c>
    </row>
    <row r="9" spans="1:11" ht="21" customHeight="1" x14ac:dyDescent="0.15">
      <c r="A9" s="16" t="str">
        <f t="shared" si="0"/>
        <v>30035_3-2</v>
      </c>
      <c r="B9" s="16" t="str">
        <f>IF(COUNTIF(enemy_habitats!$H:$H,A9),"OK","NG")</f>
        <v>OK</v>
      </c>
      <c r="C9" s="7">
        <v>30035</v>
      </c>
      <c r="D9" s="11" t="str">
        <f ca="1">VLOOKUP($C9,OFFSET([2]quests!$A$1,0,0,COUNTA([2]quests!$A:$A),MATCH(D$1,[2]quests!$1:$1,0)-MATCH($C$1,[2]quests!$1:$1,0)+1),MATCH(D$1,[2]quests!$1:$1,0)-MATCH($C$1,[2]quests!$1:$1,0)+1,FALSE)</f>
        <v>大鯨の呼び声</v>
      </c>
      <c r="E9" s="18" t="str">
        <f ca="1">VLOOKUP($C9,OFFSET([2]quests!$A$1,0,0,COUNTA([2]quests!$A:$A),MATCH(E$1,[2]quests!$1:$1,0)-MATCH($C$1,[2]quests!$1:$1,0)+1),MATCH(E$1,[2]quests!$1:$1,0)-MATCH($C$1,[2]quests!$1:$1,0)+1,FALSE)</f>
        <v>童話シリーズ3本目</v>
      </c>
      <c r="F9" s="21">
        <v>3</v>
      </c>
      <c r="G9" s="23" t="str">
        <f t="shared" si="1"/>
        <v>30035_3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【超級】大鯨の呼び声</v>
      </c>
      <c r="I9" s="21">
        <v>2</v>
      </c>
      <c r="J9" s="12">
        <v>30</v>
      </c>
      <c r="K9" s="12">
        <v>30</v>
      </c>
    </row>
    <row r="10" spans="1:11" ht="21" customHeight="1" x14ac:dyDescent="0.15">
      <c r="A10" s="16" t="str">
        <f t="shared" si="0"/>
        <v>30035_3-3</v>
      </c>
      <c r="B10" s="16" t="str">
        <f>IF(COUNTIF(enemy_habitats!$H:$H,A10),"OK","NG")</f>
        <v>OK</v>
      </c>
      <c r="C10" s="7">
        <v>30035</v>
      </c>
      <c r="D10" s="11" t="str">
        <f ca="1">VLOOKUP($C10,OFFSET([2]quests!$A$1,0,0,COUNTA([2]quests!$A:$A),MATCH(D$1,[2]quests!$1:$1,0)-MATCH($C$1,[2]quests!$1:$1,0)+1),MATCH(D$1,[2]quests!$1:$1,0)-MATCH($C$1,[2]quests!$1:$1,0)+1,FALSE)</f>
        <v>大鯨の呼び声</v>
      </c>
      <c r="E10" s="18" t="str">
        <f ca="1">VLOOKUP($C10,OFFSET([2]quests!$A$1,0,0,COUNTA([2]quests!$A:$A),MATCH(E$1,[2]quests!$1:$1,0)-MATCH($C$1,[2]quests!$1:$1,0)+1),MATCH(E$1,[2]quests!$1:$1,0)-MATCH($C$1,[2]quests!$1:$1,0)+1,FALSE)</f>
        <v>童話シリーズ3本目</v>
      </c>
      <c r="F10" s="21">
        <v>3</v>
      </c>
      <c r="G10" s="23" t="str">
        <f t="shared" si="1"/>
        <v>30035_3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【超級】大鯨の呼び声</v>
      </c>
      <c r="I10" s="21">
        <v>3</v>
      </c>
      <c r="J10" s="12">
        <v>60</v>
      </c>
      <c r="K10" s="12">
        <v>60</v>
      </c>
    </row>
    <row r="11" spans="1:11" ht="21" customHeight="1" x14ac:dyDescent="0.15">
      <c r="A11" s="16" t="str">
        <f t="shared" si="0"/>
        <v>30035_3-4</v>
      </c>
      <c r="B11" s="16" t="str">
        <f>IF(COUNTIF(enemy_habitats!$H:$H,A11),"OK","NG")</f>
        <v>OK</v>
      </c>
      <c r="C11" s="7">
        <v>30035</v>
      </c>
      <c r="D11" s="11" t="str">
        <f ca="1">VLOOKUP($C11,OFFSET([2]quests!$A$1,0,0,COUNTA([2]quests!$A:$A),MATCH(D$1,[2]quests!$1:$1,0)-MATCH($C$1,[2]quests!$1:$1,0)+1),MATCH(D$1,[2]quests!$1:$1,0)-MATCH($C$1,[2]quests!$1:$1,0)+1,FALSE)</f>
        <v>大鯨の呼び声</v>
      </c>
      <c r="E11" s="18" t="str">
        <f ca="1">VLOOKUP($C11,OFFSET([2]quests!$A$1,0,0,COUNTA([2]quests!$A:$A),MATCH(E$1,[2]quests!$1:$1,0)-MATCH($C$1,[2]quests!$1:$1,0)+1),MATCH(E$1,[2]quests!$1:$1,0)-MATCH($C$1,[2]quests!$1:$1,0)+1,FALSE)</f>
        <v>童話シリーズ3本目</v>
      </c>
      <c r="F11" s="21">
        <v>3</v>
      </c>
      <c r="G11" s="23" t="str">
        <f t="shared" si="1"/>
        <v>30035_3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【超級】大鯨の呼び声</v>
      </c>
      <c r="I11" s="21">
        <v>4</v>
      </c>
      <c r="J11" s="12">
        <v>60</v>
      </c>
      <c r="K11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7"/>
  <sheetViews>
    <sheetView showGridLines="0" workbookViewId="0">
      <pane xSplit="17" ySplit="1" topLeftCell="Z2" activePane="bottomRight" state="frozen"/>
      <selection pane="topRight" activeCell="N1" sqref="N1"/>
      <selection pane="bottomLeft" activeCell="A2" sqref="A2"/>
      <selection pane="bottomRight" activeCell="AH21" sqref="AH2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 x14ac:dyDescent="0.15">
      <c r="A2" s="16" t="str">
        <f t="shared" ref="A2:A17" ca="1" si="0">B2&amp;"_"&amp;C2&amp;"-"&amp;G2&amp;"/"&amp;L2&amp;"&lt;lv"&amp;R2&amp;"&gt;s"&amp;AA2</f>
        <v>30035_1-1/30&lt;lv30&gt;s2</v>
      </c>
      <c r="B2" s="22">
        <v>30035</v>
      </c>
      <c r="C2" s="21">
        <v>1</v>
      </c>
      <c r="D2" s="2" t="str">
        <f t="shared" ref="D2:D17" si="1">B2&amp;"_"&amp;C2</f>
        <v>30035_1</v>
      </c>
      <c r="E2" s="4" t="str">
        <f ca="1">VLOOKUP($B2,OFFSET([2]quests!$A$1,0,0,COUNTA([2]quests!$A:$A),MATCH(E$1,[2]quests!$1:$1,0)-MATCH($B$1,[2]quests!$1:$1,0)+1),MATCH(E$1,[2]quests!$1:$1,0)-MATCH($B$1,[2]quests!$1:$1,0)+1,FALSE)</f>
        <v>大鯨の呼び声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【中級】大鯨の呼び声</v>
      </c>
      <c r="G2" s="98">
        <v>1</v>
      </c>
      <c r="H2" s="15" t="str">
        <f t="shared" ref="H2:H17" si="2">B2&amp;"_"&amp;C2&amp;"-"&amp;G2</f>
        <v>30035_1-1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53</v>
      </c>
      <c r="L2" s="20">
        <v>30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護衛機人 スケアクロウ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30</v>
      </c>
      <c r="S2" s="25">
        <v>2.1</v>
      </c>
      <c r="T2" s="25">
        <v>1.2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2回連続攻撃</v>
      </c>
      <c r="W2" s="104">
        <v>30035001</v>
      </c>
      <c r="X2" s="6">
        <v>1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2</v>
      </c>
      <c r="AB2" s="24">
        <f t="shared" ref="AB2:AB17" si="3">L2</f>
        <v>30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7">
        <v>1</v>
      </c>
      <c r="AG2" s="24">
        <f t="shared" ref="AG2:AG17" ca="1" si="4">AD2</f>
        <v>2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si="0"/>
        <v>30035_1-1/32&lt;lv30&gt;s1</v>
      </c>
      <c r="B3" s="22">
        <v>30035</v>
      </c>
      <c r="C3" s="21">
        <v>1</v>
      </c>
      <c r="D3" s="2" t="str">
        <f t="shared" si="1"/>
        <v>30035_1</v>
      </c>
      <c r="E3" s="4" t="str">
        <f ca="1">VLOOKUP($B3,OFFSET([2]quests!$A$1,0,0,COUNTA([2]quests!$A:$A),MATCH(E$1,[2]quests!$1:$1,0)-MATCH($B$1,[2]quests!$1:$1,0)+1),MATCH(E$1,[2]quests!$1:$1,0)-MATCH($B$1,[2]quests!$1:$1,0)+1,FALSE)</f>
        <v>大鯨の呼び声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【中級】大鯨の呼び声</v>
      </c>
      <c r="G3" s="98">
        <v>1</v>
      </c>
      <c r="H3" s="15" t="str">
        <f t="shared" si="2"/>
        <v>30035_1-1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 t="s">
        <v>53</v>
      </c>
      <c r="L3" s="20">
        <v>32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沈黙のジャミング マービー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30</v>
      </c>
      <c r="S3" s="25">
        <v>2.1</v>
      </c>
      <c r="T3" s="25">
        <v>0.4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2ターンスキルが使えない！</v>
      </c>
      <c r="W3" s="104">
        <v>30035002</v>
      </c>
      <c r="X3" s="6">
        <v>1</v>
      </c>
      <c r="Y3" s="6">
        <v>100</v>
      </c>
      <c r="Z3" s="6">
        <v>1</v>
      </c>
      <c r="AA3" s="102">
        <v>1</v>
      </c>
      <c r="AB3" s="24">
        <f t="shared" si="3"/>
        <v>32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沈黙のジャミング マービー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t="shared" ca="1" si="4"/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ca="1" si="0"/>
        <v>30035_1-2/172&lt;lv30&gt;s2</v>
      </c>
      <c r="B4" s="22">
        <v>30035</v>
      </c>
      <c r="C4" s="21">
        <v>1</v>
      </c>
      <c r="D4" s="2" t="str">
        <f t="shared" si="1"/>
        <v>30035_1</v>
      </c>
      <c r="E4" s="4" t="str">
        <f ca="1">VLOOKUP($B4,OFFSET([2]quests!$A$1,0,0,COUNTA([2]quests!$A:$A),MATCH(E$1,[2]quests!$1:$1,0)-MATCH($B$1,[2]quests!$1:$1,0)+1),MATCH(E$1,[2]quests!$1:$1,0)-MATCH($B$1,[2]quests!$1:$1,0)+1,FALSE)</f>
        <v>大鯨の呼び声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【中級】大鯨の呼び声</v>
      </c>
      <c r="G4" s="99">
        <v>2</v>
      </c>
      <c r="H4" s="15" t="str">
        <f t="shared" si="2"/>
        <v>30035_1-2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8" t="s">
        <v>53</v>
      </c>
      <c r="L4" s="20">
        <v>172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フォルネウス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30</v>
      </c>
      <c r="S4" s="25">
        <v>1</v>
      </c>
      <c r="T4" s="25">
        <v>0.8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全体攻撃</v>
      </c>
      <c r="W4" s="104">
        <v>30035004</v>
      </c>
      <c r="X4" s="6">
        <v>1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2</v>
      </c>
      <c r="AB4" s="24">
        <f t="shared" si="3"/>
        <v>172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フォルネウス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4" s="7">
        <v>1</v>
      </c>
      <c r="AG4" s="24">
        <f t="shared" ca="1" si="4"/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si="0"/>
        <v>30035_1-2/777&lt;lv30&gt;s2</v>
      </c>
      <c r="B5" s="22">
        <v>30035</v>
      </c>
      <c r="C5" s="21">
        <v>1</v>
      </c>
      <c r="D5" s="2" t="str">
        <f t="shared" si="1"/>
        <v>30035_1</v>
      </c>
      <c r="E5" s="4" t="str">
        <f ca="1">VLOOKUP($B5,OFFSET([2]quests!$A$1,0,0,COUNTA([2]quests!$A:$A),MATCH(E$1,[2]quests!$1:$1,0)-MATCH($B$1,[2]quests!$1:$1,0)+1),MATCH(E$1,[2]quests!$1:$1,0)-MATCH($B$1,[2]quests!$1:$1,0)+1,FALSE)</f>
        <v>大鯨の呼び声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【中級】大鯨の呼び声</v>
      </c>
      <c r="G5" s="99">
        <v>2</v>
      </c>
      <c r="H5" s="15" t="str">
        <f t="shared" si="2"/>
        <v>30035_1-2</v>
      </c>
      <c r="I5" s="4">
        <f ca="1">VLOOKUP($H5,OFFSET(floors!$A$1,0,0,COUNTA(floors!$A:$A),MATCH(I$1,floors!$1:$1,0)-MATCH($H$1,floors!$1:$1,0)+1),MATCH(I$1,floors!$1:$1,0)-MATCH($H$1,floors!$1:$1,0)+1,FALSE)</f>
        <v>45</v>
      </c>
      <c r="J5" s="4">
        <f ca="1">VLOOKUP($H5,OFFSET(floors!$A$1,0,0,COUNTA(floors!$A:$A),MATCH(J$1,floors!$1:$1,0)-MATCH($H$1,floors!$1:$1,0)+1),MATCH(J$1,floors!$1:$1,0)-MATCH($H$1,floors!$1:$1,0)+1,FALSE)</f>
        <v>45</v>
      </c>
      <c r="K5" s="38" t="s">
        <v>53</v>
      </c>
      <c r="L5" s="20">
        <v>777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ガメック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25</v>
      </c>
      <c r="R5" s="5">
        <v>30</v>
      </c>
      <c r="S5" s="25">
        <v>0.2</v>
      </c>
      <c r="T5" s="25">
        <v>1.7</v>
      </c>
      <c r="U5" s="5">
        <v>800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解除されるまで防御力UP</v>
      </c>
      <c r="W5" s="104">
        <v>30035010</v>
      </c>
      <c r="X5" s="6">
        <v>1</v>
      </c>
      <c r="Y5" s="6">
        <v>100</v>
      </c>
      <c r="Z5" s="6">
        <v>1</v>
      </c>
      <c r="AA5" s="102">
        <v>2</v>
      </c>
      <c r="AB5" s="24">
        <f t="shared" si="3"/>
        <v>777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ガメック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5" s="7">
        <v>1</v>
      </c>
      <c r="AG5" s="24">
        <f t="shared" ca="1" si="4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si="0"/>
        <v>30035_1-3/858&lt;lv30&gt;s2</v>
      </c>
      <c r="B6" s="22">
        <v>30035</v>
      </c>
      <c r="C6" s="21">
        <v>1</v>
      </c>
      <c r="D6" s="2" t="str">
        <f t="shared" si="1"/>
        <v>30035_1</v>
      </c>
      <c r="E6" s="4" t="str">
        <f ca="1">VLOOKUP($B6,OFFSET([2]quests!$A$1,0,0,COUNTA([2]quests!$A:$A),MATCH(E$1,[2]quests!$1:$1,0)-MATCH($B$1,[2]quests!$1:$1,0)+1),MATCH(E$1,[2]quests!$1:$1,0)-MATCH($B$1,[2]quests!$1:$1,0)+1,FALSE)</f>
        <v>大鯨の呼び声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【中級】大鯨の呼び声</v>
      </c>
      <c r="G6" s="100">
        <v>3</v>
      </c>
      <c r="H6" s="15" t="str">
        <f t="shared" si="2"/>
        <v>30035_1-3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8" t="s">
        <v>53</v>
      </c>
      <c r="L6" s="20">
        <v>858</v>
      </c>
      <c r="M6" s="17" t="str">
        <f ca="1">VLOOKUP($L6,OFFSET([3]enemies!$A$1,0,0,COUNTA([3]enemies!$A:$A),MATCH(M$1,[3]enemies!$1:$1,0)-MATCH($L$1,[3]enemies!$1:$1,0)+1),MATCH(M$1,[3]enemies!$1:$1,0)-MATCH($L$1,[3]enemies!$1:$1,0)+1,FALSE)</f>
        <v>Mr.ホエール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machine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30</v>
      </c>
      <c r="S6" s="25">
        <v>1.8</v>
      </c>
      <c r="T6" s="25">
        <v>1.1000000000000001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全体攻撃</v>
      </c>
      <c r="W6" s="104">
        <v>30035011</v>
      </c>
      <c r="X6" s="6">
        <v>1</v>
      </c>
      <c r="Y6" s="6">
        <v>100</v>
      </c>
      <c r="Z6" s="6">
        <v>1</v>
      </c>
      <c r="AA6" s="102">
        <v>2</v>
      </c>
      <c r="AB6" s="24">
        <f t="shared" si="3"/>
        <v>858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Mr.ホエール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Drop2N</v>
      </c>
      <c r="AF6" s="7">
        <v>1</v>
      </c>
      <c r="AG6" s="24">
        <f t="shared" ca="1" si="4"/>
        <v>4</v>
      </c>
      <c r="AH6" s="8">
        <v>20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ca="1" si="0"/>
        <v>30035_2-1/30&lt;lv40&gt;s2</v>
      </c>
      <c r="B7" s="22">
        <v>30035</v>
      </c>
      <c r="C7" s="21">
        <v>2</v>
      </c>
      <c r="D7" s="2" t="str">
        <f t="shared" si="1"/>
        <v>30035_2</v>
      </c>
      <c r="E7" s="4" t="str">
        <f ca="1">VLOOKUP($B7,OFFSET([2]quests!$A$1,0,0,COUNTA([2]quests!$A:$A),MATCH(E$1,[2]quests!$1:$1,0)-MATCH($B$1,[2]quests!$1:$1,0)+1),MATCH(E$1,[2]quests!$1:$1,0)-MATCH($B$1,[2]quests!$1:$1,0)+1,FALSE)</f>
        <v>大鯨の呼び声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【上級】大鯨の呼び声</v>
      </c>
      <c r="G7" s="98">
        <v>1</v>
      </c>
      <c r="H7" s="15" t="str">
        <f t="shared" si="2"/>
        <v>30035_2-1</v>
      </c>
      <c r="I7" s="4">
        <f ca="1">VLOOKUP($H7,OFFSET(floors!$A$1,0,0,COUNTA(floors!$A:$A),MATCH(I$1,floors!$1:$1,0)-MATCH($H$1,floors!$1:$1,0)+1),MATCH(I$1,floors!$1:$1,0)-MATCH($H$1,floors!$1:$1,0)+1,FALSE)</f>
        <v>45</v>
      </c>
      <c r="J7" s="4">
        <f ca="1">VLOOKUP($H7,OFFSET(floors!$A$1,0,0,COUNTA(floors!$A:$A),MATCH(J$1,floors!$1:$1,0)-MATCH($H$1,floors!$1:$1,0)+1),MATCH(J$1,floors!$1:$1,0)-MATCH($H$1,floors!$1:$1,0)+1,FALSE)</f>
        <v>45</v>
      </c>
      <c r="K7" s="38" t="s">
        <v>53</v>
      </c>
      <c r="L7" s="20">
        <v>30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護衛機人 スケアクロウ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40</v>
      </c>
      <c r="S7" s="25">
        <v>2.1</v>
      </c>
      <c r="T7" s="25">
        <v>1.2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2回連続攻撃</v>
      </c>
      <c r="W7" s="104">
        <v>30035001</v>
      </c>
      <c r="X7" s="6">
        <v>2</v>
      </c>
      <c r="Y7" s="6">
        <v>100</v>
      </c>
      <c r="Z7" s="6">
        <v>0</v>
      </c>
      <c r="AA7" s="17">
        <f ca="1">VLOOKUP($L7,OFFSET([3]enemies!$A$1,0,0,COUNTA([3]enemies!$A:$A),MATCH(AA$1,[3]enemies!$1:$1,0)-MATCH($L$1,[3]enemies!$1:$1,0)+1),MATCH(AA$1,[3]enemies!$1:$1,0)-MATCH($L$1,[3]enemies!$1:$1,0)+1,FALSE)</f>
        <v>2</v>
      </c>
      <c r="AB7" s="24">
        <f t="shared" si="3"/>
        <v>30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Drop1N</v>
      </c>
      <c r="AF7" s="7">
        <v>1</v>
      </c>
      <c r="AG7" s="24">
        <f t="shared" ca="1" si="4"/>
        <v>2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si="0"/>
        <v>30035_2-1/32&lt;lv40&gt;s1</v>
      </c>
      <c r="B8" s="22">
        <v>30035</v>
      </c>
      <c r="C8" s="21">
        <v>2</v>
      </c>
      <c r="D8" s="2" t="str">
        <f t="shared" si="1"/>
        <v>30035_2</v>
      </c>
      <c r="E8" s="4" t="str">
        <f ca="1">VLOOKUP($B8,OFFSET([2]quests!$A$1,0,0,COUNTA([2]quests!$A:$A),MATCH(E$1,[2]quests!$1:$1,0)-MATCH($B$1,[2]quests!$1:$1,0)+1),MATCH(E$1,[2]quests!$1:$1,0)-MATCH($B$1,[2]quests!$1:$1,0)+1,FALSE)</f>
        <v>大鯨の呼び声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【上級】大鯨の呼び声</v>
      </c>
      <c r="G8" s="98">
        <v>1</v>
      </c>
      <c r="H8" s="15" t="str">
        <f t="shared" si="2"/>
        <v>30035_2-1</v>
      </c>
      <c r="I8" s="4">
        <f ca="1">VLOOKUP($H8,OFFSET(floors!$A$1,0,0,COUNTA(floors!$A:$A),MATCH(I$1,floors!$1:$1,0)-MATCH($H$1,floors!$1:$1,0)+1),MATCH(I$1,floors!$1:$1,0)-MATCH($H$1,floors!$1:$1,0)+1,FALSE)</f>
        <v>45</v>
      </c>
      <c r="J8" s="4">
        <f ca="1">VLOOKUP($H8,OFFSET(floors!$A$1,0,0,COUNTA(floors!$A:$A),MATCH(J$1,floors!$1:$1,0)-MATCH($H$1,floors!$1:$1,0)+1),MATCH(J$1,floors!$1:$1,0)-MATCH($H$1,floors!$1:$1,0)+1,FALSE)</f>
        <v>45</v>
      </c>
      <c r="K8" s="38" t="s">
        <v>53</v>
      </c>
      <c r="L8" s="20">
        <v>32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沈黙のジャミング マービー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machine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40</v>
      </c>
      <c r="S8" s="25">
        <v>2.1</v>
      </c>
      <c r="T8" s="25">
        <v>0.4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2ターンスキルが使えない！</v>
      </c>
      <c r="W8" s="104">
        <v>30035002</v>
      </c>
      <c r="X8" s="6">
        <v>1</v>
      </c>
      <c r="Y8" s="6">
        <v>100</v>
      </c>
      <c r="Z8" s="6">
        <v>1</v>
      </c>
      <c r="AA8" s="102">
        <v>1</v>
      </c>
      <c r="AB8" s="24">
        <f t="shared" si="3"/>
        <v>32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沈黙のジャミング マービー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Drop1N</v>
      </c>
      <c r="AF8" s="7">
        <v>1</v>
      </c>
      <c r="AG8" s="24">
        <f t="shared" ca="1" si="4"/>
        <v>2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ca="1" si="0"/>
        <v>30035_2-2/172&lt;lv40&gt;s2</v>
      </c>
      <c r="B9" s="22">
        <v>30035</v>
      </c>
      <c r="C9" s="21">
        <v>2</v>
      </c>
      <c r="D9" s="2" t="str">
        <f t="shared" si="1"/>
        <v>30035_2</v>
      </c>
      <c r="E9" s="4" t="str">
        <f ca="1">VLOOKUP($B9,OFFSET([2]quests!$A$1,0,0,COUNTA([2]quests!$A:$A),MATCH(E$1,[2]quests!$1:$1,0)-MATCH($B$1,[2]quests!$1:$1,0)+1),MATCH(E$1,[2]quests!$1:$1,0)-MATCH($B$1,[2]quests!$1:$1,0)+1,FALSE)</f>
        <v>大鯨の呼び声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【上級】大鯨の呼び声</v>
      </c>
      <c r="G9" s="99">
        <v>2</v>
      </c>
      <c r="H9" s="15" t="str">
        <f t="shared" si="2"/>
        <v>30035_2-2</v>
      </c>
      <c r="I9" s="4">
        <f ca="1">VLOOKUP($H9,OFFSET(floors!$A$1,0,0,COUNTA(floors!$A:$A),MATCH(I$1,floors!$1:$1,0)-MATCH($H$1,floors!$1:$1,0)+1),MATCH(I$1,floors!$1:$1,0)-MATCH($H$1,floors!$1:$1,0)+1,FALSE)</f>
        <v>50</v>
      </c>
      <c r="J9" s="4">
        <f ca="1">VLOOKUP($H9,OFFSET(floors!$A$1,0,0,COUNTA(floors!$A:$A),MATCH(J$1,floors!$1:$1,0)-MATCH($H$1,floors!$1:$1,0)+1),MATCH(J$1,floors!$1:$1,0)-MATCH($H$1,floors!$1:$1,0)+1,FALSE)</f>
        <v>50</v>
      </c>
      <c r="K9" s="38" t="s">
        <v>53</v>
      </c>
      <c r="L9" s="20">
        <v>172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フォルネウス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40</v>
      </c>
      <c r="S9" s="25">
        <v>1</v>
      </c>
      <c r="T9" s="25">
        <v>0.8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全体攻撃</v>
      </c>
      <c r="W9" s="104">
        <v>30035004</v>
      </c>
      <c r="X9" s="6">
        <v>1</v>
      </c>
      <c r="Y9" s="6">
        <v>100</v>
      </c>
      <c r="Z9" s="6">
        <v>0</v>
      </c>
      <c r="AA9" s="17">
        <f ca="1">VLOOKUP($L9,OFFSET([3]enemies!$A$1,0,0,COUNTA([3]enemies!$A:$A),MATCH(AA$1,[3]enemies!$1:$1,0)-MATCH($L$1,[3]enemies!$1:$1,0)+1),MATCH(AA$1,[3]enemies!$1:$1,0)-MATCH($L$1,[3]enemies!$1:$1,0)+1,FALSE)</f>
        <v>2</v>
      </c>
      <c r="AB9" s="24">
        <f t="shared" si="3"/>
        <v>172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フォルネウス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3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9" s="7">
        <v>1</v>
      </c>
      <c r="AG9" s="24">
        <f t="shared" ca="1" si="4"/>
        <v>3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 x14ac:dyDescent="0.15">
      <c r="A10" s="16" t="str">
        <f t="shared" si="0"/>
        <v>30035_2-2/778&lt;lv40&gt;s2</v>
      </c>
      <c r="B10" s="22">
        <v>30035</v>
      </c>
      <c r="C10" s="21">
        <v>2</v>
      </c>
      <c r="D10" s="2" t="str">
        <f t="shared" si="1"/>
        <v>30035_2</v>
      </c>
      <c r="E10" s="4" t="str">
        <f ca="1">VLOOKUP($B10,OFFSET([2]quests!$A$1,0,0,COUNTA([2]quests!$A:$A),MATCH(E$1,[2]quests!$1:$1,0)-MATCH($B$1,[2]quests!$1:$1,0)+1),MATCH(E$1,[2]quests!$1:$1,0)-MATCH($B$1,[2]quests!$1:$1,0)+1,FALSE)</f>
        <v>大鯨の呼び声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【上級】大鯨の呼び声</v>
      </c>
      <c r="G10" s="99">
        <v>2</v>
      </c>
      <c r="H10" s="15" t="str">
        <f t="shared" si="2"/>
        <v>30035_2-2</v>
      </c>
      <c r="I10" s="4">
        <f ca="1">VLOOKUP($H10,OFFSET(floors!$A$1,0,0,COUNTA(floors!$A:$A),MATCH(I$1,floors!$1:$1,0)-MATCH($H$1,floors!$1:$1,0)+1),MATCH(I$1,floors!$1:$1,0)-MATCH($H$1,floors!$1:$1,0)+1,FALSE)</f>
        <v>50</v>
      </c>
      <c r="J10" s="4">
        <f ca="1">VLOOKUP($H10,OFFSET(floors!$A$1,0,0,COUNTA(floors!$A:$A),MATCH(J$1,floors!$1:$1,0)-MATCH($H$1,floors!$1:$1,0)+1),MATCH(J$1,floors!$1:$1,0)-MATCH($H$1,floors!$1:$1,0)+1,FALSE)</f>
        <v>50</v>
      </c>
      <c r="K10" s="38" t="s">
        <v>53</v>
      </c>
      <c r="L10" s="20">
        <v>778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一亀懸明 ガメック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40</v>
      </c>
      <c r="S10" s="25">
        <v>0.2</v>
      </c>
      <c r="T10" s="25">
        <v>1.7</v>
      </c>
      <c r="U10" s="5">
        <v>800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解除されるまで防御力大UP</v>
      </c>
      <c r="W10" s="104">
        <v>30035008</v>
      </c>
      <c r="X10" s="6">
        <v>1</v>
      </c>
      <c r="Y10" s="6">
        <v>100</v>
      </c>
      <c r="Z10" s="6">
        <v>1</v>
      </c>
      <c r="AA10" s="102">
        <v>2</v>
      </c>
      <c r="AB10" s="24">
        <f t="shared" si="3"/>
        <v>778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一亀懸明 ガメック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0" s="7">
        <v>1</v>
      </c>
      <c r="AG10" s="24">
        <f t="shared" ca="1" si="4"/>
        <v>4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 x14ac:dyDescent="0.15">
      <c r="A11" s="16" t="str">
        <f t="shared" si="0"/>
        <v>30035_2-3/858&lt;lv40&gt;s2</v>
      </c>
      <c r="B11" s="22">
        <v>30035</v>
      </c>
      <c r="C11" s="21">
        <v>2</v>
      </c>
      <c r="D11" s="2" t="str">
        <f t="shared" si="1"/>
        <v>30035_2</v>
      </c>
      <c r="E11" s="4" t="str">
        <f ca="1">VLOOKUP($B11,OFFSET([2]quests!$A$1,0,0,COUNTA([2]quests!$A:$A),MATCH(E$1,[2]quests!$1:$1,0)-MATCH($B$1,[2]quests!$1:$1,0)+1),MATCH(E$1,[2]quests!$1:$1,0)-MATCH($B$1,[2]quests!$1:$1,0)+1,FALSE)</f>
        <v>大鯨の呼び声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【上級】大鯨の呼び声</v>
      </c>
      <c r="G11" s="100">
        <v>3</v>
      </c>
      <c r="H11" s="15" t="str">
        <f t="shared" si="2"/>
        <v>30035_2-3</v>
      </c>
      <c r="I11" s="4">
        <f ca="1">VLOOKUP($H11,OFFSET(floors!$A$1,0,0,COUNTA(floors!$A:$A),MATCH(I$1,floors!$1:$1,0)-MATCH($H$1,floors!$1:$1,0)+1),MATCH(I$1,floors!$1:$1,0)-MATCH($H$1,floors!$1:$1,0)+1,FALSE)</f>
        <v>30</v>
      </c>
      <c r="J11" s="4">
        <f ca="1">VLOOKUP($H11,OFFSET(floors!$A$1,0,0,COUNTA(floors!$A:$A),MATCH(J$1,floors!$1:$1,0)-MATCH($H$1,floors!$1:$1,0)+1),MATCH(J$1,floors!$1:$1,0)-MATCH($H$1,floors!$1:$1,0)+1,FALSE)</f>
        <v>30</v>
      </c>
      <c r="K11" s="38" t="s">
        <v>53</v>
      </c>
      <c r="L11" s="20">
        <v>858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Mr.ホエール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machine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40</v>
      </c>
      <c r="S11" s="25">
        <v>1.8</v>
      </c>
      <c r="T11" s="25">
        <v>1.1000000000000001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1" s="104">
        <v>30035009</v>
      </c>
      <c r="X11" s="6">
        <v>1</v>
      </c>
      <c r="Y11" s="6">
        <v>100</v>
      </c>
      <c r="Z11" s="6">
        <v>1</v>
      </c>
      <c r="AA11" s="102">
        <v>2</v>
      </c>
      <c r="AB11" s="24">
        <f t="shared" si="3"/>
        <v>858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Mr.ホエール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Drop2N</v>
      </c>
      <c r="AF11" s="7">
        <v>1</v>
      </c>
      <c r="AG11" s="24">
        <f t="shared" ca="1" si="4"/>
        <v>4</v>
      </c>
      <c r="AH11" s="8">
        <v>50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 x14ac:dyDescent="0.15">
      <c r="A12" s="16" t="str">
        <f t="shared" ca="1" si="0"/>
        <v>30035_3-1/30&lt;lv60&gt;s2</v>
      </c>
      <c r="B12" s="22">
        <v>30035</v>
      </c>
      <c r="C12" s="21">
        <v>3</v>
      </c>
      <c r="D12" s="2" t="str">
        <f t="shared" si="1"/>
        <v>30035_3</v>
      </c>
      <c r="E12" s="4" t="str">
        <f ca="1">VLOOKUP($B12,OFFSET([2]quests!$A$1,0,0,COUNTA([2]quests!$A:$A),MATCH(E$1,[2]quests!$1:$1,0)-MATCH($B$1,[2]quests!$1:$1,0)+1),MATCH(E$1,[2]quests!$1:$1,0)-MATCH($B$1,[2]quests!$1:$1,0)+1,FALSE)</f>
        <v>大鯨の呼び声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【超級】大鯨の呼び声</v>
      </c>
      <c r="G12" s="98">
        <v>1</v>
      </c>
      <c r="H12" s="15" t="str">
        <f t="shared" si="2"/>
        <v>30035_3-1</v>
      </c>
      <c r="I12" s="4">
        <f ca="1">VLOOKUP($H12,OFFSET(floors!$A$1,0,0,COUNTA(floors!$A:$A),MATCH(I$1,floors!$1:$1,0)-MATCH($H$1,floors!$1:$1,0)+1),MATCH(I$1,floors!$1:$1,0)-MATCH($H$1,floors!$1:$1,0)+1,FALSE)</f>
        <v>45</v>
      </c>
      <c r="J12" s="4">
        <f ca="1">VLOOKUP($H12,OFFSET(floors!$A$1,0,0,COUNTA(floors!$A:$A),MATCH(J$1,floors!$1:$1,0)-MATCH($H$1,floors!$1:$1,0)+1),MATCH(J$1,floors!$1:$1,0)-MATCH($H$1,floors!$1:$1,0)+1,FALSE)</f>
        <v>45</v>
      </c>
      <c r="K12" s="38" t="s">
        <v>53</v>
      </c>
      <c r="L12" s="20">
        <v>30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護衛機人 スケアクロウ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machine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60</v>
      </c>
      <c r="S12" s="25">
        <v>2.1</v>
      </c>
      <c r="T12" s="25">
        <v>1.2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2回連続攻撃</v>
      </c>
      <c r="W12" s="104">
        <v>30035001</v>
      </c>
      <c r="X12" s="6">
        <v>2</v>
      </c>
      <c r="Y12" s="6">
        <v>100</v>
      </c>
      <c r="Z12" s="6">
        <v>0</v>
      </c>
      <c r="AA12" s="17">
        <f ca="1">VLOOKUP($L12,OFFSET([3]enemies!$A$1,0,0,COUNTA([3]enemies!$A:$A),MATCH(AA$1,[3]enemies!$1:$1,0)-MATCH($L$1,[3]enemies!$1:$1,0)+1),MATCH(AA$1,[3]enemies!$1:$1,0)-MATCH($L$1,[3]enemies!$1:$1,0)+1,FALSE)</f>
        <v>2</v>
      </c>
      <c r="AB12" s="24">
        <f t="shared" si="3"/>
        <v>30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7">
        <v>1</v>
      </c>
      <c r="AG12" s="24">
        <f t="shared" ca="1" si="4"/>
        <v>2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 x14ac:dyDescent="0.15">
      <c r="A13" s="16" t="str">
        <f t="shared" si="0"/>
        <v>30035_3-1/32&lt;lv60&gt;s1</v>
      </c>
      <c r="B13" s="22">
        <v>30035</v>
      </c>
      <c r="C13" s="21">
        <v>3</v>
      </c>
      <c r="D13" s="2" t="str">
        <f t="shared" si="1"/>
        <v>30035_3</v>
      </c>
      <c r="E13" s="4" t="str">
        <f ca="1">VLOOKUP($B13,OFFSET([2]quests!$A$1,0,0,COUNTA([2]quests!$A:$A),MATCH(E$1,[2]quests!$1:$1,0)-MATCH($B$1,[2]quests!$1:$1,0)+1),MATCH(E$1,[2]quests!$1:$1,0)-MATCH($B$1,[2]quests!$1:$1,0)+1,FALSE)</f>
        <v>大鯨の呼び声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【超級】大鯨の呼び声</v>
      </c>
      <c r="G13" s="98">
        <v>1</v>
      </c>
      <c r="H13" s="15" t="str">
        <f t="shared" si="2"/>
        <v>30035_3-1</v>
      </c>
      <c r="I13" s="4">
        <f ca="1">VLOOKUP($H13,OFFSET(floors!$A$1,0,0,COUNTA(floors!$A:$A),MATCH(I$1,floors!$1:$1,0)-MATCH($H$1,floors!$1:$1,0)+1),MATCH(I$1,floors!$1:$1,0)-MATCH($H$1,floors!$1:$1,0)+1,FALSE)</f>
        <v>45</v>
      </c>
      <c r="J13" s="4">
        <f ca="1">VLOOKUP($H13,OFFSET(floors!$A$1,0,0,COUNTA(floors!$A:$A),MATCH(J$1,floors!$1:$1,0)-MATCH($H$1,floors!$1:$1,0)+1),MATCH(J$1,floors!$1:$1,0)-MATCH($H$1,floors!$1:$1,0)+1,FALSE)</f>
        <v>45</v>
      </c>
      <c r="K13" s="38" t="s">
        <v>53</v>
      </c>
      <c r="L13" s="20">
        <v>32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沈黙のジャミング マービー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machine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60</v>
      </c>
      <c r="S13" s="25">
        <v>2.1</v>
      </c>
      <c r="T13" s="25">
        <v>0.4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2ターンスキルが使えない！</v>
      </c>
      <c r="W13" s="104">
        <v>30035002</v>
      </c>
      <c r="X13" s="6">
        <v>1</v>
      </c>
      <c r="Y13" s="6">
        <v>100</v>
      </c>
      <c r="Z13" s="6">
        <v>1</v>
      </c>
      <c r="AA13" s="102">
        <v>1</v>
      </c>
      <c r="AB13" s="24">
        <f t="shared" si="3"/>
        <v>32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沈黙のジャミング マービー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Drop1N</v>
      </c>
      <c r="AF13" s="7">
        <v>1</v>
      </c>
      <c r="AG13" s="24">
        <f t="shared" ca="1" si="4"/>
        <v>2</v>
      </c>
      <c r="AH13" s="8">
        <v>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21" customHeight="1" x14ac:dyDescent="0.15">
      <c r="A14" s="16" t="str">
        <f t="shared" ca="1" si="0"/>
        <v>30035_3-2/248&lt;lv60&gt;s2</v>
      </c>
      <c r="B14" s="22">
        <v>30035</v>
      </c>
      <c r="C14" s="21">
        <v>3</v>
      </c>
      <c r="D14" s="2" t="str">
        <f t="shared" si="1"/>
        <v>30035_3</v>
      </c>
      <c r="E14" s="4" t="str">
        <f ca="1">VLOOKUP($B14,OFFSET([2]quests!$A$1,0,0,COUNTA([2]quests!$A:$A),MATCH(E$1,[2]quests!$1:$1,0)-MATCH($B$1,[2]quests!$1:$1,0)+1),MATCH(E$1,[2]quests!$1:$1,0)-MATCH($B$1,[2]quests!$1:$1,0)+1,FALSE)</f>
        <v>大鯨の呼び声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【超級】大鯨の呼び声</v>
      </c>
      <c r="G14" s="101">
        <v>2</v>
      </c>
      <c r="H14" s="15" t="str">
        <f t="shared" si="2"/>
        <v>30035_3-2</v>
      </c>
      <c r="I14" s="4">
        <f ca="1">VLOOKUP($H14,OFFSET(floors!$A$1,0,0,COUNTA(floors!$A:$A),MATCH(I$1,floors!$1:$1,0)-MATCH($H$1,floors!$1:$1,0)+1),MATCH(I$1,floors!$1:$1,0)-MATCH($H$1,floors!$1:$1,0)+1,FALSE)</f>
        <v>30</v>
      </c>
      <c r="J14" s="4">
        <f ca="1">VLOOKUP($H14,OFFSET(floors!$A$1,0,0,COUNTA(floors!$A:$A),MATCH(J$1,floors!$1:$1,0)-MATCH($H$1,floors!$1:$1,0)+1),MATCH(J$1,floors!$1:$1,0)-MATCH($H$1,floors!$1:$1,0)+1,FALSE)</f>
        <v>30</v>
      </c>
      <c r="K14" s="38" t="s">
        <v>53</v>
      </c>
      <c r="L14" s="20">
        <v>248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彩電の天使 ミカエル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machine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60</v>
      </c>
      <c r="S14" s="25">
        <v>1.7</v>
      </c>
      <c r="T14" s="25">
        <v>0.9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ランダムなパネルを5個時限式ダメージパネルに変換</v>
      </c>
      <c r="W14" s="104">
        <v>30035003</v>
      </c>
      <c r="X14" s="6">
        <v>1</v>
      </c>
      <c r="Y14" s="6">
        <v>100</v>
      </c>
      <c r="Z14" s="6">
        <v>1</v>
      </c>
      <c r="AA14" s="17">
        <f ca="1">VLOOKUP($L14,OFFSET([3]enemies!$A$1,0,0,COUNTA([3]enemies!$A:$A),MATCH(AA$1,[3]enemies!$1:$1,0)-MATCH($L$1,[3]enemies!$1:$1,0)+1),MATCH(AA$1,[3]enemies!$1:$1,0)-MATCH($L$1,[3]enemies!$1:$1,0)+1,FALSE)</f>
        <v>2</v>
      </c>
      <c r="AB14" s="24">
        <f t="shared" si="3"/>
        <v>248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彩電の天使 ミカエル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4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4" s="7">
        <v>1</v>
      </c>
      <c r="AG14" s="24">
        <f t="shared" ca="1" si="4"/>
        <v>4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9">
        <v>1</v>
      </c>
    </row>
    <row r="15" spans="1:40" ht="21" customHeight="1" x14ac:dyDescent="0.15">
      <c r="A15" s="16" t="str">
        <f t="shared" ca="1" si="0"/>
        <v>30035_3-3/173&lt;lv60&gt;s2</v>
      </c>
      <c r="B15" s="22">
        <v>30035</v>
      </c>
      <c r="C15" s="21">
        <v>3</v>
      </c>
      <c r="D15" s="2" t="str">
        <f t="shared" si="1"/>
        <v>30035_3</v>
      </c>
      <c r="E15" s="4" t="str">
        <f ca="1">VLOOKUP($B15,OFFSET([2]quests!$A$1,0,0,COUNTA([2]quests!$A:$A),MATCH(E$1,[2]quests!$1:$1,0)-MATCH($B$1,[2]quests!$1:$1,0)+1),MATCH(E$1,[2]quests!$1:$1,0)-MATCH($B$1,[2]quests!$1:$1,0)+1,FALSE)</f>
        <v>大鯨の呼び声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【超級】大鯨の呼び声</v>
      </c>
      <c r="G15" s="99">
        <v>3</v>
      </c>
      <c r="H15" s="15" t="str">
        <f t="shared" si="2"/>
        <v>30035_3-3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173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公爵 フォルネウス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god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60</v>
      </c>
      <c r="S15" s="25">
        <v>1</v>
      </c>
      <c r="T15" s="25">
        <v>0.8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5" s="104">
        <v>30035004</v>
      </c>
      <c r="X15" s="6">
        <v>1</v>
      </c>
      <c r="Y15" s="6">
        <v>100</v>
      </c>
      <c r="Z15" s="6">
        <v>0</v>
      </c>
      <c r="AA15" s="17">
        <f ca="1">VLOOKUP($L15,OFFSET([3]enemies!$A$1,0,0,COUNTA([3]enemies!$A:$A),MATCH(AA$1,[3]enemies!$1:$1,0)-MATCH($L$1,[3]enemies!$1:$1,0)+1),MATCH(AA$1,[3]enemies!$1:$1,0)-MATCH($L$1,[3]enemies!$1:$1,0)+1,FALSE)</f>
        <v>2</v>
      </c>
      <c r="AB15" s="24">
        <f t="shared" si="3"/>
        <v>173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公爵 フォルネウス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5" s="7">
        <v>1</v>
      </c>
      <c r="AG15" s="24">
        <f t="shared" ca="1" si="4"/>
        <v>4</v>
      </c>
      <c r="AH15" s="8">
        <v>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 x14ac:dyDescent="0.15">
      <c r="A16" s="16" t="str">
        <f t="shared" si="0"/>
        <v>30035_3-3/778&lt;lv60&gt;s2</v>
      </c>
      <c r="B16" s="22">
        <v>30035</v>
      </c>
      <c r="C16" s="21">
        <v>3</v>
      </c>
      <c r="D16" s="2" t="str">
        <f t="shared" si="1"/>
        <v>30035_3</v>
      </c>
      <c r="E16" s="4" t="str">
        <f ca="1">VLOOKUP($B16,OFFSET([2]quests!$A$1,0,0,COUNTA([2]quests!$A:$A),MATCH(E$1,[2]quests!$1:$1,0)-MATCH($B$1,[2]quests!$1:$1,0)+1),MATCH(E$1,[2]quests!$1:$1,0)-MATCH($B$1,[2]quests!$1:$1,0)+1,FALSE)</f>
        <v>大鯨の呼び声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【超級】大鯨の呼び声</v>
      </c>
      <c r="G16" s="99">
        <v>3</v>
      </c>
      <c r="H16" s="15" t="str">
        <f t="shared" si="2"/>
        <v>30035_3-3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778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一亀懸明 ガメック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PremiumS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30</v>
      </c>
      <c r="R16" s="5">
        <v>60</v>
      </c>
      <c r="S16" s="25">
        <v>0.2</v>
      </c>
      <c r="T16" s="25">
        <v>1.7</v>
      </c>
      <c r="U16" s="5">
        <v>1500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解除されるまで防御力超大UP</v>
      </c>
      <c r="W16" s="104">
        <v>30035005</v>
      </c>
      <c r="X16" s="6">
        <v>1</v>
      </c>
      <c r="Y16" s="6">
        <v>100</v>
      </c>
      <c r="Z16" s="6">
        <v>1</v>
      </c>
      <c r="AA16" s="102">
        <v>2</v>
      </c>
      <c r="AB16" s="24">
        <f t="shared" si="3"/>
        <v>778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一亀懸明 ガメック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4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6" s="7">
        <v>1</v>
      </c>
      <c r="AG16" s="24">
        <f t="shared" ca="1" si="4"/>
        <v>4</v>
      </c>
      <c r="AH16" s="8">
        <v>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ht="21" customHeight="1" x14ac:dyDescent="0.15">
      <c r="A17" s="16" t="str">
        <f t="shared" si="0"/>
        <v>30035_3-4/858&lt;lv60&gt;s2</v>
      </c>
      <c r="B17" s="22">
        <v>30035</v>
      </c>
      <c r="C17" s="21">
        <v>3</v>
      </c>
      <c r="D17" s="2" t="str">
        <f t="shared" si="1"/>
        <v>30035_3</v>
      </c>
      <c r="E17" s="4" t="str">
        <f ca="1">VLOOKUP($B17,OFFSET([2]quests!$A$1,0,0,COUNTA([2]quests!$A:$A),MATCH(E$1,[2]quests!$1:$1,0)-MATCH($B$1,[2]quests!$1:$1,0)+1),MATCH(E$1,[2]quests!$1:$1,0)-MATCH($B$1,[2]quests!$1:$1,0)+1,FALSE)</f>
        <v>大鯨の呼び声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【超級】大鯨の呼び声</v>
      </c>
      <c r="G17" s="100">
        <v>4</v>
      </c>
      <c r="H17" s="15" t="str">
        <f t="shared" si="2"/>
        <v>30035_3-4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>
        <v>1</v>
      </c>
      <c r="L17" s="20">
        <v>858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Mr.ホエール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Drop2N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machine</v>
      </c>
      <c r="Q17" s="17">
        <f ca="1">VLOOKUP($L17,OFFSET([3]enemies!$A$1,0,0,COUNTA([3]enemies!$A:$A),MATCH(Q$1,[3]enemies!$1:$1,0)-MATCH($L$1,[3]enemies!$1:$1,0)+1),MATCH(Q$1,[3]enemies!$1:$1,0)-MATCH($L$1,[3]enemies!$1:$1,0)+1,FALSE)</f>
        <v>30</v>
      </c>
      <c r="R17" s="5">
        <v>60</v>
      </c>
      <c r="S17" s="25">
        <v>1.8</v>
      </c>
      <c r="T17" s="25">
        <v>1.1000000000000001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黄パネル吸収攻撃（最大12個まで）</v>
      </c>
      <c r="W17" s="104">
        <v>30035006</v>
      </c>
      <c r="X17" s="6">
        <v>1</v>
      </c>
      <c r="Y17" s="6">
        <v>100</v>
      </c>
      <c r="Z17" s="6">
        <v>1</v>
      </c>
      <c r="AA17" s="102">
        <v>2</v>
      </c>
      <c r="AB17" s="24">
        <f t="shared" si="3"/>
        <v>858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Mr.ホエール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4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Drop2N</v>
      </c>
      <c r="AF17" s="7">
        <v>1</v>
      </c>
      <c r="AG17" s="24">
        <f t="shared" ca="1" si="4"/>
        <v>4</v>
      </c>
      <c r="AH17" s="8">
        <v>100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2" sqref="T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30035_3-4/859&lt;lv60&gt;sq1st2</v>
      </c>
      <c r="B2" s="22">
        <v>30035</v>
      </c>
      <c r="C2" s="21">
        <v>3</v>
      </c>
      <c r="D2" s="2" t="str">
        <f>B2&amp;"_"&amp;C2</f>
        <v>30035_3</v>
      </c>
      <c r="E2" s="4" t="str">
        <f ca="1">VLOOKUP($B2,OFFSET([2]quests!$A$1,0,0,COUNTA([2]quests!$A:$A),MATCH(E$1,[2]quests!$1:$1,0)-MATCH($B$1,[2]quests!$1:$1,0)+1),MATCH(E$1,[2]quests!$1:$1,0)-MATCH($B$1,[2]quests!$1:$1,0)+1,FALSE)</f>
        <v>大鯨の呼び声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【超級】大鯨の呼び声</v>
      </c>
      <c r="G2" s="21">
        <v>4</v>
      </c>
      <c r="H2" s="15" t="str">
        <f>B2&amp;"_"&amp;C2&amp;"-"&amp;G2</f>
        <v>30035_3-4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859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夢鯨大食 Mr.ホエール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machine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105">
        <v>60</v>
      </c>
      <c r="T2" s="25">
        <v>1.7</v>
      </c>
      <c r="U2" s="25">
        <v>1.2</v>
      </c>
      <c r="V2" s="5">
        <v>0</v>
      </c>
      <c r="W2" s="4" t="str">
        <f ca="1">VLOOKUP($X2,OFFSET(enemy_skill_sets!$B$1,0,0,COUNTA(enemy_skill_sets!$B:$B),MATCH(N$1,enemy_skill_sets!$1:$1,0)-MATCH($X$1,enemy_skill_sets!$1:$1,0)+2),MATCH(N$1,enemy_skill_sets!$1:$1,0)-MATCH($X$1,enemy_skill_sets!$1:$1,0)+2,FALSE)</f>
        <v>全体攻撃</v>
      </c>
      <c r="X2" s="104">
        <v>30035007</v>
      </c>
      <c r="Y2" s="103">
        <v>2</v>
      </c>
    </row>
  </sheetData>
  <sheetProtection selectLockedCells="1" selectUnlockedCells="1"/>
  <autoFilter ref="B1:Y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7"/>
  <sheetViews>
    <sheetView showGridLines="0" zoomScale="75" zoomScaleNormal="75" zoomScalePageLayoutView="75" workbookViewId="0">
      <pane ySplit="1" topLeftCell="A2" activePane="bottomLeft" state="frozenSplit"/>
      <selection pane="bottomLeft" activeCell="F35" sqref="A28:F35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30035001</v>
      </c>
      <c r="B2" s="47" t="s">
        <v>234</v>
      </c>
      <c r="C2" s="50">
        <v>3</v>
      </c>
      <c r="D2" s="50" t="s">
        <v>128</v>
      </c>
      <c r="E2" s="51" t="s">
        <v>235</v>
      </c>
      <c r="F2" s="51" t="s">
        <v>219</v>
      </c>
      <c r="G2" s="63" t="str">
        <f t="shared" ref="G2:G15" si="0">IFERROR(LEFT(B2,FIND("],",B2)),B2)</f>
        <v>[effect:rush, count:2, val:0.6]</v>
      </c>
      <c r="H2" s="63">
        <f t="shared" ref="H2:H15" si="1">FIND("effect:",G2)+7</f>
        <v>9</v>
      </c>
      <c r="I2" s="63">
        <f t="shared" ref="I2:I15" si="2">IFERROR(FIND(",",G2),LEN(G2))</f>
        <v>13</v>
      </c>
      <c r="J2" s="63" t="e">
        <f t="shared" ref="J2:J15" si="3">FIND("target:",G2)+7</f>
        <v>#VALUE!</v>
      </c>
      <c r="K2" s="63">
        <f t="shared" ref="K2:K15" si="4">FIND(",",G2,I2+1)</f>
        <v>22</v>
      </c>
      <c r="L2" s="63" t="str">
        <f>IFERROR(VLOOKUP(MID(G2,J2,K2-J2),[5]skilldef!$C:$D,2,FALSE),"-") &amp; " / " &amp; IFERROR(VLOOKUP(MID(G2,H2,I2-H2),[5]skilldef!$A:$B,2,FALSE),"-")</f>
        <v>- / 連続攻撃</v>
      </c>
      <c r="M2" s="63" t="str">
        <f t="shared" ref="M2:M15" si="5">IFERROR(RIGHT(B2,LEN(B2)-FIND("],",B2)-1),"none")</f>
        <v>none</v>
      </c>
      <c r="N2" s="48" t="str">
        <f>IFERROR(LEFT(M2,FIND("],",M2)+S13),M2)</f>
        <v>none</v>
      </c>
      <c r="O2" s="63" t="e">
        <f t="shared" ref="O2:O15" si="6">FIND("effect:",N2)+7</f>
        <v>#VALUE!</v>
      </c>
      <c r="P2" s="63">
        <f t="shared" ref="P2:P15" si="7">IFERROR(FIND(",",N2),LEN(N2))</f>
        <v>4</v>
      </c>
      <c r="Q2" s="63" t="e">
        <f t="shared" ref="Q2:Q15" si="8">FIND("target:",N2)+7</f>
        <v>#VALUE!</v>
      </c>
      <c r="R2" s="63" t="e">
        <f t="shared" ref="R2:R15" si="9">FIND(",",N2,P2+1)</f>
        <v>#VALUE!</v>
      </c>
      <c r="S2" s="63" t="str">
        <f>IFERROR(VLOOKUP(MID(N2,Q2,R2-Q2),[5]skilldef!$C:$D,2,FALSE),"-") &amp; " / " &amp; IFERROR(VLOOKUP(MID(N2,O2,P2-O2),[5]skilldef!$A:$B,2,FALSE),"-")</f>
        <v>- / -</v>
      </c>
      <c r="T2" s="48" t="str">
        <f t="shared" ref="T2:T15" si="10">IFERROR(RIGHT(M2,LEN(M2)-FIND("],",M2)-1),"none")</f>
        <v>none</v>
      </c>
      <c r="U2" s="63" t="e">
        <f t="shared" ref="U2:U15" si="11">FIND("effect:",T2)+7</f>
        <v>#VALUE!</v>
      </c>
      <c r="V2" s="63">
        <f t="shared" ref="V2:V15" si="12">IFERROR(FIND(",",T2),LEN(T2))</f>
        <v>4</v>
      </c>
      <c r="W2" s="63" t="e">
        <f t="shared" ref="W2:W15" si="13">FIND("target:",T2)+7</f>
        <v>#VALUE!</v>
      </c>
      <c r="X2" s="63" t="e">
        <f t="shared" ref="X2:X15" si="14">FIND(",",T2,V2+1)</f>
        <v>#VALUE!</v>
      </c>
      <c r="Y2" s="63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30035002</v>
      </c>
      <c r="B3" s="47" t="s">
        <v>220</v>
      </c>
      <c r="C3" s="50">
        <v>3</v>
      </c>
      <c r="D3" s="50" t="s">
        <v>128</v>
      </c>
      <c r="E3" s="51" t="s">
        <v>236</v>
      </c>
      <c r="F3" s="51" t="s">
        <v>221</v>
      </c>
      <c r="G3" s="63" t="str">
        <f t="shared" si="0"/>
        <v>[effect:hungup, target:unit_one, turn:2, rate:1, animation:hungup01]</v>
      </c>
      <c r="H3" s="63">
        <f t="shared" si="1"/>
        <v>9</v>
      </c>
      <c r="I3" s="63">
        <f t="shared" si="2"/>
        <v>15</v>
      </c>
      <c r="J3" s="63">
        <f t="shared" si="3"/>
        <v>24</v>
      </c>
      <c r="K3" s="63">
        <f t="shared" si="4"/>
        <v>32</v>
      </c>
      <c r="L3" s="63" t="str">
        <f>IFERROR(VLOOKUP(MID(G3,J3,K3-J3),[5]skilldef!$C:$D,2,FALSE),"-") &amp; " / " &amp; IFERROR(VLOOKUP(MID(G3,H3,I3-H3),[5]skilldef!$A:$B,2,FALSE),"-")</f>
        <v>味方単体に / ハングアップ</v>
      </c>
      <c r="M3" s="63" t="str">
        <f t="shared" si="5"/>
        <v>none</v>
      </c>
      <c r="N3" s="48" t="str">
        <f>IFERROR(LEFT(M3,FIND("],",M3)+S14),M3)</f>
        <v>none</v>
      </c>
      <c r="O3" s="63" t="e">
        <f t="shared" si="6"/>
        <v>#VALUE!</v>
      </c>
      <c r="P3" s="63">
        <f t="shared" si="7"/>
        <v>4</v>
      </c>
      <c r="Q3" s="63" t="e">
        <f t="shared" si="8"/>
        <v>#VALUE!</v>
      </c>
      <c r="R3" s="63" t="e">
        <f t="shared" si="9"/>
        <v>#VALUE!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si="10"/>
        <v>none</v>
      </c>
      <c r="U3" s="63" t="e">
        <f t="shared" si="11"/>
        <v>#VALUE!</v>
      </c>
      <c r="V3" s="63">
        <f t="shared" si="12"/>
        <v>4</v>
      </c>
      <c r="W3" s="63" t="e">
        <f t="shared" si="13"/>
        <v>#VALUE!</v>
      </c>
      <c r="X3" s="63" t="e">
        <f t="shared" si="14"/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30035003</v>
      </c>
      <c r="B4" s="47" t="s">
        <v>242</v>
      </c>
      <c r="C4" s="50">
        <v>3</v>
      </c>
      <c r="D4" s="50" t="s">
        <v>128</v>
      </c>
      <c r="E4" s="51" t="s">
        <v>254</v>
      </c>
      <c r="F4" s="51" t="s">
        <v>243</v>
      </c>
      <c r="G4" s="63" t="str">
        <f t="shared" si="0"/>
        <v>[effect:force_change_block, new_block:time_bomb, target:block_all, count:5, val:0.15, min_time_count:3, max_time_count:3, animation:change_block]</v>
      </c>
      <c r="H4" s="63">
        <f t="shared" si="1"/>
        <v>9</v>
      </c>
      <c r="I4" s="63">
        <f t="shared" si="2"/>
        <v>27</v>
      </c>
      <c r="J4" s="63">
        <f t="shared" si="3"/>
        <v>57</v>
      </c>
      <c r="K4" s="63">
        <f t="shared" si="4"/>
        <v>48</v>
      </c>
      <c r="L4" s="63" t="str">
        <f>IFERROR(VLOOKUP(MID(G4,J4,K4-J4),[5]skilldef!$C:$D,2,FALSE),"-") &amp; " / " &amp; IFERROR(VLOOKUP(MID(G4,H4,I4-H4),[5]skilldef!$A:$B,2,FALSE),"-")</f>
        <v>- / -</v>
      </c>
      <c r="M4" s="63" t="str">
        <f t="shared" si="5"/>
        <v>none</v>
      </c>
      <c r="N4" s="48" t="str">
        <f>IFERROR(LEFT(M4,FIND("],",M4)+S15),M4)</f>
        <v>none</v>
      </c>
      <c r="O4" s="63" t="e">
        <f t="shared" si="6"/>
        <v>#VALUE!</v>
      </c>
      <c r="P4" s="63">
        <f t="shared" si="7"/>
        <v>4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30035004</v>
      </c>
      <c r="B5" s="47" t="s">
        <v>258</v>
      </c>
      <c r="C5" s="50">
        <v>3</v>
      </c>
      <c r="D5" s="50" t="s">
        <v>128</v>
      </c>
      <c r="E5" s="51" t="s">
        <v>247</v>
      </c>
      <c r="F5" s="51" t="s">
        <v>222</v>
      </c>
      <c r="G5" s="63" t="str">
        <f t="shared" si="0"/>
        <v>[effect:spread, val:0.35]</v>
      </c>
      <c r="H5" s="63">
        <f t="shared" si="1"/>
        <v>9</v>
      </c>
      <c r="I5" s="63">
        <f t="shared" si="2"/>
        <v>15</v>
      </c>
      <c r="J5" s="63" t="e">
        <f t="shared" si="3"/>
        <v>#VALUE!</v>
      </c>
      <c r="K5" s="63" t="e">
        <f t="shared" si="4"/>
        <v>#VALUE!</v>
      </c>
      <c r="L5" s="63" t="str">
        <f>IFERROR(VLOOKUP(MID(G5,J5,K5-J5),[5]skilldef!$C:$D,2,FALSE),"-") &amp; " / " &amp; IFERROR(VLOOKUP(MID(G5,H5,I5-H5),[5]skilldef!$A:$B,2,FALSE),"-")</f>
        <v>- / 全体攻撃</v>
      </c>
      <c r="M5" s="63" t="str">
        <f t="shared" si="5"/>
        <v>none</v>
      </c>
      <c r="N5" s="48" t="str">
        <f>IFERROR(LEFT(M5,FIND("],",M5)+#REF!),M5)</f>
        <v>none</v>
      </c>
      <c r="O5" s="63" t="e">
        <f t="shared" si="6"/>
        <v>#VALUE!</v>
      </c>
      <c r="P5" s="63">
        <f t="shared" si="7"/>
        <v>4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IFERROR(VLOOKUP(MID(N5,Q5,R5-Q5),[5]skilldef!$C:$D,2,FALSE),"-") &amp; " / " &amp; IFERROR(VLOOKUP(MID(N5,O5,P5-O5),[5]skilldef!$A:$B,2,FALSE),"-")</f>
        <v>-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30035005</v>
      </c>
      <c r="B6" s="47" t="s">
        <v>223</v>
      </c>
      <c r="C6" s="50">
        <v>3</v>
      </c>
      <c r="D6" s="50" t="s">
        <v>128</v>
      </c>
      <c r="E6" s="51" t="s">
        <v>255</v>
      </c>
      <c r="F6" s="51" t="s">
        <v>222</v>
      </c>
      <c r="G6" s="63" t="str">
        <f t="shared" si="0"/>
        <v>[effect:spread, val:0.25]</v>
      </c>
      <c r="H6" s="63">
        <f t="shared" si="1"/>
        <v>9</v>
      </c>
      <c r="I6" s="63">
        <f t="shared" si="2"/>
        <v>15</v>
      </c>
      <c r="J6" s="63" t="e">
        <f t="shared" si="3"/>
        <v>#VALUE!</v>
      </c>
      <c r="K6" s="63" t="e">
        <f t="shared" si="4"/>
        <v>#VALUE!</v>
      </c>
      <c r="L6" s="63" t="str">
        <f>IFERROR(VLOOKUP(MID(G6,J6,K6-J6),[5]skilldef!$C:$D,2,FALSE),"-") &amp; " / " &amp; IFERROR(VLOOKUP(MID(G6,H6,I6-H6),[5]skilldef!$A:$B,2,FALSE),"-")</f>
        <v>- / 全体攻撃</v>
      </c>
      <c r="M6" s="63" t="str">
        <f t="shared" si="5"/>
        <v>none</v>
      </c>
      <c r="N6" s="48" t="str">
        <f>IFERROR(LEFT(M6,FIND("],",M6)+S16),M6)</f>
        <v>none</v>
      </c>
      <c r="O6" s="63" t="e">
        <f t="shared" si="6"/>
        <v>#VALUE!</v>
      </c>
      <c r="P6" s="63">
        <f t="shared" si="7"/>
        <v>4</v>
      </c>
      <c r="Q6" s="63" t="e">
        <f t="shared" si="8"/>
        <v>#VALUE!</v>
      </c>
      <c r="R6" s="63" t="e">
        <f t="shared" si="9"/>
        <v>#VALUE!</v>
      </c>
      <c r="S6" s="63" t="str">
        <f>IFERROR(VLOOKUP(MID(N6,Q6,R6-Q6),[5]skilldef!$C:$D,2,FALSE),"-") &amp; " / " &amp; IFERROR(VLOOKUP(MID(N6,O6,P6-O6),[5]skilldef!$A:$B,2,FALSE),"-")</f>
        <v>- / -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30035006</v>
      </c>
      <c r="B7" s="47" t="s">
        <v>241</v>
      </c>
      <c r="C7" s="50">
        <v>3</v>
      </c>
      <c r="D7" s="50" t="s">
        <v>128</v>
      </c>
      <c r="E7" s="51" t="s">
        <v>239</v>
      </c>
      <c r="F7" s="51" t="s">
        <v>257</v>
      </c>
      <c r="G7" s="63" t="str">
        <f t="shared" si="0"/>
        <v>[effect:enhance_enemy, target:myself, turn:-1, status:defense, val:5000, calc:add, animation:enemy_enhance_defense]</v>
      </c>
      <c r="H7" s="63">
        <f t="shared" si="1"/>
        <v>9</v>
      </c>
      <c r="I7" s="63">
        <f t="shared" si="2"/>
        <v>22</v>
      </c>
      <c r="J7" s="63">
        <f t="shared" si="3"/>
        <v>31</v>
      </c>
      <c r="K7" s="63">
        <f t="shared" si="4"/>
        <v>37</v>
      </c>
      <c r="L7" s="63" t="str">
        <f>IFERROR(VLOOKUP(MID(G7,J7,K7-J7),[5]skilldef!$C:$D,2,FALSE),"-") &amp; " / " &amp; IFERROR(VLOOKUP(MID(G7,H7,I7-H7),[5]skilldef!$A:$B,2,FALSE),"-")</f>
        <v>自分自身に / ステータス強化</v>
      </c>
      <c r="M7" s="63" t="str">
        <f t="shared" si="5"/>
        <v>none</v>
      </c>
      <c r="N7" s="48" t="str">
        <f>IFERROR(LEFT(M7,FIND("],",M7)+S18),M7)</f>
        <v>none</v>
      </c>
      <c r="O7" s="63" t="e">
        <f t="shared" si="6"/>
        <v>#VALUE!</v>
      </c>
      <c r="P7" s="63">
        <f t="shared" si="7"/>
        <v>4</v>
      </c>
      <c r="Q7" s="63" t="e">
        <f t="shared" si="8"/>
        <v>#VALUE!</v>
      </c>
      <c r="R7" s="63" t="e">
        <f t="shared" si="9"/>
        <v>#VALUE!</v>
      </c>
      <c r="S7" s="63" t="str">
        <f>IFERROR(VLOOKUP(MID(N7,Q7,R7-Q7),[5]skilldef!$C:$D,2,FALSE),"-") &amp; " / " &amp; IFERROR(VLOOKUP(MID(N7,O7,P7-O7),[5]skilldef!$A:$B,2,FALSE),"-")</f>
        <v>- / -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30035007</v>
      </c>
      <c r="B8" s="47" t="s">
        <v>224</v>
      </c>
      <c r="C8" s="50">
        <v>3</v>
      </c>
      <c r="D8" s="50" t="s">
        <v>128</v>
      </c>
      <c r="E8" s="51" t="s">
        <v>240</v>
      </c>
      <c r="F8" s="51" t="s">
        <v>225</v>
      </c>
      <c r="G8" s="63" t="str">
        <f>IFERROR(LEFT(B8,FIND("],",B8)),B8)</f>
        <v>[effect:force_change_block, new_block:time_bomb, target:block_yellow, count:5, val:0.15, animation:change_block]</v>
      </c>
      <c r="H8" s="63">
        <f>FIND("effect:",G8)+7</f>
        <v>9</v>
      </c>
      <c r="I8" s="63">
        <f>IFERROR(FIND(",",G8),LEN(G8))</f>
        <v>27</v>
      </c>
      <c r="J8" s="63">
        <f>FIND("target:",G8)+7</f>
        <v>57</v>
      </c>
      <c r="K8" s="63">
        <f>FIND(",",G8,I8+1)</f>
        <v>48</v>
      </c>
      <c r="L8" s="63" t="str">
        <f>IFERROR(VLOOKUP(MID(G8,J8,K8-J8),[5]skilldef!$C:$D,2,FALSE),"-") &amp; " / " &amp; IFERROR(VLOOKUP(MID(G8,H8,I8-H8),[5]skilldef!$A:$B,2,FALSE),"-")</f>
        <v>- / -</v>
      </c>
      <c r="M8" s="63" t="str">
        <f>IFERROR(RIGHT(B8,LEN(B8)-FIND("],",B8)-1),"none")</f>
        <v>none</v>
      </c>
      <c r="N8" s="48" t="str">
        <f>IFERROR(LEFT(M8,FIND("],",M8)+#REF!),M8)</f>
        <v>none</v>
      </c>
      <c r="O8" s="63" t="e">
        <f>FIND("effect:",N8)+7</f>
        <v>#VALUE!</v>
      </c>
      <c r="P8" s="63">
        <f>IFERROR(FIND(",",N8),LEN(N8))</f>
        <v>4</v>
      </c>
      <c r="Q8" s="63" t="e">
        <f>FIND("target:",N8)+7</f>
        <v>#VALUE!</v>
      </c>
      <c r="R8" s="63" t="e">
        <f>FIND(",",N8,P8+1)</f>
        <v>#VALUE!</v>
      </c>
      <c r="S8" s="63" t="str">
        <f>IFERROR(VLOOKUP(MID(N8,Q8,R8-Q8),[5]skilldef!$C:$D,2,FALSE),"-") &amp; " / " &amp; IFERROR(VLOOKUP(MID(N8,O8,P8-O8),[5]skilldef!$A:$B,2,FALSE),"-")</f>
        <v>- / -</v>
      </c>
      <c r="T8" s="48" t="str">
        <f>IFERROR(RIGHT(M8,LEN(M8)-FIND("],",M8)-1),"none")</f>
        <v>none</v>
      </c>
      <c r="U8" s="63" t="e">
        <f>FIND("effect:",T8)+7</f>
        <v>#VALUE!</v>
      </c>
      <c r="V8" s="63">
        <f>IFERROR(FIND(",",T8),LEN(T8))</f>
        <v>4</v>
      </c>
      <c r="W8" s="63" t="e">
        <f>FIND("target:",T8)+7</f>
        <v>#VALUE!</v>
      </c>
      <c r="X8" s="63" t="e">
        <f>FIND(",",T8,V8+1)</f>
        <v>#VALUE!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30035008</v>
      </c>
      <c r="B9" s="47" t="s">
        <v>245</v>
      </c>
      <c r="C9" s="50">
        <v>3</v>
      </c>
      <c r="D9" s="50" t="s">
        <v>128</v>
      </c>
      <c r="E9" s="51" t="s">
        <v>238</v>
      </c>
      <c r="F9" s="51" t="s">
        <v>246</v>
      </c>
      <c r="G9" s="63" t="str">
        <f t="shared" si="0"/>
        <v>[effect:panel_freeze, target:block_red, color:block_red, count:5]</v>
      </c>
      <c r="H9" s="63">
        <f t="shared" si="1"/>
        <v>9</v>
      </c>
      <c r="I9" s="63">
        <f t="shared" si="2"/>
        <v>21</v>
      </c>
      <c r="J9" s="63">
        <f t="shared" si="3"/>
        <v>30</v>
      </c>
      <c r="K9" s="63">
        <f t="shared" si="4"/>
        <v>39</v>
      </c>
      <c r="L9" s="63" t="str">
        <f>IFERROR(VLOOKUP(MID(G9,J9,K9-J9),[5]skilldef!$C:$D,2,FALSE),"-") &amp; " / " &amp; IFERROR(VLOOKUP(MID(G9,H9,I9-H9),[5]skilldef!$A:$B,2,FALSE),"-")</f>
        <v>赤パネルを / -</v>
      </c>
      <c r="M9" s="63" t="str">
        <f t="shared" si="5"/>
        <v>[effect:panel_freeze, target:block_blue, color:block_blue, count:5],[effect:panel_freeze, target:block_green, color:block_green, count:5],[effect:panel_freeze, target:block_yellow, color:block_yellow, count:5],[effect:panel_freeze, target:block_heart, color:block_heart, count:5],[effect:panel_freeze, target:crash, count:5],[effect:panel_freeze, target:crack_bomb, count:5]</v>
      </c>
      <c r="N9" s="48" t="str">
        <f>IFERROR(LEFT(M9,FIND("],",M9)+S17),M9)</f>
        <v>[effect:panel_freeze, target:block_blue, color:block_blue, count:5],[effect:panel_freeze, target:block_green, color:block_green, count:5],[effect:panel_freeze, target:block_yellow, color:block_yellow, count:5],[effect:panel_freeze, target:block_heart, color:block_heart, count:5],[effect:panel_freeze, target:crash, count:5],[effect:panel_freeze, target:crack_bomb, count:5]</v>
      </c>
      <c r="O9" s="63">
        <f t="shared" si="6"/>
        <v>9</v>
      </c>
      <c r="P9" s="63">
        <f t="shared" si="7"/>
        <v>21</v>
      </c>
      <c r="Q9" s="63">
        <f t="shared" si="8"/>
        <v>30</v>
      </c>
      <c r="R9" s="63">
        <f t="shared" si="9"/>
        <v>40</v>
      </c>
      <c r="S9" s="63" t="str">
        <f>IFERROR(VLOOKUP(MID(N9,Q9,R9-Q9),[5]skilldef!$C:$D,2,FALSE),"-") &amp; " / " &amp; IFERROR(VLOOKUP(MID(N9,O9,P9-O9),[5]skilldef!$A:$B,2,FALSE),"-")</f>
        <v>青パネルを / -</v>
      </c>
      <c r="T9" s="48" t="str">
        <f t="shared" si="10"/>
        <v>[effect:panel_freeze, target:block_green, color:block_green, count:5],[effect:panel_freeze, target:block_yellow, color:block_yellow, count:5],[effect:panel_freeze, target:block_heart, color:block_heart, count:5],[effect:panel_freeze, target:crash, count:5],[effect:panel_freeze, target:crack_bomb, count:5]</v>
      </c>
      <c r="U9" s="63">
        <f t="shared" si="11"/>
        <v>9</v>
      </c>
      <c r="V9" s="63">
        <f t="shared" si="12"/>
        <v>21</v>
      </c>
      <c r="W9" s="63">
        <f t="shared" si="13"/>
        <v>30</v>
      </c>
      <c r="X9" s="63">
        <f t="shared" si="14"/>
        <v>41</v>
      </c>
      <c r="Y9" s="63" t="str">
        <f>IFERROR(VLOOKUP(MID(T9,W9,X9-W9),[5]skilldef!$C:$D,2,FALSE),"-") &amp; " / " &amp; IFERROR(VLOOKUP(MID(T9,U9,V9-U9),[5]skilldef!$A:$B,2,FALSE),"-")</f>
        <v>緑パネルを / -</v>
      </c>
      <c r="Z9" s="50"/>
      <c r="AA9" s="52"/>
      <c r="AB9" s="50"/>
    </row>
    <row r="10" spans="1:28" ht="21" customHeight="1" x14ac:dyDescent="0.15">
      <c r="A10" s="47">
        <v>30035009</v>
      </c>
      <c r="B10" s="47" t="s">
        <v>251</v>
      </c>
      <c r="C10" s="50">
        <v>3</v>
      </c>
      <c r="D10" s="50" t="s">
        <v>128</v>
      </c>
      <c r="E10" s="51" t="s">
        <v>248</v>
      </c>
      <c r="F10" s="51" t="s">
        <v>261</v>
      </c>
      <c r="G10" s="63" t="str">
        <f t="shared" si="0"/>
        <v>[effect:break_attack, val:0.12, lowest_val:1000, count:12, block:block_yellow, target:unit_one]</v>
      </c>
      <c r="H10" s="63">
        <f t="shared" si="1"/>
        <v>9</v>
      </c>
      <c r="I10" s="63">
        <f t="shared" si="2"/>
        <v>21</v>
      </c>
      <c r="J10" s="63">
        <f t="shared" si="3"/>
        <v>87</v>
      </c>
      <c r="K10" s="63">
        <f t="shared" si="4"/>
        <v>31</v>
      </c>
      <c r="L10" s="63" t="str">
        <f>IFERROR(VLOOKUP(MID(G10,J10,K10-J10),[5]skilldef!$C:$D,2,FALSE),"-") &amp; " / " &amp; IFERROR(VLOOKUP(MID(G10,H10,I10-H10),[5]skilldef!$A:$B,2,FALSE),"-")</f>
        <v>- / -</v>
      </c>
      <c r="M10" s="63" t="str">
        <f t="shared" si="5"/>
        <v>none</v>
      </c>
      <c r="N10" s="48" t="str">
        <f>IFERROR(LEFT(M10,FIND("],",M10)+S19),M10)</f>
        <v>none</v>
      </c>
      <c r="O10" s="63" t="e">
        <f t="shared" si="6"/>
        <v>#VALUE!</v>
      </c>
      <c r="P10" s="63">
        <f t="shared" si="7"/>
        <v>4</v>
      </c>
      <c r="Q10" s="63" t="e">
        <f t="shared" si="8"/>
        <v>#VALUE!</v>
      </c>
      <c r="R10" s="63" t="e">
        <f t="shared" si="9"/>
        <v>#VALUE!</v>
      </c>
      <c r="S10" s="63" t="str">
        <f>IFERROR(VLOOKUP(MID(N10,Q10,R10-Q10),[5]skilldef!$C:$D,2,FALSE),"-") &amp; " / " &amp; IFERROR(VLOOKUP(MID(N10,O10,P10-O10),[5]skilldef!$A:$B,2,FALSE),"-")</f>
        <v>- / -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30035010</v>
      </c>
      <c r="B11" s="47" t="s">
        <v>262</v>
      </c>
      <c r="C11" s="50">
        <v>3</v>
      </c>
      <c r="D11" s="50" t="s">
        <v>128</v>
      </c>
      <c r="E11" s="51" t="s">
        <v>249</v>
      </c>
      <c r="F11" s="51" t="s">
        <v>222</v>
      </c>
      <c r="G11" s="63" t="str">
        <f t="shared" si="0"/>
        <v>[effect:spread, val:0.3]</v>
      </c>
      <c r="H11" s="63">
        <f t="shared" si="1"/>
        <v>9</v>
      </c>
      <c r="I11" s="63">
        <f t="shared" si="2"/>
        <v>15</v>
      </c>
      <c r="J11" s="63" t="e">
        <f t="shared" si="3"/>
        <v>#VALUE!</v>
      </c>
      <c r="K11" s="63" t="e">
        <f t="shared" si="4"/>
        <v>#VALUE!</v>
      </c>
      <c r="L11" s="63" t="str">
        <f>IFERROR(VLOOKUP(MID(G11,J11,K11-J11),[5]skilldef!$C:$D,2,FALSE),"-") &amp; " / " &amp; IFERROR(VLOOKUP(MID(G11,H11,I11-H11),[5]skilldef!$A:$B,2,FALSE),"-")</f>
        <v>- / 全体攻撃</v>
      </c>
      <c r="M11" s="63" t="str">
        <f t="shared" si="5"/>
        <v>none</v>
      </c>
      <c r="N11" s="48" t="str">
        <f>IFERROR(LEFT(M11,FIND("],",M11)+S19),M11)</f>
        <v>none</v>
      </c>
      <c r="O11" s="63" t="e">
        <f t="shared" si="6"/>
        <v>#VALUE!</v>
      </c>
      <c r="P11" s="63">
        <f t="shared" si="7"/>
        <v>4</v>
      </c>
      <c r="Q11" s="63" t="e">
        <f t="shared" si="8"/>
        <v>#VALUE!</v>
      </c>
      <c r="R11" s="63" t="e">
        <f t="shared" si="9"/>
        <v>#VALUE!</v>
      </c>
      <c r="S11" s="63" t="str">
        <f>IFERROR(VLOOKUP(MID(N11,Q11,R11-Q11),[5]skilldef!$C:$D,2,FALSE),"-") &amp; " / " &amp; IFERROR(VLOOKUP(MID(N11,O11,P11-O11),[5]skilldef!$A:$B,2,FALSE),"-")</f>
        <v>- / -</v>
      </c>
      <c r="T11" s="48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47">
        <v>30035011</v>
      </c>
      <c r="B12" s="47" t="s">
        <v>259</v>
      </c>
      <c r="C12" s="50">
        <v>3</v>
      </c>
      <c r="D12" s="50" t="s">
        <v>128</v>
      </c>
      <c r="E12" s="51" t="s">
        <v>260</v>
      </c>
      <c r="F12" s="51" t="s">
        <v>233</v>
      </c>
      <c r="G12" s="63" t="str">
        <f t="shared" si="0"/>
        <v>[effect:force_change_block, new_block:time_bomb, target:block_green, count:0, val:0.2, min_time_count:2, max_time_count:2, animation:change_block]</v>
      </c>
      <c r="H12" s="63">
        <f t="shared" si="1"/>
        <v>9</v>
      </c>
      <c r="I12" s="63">
        <f t="shared" si="2"/>
        <v>27</v>
      </c>
      <c r="J12" s="63">
        <f t="shared" si="3"/>
        <v>57</v>
      </c>
      <c r="K12" s="63">
        <f t="shared" si="4"/>
        <v>48</v>
      </c>
      <c r="L12" s="63" t="str">
        <f>IFERROR(VLOOKUP(MID(G12,J12,K12-J12),[5]skilldef!$C:$D,2,FALSE),"-") &amp; " / " &amp; IFERROR(VLOOKUP(MID(G12,H12,I12-H12),[5]skilldef!$A:$B,2,FALSE),"-")</f>
        <v>- / -</v>
      </c>
      <c r="M12" s="63" t="str">
        <f t="shared" si="5"/>
        <v>[effect:force_change_block, new_block:time_bomb, target:block_heart, count:0, val:0.2, min_time_count:2, max_time_count:2, animation:change_block]</v>
      </c>
      <c r="N12" s="48" t="str">
        <f>IFERROR(LEFT(M12,FIND("],",M12)+S20),M12)</f>
        <v>[effect:force_change_block, new_block:time_bomb, target:block_heart, count:0, val:0.2, min_time_count:2, max_time_count:2, animation:change_block]</v>
      </c>
      <c r="O12" s="63">
        <f t="shared" si="6"/>
        <v>9</v>
      </c>
      <c r="P12" s="63">
        <f t="shared" si="7"/>
        <v>27</v>
      </c>
      <c r="Q12" s="63">
        <f t="shared" si="8"/>
        <v>57</v>
      </c>
      <c r="R12" s="63">
        <f t="shared" si="9"/>
        <v>48</v>
      </c>
      <c r="S12" s="63" t="str">
        <f>IFERROR(VLOOKUP(MID(N12,Q12,R12-Q12),[5]skilldef!$C:$D,2,FALSE),"-") &amp; " / " &amp; IFERROR(VLOOKUP(MID(N12,O12,P12-O12),[5]skilldef!$A:$B,2,FALSE),"-")</f>
        <v>- / -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47">
        <v>30035012</v>
      </c>
      <c r="B13" s="47" t="s">
        <v>256</v>
      </c>
      <c r="C13" s="50">
        <v>3</v>
      </c>
      <c r="D13" s="50" t="s">
        <v>128</v>
      </c>
      <c r="E13" s="51" t="s">
        <v>250</v>
      </c>
      <c r="F13" s="51" t="s">
        <v>264</v>
      </c>
      <c r="G13" s="63" t="str">
        <f t="shared" si="0"/>
        <v>[effect:break_attack, val:0.03, lowest_val:1000, count:-1, block:block_green, target:unit_all]</v>
      </c>
      <c r="H13" s="63">
        <f t="shared" si="1"/>
        <v>9</v>
      </c>
      <c r="I13" s="63">
        <f t="shared" si="2"/>
        <v>21</v>
      </c>
      <c r="J13" s="63">
        <f t="shared" si="3"/>
        <v>86</v>
      </c>
      <c r="K13" s="63">
        <f t="shared" si="4"/>
        <v>31</v>
      </c>
      <c r="L13" s="63" t="str">
        <f>IFERROR(VLOOKUP(MID(G13,J13,K13-J13),[5]skilldef!$C:$D,2,FALSE),"-") &amp; " / " &amp; IFERROR(VLOOKUP(MID(G13,H13,I13-H13),[5]skilldef!$A:$B,2,FALSE),"-")</f>
        <v>- / -</v>
      </c>
      <c r="M13" s="63" t="str">
        <f t="shared" si="5"/>
        <v>none</v>
      </c>
      <c r="N13" s="48" t="str">
        <f>IFERROR(LEFT(M13,FIND("],",M13)+S22),M13)</f>
        <v>none</v>
      </c>
      <c r="O13" s="63" t="e">
        <f t="shared" si="6"/>
        <v>#VALUE!</v>
      </c>
      <c r="P13" s="63">
        <f t="shared" si="7"/>
        <v>4</v>
      </c>
      <c r="Q13" s="63" t="e">
        <f t="shared" si="8"/>
        <v>#VALUE!</v>
      </c>
      <c r="R13" s="63" t="e">
        <f t="shared" si="9"/>
        <v>#VALUE!</v>
      </c>
      <c r="S13" s="63" t="str">
        <f>IFERROR(VLOOKUP(MID(N13,Q13,R13-Q13),[5]skilldef!$C:$D,2,FALSE),"-") &amp; " / " &amp; IFERROR(VLOOKUP(MID(N13,O13,P13-O13),[5]skilldef!$A:$B,2,FALSE),"-")</f>
        <v>- / -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47">
        <v>30035013</v>
      </c>
      <c r="B14" s="47" t="s">
        <v>253</v>
      </c>
      <c r="C14" s="50">
        <v>3</v>
      </c>
      <c r="D14" s="50" t="s">
        <v>128</v>
      </c>
      <c r="E14" s="51" t="s">
        <v>252</v>
      </c>
      <c r="F14" s="51" t="s">
        <v>237</v>
      </c>
      <c r="G14" s="63" t="str">
        <f t="shared" si="0"/>
        <v>[effect:enhance_enemy, target:myself, turn:-1, status:defense, val:5000, calc:add, animation:enemy_enhance_defense]</v>
      </c>
      <c r="H14" s="63">
        <f t="shared" si="1"/>
        <v>9</v>
      </c>
      <c r="I14" s="63">
        <f t="shared" si="2"/>
        <v>22</v>
      </c>
      <c r="J14" s="63">
        <f t="shared" si="3"/>
        <v>31</v>
      </c>
      <c r="K14" s="63">
        <f t="shared" si="4"/>
        <v>37</v>
      </c>
      <c r="L14" s="63" t="str">
        <f>IFERROR(VLOOKUP(MID(G14,J14,K14-J14),[5]skilldef!$C:$D,2,FALSE),"-") &amp; " / " &amp; IFERROR(VLOOKUP(MID(G14,H14,I14-H14),[5]skilldef!$A:$B,2,FALSE),"-")</f>
        <v>自分自身に / ステータス強化</v>
      </c>
      <c r="M14" s="63" t="str">
        <f t="shared" si="5"/>
        <v>none</v>
      </c>
      <c r="N14" s="48" t="str">
        <f>IFERROR(LEFT(M14,FIND("],",M14)+S23),M14)</f>
        <v>none</v>
      </c>
      <c r="O14" s="63" t="e">
        <f t="shared" si="6"/>
        <v>#VALUE!</v>
      </c>
      <c r="P14" s="63">
        <f t="shared" si="7"/>
        <v>4</v>
      </c>
      <c r="Q14" s="63" t="e">
        <f t="shared" si="8"/>
        <v>#VALUE!</v>
      </c>
      <c r="R14" s="63" t="e">
        <f t="shared" si="9"/>
        <v>#VALUE!</v>
      </c>
      <c r="S14" s="63" t="str">
        <f>IFERROR(VLOOKUP(MID(N14,Q14,R14-Q14),[5]skilldef!$C:$D,2,FALSE),"-") &amp; " / " &amp; IFERROR(VLOOKUP(MID(N14,O14,P14-O14),[5]skilldef!$A:$B,2,FALSE),"-")</f>
        <v>- / -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30035014</v>
      </c>
      <c r="B15" s="47" t="s">
        <v>263</v>
      </c>
      <c r="C15" s="50">
        <v>3</v>
      </c>
      <c r="D15" s="50" t="s">
        <v>128</v>
      </c>
      <c r="E15" s="51" t="s">
        <v>265</v>
      </c>
      <c r="F15" s="51" t="s">
        <v>222</v>
      </c>
      <c r="G15" s="63" t="str">
        <f t="shared" si="0"/>
        <v>[effect:spread, val:0.33]</v>
      </c>
      <c r="H15" s="63">
        <f t="shared" si="1"/>
        <v>9</v>
      </c>
      <c r="I15" s="63">
        <f t="shared" si="2"/>
        <v>15</v>
      </c>
      <c r="J15" s="63" t="e">
        <f t="shared" si="3"/>
        <v>#VALUE!</v>
      </c>
      <c r="K15" s="63" t="e">
        <f t="shared" si="4"/>
        <v>#VALUE!</v>
      </c>
      <c r="L15" s="63" t="str">
        <f>IFERROR(VLOOKUP(MID(G15,J15,K15-J15),[5]skilldef!$C:$D,2,FALSE),"-") &amp; " / " &amp; IFERROR(VLOOKUP(MID(G15,H15,I15-H15),[5]skilldef!$A:$B,2,FALSE),"-")</f>
        <v>- / 全体攻撃</v>
      </c>
      <c r="M15" s="63" t="str">
        <f t="shared" si="5"/>
        <v>none</v>
      </c>
      <c r="N15" s="48" t="str">
        <f>IFERROR(LEFT(M15,FIND("],",M15)+S24),M15)</f>
        <v>none</v>
      </c>
      <c r="O15" s="63" t="e">
        <f t="shared" si="6"/>
        <v>#VALUE!</v>
      </c>
      <c r="P15" s="63">
        <f t="shared" si="7"/>
        <v>4</v>
      </c>
      <c r="Q15" s="63" t="e">
        <f t="shared" si="8"/>
        <v>#VALUE!</v>
      </c>
      <c r="R15" s="63" t="e">
        <f t="shared" si="9"/>
        <v>#VALUE!</v>
      </c>
      <c r="S15" s="63" t="str">
        <f>IFERROR(VLOOKUP(MID(N15,Q15,R15-Q15),[5]skilldef!$C:$D,2,FALSE),"-") &amp; " / " &amp; IFERROR(VLOOKUP(MID(N15,O15,P15-O15),[5]skilldef!$A:$B,2,FALSE),"-")</f>
        <v>- / -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47">
        <v>30035015</v>
      </c>
      <c r="B16" s="47" t="s">
        <v>229</v>
      </c>
      <c r="C16" s="50">
        <v>3</v>
      </c>
      <c r="D16" s="50" t="s">
        <v>128</v>
      </c>
      <c r="E16" s="51" t="s">
        <v>231</v>
      </c>
      <c r="F16" s="51" t="s">
        <v>232</v>
      </c>
      <c r="G16" s="63" t="str">
        <f t="shared" ref="G16:G20" si="15">IFERROR(LEFT(B16,FIND("],",B16)),B16)</f>
        <v>[effect:nothing]</v>
      </c>
      <c r="H16" s="63">
        <f t="shared" ref="H16:H20" si="16">FIND("effect:",G16)+7</f>
        <v>9</v>
      </c>
      <c r="I16" s="63">
        <f t="shared" ref="I16:I20" si="17">IFERROR(FIND(",",G16),LEN(G16))</f>
        <v>16</v>
      </c>
      <c r="J16" s="63" t="e">
        <f t="shared" ref="J16:J20" si="18">FIND("target:",G16)+7</f>
        <v>#VALUE!</v>
      </c>
      <c r="K16" s="63" t="e">
        <f t="shared" ref="K16:K20" si="19">FIND(",",G16,I16+1)</f>
        <v>#VALUE!</v>
      </c>
      <c r="L16" s="63" t="str">
        <f>IFERROR(VLOOKUP(MID(G16,J16,K16-J16),[5]skilldef!$C:$D,2,FALSE),"-") &amp; " / " &amp; IFERROR(VLOOKUP(MID(G16,H16,I16-H16),[5]skilldef!$A:$B,2,FALSE),"-")</f>
        <v>- / 何もしない</v>
      </c>
      <c r="M16" s="63" t="str">
        <f t="shared" ref="M16:M20" si="20">IFERROR(RIGHT(B16,LEN(B16)-FIND("],",B16)-1),"none")</f>
        <v>none</v>
      </c>
      <c r="N16" s="48" t="str">
        <f>IFERROR(LEFT(M16,FIND("],",M16)+S26),M16)</f>
        <v>none</v>
      </c>
      <c r="O16" s="63" t="e">
        <f t="shared" ref="O16:O20" si="21">FIND("effect:",N16)+7</f>
        <v>#VALUE!</v>
      </c>
      <c r="P16" s="63">
        <f t="shared" ref="P16:P20" si="22">IFERROR(FIND(",",N16),LEN(N16))</f>
        <v>4</v>
      </c>
      <c r="Q16" s="63" t="e">
        <f t="shared" ref="Q16:Q20" si="23">FIND("target:",N16)+7</f>
        <v>#VALUE!</v>
      </c>
      <c r="R16" s="63" t="e">
        <f t="shared" ref="R16:R20" si="24">FIND(",",N16,P16+1)</f>
        <v>#VALUE!</v>
      </c>
      <c r="S16" s="63" t="str">
        <f>IFERROR(VLOOKUP(MID(N16,Q16,R16-Q16),[5]skilldef!$C:$D,2,FALSE),"-") &amp; " / " &amp; IFERROR(VLOOKUP(MID(N16,O16,P16-O16),[5]skilldef!$A:$B,2,FALSE),"-")</f>
        <v>- / -</v>
      </c>
      <c r="T16" s="48" t="str">
        <f t="shared" ref="T16:T20" si="25">IFERROR(RIGHT(M16,LEN(M16)-FIND("],",M16)-1),"none")</f>
        <v>none</v>
      </c>
      <c r="U16" s="63" t="e">
        <f t="shared" ref="U16:U20" si="26">FIND("effect:",T16)+7</f>
        <v>#VALUE!</v>
      </c>
      <c r="V16" s="63">
        <f t="shared" ref="V16:V20" si="27">IFERROR(FIND(",",T16),LEN(T16))</f>
        <v>4</v>
      </c>
      <c r="W16" s="63" t="e">
        <f t="shared" ref="W16:W20" si="28">FIND("target:",T16)+7</f>
        <v>#VALUE!</v>
      </c>
      <c r="X16" s="63" t="e">
        <f t="shared" ref="X16:X20" si="29">FIND(",",T16,V16+1)</f>
        <v>#VALUE!</v>
      </c>
      <c r="Y16" s="63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47">
        <v>30035016</v>
      </c>
      <c r="B17" s="47" t="s">
        <v>272</v>
      </c>
      <c r="C17" s="50">
        <v>3</v>
      </c>
      <c r="D17" s="50" t="s">
        <v>128</v>
      </c>
      <c r="E17" s="51" t="s">
        <v>239</v>
      </c>
      <c r="F17" s="51" t="s">
        <v>274</v>
      </c>
      <c r="G17" s="63" t="str">
        <f t="shared" si="15"/>
        <v>[effect:enhance_enemy, target:myself, turn:-1, status:defense, val:2500, calc:add, animation:enemy_enhance_defense]</v>
      </c>
      <c r="H17" s="63">
        <f t="shared" si="16"/>
        <v>9</v>
      </c>
      <c r="I17" s="63">
        <f t="shared" si="17"/>
        <v>22</v>
      </c>
      <c r="J17" s="63">
        <f t="shared" si="18"/>
        <v>31</v>
      </c>
      <c r="K17" s="63">
        <f t="shared" si="19"/>
        <v>37</v>
      </c>
      <c r="L17" s="63" t="str">
        <f>IFERROR(VLOOKUP(MID(G17,J17,K17-J17),[5]skilldef!$C:$D,2,FALSE),"-") &amp; " / " &amp; IFERROR(VLOOKUP(MID(G17,H17,I17-H17),[5]skilldef!$A:$B,2,FALSE),"-")</f>
        <v>自分自身に / ステータス強化</v>
      </c>
      <c r="M17" s="63" t="str">
        <f t="shared" si="20"/>
        <v>none</v>
      </c>
      <c r="N17" s="48" t="str">
        <f>IFERROR(LEFT(M17,FIND("],",M17)+S29),M17)</f>
        <v>none</v>
      </c>
      <c r="O17" s="63" t="e">
        <f t="shared" si="21"/>
        <v>#VALUE!</v>
      </c>
      <c r="P17" s="63">
        <f t="shared" si="22"/>
        <v>4</v>
      </c>
      <c r="Q17" s="63" t="e">
        <f t="shared" si="23"/>
        <v>#VALUE!</v>
      </c>
      <c r="R17" s="63" t="e">
        <f t="shared" si="24"/>
        <v>#VALUE!</v>
      </c>
      <c r="S17" s="63" t="str">
        <f>IFERROR(VLOOKUP(MID(N17,Q17,R17-Q17),[5]skilldef!$C:$D,2,FALSE),"-") &amp; " / " &amp; IFERROR(VLOOKUP(MID(N17,O17,P17-O17),[5]skilldef!$A:$B,2,FALSE),"-")</f>
        <v>- / -</v>
      </c>
      <c r="T17" s="48" t="str">
        <f t="shared" si="25"/>
        <v>none</v>
      </c>
      <c r="U17" s="63" t="e">
        <f t="shared" si="26"/>
        <v>#VALUE!</v>
      </c>
      <c r="V17" s="63">
        <f t="shared" si="27"/>
        <v>4</v>
      </c>
      <c r="W17" s="63" t="e">
        <f t="shared" si="28"/>
        <v>#VALUE!</v>
      </c>
      <c r="X17" s="63" t="e">
        <f t="shared" si="29"/>
        <v>#VALUE!</v>
      </c>
      <c r="Y17" s="63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47">
        <v>30035017</v>
      </c>
      <c r="B18" s="47" t="s">
        <v>273</v>
      </c>
      <c r="C18" s="50">
        <v>3</v>
      </c>
      <c r="D18" s="50" t="s">
        <v>128</v>
      </c>
      <c r="E18" s="51" t="s">
        <v>238</v>
      </c>
      <c r="F18" s="51" t="s">
        <v>246</v>
      </c>
      <c r="G18" s="63" t="str">
        <f t="shared" si="15"/>
        <v>[effect:panel_freeze, target:block_red, color:block_red, count:4]</v>
      </c>
      <c r="H18" s="63">
        <f t="shared" si="16"/>
        <v>9</v>
      </c>
      <c r="I18" s="63">
        <f t="shared" si="17"/>
        <v>21</v>
      </c>
      <c r="J18" s="63">
        <f t="shared" si="18"/>
        <v>30</v>
      </c>
      <c r="K18" s="63">
        <f t="shared" si="19"/>
        <v>39</v>
      </c>
      <c r="L18" s="63" t="str">
        <f>IFERROR(VLOOKUP(MID(G18,J18,K18-J18),[5]skilldef!$C:$D,2,FALSE),"-") &amp; " / " &amp; IFERROR(VLOOKUP(MID(G18,H18,I18-H18),[5]skilldef!$A:$B,2,FALSE),"-")</f>
        <v>赤パネルを / -</v>
      </c>
      <c r="M18" s="63" t="str">
        <f t="shared" si="20"/>
        <v>[effect:panel_freeze, target:block_blue, color:block_blue, count:4],[effect:panel_freeze, target:block_green, color:block_green, count:4],[effect:panel_freeze, target:block_yellow, color:block_yellow, count:4],[effect:panel_freeze, target:block_heart, color:block_heart, count:4],[effect:panel_freeze, target:crash, count:4],[effect:panel_freeze, target:crack_bomb, count:4]</v>
      </c>
      <c r="N18" s="48" t="str">
        <f>IFERROR(LEFT(M18,FIND("],",M18)+S27),M18)</f>
        <v>[effect:panel_freeze, target:block_blue, color:block_blue, count:4],[effect:panel_freeze, target:block_green, color:block_green, count:4],[effect:panel_freeze, target:block_yellow, color:block_yellow, count:4],[effect:panel_freeze, target:block_heart, color:block_heart, count:4],[effect:panel_freeze, target:crash, count:4],[effect:panel_freeze, target:crack_bomb, count:4]</v>
      </c>
      <c r="O18" s="63">
        <f t="shared" si="21"/>
        <v>9</v>
      </c>
      <c r="P18" s="63">
        <f t="shared" si="22"/>
        <v>21</v>
      </c>
      <c r="Q18" s="63">
        <f t="shared" si="23"/>
        <v>30</v>
      </c>
      <c r="R18" s="63">
        <f t="shared" si="24"/>
        <v>40</v>
      </c>
      <c r="S18" s="63" t="str">
        <f>IFERROR(VLOOKUP(MID(N18,Q18,R18-Q18),[5]skilldef!$C:$D,2,FALSE),"-") &amp; " / " &amp; IFERROR(VLOOKUP(MID(N18,O18,P18-O18),[5]skilldef!$A:$B,2,FALSE),"-")</f>
        <v>青パネルを / -</v>
      </c>
      <c r="T18" s="48" t="str">
        <f t="shared" si="25"/>
        <v>[effect:panel_freeze, target:block_green, color:block_green, count:4],[effect:panel_freeze, target:block_yellow, color:block_yellow, count:4],[effect:panel_freeze, target:block_heart, color:block_heart, count:4],[effect:panel_freeze, target:crash, count:4],[effect:panel_freeze, target:crack_bomb, count:4]</v>
      </c>
      <c r="U18" s="63">
        <f t="shared" si="26"/>
        <v>9</v>
      </c>
      <c r="V18" s="63">
        <f t="shared" si="27"/>
        <v>21</v>
      </c>
      <c r="W18" s="63">
        <f t="shared" si="28"/>
        <v>30</v>
      </c>
      <c r="X18" s="63">
        <f t="shared" si="29"/>
        <v>41</v>
      </c>
      <c r="Y18" s="63" t="str">
        <f>IFERROR(VLOOKUP(MID(T18,W18,X18-W18),[5]skilldef!$C:$D,2,FALSE),"-") &amp; " / " &amp; IFERROR(VLOOKUP(MID(T18,U18,V18-U18),[5]skilldef!$A:$B,2,FALSE),"-")</f>
        <v>緑パネルを / -</v>
      </c>
      <c r="Z18" s="50"/>
      <c r="AA18" s="52"/>
      <c r="AB18" s="50"/>
    </row>
    <row r="19" spans="1:28" ht="21" customHeight="1" x14ac:dyDescent="0.15">
      <c r="A19" s="47">
        <v>30035018</v>
      </c>
      <c r="B19" s="47" t="s">
        <v>275</v>
      </c>
      <c r="C19" s="50">
        <v>3</v>
      </c>
      <c r="D19" s="50" t="s">
        <v>128</v>
      </c>
      <c r="E19" s="51" t="s">
        <v>260</v>
      </c>
      <c r="F19" s="51" t="s">
        <v>233</v>
      </c>
      <c r="G19" s="63" t="str">
        <f t="shared" si="15"/>
        <v>[effect:force_change_block, new_block:time_bomb, target:block_green, count:0, val:0.2, min_time_count:4, max_time_count:4, animation:change_block]</v>
      </c>
      <c r="H19" s="63">
        <f t="shared" si="16"/>
        <v>9</v>
      </c>
      <c r="I19" s="63">
        <f t="shared" si="17"/>
        <v>27</v>
      </c>
      <c r="J19" s="63">
        <f t="shared" si="18"/>
        <v>57</v>
      </c>
      <c r="K19" s="63">
        <f t="shared" si="19"/>
        <v>48</v>
      </c>
      <c r="L19" s="63" t="str">
        <f>IFERROR(VLOOKUP(MID(G19,J19,K19-J19),[5]skilldef!$C:$D,2,FALSE),"-") &amp; " / " &amp; IFERROR(VLOOKUP(MID(G19,H19,I19-H19),[5]skilldef!$A:$B,2,FALSE),"-")</f>
        <v>- / -</v>
      </c>
      <c r="M19" s="63" t="str">
        <f t="shared" si="20"/>
        <v>[effect:force_change_block, new_block:time_bomb, target:block_heart, count:0, val:0.2, min_time_count:4, max_time_count:4, animation:change_block]</v>
      </c>
      <c r="N19" s="48" t="str">
        <f>IFERROR(LEFT(M19,FIND("],",M19)+S28),M19)</f>
        <v>[effect:force_change_block, new_block:time_bomb, target:block_heart, count:0, val:0.2, min_time_count:4, max_time_count:4, animation:change_block]</v>
      </c>
      <c r="O19" s="63">
        <f t="shared" si="21"/>
        <v>9</v>
      </c>
      <c r="P19" s="63">
        <f t="shared" si="22"/>
        <v>27</v>
      </c>
      <c r="Q19" s="63">
        <f t="shared" si="23"/>
        <v>57</v>
      </c>
      <c r="R19" s="63">
        <f t="shared" si="24"/>
        <v>48</v>
      </c>
      <c r="S19" s="63" t="str">
        <f>IFERROR(VLOOKUP(MID(N19,Q19,R19-Q19),[5]skilldef!$C:$D,2,FALSE),"-") &amp; " / " &amp; IFERROR(VLOOKUP(MID(N19,O19,P19-O19),[5]skilldef!$A:$B,2,FALSE),"-")</f>
        <v>- / -</v>
      </c>
      <c r="T19" s="48" t="str">
        <f t="shared" si="25"/>
        <v>none</v>
      </c>
      <c r="U19" s="63" t="e">
        <f t="shared" si="26"/>
        <v>#VALUE!</v>
      </c>
      <c r="V19" s="63">
        <f t="shared" si="27"/>
        <v>4</v>
      </c>
      <c r="W19" s="63" t="e">
        <f t="shared" si="28"/>
        <v>#VALUE!</v>
      </c>
      <c r="X19" s="63" t="e">
        <f t="shared" si="29"/>
        <v>#VALUE!</v>
      </c>
      <c r="Y19" s="63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30035019</v>
      </c>
      <c r="B20" s="47" t="s">
        <v>272</v>
      </c>
      <c r="C20" s="50">
        <v>3</v>
      </c>
      <c r="D20" s="50" t="s">
        <v>128</v>
      </c>
      <c r="E20" s="51" t="s">
        <v>252</v>
      </c>
      <c r="F20" s="51" t="s">
        <v>282</v>
      </c>
      <c r="G20" s="63" t="str">
        <f t="shared" si="15"/>
        <v>[effect:enhance_enemy, target:myself, turn:-1, status:defense, val:2500, calc:add, animation:enemy_enhance_defense]</v>
      </c>
      <c r="H20" s="63">
        <f t="shared" si="16"/>
        <v>9</v>
      </c>
      <c r="I20" s="63">
        <f t="shared" si="17"/>
        <v>22</v>
      </c>
      <c r="J20" s="63">
        <f t="shared" si="18"/>
        <v>31</v>
      </c>
      <c r="K20" s="63">
        <f t="shared" si="19"/>
        <v>37</v>
      </c>
      <c r="L20" s="63" t="str">
        <f>IFERROR(VLOOKUP(MID(G20,J20,K20-J20),[5]skilldef!$C:$D,2,FALSE),"-") &amp; " / " &amp; IFERROR(VLOOKUP(MID(G20,H20,I20-H20),[5]skilldef!$A:$B,2,FALSE),"-")</f>
        <v>自分自身に / ステータス強化</v>
      </c>
      <c r="M20" s="63" t="str">
        <f t="shared" si="20"/>
        <v>none</v>
      </c>
      <c r="N20" s="48" t="str">
        <f>IFERROR(LEFT(M20,FIND("],",M20)+S29),M20)</f>
        <v>none</v>
      </c>
      <c r="O20" s="63" t="e">
        <f t="shared" si="21"/>
        <v>#VALUE!</v>
      </c>
      <c r="P20" s="63">
        <f t="shared" si="22"/>
        <v>4</v>
      </c>
      <c r="Q20" s="63" t="e">
        <f t="shared" si="23"/>
        <v>#VALUE!</v>
      </c>
      <c r="R20" s="63" t="e">
        <f t="shared" si="24"/>
        <v>#VALUE!</v>
      </c>
      <c r="S20" s="63" t="str">
        <f>IFERROR(VLOOKUP(MID(N20,Q20,R20-Q20),[5]skilldef!$C:$D,2,FALSE),"-") &amp; " / " &amp; IFERROR(VLOOKUP(MID(N20,O20,P20-O20),[5]skilldef!$A:$B,2,FALSE),"-")</f>
        <v>- / -</v>
      </c>
      <c r="T20" s="48" t="str">
        <f t="shared" si="25"/>
        <v>none</v>
      </c>
      <c r="U20" s="63" t="e">
        <f t="shared" si="26"/>
        <v>#VALUE!</v>
      </c>
      <c r="V20" s="63">
        <f t="shared" si="27"/>
        <v>4</v>
      </c>
      <c r="W20" s="63" t="e">
        <f t="shared" si="28"/>
        <v>#VALUE!</v>
      </c>
      <c r="X20" s="63" t="e">
        <f t="shared" si="29"/>
        <v>#VALUE!</v>
      </c>
      <c r="Y20" s="63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30035020</v>
      </c>
      <c r="B21" s="47" t="s">
        <v>277</v>
      </c>
      <c r="C21" s="50">
        <v>3</v>
      </c>
      <c r="D21" s="50" t="s">
        <v>128</v>
      </c>
      <c r="E21" s="51" t="s">
        <v>239</v>
      </c>
      <c r="F21" s="51" t="s">
        <v>283</v>
      </c>
      <c r="G21" s="63" t="str">
        <f t="shared" ref="G21" si="30">IFERROR(LEFT(B21,FIND("],",B21)),B21)</f>
        <v>[effect:enhance_enemy, target:myself, turn:-1, status:defense, val:1000, calc:add, animation:enemy_enhance_defense]</v>
      </c>
      <c r="H21" s="63">
        <f t="shared" ref="H21" si="31">FIND("effect:",G21)+7</f>
        <v>9</v>
      </c>
      <c r="I21" s="63">
        <f t="shared" ref="I21" si="32">IFERROR(FIND(",",G21),LEN(G21))</f>
        <v>22</v>
      </c>
      <c r="J21" s="63">
        <f t="shared" ref="J21" si="33">FIND("target:",G21)+7</f>
        <v>31</v>
      </c>
      <c r="K21" s="63">
        <f t="shared" ref="K21" si="34">FIND(",",G21,I21+1)</f>
        <v>37</v>
      </c>
      <c r="L21" s="63" t="str">
        <f>IFERROR(VLOOKUP(MID(G21,J21,K21-J21),[5]skilldef!$C:$D,2,FALSE),"-") &amp; " / " &amp; IFERROR(VLOOKUP(MID(G21,H21,I21-H21),[5]skilldef!$A:$B,2,FALSE),"-")</f>
        <v>自分自身に / ステータス強化</v>
      </c>
      <c r="M21" s="63" t="str">
        <f t="shared" ref="M21" si="35">IFERROR(RIGHT(B21,LEN(B21)-FIND("],",B21)-1),"none")</f>
        <v>none</v>
      </c>
      <c r="N21" s="48" t="str">
        <f>IFERROR(LEFT(M21,FIND("],",M21)+S33),M21)</f>
        <v>none</v>
      </c>
      <c r="O21" s="63" t="e">
        <f t="shared" ref="O21" si="36">FIND("effect:",N21)+7</f>
        <v>#VALUE!</v>
      </c>
      <c r="P21" s="63">
        <f t="shared" ref="P21" si="37">IFERROR(FIND(",",N21),LEN(N21))</f>
        <v>4</v>
      </c>
      <c r="Q21" s="63" t="e">
        <f t="shared" ref="Q21" si="38">FIND("target:",N21)+7</f>
        <v>#VALUE!</v>
      </c>
      <c r="R21" s="63" t="e">
        <f t="shared" ref="R21" si="39">FIND(",",N21,P21+1)</f>
        <v>#VALUE!</v>
      </c>
      <c r="S21" s="63" t="str">
        <f>IFERROR(VLOOKUP(MID(N21,Q21,R21-Q21),[5]skilldef!$C:$D,2,FALSE),"-") &amp; " / " &amp; IFERROR(VLOOKUP(MID(N21,O21,P21-O21),[5]skilldef!$A:$B,2,FALSE),"-")</f>
        <v>- / -</v>
      </c>
      <c r="T21" s="48" t="str">
        <f t="shared" ref="T21" si="40">IFERROR(RIGHT(M21,LEN(M21)-FIND("],",M21)-1),"none")</f>
        <v>none</v>
      </c>
      <c r="U21" s="63" t="e">
        <f t="shared" ref="U21" si="41">FIND("effect:",T21)+7</f>
        <v>#VALUE!</v>
      </c>
      <c r="V21" s="63">
        <f t="shared" ref="V21" si="42">IFERROR(FIND(",",T21),LEN(T21))</f>
        <v>4</v>
      </c>
      <c r="W21" s="63" t="e">
        <f t="shared" ref="W21" si="43">FIND("target:",T21)+7</f>
        <v>#VALUE!</v>
      </c>
      <c r="X21" s="63" t="e">
        <f t="shared" ref="X21" si="44">FIND(",",T21,V21+1)</f>
        <v>#VALUE!</v>
      </c>
      <c r="Y21" s="63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47">
        <v>30035021</v>
      </c>
      <c r="B22" s="47" t="s">
        <v>276</v>
      </c>
      <c r="C22" s="50">
        <v>3</v>
      </c>
      <c r="D22" s="50" t="s">
        <v>128</v>
      </c>
      <c r="E22" s="51" t="s">
        <v>240</v>
      </c>
      <c r="F22" s="51" t="s">
        <v>225</v>
      </c>
      <c r="G22" s="63" t="str">
        <f>IFERROR(LEFT(B22,FIND("],",B22)),B22)</f>
        <v>[effect:force_change_block, new_block:time_bomb, target:block_yellow, count:5, val:0.1, animation:change_block]</v>
      </c>
      <c r="H22" s="63">
        <f>FIND("effect:",G22)+7</f>
        <v>9</v>
      </c>
      <c r="I22" s="63">
        <f>IFERROR(FIND(",",G22),LEN(G22))</f>
        <v>27</v>
      </c>
      <c r="J22" s="63">
        <f>FIND("target:",G22)+7</f>
        <v>57</v>
      </c>
      <c r="K22" s="63">
        <f>FIND(",",G22,I22+1)</f>
        <v>48</v>
      </c>
      <c r="L22" s="63" t="str">
        <f>IFERROR(VLOOKUP(MID(G22,J22,K22-J22),[5]skilldef!$C:$D,2,FALSE),"-") &amp; " / " &amp; IFERROR(VLOOKUP(MID(G22,H22,I22-H22),[5]skilldef!$A:$B,2,FALSE),"-")</f>
        <v>- / -</v>
      </c>
      <c r="M22" s="63" t="str">
        <f>IFERROR(RIGHT(B22,LEN(B22)-FIND("],",B22)-1),"none")</f>
        <v>none</v>
      </c>
      <c r="N22" s="48" t="str">
        <f>IFERROR(LEFT(M22,FIND("],",M22)+#REF!),M22)</f>
        <v>none</v>
      </c>
      <c r="O22" s="63" t="e">
        <f>FIND("effect:",N22)+7</f>
        <v>#VALUE!</v>
      </c>
      <c r="P22" s="63">
        <f>IFERROR(FIND(",",N22),LEN(N22))</f>
        <v>4</v>
      </c>
      <c r="Q22" s="63" t="e">
        <f>FIND("target:",N22)+7</f>
        <v>#VALUE!</v>
      </c>
      <c r="R22" s="63" t="e">
        <f>FIND(",",N22,P22+1)</f>
        <v>#VALUE!</v>
      </c>
      <c r="S22" s="63" t="str">
        <f>IFERROR(VLOOKUP(MID(N22,Q22,R22-Q22),[5]skilldef!$C:$D,2,FALSE),"-") &amp; " / " &amp; IFERROR(VLOOKUP(MID(N22,O22,P22-O22),[5]skilldef!$A:$B,2,FALSE),"-")</f>
        <v>- / -</v>
      </c>
      <c r="T22" s="48" t="str">
        <f>IFERROR(RIGHT(M22,LEN(M22)-FIND("],",M22)-1),"none")</f>
        <v>none</v>
      </c>
      <c r="U22" s="63" t="e">
        <f>FIND("effect:",T22)+7</f>
        <v>#VALUE!</v>
      </c>
      <c r="V22" s="63">
        <f>IFERROR(FIND(",",T22),LEN(T22))</f>
        <v>4</v>
      </c>
      <c r="W22" s="63" t="e">
        <f>FIND("target:",T22)+7</f>
        <v>#VALUE!</v>
      </c>
      <c r="X22" s="63" t="e">
        <f>FIND(",",T22,V22+1)</f>
        <v>#VALUE!</v>
      </c>
      <c r="Y22" s="63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47">
        <v>30035022</v>
      </c>
      <c r="B23" s="47" t="s">
        <v>278</v>
      </c>
      <c r="C23" s="50">
        <v>3</v>
      </c>
      <c r="D23" s="50" t="s">
        <v>128</v>
      </c>
      <c r="E23" s="51" t="s">
        <v>238</v>
      </c>
      <c r="F23" s="51" t="s">
        <v>246</v>
      </c>
      <c r="G23" s="63" t="str">
        <f t="shared" ref="G23:G27" si="45">IFERROR(LEFT(B23,FIND("],",B23)),B23)</f>
        <v>[effect:panel_freeze, target:block_red, color:block_red, count:3]</v>
      </c>
      <c r="H23" s="63">
        <f t="shared" ref="H23:H27" si="46">FIND("effect:",G23)+7</f>
        <v>9</v>
      </c>
      <c r="I23" s="63">
        <f t="shared" ref="I23:I27" si="47">IFERROR(FIND(",",G23),LEN(G23))</f>
        <v>21</v>
      </c>
      <c r="J23" s="63">
        <f t="shared" ref="J23:J27" si="48">FIND("target:",G23)+7</f>
        <v>30</v>
      </c>
      <c r="K23" s="63">
        <f t="shared" ref="K23:K27" si="49">FIND(",",G23,I23+1)</f>
        <v>39</v>
      </c>
      <c r="L23" s="63" t="str">
        <f>IFERROR(VLOOKUP(MID(G23,J23,K23-J23),[5]skilldef!$C:$D,2,FALSE),"-") &amp; " / " &amp; IFERROR(VLOOKUP(MID(G23,H23,I23-H23),[5]skilldef!$A:$B,2,FALSE),"-")</f>
        <v>赤パネルを / -</v>
      </c>
      <c r="M23" s="63" t="str">
        <f t="shared" ref="M23:M27" si="50">IFERROR(RIGHT(B23,LEN(B23)-FIND("],",B23)-1),"none")</f>
        <v>[effect:panel_freeze, target:block_blue, color:block_blue, count:3],[effect:panel_freeze, target:block_green, color:block_green, count:3],[effect:panel_freeze, target:block_yellow, color:block_yellow, count:3],[effect:panel_freeze, target:block_heart, color:block_heart, count:3],[effect:panel_freeze, target:crash, count:3],[effect:panel_freeze, target:crack_bomb, count:3]</v>
      </c>
      <c r="N23" s="48" t="str">
        <f>IFERROR(LEFT(M23,FIND("],",M23)+S32),M23)</f>
        <v>[effect:panel_freeze, target:block_blue, color:block_blue, count:3]</v>
      </c>
      <c r="O23" s="63">
        <f t="shared" ref="O23:O27" si="51">FIND("effect:",N23)+7</f>
        <v>9</v>
      </c>
      <c r="P23" s="63">
        <f t="shared" ref="P23:P27" si="52">IFERROR(FIND(",",N23),LEN(N23))</f>
        <v>21</v>
      </c>
      <c r="Q23" s="63">
        <f t="shared" ref="Q23:Q27" si="53">FIND("target:",N23)+7</f>
        <v>30</v>
      </c>
      <c r="R23" s="63">
        <f t="shared" ref="R23:R27" si="54">FIND(",",N23,P23+1)</f>
        <v>40</v>
      </c>
      <c r="S23" s="63" t="str">
        <f>IFERROR(VLOOKUP(MID(N23,Q23,R23-Q23),[5]skilldef!$C:$D,2,FALSE),"-") &amp; " / " &amp; IFERROR(VLOOKUP(MID(N23,O23,P23-O23),[5]skilldef!$A:$B,2,FALSE),"-")</f>
        <v>青パネルを / -</v>
      </c>
      <c r="T23" s="48" t="str">
        <f t="shared" ref="T23:T27" si="55">IFERROR(RIGHT(M23,LEN(M23)-FIND("],",M23)-1),"none")</f>
        <v>[effect:panel_freeze, target:block_green, color:block_green, count:3],[effect:panel_freeze, target:block_yellow, color:block_yellow, count:3],[effect:panel_freeze, target:block_heart, color:block_heart, count:3],[effect:panel_freeze, target:crash, count:3],[effect:panel_freeze, target:crack_bomb, count:3]</v>
      </c>
      <c r="U23" s="63">
        <f t="shared" ref="U23:U27" si="56">FIND("effect:",T23)+7</f>
        <v>9</v>
      </c>
      <c r="V23" s="63">
        <f t="shared" ref="V23:V27" si="57">IFERROR(FIND(",",T23),LEN(T23))</f>
        <v>21</v>
      </c>
      <c r="W23" s="63">
        <f t="shared" ref="W23:W27" si="58">FIND("target:",T23)+7</f>
        <v>30</v>
      </c>
      <c r="X23" s="63">
        <f t="shared" ref="X23:X27" si="59">FIND(",",T23,V23+1)</f>
        <v>41</v>
      </c>
      <c r="Y23" s="63" t="str">
        <f>IFERROR(VLOOKUP(MID(T23,W23,X23-W23),[5]skilldef!$C:$D,2,FALSE),"-") &amp; " / " &amp; IFERROR(VLOOKUP(MID(T23,U23,V23-U23),[5]skilldef!$A:$B,2,FALSE),"-")</f>
        <v>緑パネルを / -</v>
      </c>
      <c r="Z23" s="50"/>
      <c r="AA23" s="52"/>
      <c r="AB23" s="50"/>
    </row>
    <row r="24" spans="1:28" ht="21" customHeight="1" x14ac:dyDescent="0.15">
      <c r="A24" s="47">
        <v>30035023</v>
      </c>
      <c r="B24" s="47" t="s">
        <v>223</v>
      </c>
      <c r="C24" s="50">
        <v>3</v>
      </c>
      <c r="D24" s="50" t="s">
        <v>128</v>
      </c>
      <c r="E24" s="51" t="s">
        <v>249</v>
      </c>
      <c r="F24" s="51" t="s">
        <v>222</v>
      </c>
      <c r="G24" s="63" t="str">
        <f t="shared" si="45"/>
        <v>[effect:spread, val:0.25]</v>
      </c>
      <c r="H24" s="63">
        <f t="shared" si="46"/>
        <v>9</v>
      </c>
      <c r="I24" s="63">
        <f t="shared" si="47"/>
        <v>15</v>
      </c>
      <c r="J24" s="63" t="e">
        <f t="shared" si="48"/>
        <v>#VALUE!</v>
      </c>
      <c r="K24" s="63" t="e">
        <f t="shared" si="49"/>
        <v>#VALUE!</v>
      </c>
      <c r="L24" s="63" t="str">
        <f>IFERROR(VLOOKUP(MID(G24,J24,K24-J24),[5]skilldef!$C:$D,2,FALSE),"-") &amp; " / " &amp; IFERROR(VLOOKUP(MID(G24,H24,I24-H24),[5]skilldef!$A:$B,2,FALSE),"-")</f>
        <v>- / 全体攻撃</v>
      </c>
      <c r="M24" s="63" t="str">
        <f t="shared" si="50"/>
        <v>none</v>
      </c>
      <c r="N24" s="48" t="str">
        <f>IFERROR(LEFT(M24,FIND("],",M24)+S32),M24)</f>
        <v>none</v>
      </c>
      <c r="O24" s="63" t="e">
        <f t="shared" si="51"/>
        <v>#VALUE!</v>
      </c>
      <c r="P24" s="63">
        <f t="shared" si="52"/>
        <v>4</v>
      </c>
      <c r="Q24" s="63" t="e">
        <f t="shared" si="53"/>
        <v>#VALUE!</v>
      </c>
      <c r="R24" s="63" t="e">
        <f t="shared" si="54"/>
        <v>#VALUE!</v>
      </c>
      <c r="S24" s="63" t="str">
        <f>IFERROR(VLOOKUP(MID(N24,Q24,R24-Q24),[5]skilldef!$C:$D,2,FALSE),"-") &amp; " / " &amp; IFERROR(VLOOKUP(MID(N24,O24,P24-O24),[5]skilldef!$A:$B,2,FALSE),"-")</f>
        <v>- / -</v>
      </c>
      <c r="T24" s="48" t="str">
        <f t="shared" si="55"/>
        <v>none</v>
      </c>
      <c r="U24" s="63" t="e">
        <f t="shared" si="56"/>
        <v>#VALUE!</v>
      </c>
      <c r="V24" s="63">
        <f t="shared" si="57"/>
        <v>4</v>
      </c>
      <c r="W24" s="63" t="e">
        <f t="shared" si="58"/>
        <v>#VALUE!</v>
      </c>
      <c r="X24" s="63" t="e">
        <f t="shared" si="59"/>
        <v>#VALUE!</v>
      </c>
      <c r="Y24" s="63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47">
        <v>30035024</v>
      </c>
      <c r="B25" s="47" t="s">
        <v>279</v>
      </c>
      <c r="C25" s="50">
        <v>3</v>
      </c>
      <c r="D25" s="50" t="s">
        <v>128</v>
      </c>
      <c r="E25" s="51" t="s">
        <v>260</v>
      </c>
      <c r="F25" s="51" t="s">
        <v>233</v>
      </c>
      <c r="G25" s="63" t="str">
        <f t="shared" si="45"/>
        <v>[effect:force_change_block, new_block:time_bomb, target:block_green, count:0, val:0.15, min_time_count:4, max_time_count:4, animation:change_block]</v>
      </c>
      <c r="H25" s="63">
        <f t="shared" si="46"/>
        <v>9</v>
      </c>
      <c r="I25" s="63">
        <f t="shared" si="47"/>
        <v>27</v>
      </c>
      <c r="J25" s="63">
        <f t="shared" si="48"/>
        <v>57</v>
      </c>
      <c r="K25" s="63">
        <f t="shared" si="49"/>
        <v>48</v>
      </c>
      <c r="L25" s="63" t="str">
        <f>IFERROR(VLOOKUP(MID(G25,J25,K25-J25),[5]skilldef!$C:$D,2,FALSE),"-") &amp; " / " &amp; IFERROR(VLOOKUP(MID(G25,H25,I25-H25),[5]skilldef!$A:$B,2,FALSE),"-")</f>
        <v>- / -</v>
      </c>
      <c r="M25" s="63" t="str">
        <f t="shared" si="50"/>
        <v>[effect:force_change_block, new_block:time_bomb, target:block_heart, count:0, val:0.2, min_time_count:4, max_time_count:4, animation:change_block]</v>
      </c>
      <c r="N25" s="48" t="str">
        <f>IFERROR(LEFT(M25,FIND("],",M25)+S34),M25)</f>
        <v>[effect:force_change_block, new_block:time_bomb, target:block_heart, count:0, val:0.2, min_time_count:4, max_time_count:4, animation:change_block]</v>
      </c>
      <c r="O25" s="63">
        <f t="shared" si="51"/>
        <v>9</v>
      </c>
      <c r="P25" s="63">
        <f t="shared" si="52"/>
        <v>27</v>
      </c>
      <c r="Q25" s="63">
        <f t="shared" si="53"/>
        <v>57</v>
      </c>
      <c r="R25" s="63">
        <f t="shared" si="54"/>
        <v>48</v>
      </c>
      <c r="S25" s="63" t="str">
        <f>IFERROR(VLOOKUP(MID(N25,Q25,R25-Q25),[5]skilldef!$C:$D,2,FALSE),"-") &amp; " / " &amp; IFERROR(VLOOKUP(MID(N25,O25,P25-O25),[5]skilldef!$A:$B,2,FALSE),"-")</f>
        <v>- / -</v>
      </c>
      <c r="T25" s="48" t="str">
        <f t="shared" si="55"/>
        <v>none</v>
      </c>
      <c r="U25" s="63" t="e">
        <f t="shared" si="56"/>
        <v>#VALUE!</v>
      </c>
      <c r="V25" s="63">
        <f t="shared" si="57"/>
        <v>4</v>
      </c>
      <c r="W25" s="63" t="e">
        <f t="shared" si="58"/>
        <v>#VALUE!</v>
      </c>
      <c r="X25" s="63" t="e">
        <f t="shared" si="59"/>
        <v>#VALUE!</v>
      </c>
      <c r="Y25" s="63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47">
        <v>30035025</v>
      </c>
      <c r="B26" s="47" t="s">
        <v>280</v>
      </c>
      <c r="C26" s="50">
        <v>3</v>
      </c>
      <c r="D26" s="50" t="s">
        <v>128</v>
      </c>
      <c r="E26" s="51" t="s">
        <v>252</v>
      </c>
      <c r="F26" s="51" t="s">
        <v>281</v>
      </c>
      <c r="G26" s="63" t="str">
        <f t="shared" si="45"/>
        <v>[effect:enhance_enemy, target:myself, turn:-1, status:defense, val:1500, calc:add, animation:enemy_enhance_defense]</v>
      </c>
      <c r="H26" s="63">
        <f t="shared" si="46"/>
        <v>9</v>
      </c>
      <c r="I26" s="63">
        <f t="shared" si="47"/>
        <v>22</v>
      </c>
      <c r="J26" s="63">
        <f t="shared" si="48"/>
        <v>31</v>
      </c>
      <c r="K26" s="63">
        <f t="shared" si="49"/>
        <v>37</v>
      </c>
      <c r="L26" s="63" t="str">
        <f>IFERROR(VLOOKUP(MID(G26,J26,K26-J26),[5]skilldef!$C:$D,2,FALSE),"-") &amp; " / " &amp; IFERROR(VLOOKUP(MID(G26,H26,I26-H26),[5]skilldef!$A:$B,2,FALSE),"-")</f>
        <v>自分自身に / ステータス強化</v>
      </c>
      <c r="M26" s="63" t="str">
        <f t="shared" si="50"/>
        <v>none</v>
      </c>
      <c r="N26" s="48" t="str">
        <f>IFERROR(LEFT(M26,FIND("],",M26)+S35),M26)</f>
        <v>none</v>
      </c>
      <c r="O26" s="63" t="e">
        <f t="shared" si="51"/>
        <v>#VALUE!</v>
      </c>
      <c r="P26" s="63">
        <f t="shared" si="52"/>
        <v>4</v>
      </c>
      <c r="Q26" s="63" t="e">
        <f t="shared" si="53"/>
        <v>#VALUE!</v>
      </c>
      <c r="R26" s="63" t="e">
        <f t="shared" si="54"/>
        <v>#VALUE!</v>
      </c>
      <c r="S26" s="63" t="str">
        <f>IFERROR(VLOOKUP(MID(N26,Q26,R26-Q26),[5]skilldef!$C:$D,2,FALSE),"-") &amp; " / " &amp; IFERROR(VLOOKUP(MID(N26,O26,P26-O26),[5]skilldef!$A:$B,2,FALSE),"-")</f>
        <v>- / -</v>
      </c>
      <c r="T26" s="48" t="str">
        <f t="shared" si="55"/>
        <v>none</v>
      </c>
      <c r="U26" s="63" t="e">
        <f t="shared" si="56"/>
        <v>#VALUE!</v>
      </c>
      <c r="V26" s="63">
        <f t="shared" si="57"/>
        <v>4</v>
      </c>
      <c r="W26" s="63" t="e">
        <f t="shared" si="58"/>
        <v>#VALUE!</v>
      </c>
      <c r="X26" s="63" t="e">
        <f t="shared" si="59"/>
        <v>#VALUE!</v>
      </c>
      <c r="Y26" s="63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47">
        <v>30035026</v>
      </c>
      <c r="B27" s="47" t="s">
        <v>226</v>
      </c>
      <c r="C27" s="50">
        <v>3</v>
      </c>
      <c r="D27" s="50" t="s">
        <v>128</v>
      </c>
      <c r="E27" s="51" t="s">
        <v>265</v>
      </c>
      <c r="F27" s="51" t="s">
        <v>222</v>
      </c>
      <c r="G27" s="63" t="str">
        <f t="shared" si="45"/>
        <v>[effect:spread, val:0.3]</v>
      </c>
      <c r="H27" s="63">
        <f t="shared" si="46"/>
        <v>9</v>
      </c>
      <c r="I27" s="63">
        <f t="shared" si="47"/>
        <v>15</v>
      </c>
      <c r="J27" s="63" t="e">
        <f t="shared" si="48"/>
        <v>#VALUE!</v>
      </c>
      <c r="K27" s="63" t="e">
        <f t="shared" si="49"/>
        <v>#VALUE!</v>
      </c>
      <c r="L27" s="63" t="str">
        <f>IFERROR(VLOOKUP(MID(G27,J27,K27-J27),[5]skilldef!$C:$D,2,FALSE),"-") &amp; " / " &amp; IFERROR(VLOOKUP(MID(G27,H27,I27-H27),[5]skilldef!$A:$B,2,FALSE),"-")</f>
        <v>- / 全体攻撃</v>
      </c>
      <c r="M27" s="63" t="str">
        <f t="shared" si="50"/>
        <v>none</v>
      </c>
      <c r="N27" s="48" t="str">
        <f>IFERROR(LEFT(M27,FIND("],",M27)+S36),M27)</f>
        <v>none</v>
      </c>
      <c r="O27" s="63" t="e">
        <f t="shared" si="51"/>
        <v>#VALUE!</v>
      </c>
      <c r="P27" s="63">
        <f t="shared" si="52"/>
        <v>4</v>
      </c>
      <c r="Q27" s="63" t="e">
        <f t="shared" si="53"/>
        <v>#VALUE!</v>
      </c>
      <c r="R27" s="63" t="e">
        <f t="shared" si="54"/>
        <v>#VALUE!</v>
      </c>
      <c r="S27" s="63" t="str">
        <f>IFERROR(VLOOKUP(MID(N27,Q27,R27-Q27),[5]skilldef!$C:$D,2,FALSE),"-") &amp; " / " &amp; IFERROR(VLOOKUP(MID(N27,O27,P27-O27),[5]skilldef!$A:$B,2,FALSE),"-")</f>
        <v>- / -</v>
      </c>
      <c r="T27" s="48" t="str">
        <f t="shared" si="55"/>
        <v>none</v>
      </c>
      <c r="U27" s="63" t="e">
        <f t="shared" si="56"/>
        <v>#VALUE!</v>
      </c>
      <c r="V27" s="63">
        <f t="shared" si="57"/>
        <v>4</v>
      </c>
      <c r="W27" s="63" t="e">
        <f t="shared" si="58"/>
        <v>#VALUE!</v>
      </c>
      <c r="X27" s="63" t="e">
        <f t="shared" si="59"/>
        <v>#VALUE!</v>
      </c>
      <c r="Y27" s="63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8"/>
  <sheetViews>
    <sheetView showGridLines="0" zoomScale="75" zoomScaleNormal="75" zoomScalePageLayoutView="75" workbookViewId="0">
      <pane ySplit="1" topLeftCell="A2" activePane="bottomLeft" state="frozenSplit"/>
      <selection pane="bottomLeft" activeCell="C19" sqref="C19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30035001</v>
      </c>
      <c r="B2" s="47">
        <v>0</v>
      </c>
      <c r="C2" s="47" t="s">
        <v>89</v>
      </c>
      <c r="D2" s="47">
        <v>40</v>
      </c>
      <c r="E2" s="47" t="s">
        <v>227</v>
      </c>
      <c r="F2" s="47" t="s">
        <v>227</v>
      </c>
      <c r="G2" s="47" t="s">
        <v>227</v>
      </c>
      <c r="H2" s="47" t="s">
        <v>90</v>
      </c>
      <c r="I2" s="47" t="s">
        <v>90</v>
      </c>
      <c r="J2" s="48">
        <f t="shared" ref="J2" si="0">D2</f>
        <v>40</v>
      </c>
    </row>
    <row r="3" spans="1:11" ht="21" customHeight="1" x14ac:dyDescent="0.15">
      <c r="A3" s="47">
        <v>30035002</v>
      </c>
      <c r="B3" s="47">
        <v>0</v>
      </c>
      <c r="C3" s="47" t="s">
        <v>53</v>
      </c>
      <c r="D3" s="47">
        <v>100</v>
      </c>
      <c r="E3" s="47" t="s">
        <v>227</v>
      </c>
      <c r="F3" s="47" t="s">
        <v>227</v>
      </c>
      <c r="G3" s="47" t="s">
        <v>227</v>
      </c>
      <c r="H3" s="47">
        <v>2</v>
      </c>
      <c r="I3" s="47" t="s">
        <v>53</v>
      </c>
      <c r="J3" s="48">
        <f t="shared" ref="J3:J11" si="1">D3</f>
        <v>100</v>
      </c>
    </row>
    <row r="4" spans="1:11" ht="21" customHeight="1" x14ac:dyDescent="0.15">
      <c r="A4" s="47">
        <v>30035003</v>
      </c>
      <c r="B4" s="47">
        <v>0</v>
      </c>
      <c r="C4" s="47" t="s">
        <v>53</v>
      </c>
      <c r="D4" s="47">
        <v>100</v>
      </c>
      <c r="E4" s="47" t="s">
        <v>227</v>
      </c>
      <c r="F4" s="47" t="s">
        <v>227</v>
      </c>
      <c r="G4" s="47" t="s">
        <v>227</v>
      </c>
      <c r="H4" s="47">
        <v>3</v>
      </c>
      <c r="I4" s="47" t="s">
        <v>53</v>
      </c>
      <c r="J4" s="48">
        <f t="shared" si="1"/>
        <v>100</v>
      </c>
    </row>
    <row r="5" spans="1:11" ht="21" customHeight="1" x14ac:dyDescent="0.15">
      <c r="A5" s="47">
        <v>30035004</v>
      </c>
      <c r="B5" s="47">
        <v>0</v>
      </c>
      <c r="C5" s="47" t="s">
        <v>53</v>
      </c>
      <c r="D5" s="47">
        <v>30</v>
      </c>
      <c r="E5" s="47" t="s">
        <v>227</v>
      </c>
      <c r="F5" s="47" t="s">
        <v>227</v>
      </c>
      <c r="G5" s="47" t="s">
        <v>227</v>
      </c>
      <c r="H5" s="47" t="s">
        <v>53</v>
      </c>
      <c r="I5" s="47" t="s">
        <v>53</v>
      </c>
      <c r="J5" s="48">
        <f t="shared" si="1"/>
        <v>30</v>
      </c>
    </row>
    <row r="6" spans="1:11" ht="21" customHeight="1" x14ac:dyDescent="0.15">
      <c r="A6" s="47">
        <v>30035005</v>
      </c>
      <c r="B6" s="47">
        <v>0</v>
      </c>
      <c r="C6" s="47" t="s">
        <v>53</v>
      </c>
      <c r="D6" s="47">
        <v>100</v>
      </c>
      <c r="E6" s="47" t="s">
        <v>227</v>
      </c>
      <c r="F6" s="47" t="s">
        <v>227</v>
      </c>
      <c r="G6" s="47" t="s">
        <v>227</v>
      </c>
      <c r="H6" s="47" t="s">
        <v>53</v>
      </c>
      <c r="I6" s="47" t="s">
        <v>53</v>
      </c>
      <c r="J6" s="48">
        <f t="shared" si="1"/>
        <v>100</v>
      </c>
    </row>
    <row r="7" spans="1:11" ht="21" customHeight="1" x14ac:dyDescent="0.15">
      <c r="A7" s="47">
        <v>30035006</v>
      </c>
      <c r="B7" s="47">
        <v>1</v>
      </c>
      <c r="C7" s="47" t="s">
        <v>53</v>
      </c>
      <c r="D7" s="47">
        <v>100</v>
      </c>
      <c r="E7" s="47" t="s">
        <v>227</v>
      </c>
      <c r="F7" s="47" t="s">
        <v>227</v>
      </c>
      <c r="G7" s="47">
        <v>1</v>
      </c>
      <c r="H7" s="47" t="s">
        <v>53</v>
      </c>
      <c r="I7" s="47" t="s">
        <v>53</v>
      </c>
      <c r="J7" s="48">
        <f t="shared" si="1"/>
        <v>100</v>
      </c>
    </row>
    <row r="8" spans="1:11" ht="21" customHeight="1" x14ac:dyDescent="0.15">
      <c r="A8" s="47">
        <v>30035007</v>
      </c>
      <c r="B8" s="47">
        <v>0</v>
      </c>
      <c r="C8" s="47" t="s">
        <v>53</v>
      </c>
      <c r="D8" s="47">
        <v>100</v>
      </c>
      <c r="E8" s="47" t="s">
        <v>227</v>
      </c>
      <c r="F8" s="47" t="s">
        <v>227</v>
      </c>
      <c r="G8" s="47" t="s">
        <v>227</v>
      </c>
      <c r="H8" s="47" t="s">
        <v>53</v>
      </c>
      <c r="I8" s="47" t="s">
        <v>53</v>
      </c>
      <c r="J8" s="48">
        <f>D8</f>
        <v>100</v>
      </c>
    </row>
    <row r="9" spans="1:11" ht="21" customHeight="1" x14ac:dyDescent="0.15">
      <c r="A9" s="47">
        <v>30035008</v>
      </c>
      <c r="B9" s="47">
        <v>0</v>
      </c>
      <c r="C9" s="47" t="s">
        <v>53</v>
      </c>
      <c r="D9" s="47">
        <v>100</v>
      </c>
      <c r="E9" s="47" t="s">
        <v>227</v>
      </c>
      <c r="F9" s="47" t="s">
        <v>227</v>
      </c>
      <c r="G9" s="47" t="s">
        <v>227</v>
      </c>
      <c r="H9" s="47">
        <v>2</v>
      </c>
      <c r="I9" s="47" t="s">
        <v>53</v>
      </c>
      <c r="J9" s="48">
        <f t="shared" si="1"/>
        <v>100</v>
      </c>
    </row>
    <row r="10" spans="1:11" ht="21" customHeight="1" x14ac:dyDescent="0.15">
      <c r="A10" s="47">
        <v>30035009</v>
      </c>
      <c r="B10" s="47">
        <v>0</v>
      </c>
      <c r="C10" s="47" t="s">
        <v>53</v>
      </c>
      <c r="D10" s="47">
        <v>30</v>
      </c>
      <c r="E10" s="47" t="s">
        <v>227</v>
      </c>
      <c r="F10" s="47" t="s">
        <v>227</v>
      </c>
      <c r="G10" s="47" t="s">
        <v>227</v>
      </c>
      <c r="H10" s="47" t="s">
        <v>53</v>
      </c>
      <c r="I10" s="47" t="s">
        <v>53</v>
      </c>
      <c r="J10" s="48">
        <f t="shared" si="1"/>
        <v>30</v>
      </c>
    </row>
    <row r="11" spans="1:11" ht="21" customHeight="1" x14ac:dyDescent="0.15">
      <c r="A11" s="47">
        <v>30035010</v>
      </c>
      <c r="B11" s="47">
        <v>0</v>
      </c>
      <c r="C11" s="47" t="s">
        <v>53</v>
      </c>
      <c r="D11" s="47">
        <v>100</v>
      </c>
      <c r="E11" s="47" t="s">
        <v>227</v>
      </c>
      <c r="F11" s="47" t="s">
        <v>227</v>
      </c>
      <c r="G11" s="47" t="s">
        <v>227</v>
      </c>
      <c r="H11" s="47" t="s">
        <v>53</v>
      </c>
      <c r="I11" s="47" t="s">
        <v>53</v>
      </c>
      <c r="J11" s="48">
        <f t="shared" si="1"/>
        <v>100</v>
      </c>
    </row>
    <row r="12" spans="1:11" ht="21" customHeight="1" x14ac:dyDescent="0.15">
      <c r="A12" s="47">
        <v>30035011</v>
      </c>
      <c r="B12" s="47">
        <v>1</v>
      </c>
      <c r="C12" s="47" t="s">
        <v>53</v>
      </c>
      <c r="D12" s="47">
        <v>100</v>
      </c>
      <c r="E12" s="47" t="s">
        <v>227</v>
      </c>
      <c r="F12" s="47" t="s">
        <v>227</v>
      </c>
      <c r="G12" s="47">
        <v>1</v>
      </c>
      <c r="H12" s="47" t="s">
        <v>53</v>
      </c>
      <c r="I12" s="47" t="s">
        <v>53</v>
      </c>
      <c r="J12" s="48">
        <f t="shared" ref="J12:J15" si="2">D12</f>
        <v>100</v>
      </c>
    </row>
    <row r="13" spans="1:11" ht="21" customHeight="1" x14ac:dyDescent="0.15">
      <c r="A13" s="47">
        <v>30035012</v>
      </c>
      <c r="B13" s="47">
        <v>0</v>
      </c>
      <c r="C13" s="47" t="s">
        <v>53</v>
      </c>
      <c r="D13" s="47">
        <v>100</v>
      </c>
      <c r="E13" s="47" t="s">
        <v>227</v>
      </c>
      <c r="F13" s="47" t="s">
        <v>227</v>
      </c>
      <c r="G13" s="47">
        <v>1</v>
      </c>
      <c r="H13" s="47">
        <v>2</v>
      </c>
      <c r="I13" s="47" t="s">
        <v>53</v>
      </c>
      <c r="J13" s="48">
        <f t="shared" si="2"/>
        <v>100</v>
      </c>
    </row>
    <row r="14" spans="1:11" ht="21" customHeight="1" x14ac:dyDescent="0.15">
      <c r="A14" s="47">
        <v>30035013</v>
      </c>
      <c r="B14" s="47">
        <v>0</v>
      </c>
      <c r="C14" s="47">
        <v>1</v>
      </c>
      <c r="D14" s="47">
        <v>100</v>
      </c>
      <c r="E14" s="47">
        <v>50</v>
      </c>
      <c r="F14" s="47" t="s">
        <v>227</v>
      </c>
      <c r="G14" s="47">
        <v>1</v>
      </c>
      <c r="H14" s="47">
        <v>1</v>
      </c>
      <c r="I14" s="47" t="s">
        <v>53</v>
      </c>
      <c r="J14" s="48">
        <f t="shared" si="2"/>
        <v>100</v>
      </c>
    </row>
    <row r="15" spans="1:11" ht="21" customHeight="1" x14ac:dyDescent="0.15">
      <c r="A15" s="47">
        <v>30035014</v>
      </c>
      <c r="B15" s="47">
        <v>0</v>
      </c>
      <c r="C15" s="47" t="s">
        <v>53</v>
      </c>
      <c r="D15" s="47">
        <v>30</v>
      </c>
      <c r="E15" s="47">
        <v>50</v>
      </c>
      <c r="F15" s="47" t="s">
        <v>227</v>
      </c>
      <c r="G15" s="47" t="s">
        <v>227</v>
      </c>
      <c r="H15" s="47">
        <v>1</v>
      </c>
      <c r="I15" s="47" t="s">
        <v>53</v>
      </c>
      <c r="J15" s="48">
        <f t="shared" si="2"/>
        <v>30</v>
      </c>
    </row>
    <row r="16" spans="1:11" ht="21" customHeight="1" x14ac:dyDescent="0.15">
      <c r="A16" s="47">
        <v>30035015</v>
      </c>
      <c r="B16" s="47">
        <v>0</v>
      </c>
      <c r="C16" s="47" t="s">
        <v>53</v>
      </c>
      <c r="D16" s="47">
        <v>100</v>
      </c>
      <c r="E16" s="47">
        <v>50</v>
      </c>
      <c r="F16" s="47" t="s">
        <v>90</v>
      </c>
      <c r="G16" s="47" t="s">
        <v>90</v>
      </c>
      <c r="H16" s="47">
        <v>1</v>
      </c>
      <c r="I16" s="47" t="s">
        <v>53</v>
      </c>
      <c r="J16" s="48">
        <f t="shared" ref="J16" si="3">D16</f>
        <v>100</v>
      </c>
    </row>
    <row r="17" spans="1:10" ht="21" customHeight="1" x14ac:dyDescent="0.15">
      <c r="A17" s="47">
        <v>30035016</v>
      </c>
      <c r="B17" s="47">
        <v>0</v>
      </c>
      <c r="C17" s="47" t="s">
        <v>53</v>
      </c>
      <c r="D17" s="47">
        <v>100</v>
      </c>
      <c r="E17" s="47" t="s">
        <v>53</v>
      </c>
      <c r="F17" s="47" t="s">
        <v>227</v>
      </c>
      <c r="G17" s="47">
        <v>0</v>
      </c>
      <c r="H17" s="47" t="s">
        <v>230</v>
      </c>
      <c r="I17" s="47">
        <v>865</v>
      </c>
      <c r="J17" s="48">
        <f t="shared" ref="J17" si="4">D17</f>
        <v>100</v>
      </c>
    </row>
    <row r="18" spans="1:10" ht="21" customHeight="1" x14ac:dyDescent="0.15">
      <c r="A18" s="47">
        <v>30035017</v>
      </c>
      <c r="B18" s="47">
        <v>0</v>
      </c>
      <c r="C18" s="47" t="s">
        <v>53</v>
      </c>
      <c r="D18" s="47">
        <v>100</v>
      </c>
      <c r="E18" s="47" t="s">
        <v>53</v>
      </c>
      <c r="F18" s="47" t="s">
        <v>227</v>
      </c>
      <c r="G18" s="47">
        <v>0</v>
      </c>
      <c r="H18" s="47" t="s">
        <v>230</v>
      </c>
      <c r="I18" s="47">
        <v>864</v>
      </c>
      <c r="J18" s="48">
        <f t="shared" ref="J18" si="5">D18</f>
        <v>100</v>
      </c>
    </row>
  </sheetData>
  <autoFilter ref="A1:G1"/>
  <phoneticPr fontId="5"/>
  <conditionalFormatting sqref="K19:K1048576 K1:K2">
    <cfRule type="duplicateValues" dxfId="16" priority="18"/>
  </conditionalFormatting>
  <conditionalFormatting sqref="K3">
    <cfRule type="duplicateValues" dxfId="15" priority="17"/>
  </conditionalFormatting>
  <conditionalFormatting sqref="K4">
    <cfRule type="duplicateValues" dxfId="14" priority="16"/>
  </conditionalFormatting>
  <conditionalFormatting sqref="K5">
    <cfRule type="duplicateValues" dxfId="13" priority="15"/>
  </conditionalFormatting>
  <conditionalFormatting sqref="K6">
    <cfRule type="duplicateValues" dxfId="12" priority="14"/>
  </conditionalFormatting>
  <conditionalFormatting sqref="K7">
    <cfRule type="duplicateValues" dxfId="11" priority="13"/>
  </conditionalFormatting>
  <conditionalFormatting sqref="K9">
    <cfRule type="duplicateValues" dxfId="10" priority="12"/>
  </conditionalFormatting>
  <conditionalFormatting sqref="K8">
    <cfRule type="duplicateValues" dxfId="9" priority="11"/>
  </conditionalFormatting>
  <conditionalFormatting sqref="K10">
    <cfRule type="duplicateValues" dxfId="8" priority="10"/>
  </conditionalFormatting>
  <conditionalFormatting sqref="K11">
    <cfRule type="duplicateValues" dxfId="7" priority="9"/>
  </conditionalFormatting>
  <conditionalFormatting sqref="K12">
    <cfRule type="duplicateValues" dxfId="6" priority="8"/>
  </conditionalFormatting>
  <conditionalFormatting sqref="K13">
    <cfRule type="duplicateValues" dxfId="5" priority="7"/>
  </conditionalFormatting>
  <conditionalFormatting sqref="K14">
    <cfRule type="duplicateValues" dxfId="4" priority="6"/>
  </conditionalFormatting>
  <conditionalFormatting sqref="K15">
    <cfRule type="duplicateValues" dxfId="3" priority="5"/>
  </conditionalFormatting>
  <conditionalFormatting sqref="K17">
    <cfRule type="duplicateValues" dxfId="2" priority="4"/>
  </conditionalFormatting>
  <conditionalFormatting sqref="K18">
    <cfRule type="duplicateValues" dxfId="1" priority="3"/>
  </conditionalFormatting>
  <conditionalFormatting sqref="K1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7"/>
  <sheetViews>
    <sheetView showGridLines="0" zoomScale="90" zoomScaleNormal="90" zoomScalePageLayoutView="90" workbookViewId="0">
      <pane xSplit="5" ySplit="1" topLeftCell="F4" activePane="bottomRight" state="frozen"/>
      <selection pane="topRight"/>
      <selection pane="bottomLeft"/>
      <selection pane="bottomRight" activeCell="F25" sqref="F25:F26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30035001_30035001</v>
      </c>
      <c r="B2" s="47">
        <v>30035001</v>
      </c>
      <c r="C2" s="47">
        <v>30035001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二連爪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" s="47">
        <v>30035001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" s="47"/>
      <c r="Q2" s="47"/>
      <c r="R2" s="47"/>
    </row>
    <row r="3" spans="1:18" ht="21" customHeight="1" x14ac:dyDescent="0.15">
      <c r="A3" s="39" t="str">
        <f t="shared" ref="A3:A11" si="1">B3&amp;"_"&amp;C3</f>
        <v>30035002_30035002</v>
      </c>
      <c r="B3" s="47">
        <v>30035002</v>
      </c>
      <c r="C3" s="47">
        <v>30035002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沈黙音波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2ターンスキルが使えない！</v>
      </c>
      <c r="F3" s="47">
        <v>30035002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30035003_30035003</v>
      </c>
      <c r="B4" s="47">
        <v>30035003</v>
      </c>
      <c r="C4" s="47">
        <v>30035003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崩壊の星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ランダムなパネルを5個時限式ダメージパネルに変換</v>
      </c>
      <c r="F4" s="47">
        <v>30035003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30035003_30035004</v>
      </c>
      <c r="B5" s="47">
        <v>30035003</v>
      </c>
      <c r="C5" s="47">
        <v>30035004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天罰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" s="47">
        <v>30035004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" s="47"/>
      <c r="Q5" s="47"/>
      <c r="R5" s="47"/>
    </row>
    <row r="6" spans="1:18" ht="21" customHeight="1" x14ac:dyDescent="0.15">
      <c r="A6" s="39" t="str">
        <f t="shared" si="1"/>
        <v>30035004_30035005</v>
      </c>
      <c r="B6" s="47">
        <v>30035004</v>
      </c>
      <c r="C6" s="47">
        <v>30035005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シャークダイブ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47">
        <v>30035005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30035005_30035006</v>
      </c>
      <c r="B7" s="47">
        <v>30035005</v>
      </c>
      <c r="C7" s="47">
        <v>30035006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亀の防壁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解除されるまで防御力超大UP</v>
      </c>
      <c r="F7" s="47">
        <v>30035006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30035005_30035007</v>
      </c>
      <c r="B8" s="47">
        <v>30035005</v>
      </c>
      <c r="C8" s="47">
        <v>30035007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兎の手癖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黄パネルを5個時限式ダメージパネルに変換</v>
      </c>
      <c r="F8" s="47">
        <v>30035007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30035005_30035008</v>
      </c>
      <c r="B9" s="47">
        <v>30035005</v>
      </c>
      <c r="C9" s="47">
        <v>30035008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ブービートラップ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時限式ダメージパネル以外パネルプロテクト状態</v>
      </c>
      <c r="F9" s="47">
        <v>30035008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30035006_30035009</v>
      </c>
      <c r="B10" s="47">
        <v>30035006</v>
      </c>
      <c r="C10" s="47">
        <v>30035009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暴飲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黄パネル吸収攻撃（最大12個まで）</v>
      </c>
      <c r="F10" s="47">
        <v>30035009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" s="47"/>
      <c r="Q10" s="47"/>
      <c r="R10" s="47"/>
    </row>
    <row r="11" spans="1:18" ht="21" customHeight="1" x14ac:dyDescent="0.15">
      <c r="A11" s="39" t="str">
        <f t="shared" si="1"/>
        <v>30035006_30035010</v>
      </c>
      <c r="B11" s="47">
        <v>30035006</v>
      </c>
      <c r="C11" s="47">
        <v>30035010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大きなため息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" s="47">
        <v>30035010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:A17" si="2">B12&amp;"_"&amp;C12</f>
        <v>30035007_30035010</v>
      </c>
      <c r="B12" s="47">
        <v>30035007</v>
      </c>
      <c r="C12" s="47">
        <v>30035010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大きなため息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2" s="47">
        <v>30035010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30035007_30035011</v>
      </c>
      <c r="B13" s="47">
        <v>30035007</v>
      </c>
      <c r="C13" s="47">
        <v>30035011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グリード・ディ・バレーナ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緑&amp;ハートパネルを時限式ダメージパネルに変換</v>
      </c>
      <c r="F13" s="47">
        <v>30035011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30035007_30035012</v>
      </c>
      <c r="B14" s="47">
        <v>30035007</v>
      </c>
      <c r="C14" s="47">
        <v>30035012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暴食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すべての緑パネルを吸収し全体攻撃</v>
      </c>
      <c r="F14" s="47">
        <v>30035012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2"/>
        <v>30035007_30035013</v>
      </c>
      <c r="B15" s="47">
        <v>30035007</v>
      </c>
      <c r="C15" s="47">
        <v>30035013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硬化する外皮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解除されるまで防御力超大UP</v>
      </c>
      <c r="F15" s="47">
        <v>30035013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2"/>
        <v>30035007_30035009</v>
      </c>
      <c r="B16" s="47">
        <v>30035007</v>
      </c>
      <c r="C16" s="47">
        <v>30035009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暴飲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黄パネル吸収攻撃（最大12個まで）</v>
      </c>
      <c r="F16" s="47">
        <v>30035014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6" s="47"/>
      <c r="Q16" s="47"/>
      <c r="R16" s="47"/>
    </row>
    <row r="17" spans="1:18" ht="21" customHeight="1" x14ac:dyDescent="0.15">
      <c r="A17" s="39" t="str">
        <f t="shared" si="2"/>
        <v>30035007_30035014</v>
      </c>
      <c r="B17" s="47">
        <v>30035007</v>
      </c>
      <c r="C17" s="47">
        <v>30035014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暴れる鯨尾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7" s="47">
        <v>30035015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ref="A18:A26" si="3">B18&amp;"_"&amp;C18</f>
        <v>30035007_30035015</v>
      </c>
      <c r="B18" s="47">
        <v>30035007</v>
      </c>
      <c r="C18" s="47">
        <v>30035015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チヴェディアーモ！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絵本の世界に帰っていった</v>
      </c>
      <c r="F18" s="47">
        <v>30035016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865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3"/>
        <v>30035007_30035015</v>
      </c>
      <c r="B19" s="47">
        <v>30035007</v>
      </c>
      <c r="C19" s="47">
        <v>30035015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チヴェディアーモ！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絵本の世界に帰っていった</v>
      </c>
      <c r="F19" s="47">
        <v>30035017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864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3"/>
        <v>30035008_30035016</v>
      </c>
      <c r="B20" s="47">
        <v>30035008</v>
      </c>
      <c r="C20" s="47">
        <v>30035016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亀の防壁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解除されるまで防御力大UP</v>
      </c>
      <c r="F20" s="47">
        <v>30035006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3"/>
        <v>30035008_30035007</v>
      </c>
      <c r="B21" s="47">
        <v>30035008</v>
      </c>
      <c r="C21" s="47">
        <v>30035007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兎の手癖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黄パネルを5個時限式ダメージパネルに変換</v>
      </c>
      <c r="F21" s="47">
        <v>30035007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3"/>
        <v>30035008_30035017</v>
      </c>
      <c r="B22" s="47">
        <v>30035008</v>
      </c>
      <c r="C22" s="47">
        <v>30035017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ブービートラップ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時限式ダメージパネル以外パネルプロテクト状態</v>
      </c>
      <c r="F22" s="47">
        <v>30035008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3"/>
        <v>30035009_30035010</v>
      </c>
      <c r="B23" s="47">
        <v>30035009</v>
      </c>
      <c r="C23" s="47">
        <v>30035010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大きなため息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3" s="47">
        <v>30035010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3"/>
        <v>30035009_30035018</v>
      </c>
      <c r="B24" s="47">
        <v>30035009</v>
      </c>
      <c r="C24" s="47">
        <v>30035018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グリード・ディ・バレーナ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緑&amp;ハートパネルを時限式ダメージパネルに変換</v>
      </c>
      <c r="F24" s="47">
        <v>30035011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3"/>
        <v>30035009_30035019</v>
      </c>
      <c r="B25" s="47">
        <v>30035009</v>
      </c>
      <c r="C25" s="47">
        <v>30035019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硬化する外皮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解除されるまで防御力大UP</v>
      </c>
      <c r="F25" s="47">
        <v>30035013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3"/>
        <v>30035009_30035014</v>
      </c>
      <c r="B26" s="47">
        <v>30035009</v>
      </c>
      <c r="C26" s="47">
        <v>30035014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暴れる鯨尾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6" s="47">
        <v>30035015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ref="A27:A35" si="4">B27&amp;"_"&amp;C27</f>
        <v>30035009_30035015</v>
      </c>
      <c r="B27" s="47">
        <v>30035009</v>
      </c>
      <c r="C27" s="47">
        <v>30035015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チヴェディアーモ！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絵本の世界に帰っていった</v>
      </c>
      <c r="F27" s="47">
        <v>30035016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865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4"/>
        <v>30035009_30035015</v>
      </c>
      <c r="B28" s="47">
        <v>30035009</v>
      </c>
      <c r="C28" s="47">
        <v>30035015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チヴェディアーモ！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絵本の世界に帰っていった</v>
      </c>
      <c r="F28" s="47">
        <v>30035017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864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4"/>
        <v>30035010_30035020</v>
      </c>
      <c r="B29" s="47">
        <v>30035010</v>
      </c>
      <c r="C29" s="47">
        <v>30035020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亀の防壁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解除されるまで防御力UP</v>
      </c>
      <c r="F29" s="47">
        <v>30035006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4"/>
        <v>30035010_30035021</v>
      </c>
      <c r="B30" s="47">
        <v>30035010</v>
      </c>
      <c r="C30" s="47">
        <v>30035021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兎の手癖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黄パネルを5個時限式ダメージパネルに変換</v>
      </c>
      <c r="F30" s="47">
        <v>30035007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4"/>
        <v>30035010_30035022</v>
      </c>
      <c r="B31" s="47">
        <v>30035010</v>
      </c>
      <c r="C31" s="47">
        <v>30035022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ブービートラップ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時限式ダメージパネル以外パネルプロテクト状態</v>
      </c>
      <c r="F31" s="47">
        <v>30035008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4"/>
        <v>30035011_30035023</v>
      </c>
      <c r="B32" s="47">
        <v>30035011</v>
      </c>
      <c r="C32" s="47">
        <v>30035023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大きなため息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2" s="47">
        <v>30035010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4"/>
        <v>30035011_30035024</v>
      </c>
      <c r="B33" s="47">
        <v>30035011</v>
      </c>
      <c r="C33" s="47">
        <v>30035024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グリード・ディ・バレーナ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緑&amp;ハートパネルを時限式ダメージパネルに変換</v>
      </c>
      <c r="F33" s="47">
        <v>30035011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4"/>
        <v>30035011_30035025</v>
      </c>
      <c r="B34" s="47">
        <v>30035011</v>
      </c>
      <c r="C34" s="47">
        <v>30035025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硬化する外皮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解除されるまで防御力UP</v>
      </c>
      <c r="F34" s="47">
        <v>30035013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4"/>
        <v>30035011_30035026</v>
      </c>
      <c r="B35" s="47">
        <v>30035011</v>
      </c>
      <c r="C35" s="47">
        <v>30035026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暴れる鯨尾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5" s="47">
        <v>30035015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ref="A36:A37" si="5">B36&amp;"_"&amp;C36</f>
        <v>30035011_30035015</v>
      </c>
      <c r="B36" s="47">
        <v>30035011</v>
      </c>
      <c r="C36" s="47">
        <v>30035015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チヴェディアーモ！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絵本の世界に帰っていった</v>
      </c>
      <c r="F36" s="47">
        <v>30035016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865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5"/>
        <v>30035011_30035015</v>
      </c>
      <c r="B37" s="47">
        <v>30035011</v>
      </c>
      <c r="C37" s="47">
        <v>30035015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チヴェディアーモ！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絵本の世界に帰っていった</v>
      </c>
      <c r="F37" s="47">
        <v>30035017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864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abSelected="1" workbookViewId="0">
      <selection activeCell="N42" sqref="N4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1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v>30035</v>
      </c>
      <c r="B2" s="81">
        <v>1</v>
      </c>
      <c r="C2" s="70" t="str">
        <f>A2&amp; "_"&amp;B2</f>
        <v>30035_1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1">
        <v>1</v>
      </c>
      <c r="F2" s="81" t="s">
        <v>169</v>
      </c>
      <c r="G2" s="81">
        <v>3200</v>
      </c>
      <c r="H2" s="81" t="s">
        <v>214</v>
      </c>
      <c r="I2" s="81">
        <v>1</v>
      </c>
      <c r="J2" s="81">
        <v>1</v>
      </c>
      <c r="K2" s="81">
        <v>0</v>
      </c>
      <c r="L2" s="81">
        <v>0</v>
      </c>
      <c r="M2" s="81">
        <v>0</v>
      </c>
      <c r="N2" s="81">
        <v>0</v>
      </c>
      <c r="O2" s="81">
        <v>1</v>
      </c>
      <c r="P2" s="81">
        <v>200</v>
      </c>
      <c r="Q2" s="81" t="s">
        <v>170</v>
      </c>
      <c r="R2" s="81" t="s">
        <v>171</v>
      </c>
    </row>
    <row r="3" spans="1:18" x14ac:dyDescent="0.15">
      <c r="A3" s="57">
        <v>30035</v>
      </c>
      <c r="B3" s="81">
        <v>1</v>
      </c>
      <c r="C3" s="70" t="str">
        <f t="shared" ref="C3:C33" si="0">A3&amp; "_"&amp;B3</f>
        <v>30035_1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1">
        <v>2</v>
      </c>
      <c r="F3" s="81" t="s">
        <v>215</v>
      </c>
      <c r="G3" s="81">
        <v>20</v>
      </c>
      <c r="H3" s="81" t="s">
        <v>53</v>
      </c>
      <c r="I3" s="81">
        <v>1</v>
      </c>
      <c r="J3" s="81">
        <v>1</v>
      </c>
      <c r="K3" s="81">
        <v>0</v>
      </c>
      <c r="L3" s="81">
        <v>0</v>
      </c>
      <c r="M3" s="81">
        <v>0</v>
      </c>
      <c r="N3" s="81">
        <v>0</v>
      </c>
      <c r="O3" s="81">
        <v>1</v>
      </c>
      <c r="P3" s="81">
        <v>200</v>
      </c>
      <c r="Q3" s="81" t="s">
        <v>170</v>
      </c>
      <c r="R3" s="81" t="s">
        <v>171</v>
      </c>
    </row>
    <row r="4" spans="1:18" x14ac:dyDescent="0.15">
      <c r="A4" s="57">
        <v>30035</v>
      </c>
      <c r="B4" s="81">
        <v>1</v>
      </c>
      <c r="C4" s="70" t="str">
        <f t="shared" si="0"/>
        <v>30035_1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1">
        <v>3</v>
      </c>
      <c r="F4" s="81" t="s">
        <v>216</v>
      </c>
      <c r="G4" s="81">
        <v>344</v>
      </c>
      <c r="H4" s="81">
        <v>1</v>
      </c>
      <c r="I4" s="81">
        <v>1</v>
      </c>
      <c r="J4" s="81">
        <v>1</v>
      </c>
      <c r="K4" s="81">
        <v>0</v>
      </c>
      <c r="L4" s="81">
        <v>0</v>
      </c>
      <c r="M4" s="81">
        <v>0</v>
      </c>
      <c r="N4" s="81">
        <v>0</v>
      </c>
      <c r="O4" s="81">
        <v>1</v>
      </c>
      <c r="P4" s="81">
        <v>70</v>
      </c>
      <c r="Q4" s="81" t="s">
        <v>170</v>
      </c>
      <c r="R4" s="81" t="s">
        <v>171</v>
      </c>
    </row>
    <row r="5" spans="1:18" x14ac:dyDescent="0.15">
      <c r="A5" s="57">
        <v>30035</v>
      </c>
      <c r="B5" s="81">
        <v>1</v>
      </c>
      <c r="C5" s="70" t="str">
        <f t="shared" si="0"/>
        <v>30035_1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1">
        <v>4</v>
      </c>
      <c r="F5" s="81" t="s">
        <v>216</v>
      </c>
      <c r="G5" s="81">
        <v>345</v>
      </c>
      <c r="H5" s="81">
        <v>1</v>
      </c>
      <c r="I5" s="81">
        <v>1</v>
      </c>
      <c r="J5" s="81">
        <v>1</v>
      </c>
      <c r="K5" s="81">
        <v>0</v>
      </c>
      <c r="L5" s="81">
        <v>0</v>
      </c>
      <c r="M5" s="81">
        <v>0</v>
      </c>
      <c r="N5" s="81">
        <v>0</v>
      </c>
      <c r="O5" s="81">
        <v>1</v>
      </c>
      <c r="P5" s="81">
        <v>70</v>
      </c>
      <c r="Q5" s="81" t="s">
        <v>170</v>
      </c>
      <c r="R5" s="81" t="s">
        <v>171</v>
      </c>
    </row>
    <row r="6" spans="1:18" x14ac:dyDescent="0.15">
      <c r="A6" s="57">
        <v>30035</v>
      </c>
      <c r="B6" s="81">
        <v>1</v>
      </c>
      <c r="C6" s="70" t="str">
        <f t="shared" si="0"/>
        <v>30035_1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1">
        <v>5</v>
      </c>
      <c r="F6" s="81" t="s">
        <v>216</v>
      </c>
      <c r="G6" s="81">
        <v>121</v>
      </c>
      <c r="H6" s="81">
        <v>1</v>
      </c>
      <c r="I6" s="81">
        <v>1</v>
      </c>
      <c r="J6" s="81">
        <v>1</v>
      </c>
      <c r="K6" s="81">
        <v>0</v>
      </c>
      <c r="L6" s="81">
        <v>0</v>
      </c>
      <c r="M6" s="81">
        <v>0</v>
      </c>
      <c r="N6" s="81">
        <v>0</v>
      </c>
      <c r="O6" s="81">
        <v>1</v>
      </c>
      <c r="P6" s="81">
        <v>50</v>
      </c>
      <c r="Q6" s="81" t="s">
        <v>170</v>
      </c>
      <c r="R6" s="81" t="s">
        <v>171</v>
      </c>
    </row>
    <row r="7" spans="1:18" x14ac:dyDescent="0.15">
      <c r="A7" s="57">
        <v>30035</v>
      </c>
      <c r="B7" s="81">
        <v>1</v>
      </c>
      <c r="C7" s="70" t="str">
        <f t="shared" si="0"/>
        <v>30035_1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1">
        <v>6</v>
      </c>
      <c r="F7" s="81" t="s">
        <v>216</v>
      </c>
      <c r="G7" s="81">
        <v>122</v>
      </c>
      <c r="H7" s="81">
        <v>1</v>
      </c>
      <c r="I7" s="81">
        <v>1</v>
      </c>
      <c r="J7" s="81">
        <v>1</v>
      </c>
      <c r="K7" s="81">
        <v>0</v>
      </c>
      <c r="L7" s="81">
        <v>0</v>
      </c>
      <c r="M7" s="81">
        <v>0</v>
      </c>
      <c r="N7" s="81">
        <v>0</v>
      </c>
      <c r="O7" s="81">
        <v>1</v>
      </c>
      <c r="P7" s="81">
        <v>50</v>
      </c>
      <c r="Q7" s="81" t="s">
        <v>170</v>
      </c>
      <c r="R7" s="81" t="s">
        <v>171</v>
      </c>
    </row>
    <row r="8" spans="1:18" x14ac:dyDescent="0.15">
      <c r="A8" s="57">
        <v>30035</v>
      </c>
      <c r="B8" s="81">
        <v>1</v>
      </c>
      <c r="C8" s="70" t="str">
        <f t="shared" si="0"/>
        <v>30035_1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1">
        <v>7</v>
      </c>
      <c r="F8" s="81" t="s">
        <v>216</v>
      </c>
      <c r="G8" s="81">
        <v>123</v>
      </c>
      <c r="H8" s="81">
        <v>1</v>
      </c>
      <c r="I8" s="81">
        <v>1</v>
      </c>
      <c r="J8" s="81">
        <v>1</v>
      </c>
      <c r="K8" s="81">
        <v>0</v>
      </c>
      <c r="L8" s="81">
        <v>0</v>
      </c>
      <c r="M8" s="81">
        <v>0</v>
      </c>
      <c r="N8" s="81">
        <v>0</v>
      </c>
      <c r="O8" s="81">
        <v>1</v>
      </c>
      <c r="P8" s="81">
        <v>50</v>
      </c>
      <c r="Q8" s="81" t="s">
        <v>170</v>
      </c>
      <c r="R8" s="81" t="s">
        <v>171</v>
      </c>
    </row>
    <row r="9" spans="1:18" x14ac:dyDescent="0.15">
      <c r="A9" s="57">
        <v>30035</v>
      </c>
      <c r="B9" s="81">
        <v>1</v>
      </c>
      <c r="C9" s="70" t="str">
        <f t="shared" si="0"/>
        <v>30035_1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1">
        <v>8</v>
      </c>
      <c r="F9" s="81" t="s">
        <v>216</v>
      </c>
      <c r="G9" s="81">
        <v>125</v>
      </c>
      <c r="H9" s="81">
        <v>1</v>
      </c>
      <c r="I9" s="81">
        <v>1</v>
      </c>
      <c r="J9" s="81">
        <v>1</v>
      </c>
      <c r="K9" s="81">
        <v>0</v>
      </c>
      <c r="L9" s="81">
        <v>0</v>
      </c>
      <c r="M9" s="81">
        <v>0</v>
      </c>
      <c r="N9" s="81">
        <v>0</v>
      </c>
      <c r="O9" s="81">
        <v>1</v>
      </c>
      <c r="P9" s="81">
        <v>10</v>
      </c>
      <c r="Q9" s="81" t="s">
        <v>170</v>
      </c>
      <c r="R9" s="81" t="s">
        <v>171</v>
      </c>
    </row>
    <row r="10" spans="1:18" x14ac:dyDescent="0.15">
      <c r="A10" s="57">
        <v>30035</v>
      </c>
      <c r="B10" s="81">
        <v>1</v>
      </c>
      <c r="C10" s="70" t="str">
        <f t="shared" si="0"/>
        <v>30035_1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1">
        <v>9</v>
      </c>
      <c r="F10" s="81" t="s">
        <v>216</v>
      </c>
      <c r="G10" s="81">
        <v>858</v>
      </c>
      <c r="H10" s="81">
        <v>1</v>
      </c>
      <c r="I10" s="81">
        <v>1</v>
      </c>
      <c r="J10" s="81">
        <v>1</v>
      </c>
      <c r="K10" s="81">
        <v>0</v>
      </c>
      <c r="L10" s="81">
        <v>0</v>
      </c>
      <c r="M10" s="81">
        <v>0</v>
      </c>
      <c r="N10" s="81">
        <v>0</v>
      </c>
      <c r="O10" s="81">
        <v>1</v>
      </c>
      <c r="P10" s="81">
        <v>200</v>
      </c>
      <c r="Q10" s="81" t="s">
        <v>170</v>
      </c>
      <c r="R10" s="81" t="s">
        <v>171</v>
      </c>
    </row>
    <row r="11" spans="1:18" ht="16" thickBot="1" x14ac:dyDescent="0.2">
      <c r="A11" s="112">
        <v>30035</v>
      </c>
      <c r="B11" s="113">
        <v>1</v>
      </c>
      <c r="C11" s="114" t="str">
        <f t="shared" si="0"/>
        <v>30035_1</v>
      </c>
      <c r="D11" s="115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3">
        <v>10</v>
      </c>
      <c r="F11" s="113" t="s">
        <v>216</v>
      </c>
      <c r="G11" s="113">
        <v>354</v>
      </c>
      <c r="H11" s="113">
        <v>1</v>
      </c>
      <c r="I11" s="113">
        <v>1</v>
      </c>
      <c r="J11" s="113">
        <v>1</v>
      </c>
      <c r="K11" s="113">
        <v>0</v>
      </c>
      <c r="L11" s="113">
        <v>0</v>
      </c>
      <c r="M11" s="113">
        <v>0</v>
      </c>
      <c r="N11" s="113">
        <v>0</v>
      </c>
      <c r="O11" s="113">
        <v>1</v>
      </c>
      <c r="P11" s="113">
        <v>100</v>
      </c>
      <c r="Q11" s="113" t="s">
        <v>170</v>
      </c>
      <c r="R11" s="113" t="s">
        <v>171</v>
      </c>
    </row>
    <row r="12" spans="1:18" ht="16" thickTop="1" x14ac:dyDescent="0.15">
      <c r="A12" s="108">
        <v>30035</v>
      </c>
      <c r="B12" s="109">
        <v>2</v>
      </c>
      <c r="C12" s="110" t="str">
        <f t="shared" si="0"/>
        <v>30035_2</v>
      </c>
      <c r="D12" s="1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09">
        <v>11</v>
      </c>
      <c r="F12" s="109" t="s">
        <v>169</v>
      </c>
      <c r="G12" s="109">
        <v>5000</v>
      </c>
      <c r="H12" s="109" t="s">
        <v>53</v>
      </c>
      <c r="I12" s="109">
        <v>1</v>
      </c>
      <c r="J12" s="109">
        <v>1</v>
      </c>
      <c r="K12" s="109">
        <v>0</v>
      </c>
      <c r="L12" s="109">
        <v>0</v>
      </c>
      <c r="M12" s="109">
        <v>0</v>
      </c>
      <c r="N12" s="109">
        <v>0</v>
      </c>
      <c r="O12" s="109">
        <v>1</v>
      </c>
      <c r="P12" s="109">
        <v>200</v>
      </c>
      <c r="Q12" s="109" t="s">
        <v>170</v>
      </c>
      <c r="R12" s="109" t="s">
        <v>171</v>
      </c>
    </row>
    <row r="13" spans="1:18" x14ac:dyDescent="0.15">
      <c r="A13" s="57">
        <v>30035</v>
      </c>
      <c r="B13" s="81">
        <v>2</v>
      </c>
      <c r="C13" s="70" t="str">
        <f t="shared" si="0"/>
        <v>30035_2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1">
        <v>12</v>
      </c>
      <c r="F13" s="81" t="s">
        <v>215</v>
      </c>
      <c r="G13" s="81">
        <v>25</v>
      </c>
      <c r="H13" s="81" t="s">
        <v>53</v>
      </c>
      <c r="I13" s="81">
        <v>1</v>
      </c>
      <c r="J13" s="81">
        <v>1</v>
      </c>
      <c r="K13" s="81">
        <v>0</v>
      </c>
      <c r="L13" s="81">
        <v>0</v>
      </c>
      <c r="M13" s="81">
        <v>0</v>
      </c>
      <c r="N13" s="81">
        <v>0</v>
      </c>
      <c r="O13" s="81">
        <v>1</v>
      </c>
      <c r="P13" s="81">
        <v>150</v>
      </c>
      <c r="Q13" s="81" t="s">
        <v>170</v>
      </c>
      <c r="R13" s="81" t="s">
        <v>171</v>
      </c>
    </row>
    <row r="14" spans="1:18" x14ac:dyDescent="0.15">
      <c r="A14" s="57">
        <v>30035</v>
      </c>
      <c r="B14" s="81">
        <v>2</v>
      </c>
      <c r="C14" s="70" t="str">
        <f t="shared" si="0"/>
        <v>30035_2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1">
        <v>13</v>
      </c>
      <c r="F14" s="81" t="s">
        <v>217</v>
      </c>
      <c r="G14" s="81">
        <v>344</v>
      </c>
      <c r="H14" s="81">
        <v>1</v>
      </c>
      <c r="I14" s="81">
        <v>1</v>
      </c>
      <c r="J14" s="81">
        <v>1</v>
      </c>
      <c r="K14" s="81">
        <v>0</v>
      </c>
      <c r="L14" s="81">
        <v>0</v>
      </c>
      <c r="M14" s="81">
        <v>0</v>
      </c>
      <c r="N14" s="81">
        <v>0</v>
      </c>
      <c r="O14" s="81">
        <v>1</v>
      </c>
      <c r="P14" s="81">
        <v>56</v>
      </c>
      <c r="Q14" s="81" t="s">
        <v>170</v>
      </c>
      <c r="R14" s="81" t="s">
        <v>171</v>
      </c>
    </row>
    <row r="15" spans="1:18" x14ac:dyDescent="0.15">
      <c r="A15" s="57">
        <v>30035</v>
      </c>
      <c r="B15" s="81">
        <v>2</v>
      </c>
      <c r="C15" s="70" t="str">
        <f t="shared" si="0"/>
        <v>30035_2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1">
        <v>14</v>
      </c>
      <c r="F15" s="81" t="s">
        <v>218</v>
      </c>
      <c r="G15" s="81">
        <v>345</v>
      </c>
      <c r="H15" s="81">
        <v>1</v>
      </c>
      <c r="I15" s="81">
        <v>1</v>
      </c>
      <c r="J15" s="81">
        <v>1</v>
      </c>
      <c r="K15" s="81">
        <v>0</v>
      </c>
      <c r="L15" s="81">
        <v>0</v>
      </c>
      <c r="M15" s="81">
        <v>0</v>
      </c>
      <c r="N15" s="81">
        <v>0</v>
      </c>
      <c r="O15" s="81">
        <v>1</v>
      </c>
      <c r="P15" s="81">
        <v>56</v>
      </c>
      <c r="Q15" s="81" t="s">
        <v>170</v>
      </c>
      <c r="R15" s="81" t="s">
        <v>171</v>
      </c>
    </row>
    <row r="16" spans="1:18" x14ac:dyDescent="0.15">
      <c r="A16" s="57">
        <v>30035</v>
      </c>
      <c r="B16" s="81">
        <v>2</v>
      </c>
      <c r="C16" s="70" t="str">
        <f t="shared" si="0"/>
        <v>30035_2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1">
        <v>15</v>
      </c>
      <c r="F16" s="81" t="s">
        <v>216</v>
      </c>
      <c r="G16" s="81">
        <v>346</v>
      </c>
      <c r="H16" s="81">
        <v>1</v>
      </c>
      <c r="I16" s="81">
        <v>1</v>
      </c>
      <c r="J16" s="81">
        <v>1</v>
      </c>
      <c r="K16" s="81">
        <v>0</v>
      </c>
      <c r="L16" s="81">
        <v>0</v>
      </c>
      <c r="M16" s="81">
        <v>0</v>
      </c>
      <c r="N16" s="81">
        <v>0</v>
      </c>
      <c r="O16" s="81">
        <v>1</v>
      </c>
      <c r="P16" s="81">
        <v>28</v>
      </c>
      <c r="Q16" s="81" t="s">
        <v>170</v>
      </c>
      <c r="R16" s="81" t="s">
        <v>171</v>
      </c>
    </row>
    <row r="17" spans="1:18" x14ac:dyDescent="0.15">
      <c r="A17" s="57">
        <v>30035</v>
      </c>
      <c r="B17" s="81">
        <v>2</v>
      </c>
      <c r="C17" s="70" t="str">
        <f t="shared" si="0"/>
        <v>30035_2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1">
        <v>16</v>
      </c>
      <c r="F17" s="81" t="s">
        <v>216</v>
      </c>
      <c r="G17" s="81">
        <v>121</v>
      </c>
      <c r="H17" s="81">
        <v>1</v>
      </c>
      <c r="I17" s="81">
        <v>1</v>
      </c>
      <c r="J17" s="81">
        <v>1</v>
      </c>
      <c r="K17" s="81">
        <v>0</v>
      </c>
      <c r="L17" s="81">
        <v>0</v>
      </c>
      <c r="M17" s="81">
        <v>0</v>
      </c>
      <c r="N17" s="81">
        <v>0</v>
      </c>
      <c r="O17" s="81">
        <v>1</v>
      </c>
      <c r="P17" s="81">
        <v>50</v>
      </c>
      <c r="Q17" s="81" t="s">
        <v>170</v>
      </c>
      <c r="R17" s="81" t="s">
        <v>171</v>
      </c>
    </row>
    <row r="18" spans="1:18" x14ac:dyDescent="0.15">
      <c r="A18" s="57">
        <v>30035</v>
      </c>
      <c r="B18" s="81">
        <v>2</v>
      </c>
      <c r="C18" s="70" t="str">
        <f t="shared" si="0"/>
        <v>30035_2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81">
        <v>17</v>
      </c>
      <c r="F18" s="81" t="s">
        <v>216</v>
      </c>
      <c r="G18" s="81">
        <v>122</v>
      </c>
      <c r="H18" s="81">
        <v>1</v>
      </c>
      <c r="I18" s="81">
        <v>1</v>
      </c>
      <c r="J18" s="81">
        <v>1</v>
      </c>
      <c r="K18" s="81">
        <v>0</v>
      </c>
      <c r="L18" s="81">
        <v>0</v>
      </c>
      <c r="M18" s="81">
        <v>0</v>
      </c>
      <c r="N18" s="81">
        <v>0</v>
      </c>
      <c r="O18" s="81">
        <v>1</v>
      </c>
      <c r="P18" s="81">
        <v>50</v>
      </c>
      <c r="Q18" s="81" t="s">
        <v>170</v>
      </c>
      <c r="R18" s="81" t="s">
        <v>171</v>
      </c>
    </row>
    <row r="19" spans="1:18" x14ac:dyDescent="0.15">
      <c r="A19" s="57">
        <v>30035</v>
      </c>
      <c r="B19" s="81">
        <v>2</v>
      </c>
      <c r="C19" s="70" t="str">
        <f t="shared" si="0"/>
        <v>30035_2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81">
        <v>18</v>
      </c>
      <c r="F19" s="81" t="s">
        <v>216</v>
      </c>
      <c r="G19" s="81">
        <v>123</v>
      </c>
      <c r="H19" s="81">
        <v>1</v>
      </c>
      <c r="I19" s="81">
        <v>1</v>
      </c>
      <c r="J19" s="81">
        <v>1</v>
      </c>
      <c r="K19" s="81">
        <v>0</v>
      </c>
      <c r="L19" s="81">
        <v>0</v>
      </c>
      <c r="M19" s="81">
        <v>0</v>
      </c>
      <c r="N19" s="81">
        <v>0</v>
      </c>
      <c r="O19" s="81">
        <v>1</v>
      </c>
      <c r="P19" s="81">
        <v>50</v>
      </c>
      <c r="Q19" s="81" t="s">
        <v>170</v>
      </c>
      <c r="R19" s="81" t="s">
        <v>171</v>
      </c>
    </row>
    <row r="20" spans="1:18" x14ac:dyDescent="0.15">
      <c r="A20" s="57">
        <v>30035</v>
      </c>
      <c r="B20" s="81">
        <v>2</v>
      </c>
      <c r="C20" s="70" t="str">
        <f t="shared" si="0"/>
        <v>30035_2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81">
        <v>19</v>
      </c>
      <c r="F20" s="81" t="s">
        <v>216</v>
      </c>
      <c r="G20" s="81">
        <v>125</v>
      </c>
      <c r="H20" s="81">
        <v>1</v>
      </c>
      <c r="I20" s="81">
        <v>1</v>
      </c>
      <c r="J20" s="81">
        <v>1</v>
      </c>
      <c r="K20" s="81">
        <v>0</v>
      </c>
      <c r="L20" s="81">
        <v>0</v>
      </c>
      <c r="M20" s="81">
        <v>0</v>
      </c>
      <c r="N20" s="81">
        <v>0</v>
      </c>
      <c r="O20" s="81">
        <v>1</v>
      </c>
      <c r="P20" s="81">
        <v>10</v>
      </c>
      <c r="Q20" s="81" t="s">
        <v>170</v>
      </c>
      <c r="R20" s="81" t="s">
        <v>171</v>
      </c>
    </row>
    <row r="21" spans="1:18" x14ac:dyDescent="0.15">
      <c r="A21" s="57">
        <v>30035</v>
      </c>
      <c r="B21" s="81">
        <v>2</v>
      </c>
      <c r="C21" s="70" t="str">
        <f t="shared" si="0"/>
        <v>30035_2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81">
        <v>20</v>
      </c>
      <c r="F21" s="81" t="s">
        <v>216</v>
      </c>
      <c r="G21" s="81">
        <v>858</v>
      </c>
      <c r="H21" s="81">
        <v>1</v>
      </c>
      <c r="I21" s="81">
        <v>1</v>
      </c>
      <c r="J21" s="81">
        <v>1</v>
      </c>
      <c r="K21" s="81">
        <v>0</v>
      </c>
      <c r="L21" s="81">
        <v>0</v>
      </c>
      <c r="M21" s="81">
        <v>0</v>
      </c>
      <c r="N21" s="81">
        <v>0</v>
      </c>
      <c r="O21" s="81">
        <v>1</v>
      </c>
      <c r="P21" s="81">
        <v>250</v>
      </c>
      <c r="Q21" s="81" t="s">
        <v>170</v>
      </c>
      <c r="R21" s="81" t="s">
        <v>171</v>
      </c>
    </row>
    <row r="22" spans="1:18" ht="16" thickBot="1" x14ac:dyDescent="0.2">
      <c r="A22" s="112">
        <v>30035</v>
      </c>
      <c r="B22" s="113">
        <v>2</v>
      </c>
      <c r="C22" s="114" t="str">
        <f t="shared" si="0"/>
        <v>30035_2</v>
      </c>
      <c r="D22" s="115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13">
        <v>21</v>
      </c>
      <c r="F22" s="113" t="s">
        <v>216</v>
      </c>
      <c r="G22" s="113">
        <v>354</v>
      </c>
      <c r="H22" s="113">
        <v>1</v>
      </c>
      <c r="I22" s="113">
        <v>1</v>
      </c>
      <c r="J22" s="113">
        <v>1</v>
      </c>
      <c r="K22" s="113">
        <v>0</v>
      </c>
      <c r="L22" s="113">
        <v>0</v>
      </c>
      <c r="M22" s="113">
        <v>0</v>
      </c>
      <c r="N22" s="113">
        <v>0</v>
      </c>
      <c r="O22" s="113">
        <v>1</v>
      </c>
      <c r="P22" s="113">
        <v>100</v>
      </c>
      <c r="Q22" s="113" t="s">
        <v>170</v>
      </c>
      <c r="R22" s="113" t="s">
        <v>171</v>
      </c>
    </row>
    <row r="23" spans="1:18" ht="16" thickTop="1" x14ac:dyDescent="0.15">
      <c r="A23" s="108">
        <v>30035</v>
      </c>
      <c r="B23" s="109">
        <v>3</v>
      </c>
      <c r="C23" s="110" t="str">
        <f t="shared" si="0"/>
        <v>30035_3</v>
      </c>
      <c r="D23" s="1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09">
        <v>22</v>
      </c>
      <c r="F23" s="109" t="s">
        <v>169</v>
      </c>
      <c r="G23" s="109">
        <v>6500</v>
      </c>
      <c r="H23" s="109" t="s">
        <v>53</v>
      </c>
      <c r="I23" s="109">
        <v>1</v>
      </c>
      <c r="J23" s="109">
        <v>1</v>
      </c>
      <c r="K23" s="109">
        <v>0</v>
      </c>
      <c r="L23" s="109">
        <v>0</v>
      </c>
      <c r="M23" s="109">
        <v>0</v>
      </c>
      <c r="N23" s="109">
        <v>0</v>
      </c>
      <c r="O23" s="109">
        <v>1</v>
      </c>
      <c r="P23" s="109">
        <v>100</v>
      </c>
      <c r="Q23" s="109" t="s">
        <v>170</v>
      </c>
      <c r="R23" s="109" t="s">
        <v>171</v>
      </c>
    </row>
    <row r="24" spans="1:18" x14ac:dyDescent="0.15">
      <c r="A24" s="57">
        <v>30035</v>
      </c>
      <c r="B24" s="81">
        <v>3</v>
      </c>
      <c r="C24" s="70" t="str">
        <f t="shared" si="0"/>
        <v>30035_3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81">
        <v>23</v>
      </c>
      <c r="F24" s="81" t="s">
        <v>215</v>
      </c>
      <c r="G24" s="81">
        <v>25</v>
      </c>
      <c r="H24" s="81" t="s">
        <v>53</v>
      </c>
      <c r="I24" s="81">
        <v>1</v>
      </c>
      <c r="J24" s="81">
        <v>1</v>
      </c>
      <c r="K24" s="81">
        <v>0</v>
      </c>
      <c r="L24" s="81">
        <v>0</v>
      </c>
      <c r="M24" s="81">
        <v>0</v>
      </c>
      <c r="N24" s="81">
        <v>0</v>
      </c>
      <c r="O24" s="81">
        <v>1</v>
      </c>
      <c r="P24" s="81">
        <v>100</v>
      </c>
      <c r="Q24" s="81" t="s">
        <v>170</v>
      </c>
      <c r="R24" s="81" t="s">
        <v>171</v>
      </c>
    </row>
    <row r="25" spans="1:18" x14ac:dyDescent="0.15">
      <c r="A25" s="57">
        <v>30035</v>
      </c>
      <c r="B25" s="81">
        <v>3</v>
      </c>
      <c r="C25" s="70" t="str">
        <f t="shared" si="0"/>
        <v>30035_3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81">
        <v>24</v>
      </c>
      <c r="F25" s="81" t="s">
        <v>216</v>
      </c>
      <c r="G25" s="81">
        <v>344</v>
      </c>
      <c r="H25" s="81">
        <v>1</v>
      </c>
      <c r="I25" s="81">
        <v>1</v>
      </c>
      <c r="J25" s="81">
        <v>1</v>
      </c>
      <c r="K25" s="81">
        <v>0</v>
      </c>
      <c r="L25" s="81">
        <v>0</v>
      </c>
      <c r="M25" s="81">
        <v>0</v>
      </c>
      <c r="N25" s="81">
        <v>0</v>
      </c>
      <c r="O25" s="81">
        <v>1</v>
      </c>
      <c r="P25" s="81">
        <v>28</v>
      </c>
      <c r="Q25" s="81" t="s">
        <v>170</v>
      </c>
      <c r="R25" s="81" t="s">
        <v>171</v>
      </c>
    </row>
    <row r="26" spans="1:18" x14ac:dyDescent="0.15">
      <c r="A26" s="57">
        <v>30035</v>
      </c>
      <c r="B26" s="81">
        <v>3</v>
      </c>
      <c r="C26" s="70" t="str">
        <f t="shared" si="0"/>
        <v>30035_3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81">
        <v>25</v>
      </c>
      <c r="F26" s="81" t="s">
        <v>216</v>
      </c>
      <c r="G26" s="81">
        <v>345</v>
      </c>
      <c r="H26" s="81">
        <v>1</v>
      </c>
      <c r="I26" s="81">
        <v>1</v>
      </c>
      <c r="J26" s="81">
        <v>1</v>
      </c>
      <c r="K26" s="81">
        <v>0</v>
      </c>
      <c r="L26" s="81">
        <v>0</v>
      </c>
      <c r="M26" s="81">
        <v>0</v>
      </c>
      <c r="N26" s="81">
        <v>0</v>
      </c>
      <c r="O26" s="81">
        <v>1</v>
      </c>
      <c r="P26" s="81">
        <v>56</v>
      </c>
      <c r="Q26" s="81" t="s">
        <v>170</v>
      </c>
      <c r="R26" s="81" t="s">
        <v>171</v>
      </c>
    </row>
    <row r="27" spans="1:18" x14ac:dyDescent="0.15">
      <c r="A27" s="57">
        <v>30035</v>
      </c>
      <c r="B27" s="81">
        <v>3</v>
      </c>
      <c r="C27" s="70" t="str">
        <f t="shared" si="0"/>
        <v>30035_3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81">
        <v>26</v>
      </c>
      <c r="F27" s="81" t="s">
        <v>216</v>
      </c>
      <c r="G27" s="81">
        <v>346</v>
      </c>
      <c r="H27" s="81">
        <v>1</v>
      </c>
      <c r="I27" s="81">
        <v>1</v>
      </c>
      <c r="J27" s="81">
        <v>1</v>
      </c>
      <c r="K27" s="81">
        <v>0</v>
      </c>
      <c r="L27" s="81">
        <v>0</v>
      </c>
      <c r="M27" s="81">
        <v>0</v>
      </c>
      <c r="N27" s="81">
        <v>0</v>
      </c>
      <c r="O27" s="81">
        <v>1</v>
      </c>
      <c r="P27" s="81">
        <v>56</v>
      </c>
      <c r="Q27" s="81" t="s">
        <v>170</v>
      </c>
      <c r="R27" s="81" t="s">
        <v>171</v>
      </c>
    </row>
    <row r="28" spans="1:18" x14ac:dyDescent="0.15">
      <c r="A28" s="57">
        <v>30035</v>
      </c>
      <c r="B28" s="81">
        <v>3</v>
      </c>
      <c r="C28" s="70" t="str">
        <f t="shared" si="0"/>
        <v>30035_3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81">
        <v>27</v>
      </c>
      <c r="F28" s="81" t="s">
        <v>216</v>
      </c>
      <c r="G28" s="81">
        <v>121</v>
      </c>
      <c r="H28" s="81">
        <v>1</v>
      </c>
      <c r="I28" s="81">
        <v>1</v>
      </c>
      <c r="J28" s="81">
        <v>1</v>
      </c>
      <c r="K28" s="81">
        <v>0</v>
      </c>
      <c r="L28" s="81">
        <v>0</v>
      </c>
      <c r="M28" s="81">
        <v>0</v>
      </c>
      <c r="N28" s="81">
        <v>0</v>
      </c>
      <c r="O28" s="81">
        <v>1</v>
      </c>
      <c r="P28" s="81">
        <v>50</v>
      </c>
      <c r="Q28" s="81" t="s">
        <v>170</v>
      </c>
      <c r="R28" s="81" t="s">
        <v>171</v>
      </c>
    </row>
    <row r="29" spans="1:18" x14ac:dyDescent="0.15">
      <c r="A29" s="57">
        <v>30035</v>
      </c>
      <c r="B29" s="81">
        <v>3</v>
      </c>
      <c r="C29" s="70" t="str">
        <f t="shared" si="0"/>
        <v>30035_3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81">
        <v>28</v>
      </c>
      <c r="F29" s="81" t="s">
        <v>216</v>
      </c>
      <c r="G29" s="81">
        <v>122</v>
      </c>
      <c r="H29" s="81">
        <v>1</v>
      </c>
      <c r="I29" s="81">
        <v>1</v>
      </c>
      <c r="J29" s="81">
        <v>1</v>
      </c>
      <c r="K29" s="81">
        <v>0</v>
      </c>
      <c r="L29" s="81">
        <v>0</v>
      </c>
      <c r="M29" s="81">
        <v>0</v>
      </c>
      <c r="N29" s="81">
        <v>0</v>
      </c>
      <c r="O29" s="81">
        <v>1</v>
      </c>
      <c r="P29" s="81">
        <v>50</v>
      </c>
      <c r="Q29" s="81" t="s">
        <v>170</v>
      </c>
      <c r="R29" s="81" t="s">
        <v>171</v>
      </c>
    </row>
    <row r="30" spans="1:18" x14ac:dyDescent="0.15">
      <c r="A30" s="57">
        <v>30035</v>
      </c>
      <c r="B30" s="81">
        <v>3</v>
      </c>
      <c r="C30" s="70" t="str">
        <f t="shared" si="0"/>
        <v>30035_3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81">
        <v>29</v>
      </c>
      <c r="F30" s="81" t="s">
        <v>216</v>
      </c>
      <c r="G30" s="81">
        <v>123</v>
      </c>
      <c r="H30" s="81">
        <v>1</v>
      </c>
      <c r="I30" s="81">
        <v>1</v>
      </c>
      <c r="J30" s="81">
        <v>1</v>
      </c>
      <c r="K30" s="81">
        <v>0</v>
      </c>
      <c r="L30" s="81">
        <v>0</v>
      </c>
      <c r="M30" s="81">
        <v>0</v>
      </c>
      <c r="N30" s="81">
        <v>0</v>
      </c>
      <c r="O30" s="81">
        <v>1</v>
      </c>
      <c r="P30" s="81">
        <v>50</v>
      </c>
      <c r="Q30" s="81" t="s">
        <v>170</v>
      </c>
      <c r="R30" s="81" t="s">
        <v>171</v>
      </c>
    </row>
    <row r="31" spans="1:18" x14ac:dyDescent="0.15">
      <c r="A31" s="57">
        <v>30035</v>
      </c>
      <c r="B31" s="81">
        <v>3</v>
      </c>
      <c r="C31" s="70" t="str">
        <f t="shared" si="0"/>
        <v>30035_3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81">
        <v>30</v>
      </c>
      <c r="F31" s="81" t="s">
        <v>216</v>
      </c>
      <c r="G31" s="81">
        <v>125</v>
      </c>
      <c r="H31" s="81">
        <v>1</v>
      </c>
      <c r="I31" s="81">
        <v>1</v>
      </c>
      <c r="J31" s="81">
        <v>1</v>
      </c>
      <c r="K31" s="81">
        <v>0</v>
      </c>
      <c r="L31" s="81">
        <v>0</v>
      </c>
      <c r="M31" s="81">
        <v>0</v>
      </c>
      <c r="N31" s="81">
        <v>0</v>
      </c>
      <c r="O31" s="81">
        <v>1</v>
      </c>
      <c r="P31" s="81">
        <v>10</v>
      </c>
      <c r="Q31" s="81" t="s">
        <v>170</v>
      </c>
      <c r="R31" s="81" t="s">
        <v>171</v>
      </c>
    </row>
    <row r="32" spans="1:18" x14ac:dyDescent="0.15">
      <c r="A32" s="57">
        <v>30035</v>
      </c>
      <c r="B32" s="81">
        <v>3</v>
      </c>
      <c r="C32" s="70" t="str">
        <f t="shared" si="0"/>
        <v>30035_3</v>
      </c>
      <c r="D32" s="18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81">
        <v>31</v>
      </c>
      <c r="F32" s="81" t="s">
        <v>216</v>
      </c>
      <c r="G32" s="81">
        <v>858</v>
      </c>
      <c r="H32" s="81">
        <v>1</v>
      </c>
      <c r="I32" s="81">
        <v>1</v>
      </c>
      <c r="J32" s="81">
        <v>1</v>
      </c>
      <c r="K32" s="81">
        <v>0</v>
      </c>
      <c r="L32" s="81">
        <v>0</v>
      </c>
      <c r="M32" s="81">
        <v>0</v>
      </c>
      <c r="N32" s="81">
        <v>0</v>
      </c>
      <c r="O32" s="81">
        <v>1</v>
      </c>
      <c r="P32" s="81">
        <v>400</v>
      </c>
      <c r="Q32" s="81" t="s">
        <v>170</v>
      </c>
      <c r="R32" s="81" t="s">
        <v>171</v>
      </c>
    </row>
    <row r="33" spans="1:18" x14ac:dyDescent="0.15">
      <c r="A33" s="57">
        <v>30035</v>
      </c>
      <c r="B33" s="81">
        <v>3</v>
      </c>
      <c r="C33" s="70" t="str">
        <f t="shared" si="0"/>
        <v>30035_3</v>
      </c>
      <c r="D33" s="18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81">
        <v>32</v>
      </c>
      <c r="F33" s="81" t="s">
        <v>218</v>
      </c>
      <c r="G33" s="81">
        <v>354</v>
      </c>
      <c r="H33" s="81">
        <v>1</v>
      </c>
      <c r="I33" s="81">
        <v>1</v>
      </c>
      <c r="J33" s="81">
        <v>1</v>
      </c>
      <c r="K33" s="81">
        <v>0</v>
      </c>
      <c r="L33" s="81">
        <v>0</v>
      </c>
      <c r="M33" s="81">
        <v>0</v>
      </c>
      <c r="N33" s="81">
        <v>0</v>
      </c>
      <c r="O33" s="81">
        <v>1</v>
      </c>
      <c r="P33" s="81">
        <v>100</v>
      </c>
      <c r="Q33" s="81" t="s">
        <v>170</v>
      </c>
      <c r="R33" s="81" t="s">
        <v>171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" activePane="bottomLeft" state="frozen"/>
      <selection pane="bottomLeft" activeCell="E3" sqref="E2:E3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2" t="s">
        <v>189</v>
      </c>
      <c r="C1" s="77" t="s">
        <v>190</v>
      </c>
      <c r="D1" s="77" t="s">
        <v>33</v>
      </c>
      <c r="E1" s="72" t="s">
        <v>191</v>
      </c>
      <c r="F1" s="77" t="s">
        <v>192</v>
      </c>
      <c r="G1" s="77" t="s">
        <v>33</v>
      </c>
      <c r="H1" s="72" t="s">
        <v>193</v>
      </c>
      <c r="I1" s="91" t="s">
        <v>195</v>
      </c>
      <c r="J1" s="79" t="s">
        <v>127</v>
      </c>
      <c r="K1" s="78" t="s">
        <v>187</v>
      </c>
      <c r="L1" s="92" t="s">
        <v>186</v>
      </c>
      <c r="M1" s="80" t="s">
        <v>196</v>
      </c>
    </row>
    <row r="2" spans="1:13" x14ac:dyDescent="0.15">
      <c r="A2" s="81" t="s">
        <v>201</v>
      </c>
      <c r="B2" s="82">
        <f>floors!$C$2</f>
        <v>30035</v>
      </c>
      <c r="C2" s="83" t="str">
        <f ca="1">VLOOKUP($B2,OFFSET([2]quests!$A$1,0,0,COUNTA([2]quests!$A:$A),MATCH(C$1,[2]quests!$1:$1,0)-MATCH($B$1,[2]quests!$1:$1,0)+1),MATCH(C$1,[2]quests!$1:$1,0)-MATCH($B$1,[2]quests!$1:$1,0)+1,FALSE)</f>
        <v>大鯨の呼び声</v>
      </c>
      <c r="D2" s="83" t="str">
        <f ca="1">VLOOKUP($B2,OFFSET([2]quests!$A$1,0,0,COUNTA([2]quests!$A:$A),MATCH(D$1,[2]quests!$1:$1,0)-MATCH($B$1,[2]quests!$1:$1,0)+1),MATCH(D$1,[2]quests!$1:$1,0)-MATCH($B$1,[2]quests!$1:$1,0)+1,FALSE)</f>
        <v>童話シリーズ3本目</v>
      </c>
      <c r="E2" s="87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【中級】大鯨の呼び声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童話シリーズ3本目</v>
      </c>
      <c r="H2" s="85">
        <v>0</v>
      </c>
      <c r="I2">
        <v>3</v>
      </c>
      <c r="J2" s="84" t="s">
        <v>198</v>
      </c>
      <c r="K2" s="93" t="str">
        <f>VLOOKUP(I2,[6]stage_hints!$A:$C,3,FALSE)</f>
        <v>ターゲット</v>
      </c>
      <c r="L2" s="94" t="str">
        <f>VLOOKUP(I2,[6]stage_hints!$A:$D,4,FALSE)</f>
        <v>敵ユニットをタップすると_x000D_その敵を狙い撃ちできます</v>
      </c>
      <c r="M2" s="57" t="s">
        <v>211</v>
      </c>
    </row>
    <row r="3" spans="1:13" x14ac:dyDescent="0.15">
      <c r="A3" s="81" t="s">
        <v>201</v>
      </c>
      <c r="B3" s="82">
        <f>floors!$C$2</f>
        <v>30035</v>
      </c>
      <c r="C3" s="83" t="str">
        <f ca="1">VLOOKUP($B3,OFFSET([2]quests!$A$1,0,0,COUNTA([2]quests!$A:$A),MATCH(C$1,[2]quests!$1:$1,0)-MATCH($B$1,[2]quests!$1:$1,0)+1),MATCH(C$1,[2]quests!$1:$1,0)-MATCH($B$1,[2]quests!$1:$1,0)+1,FALSE)</f>
        <v>大鯨の呼び声</v>
      </c>
      <c r="D3" s="83" t="str">
        <f ca="1">VLOOKUP($B3,OFFSET([2]quests!$A$1,0,0,COUNTA([2]quests!$A:$A),MATCH(D$1,[2]quests!$1:$1,0)-MATCH($B$1,[2]quests!$1:$1,0)+1),MATCH(D$1,[2]quests!$1:$1,0)-MATCH($B$1,[2]quests!$1:$1,0)+1,FALSE)</f>
        <v>童話シリーズ3本目</v>
      </c>
      <c r="E3" s="87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【中級】大鯨の呼び声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童話シリーズ3本目</v>
      </c>
      <c r="H3" s="85">
        <v>0</v>
      </c>
      <c r="I3">
        <v>6</v>
      </c>
      <c r="J3" s="84" t="s">
        <v>198</v>
      </c>
      <c r="K3" s="93" t="str">
        <f>VLOOKUP(I3,[6]stage_hints!$A:$C,3,FALSE)</f>
        <v>ユニット強化の属性ボーナス</v>
      </c>
      <c r="L3" s="94" t="str">
        <f>VLOOKUP(I3,[6]stage_hints!$A:$D,4,FALSE)</f>
        <v>同属性ユニットを強化素材にすると_x000D_経験値が多くもらえます</v>
      </c>
      <c r="M3" s="57" t="s">
        <v>211</v>
      </c>
    </row>
    <row r="4" spans="1:13" x14ac:dyDescent="0.15">
      <c r="A4" s="81" t="s">
        <v>201</v>
      </c>
      <c r="B4" s="82">
        <f>floors!$C$2</f>
        <v>30035</v>
      </c>
      <c r="C4" s="83" t="str">
        <f ca="1">VLOOKUP($B4,OFFSET([2]quests!$A$1,0,0,COUNTA([2]quests!$A:$A),MATCH(C$1,[2]quests!$1:$1,0)-MATCH($B$1,[2]quests!$1:$1,0)+1),MATCH(C$1,[2]quests!$1:$1,0)-MATCH($B$1,[2]quests!$1:$1,0)+1,FALSE)</f>
        <v>大鯨の呼び声</v>
      </c>
      <c r="D4" s="83" t="str">
        <f ca="1">VLOOKUP($B4,OFFSET([2]quests!$A$1,0,0,COUNTA([2]quests!$A:$A),MATCH(D$1,[2]quests!$1:$1,0)-MATCH($B$1,[2]quests!$1:$1,0)+1),MATCH(D$1,[2]quests!$1:$1,0)-MATCH($B$1,[2]quests!$1:$1,0)+1,FALSE)</f>
        <v>童話シリーズ3本目</v>
      </c>
      <c r="E4" s="87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【中級】大鯨の呼び声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童話シリーズ3本目</v>
      </c>
      <c r="H4" s="85">
        <v>0</v>
      </c>
      <c r="I4">
        <v>7</v>
      </c>
      <c r="J4" s="84" t="s">
        <v>198</v>
      </c>
      <c r="K4" s="93" t="str">
        <f>VLOOKUP(I4,[6]stage_hints!$A:$C,3,FALSE)</f>
        <v>メタルダックで経験値を獲得</v>
      </c>
      <c r="L4" s="94" t="str">
        <f>VLOOKUP(I4,[6]stage_hints!$A:$D,4,FALSE)</f>
        <v>「メタルなアヒル」を強化素材にすると_x000D_大量の経験値がもらえます</v>
      </c>
      <c r="M4" s="57" t="s">
        <v>211</v>
      </c>
    </row>
    <row r="5" spans="1:13" x14ac:dyDescent="0.15">
      <c r="A5" s="81" t="s">
        <v>201</v>
      </c>
      <c r="B5" s="82">
        <f>floors!$C$2</f>
        <v>30035</v>
      </c>
      <c r="C5" s="83" t="str">
        <f ca="1">VLOOKUP($B5,OFFSET([2]quests!$A$1,0,0,COUNTA([2]quests!$A:$A),MATCH(C$1,[2]quests!$1:$1,0)-MATCH($B$1,[2]quests!$1:$1,0)+1),MATCH(C$1,[2]quests!$1:$1,0)-MATCH($B$1,[2]quests!$1:$1,0)+1,FALSE)</f>
        <v>大鯨の呼び声</v>
      </c>
      <c r="D5" s="83" t="str">
        <f ca="1">VLOOKUP($B5,OFFSET([2]quests!$A$1,0,0,COUNTA([2]quests!$A:$A),MATCH(D$1,[2]quests!$1:$1,0)-MATCH($B$1,[2]quests!$1:$1,0)+1),MATCH(D$1,[2]quests!$1:$1,0)-MATCH($B$1,[2]quests!$1:$1,0)+1,FALSE)</f>
        <v>童話シリーズ3本目</v>
      </c>
      <c r="E5" s="87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【中級】大鯨の呼び声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童話シリーズ3本目</v>
      </c>
      <c r="H5" s="85">
        <v>0</v>
      </c>
      <c r="I5">
        <v>8</v>
      </c>
      <c r="J5" s="84" t="s">
        <v>198</v>
      </c>
      <c r="K5" s="93" t="str">
        <f>VLOOKUP(I5,[6]stage_hints!$A:$C,3,FALSE)</f>
        <v>ゲリラクエストは要チェック</v>
      </c>
      <c r="L5" s="94" t="str">
        <f>VLOOKUP(I5,[6]stage_hints!$A:$D,4,FALSE)</f>
        <v>時間限定の「アヒル捕獲作戦」では_x000D_経験値素材ユニットが多く手に入ります</v>
      </c>
      <c r="M5" s="57" t="s">
        <v>211</v>
      </c>
    </row>
    <row r="6" spans="1:13" x14ac:dyDescent="0.15">
      <c r="A6" s="81" t="s">
        <v>201</v>
      </c>
      <c r="B6" s="82">
        <f>floors!$C$2</f>
        <v>30035</v>
      </c>
      <c r="C6" s="83" t="str">
        <f ca="1">VLOOKUP($B6,OFFSET([2]quests!$A$1,0,0,COUNTA([2]quests!$A:$A),MATCH(C$1,[2]quests!$1:$1,0)-MATCH($B$1,[2]quests!$1:$1,0)+1),MATCH(C$1,[2]quests!$1:$1,0)-MATCH($B$1,[2]quests!$1:$1,0)+1,FALSE)</f>
        <v>大鯨の呼び声</v>
      </c>
      <c r="D6" s="83" t="str">
        <f ca="1">VLOOKUP($B6,OFFSET([2]quests!$A$1,0,0,COUNTA([2]quests!$A:$A),MATCH(D$1,[2]quests!$1:$1,0)-MATCH($B$1,[2]quests!$1:$1,0)+1),MATCH(D$1,[2]quests!$1:$1,0)-MATCH($B$1,[2]quests!$1:$1,0)+1,FALSE)</f>
        <v>童話シリーズ3本目</v>
      </c>
      <c r="E6" s="87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【中級】大鯨の呼び声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童話シリーズ3本目</v>
      </c>
      <c r="H6" s="85">
        <v>0</v>
      </c>
      <c r="I6">
        <v>9</v>
      </c>
      <c r="J6" s="84" t="s">
        <v>198</v>
      </c>
      <c r="K6" s="93" t="str">
        <f>VLOOKUP(I6,[6]stage_hints!$A:$C,3,FALSE)</f>
        <v>ゴールドダックでビットを獲得</v>
      </c>
      <c r="L6" s="94" t="str">
        <f>VLOOKUP(I6,[6]stage_hints!$A:$D,4,FALSE)</f>
        <v>「ゴールドなアヒル」を売却すると_x000D_大量のビットがもらえます</v>
      </c>
      <c r="M6" s="57" t="s">
        <v>211</v>
      </c>
    </row>
    <row r="7" spans="1:13" x14ac:dyDescent="0.15">
      <c r="A7" s="81" t="s">
        <v>201</v>
      </c>
      <c r="B7" s="82">
        <f>floors!$C$2</f>
        <v>30035</v>
      </c>
      <c r="C7" s="83" t="str">
        <f ca="1">VLOOKUP($B7,OFFSET([2]quests!$A$1,0,0,COUNTA([2]quests!$A:$A),MATCH(C$1,[2]quests!$1:$1,0)-MATCH($B$1,[2]quests!$1:$1,0)+1),MATCH(C$1,[2]quests!$1:$1,0)-MATCH($B$1,[2]quests!$1:$1,0)+1,FALSE)</f>
        <v>大鯨の呼び声</v>
      </c>
      <c r="D7" s="83" t="str">
        <f ca="1">VLOOKUP($B7,OFFSET([2]quests!$A$1,0,0,COUNTA([2]quests!$A:$A),MATCH(D$1,[2]quests!$1:$1,0)-MATCH($B$1,[2]quests!$1:$1,0)+1),MATCH(D$1,[2]quests!$1:$1,0)-MATCH($B$1,[2]quests!$1:$1,0)+1,FALSE)</f>
        <v>童話シリーズ3本目</v>
      </c>
      <c r="E7" s="87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【中級】大鯨の呼び声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童話シリーズ3本目</v>
      </c>
      <c r="H7" s="85">
        <v>0</v>
      </c>
      <c r="I7">
        <v>10</v>
      </c>
      <c r="J7" s="84" t="s">
        <v>198</v>
      </c>
      <c r="K7" s="93" t="str">
        <f>VLOOKUP(I7,[6]stage_hints!$A:$C,3,FALSE)</f>
        <v>土日に大量のビットを獲得</v>
      </c>
      <c r="L7" s="94" t="str">
        <f>VLOOKUP(I7,[6]stage_hints!$A:$D,4,FALSE)</f>
        <v>土日限定の「ゴールドカジノ」では_x000D_売却素材ユニットが多く手に入ります</v>
      </c>
      <c r="M7" s="57" t="s">
        <v>211</v>
      </c>
    </row>
    <row r="8" spans="1:13" x14ac:dyDescent="0.15">
      <c r="A8" s="81" t="s">
        <v>201</v>
      </c>
      <c r="B8" s="82">
        <f>floors!$C$2</f>
        <v>30035</v>
      </c>
      <c r="C8" s="83" t="str">
        <f ca="1">VLOOKUP($B8,OFFSET([2]quests!$A$1,0,0,COUNTA([2]quests!$A:$A),MATCH(C$1,[2]quests!$1:$1,0)-MATCH($B$1,[2]quests!$1:$1,0)+1),MATCH(C$1,[2]quests!$1:$1,0)-MATCH($B$1,[2]quests!$1:$1,0)+1,FALSE)</f>
        <v>大鯨の呼び声</v>
      </c>
      <c r="D8" s="83" t="str">
        <f ca="1">VLOOKUP($B8,OFFSET([2]quests!$A$1,0,0,COUNTA([2]quests!$A:$A),MATCH(D$1,[2]quests!$1:$1,0)-MATCH($B$1,[2]quests!$1:$1,0)+1),MATCH(D$1,[2]quests!$1:$1,0)-MATCH($B$1,[2]quests!$1:$1,0)+1,FALSE)</f>
        <v>童話シリーズ3本目</v>
      </c>
      <c r="E8" s="87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【中級】大鯨の呼び声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童話シリーズ3本目</v>
      </c>
      <c r="H8" s="85">
        <v>0</v>
      </c>
      <c r="I8">
        <v>11</v>
      </c>
      <c r="J8" s="84" t="s">
        <v>198</v>
      </c>
      <c r="K8" s="93" t="str">
        <f>VLOOKUP(I8,[6]stage_hints!$A:$C,3,FALSE)</f>
        <v>ランク解放クエスト</v>
      </c>
      <c r="L8" s="94" t="str">
        <f>VLOOKUP(I8,[6]stage_hints!$A:$D,4,FALSE)</f>
        <v>一定ランクに到達すると_x000D_報酬付きのランク開放クエストが現れます</v>
      </c>
      <c r="M8" s="57" t="s">
        <v>211</v>
      </c>
    </row>
    <row r="9" spans="1:13" x14ac:dyDescent="0.15">
      <c r="A9" s="81" t="s">
        <v>201</v>
      </c>
      <c r="B9" s="82">
        <f>floors!$C$2</f>
        <v>30035</v>
      </c>
      <c r="C9" s="83" t="str">
        <f ca="1">VLOOKUP($B9,OFFSET([2]quests!$A$1,0,0,COUNTA([2]quests!$A:$A),MATCH(C$1,[2]quests!$1:$1,0)-MATCH($B$1,[2]quests!$1:$1,0)+1),MATCH(C$1,[2]quests!$1:$1,0)-MATCH($B$1,[2]quests!$1:$1,0)+1,FALSE)</f>
        <v>大鯨の呼び声</v>
      </c>
      <c r="D9" s="83" t="str">
        <f ca="1">VLOOKUP($B9,OFFSET([2]quests!$A$1,0,0,COUNTA([2]quests!$A:$A),MATCH(D$1,[2]quests!$1:$1,0)-MATCH($B$1,[2]quests!$1:$1,0)+1),MATCH(D$1,[2]quests!$1:$1,0)-MATCH($B$1,[2]quests!$1:$1,0)+1,FALSE)</f>
        <v>童話シリーズ3本目</v>
      </c>
      <c r="E9" s="87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【中級】大鯨の呼び声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童話シリーズ3本目</v>
      </c>
      <c r="H9" s="85">
        <v>0</v>
      </c>
      <c r="I9">
        <v>12</v>
      </c>
      <c r="J9" s="84" t="s">
        <v>198</v>
      </c>
      <c r="K9" s="93" t="str">
        <f>VLOOKUP(I9,[6]stage_hints!$A:$C,3,FALSE)</f>
        <v>ユニットのお気に入り登録</v>
      </c>
      <c r="L9" s="94" t="str">
        <f>VLOOKUP(I9,[6]stage_hints!$A:$D,4,FALSE)</f>
        <v>大事なユニットを誤って消さないように_x000D_フォルダから「お気に入り登録」しましょう</v>
      </c>
      <c r="M9" s="57" t="s">
        <v>211</v>
      </c>
    </row>
    <row r="10" spans="1:13" x14ac:dyDescent="0.15">
      <c r="A10" s="81" t="s">
        <v>201</v>
      </c>
      <c r="B10" s="82">
        <f>floors!$C$2</f>
        <v>30035</v>
      </c>
      <c r="C10" s="83" t="str">
        <f ca="1">VLOOKUP($B10,OFFSET([2]quests!$A$1,0,0,COUNTA([2]quests!$A:$A),MATCH(C$1,[2]quests!$1:$1,0)-MATCH($B$1,[2]quests!$1:$1,0)+1),MATCH(C$1,[2]quests!$1:$1,0)-MATCH($B$1,[2]quests!$1:$1,0)+1,FALSE)</f>
        <v>大鯨の呼び声</v>
      </c>
      <c r="D10" s="83" t="str">
        <f ca="1">VLOOKUP($B10,OFFSET([2]quests!$A$1,0,0,COUNTA([2]quests!$A:$A),MATCH(D$1,[2]quests!$1:$1,0)-MATCH($B$1,[2]quests!$1:$1,0)+1),MATCH(D$1,[2]quests!$1:$1,0)-MATCH($B$1,[2]quests!$1:$1,0)+1,FALSE)</f>
        <v>童話シリーズ3本目</v>
      </c>
      <c r="E10" s="87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【中級】大鯨の呼び声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童話シリーズ3本目</v>
      </c>
      <c r="H10" s="85">
        <v>0</v>
      </c>
      <c r="I10">
        <v>13</v>
      </c>
      <c r="J10" s="84" t="s">
        <v>198</v>
      </c>
      <c r="K10" s="93" t="str">
        <f>VLOOKUP(I10,[6]stage_hints!$A:$C,3,FALSE)</f>
        <v>ユニットの覚醒</v>
      </c>
      <c r="L10" s="94" t="str">
        <f>VLOOKUP(I10,[6]stage_hints!$A:$D,4,FALSE)</f>
        <v>ユニットを覚醒させると_x000D_比べものにならない強さが手に入ります</v>
      </c>
      <c r="M10" s="57" t="s">
        <v>211</v>
      </c>
    </row>
    <row r="11" spans="1:13" x14ac:dyDescent="0.15">
      <c r="A11" s="81" t="s">
        <v>201</v>
      </c>
      <c r="B11" s="82">
        <f>floors!$C$2</f>
        <v>30035</v>
      </c>
      <c r="C11" s="83" t="str">
        <f ca="1">VLOOKUP($B11,OFFSET([2]quests!$A$1,0,0,COUNTA([2]quests!$A:$A),MATCH(C$1,[2]quests!$1:$1,0)-MATCH($B$1,[2]quests!$1:$1,0)+1),MATCH(C$1,[2]quests!$1:$1,0)-MATCH($B$1,[2]quests!$1:$1,0)+1,FALSE)</f>
        <v>大鯨の呼び声</v>
      </c>
      <c r="D11" s="83" t="str">
        <f ca="1">VLOOKUP($B11,OFFSET([2]quests!$A$1,0,0,COUNTA([2]quests!$A:$A),MATCH(D$1,[2]quests!$1:$1,0)-MATCH($B$1,[2]quests!$1:$1,0)+1),MATCH(D$1,[2]quests!$1:$1,0)-MATCH($B$1,[2]quests!$1:$1,0)+1,FALSE)</f>
        <v>童話シリーズ3本目</v>
      </c>
      <c r="E11" s="87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【中級】大鯨の呼び声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童話シリーズ3本目</v>
      </c>
      <c r="H11" s="85">
        <v>0</v>
      </c>
      <c r="I11">
        <v>14</v>
      </c>
      <c r="J11" s="84" t="s">
        <v>198</v>
      </c>
      <c r="K11" s="93" t="str">
        <f>VLOOKUP(I11,[6]stage_hints!$A:$C,3,FALSE)</f>
        <v>覚醒するにはレベルを最大に</v>
      </c>
      <c r="L11" s="94" t="str">
        <f>VLOOKUP(I11,[6]stage_hints!$A:$D,4,FALSE)</f>
        <v>覚醒するにはユニットのレベルを_x000D_最大まで上げる必要があります</v>
      </c>
      <c r="M11" s="57" t="s">
        <v>211</v>
      </c>
    </row>
    <row r="12" spans="1:13" x14ac:dyDescent="0.15">
      <c r="A12" s="81" t="s">
        <v>201</v>
      </c>
      <c r="B12" s="82">
        <f>floors!$C$2</f>
        <v>30035</v>
      </c>
      <c r="C12" s="83" t="str">
        <f ca="1">VLOOKUP($B12,OFFSET([2]quests!$A$1,0,0,COUNTA([2]quests!$A:$A),MATCH(C$1,[2]quests!$1:$1,0)-MATCH($B$1,[2]quests!$1:$1,0)+1),MATCH(C$1,[2]quests!$1:$1,0)-MATCH($B$1,[2]quests!$1:$1,0)+1,FALSE)</f>
        <v>大鯨の呼び声</v>
      </c>
      <c r="D12" s="83" t="str">
        <f ca="1">VLOOKUP($B12,OFFSET([2]quests!$A$1,0,0,COUNTA([2]quests!$A:$A),MATCH(D$1,[2]quests!$1:$1,0)-MATCH($B$1,[2]quests!$1:$1,0)+1),MATCH(D$1,[2]quests!$1:$1,0)-MATCH($B$1,[2]quests!$1:$1,0)+1,FALSE)</f>
        <v>童話シリーズ3本目</v>
      </c>
      <c r="E12" s="87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【中級】大鯨の呼び声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童話シリーズ3本目</v>
      </c>
      <c r="H12" s="85">
        <v>0</v>
      </c>
      <c r="I12">
        <v>15</v>
      </c>
      <c r="J12" s="84" t="s">
        <v>198</v>
      </c>
      <c r="K12" s="93" t="str">
        <f>VLOOKUP(I12,[6]stage_hints!$A:$C,3,FALSE)</f>
        <v>覚醒素材を獲得</v>
      </c>
      <c r="L12" s="94" t="str">
        <f>VLOOKUP(I12,[6]stage_hints!$A:$D,4,FALSE)</f>
        <v>「曜日クエスト」では_x000D_ユニットの覚醒に必要な素材が手に入ります</v>
      </c>
      <c r="M12" s="57" t="s">
        <v>211</v>
      </c>
    </row>
    <row r="13" spans="1:13" x14ac:dyDescent="0.15">
      <c r="A13" s="81" t="s">
        <v>201</v>
      </c>
      <c r="B13" s="82">
        <f>floors!$C$2</f>
        <v>30035</v>
      </c>
      <c r="C13" s="83" t="str">
        <f ca="1">VLOOKUP($B13,OFFSET([2]quests!$A$1,0,0,COUNTA([2]quests!$A:$A),MATCH(C$1,[2]quests!$1:$1,0)-MATCH($B$1,[2]quests!$1:$1,0)+1),MATCH(C$1,[2]quests!$1:$1,0)-MATCH($B$1,[2]quests!$1:$1,0)+1,FALSE)</f>
        <v>大鯨の呼び声</v>
      </c>
      <c r="D13" s="83" t="str">
        <f ca="1">VLOOKUP($B13,OFFSET([2]quests!$A$1,0,0,COUNTA([2]quests!$A:$A),MATCH(D$1,[2]quests!$1:$1,0)-MATCH($B$1,[2]quests!$1:$1,0)+1),MATCH(D$1,[2]quests!$1:$1,0)-MATCH($B$1,[2]quests!$1:$1,0)+1,FALSE)</f>
        <v>童話シリーズ3本目</v>
      </c>
      <c r="E13" s="87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【中級】大鯨の呼び声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童話シリーズ3本目</v>
      </c>
      <c r="H13" s="85">
        <v>0</v>
      </c>
      <c r="I13">
        <v>16</v>
      </c>
      <c r="J13" s="84" t="s">
        <v>198</v>
      </c>
      <c r="K13" s="93" t="str">
        <f>VLOOKUP(I13,[6]stage_hints!$A:$C,3,FALSE)</f>
        <v>マルチプレイのメリット（その1）</v>
      </c>
      <c r="L13" s="94" t="str">
        <f>VLOOKUP(I13,[6]stage_hints!$A:$D,4,FALSE)</f>
        <v>他のプレイヤーとマルチプレイで遊ぶと_x000D_ポリゴンがもらえます（100人まで）</v>
      </c>
      <c r="M13" s="57" t="s">
        <v>211</v>
      </c>
    </row>
    <row r="14" spans="1:13" x14ac:dyDescent="0.15">
      <c r="A14" s="81" t="s">
        <v>201</v>
      </c>
      <c r="B14" s="82">
        <f>floors!$C$2</f>
        <v>30035</v>
      </c>
      <c r="C14" s="83" t="str">
        <f ca="1">VLOOKUP($B14,OFFSET([2]quests!$A$1,0,0,COUNTA([2]quests!$A:$A),MATCH(C$1,[2]quests!$1:$1,0)-MATCH($B$1,[2]quests!$1:$1,0)+1),MATCH(C$1,[2]quests!$1:$1,0)-MATCH($B$1,[2]quests!$1:$1,0)+1,FALSE)</f>
        <v>大鯨の呼び声</v>
      </c>
      <c r="D14" s="83" t="str">
        <f ca="1">VLOOKUP($B14,OFFSET([2]quests!$A$1,0,0,COUNTA([2]quests!$A:$A),MATCH(D$1,[2]quests!$1:$1,0)-MATCH($B$1,[2]quests!$1:$1,0)+1),MATCH(D$1,[2]quests!$1:$1,0)-MATCH($B$1,[2]quests!$1:$1,0)+1,FALSE)</f>
        <v>童話シリーズ3本目</v>
      </c>
      <c r="E14" s="87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【中級】大鯨の呼び声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童話シリーズ3本目</v>
      </c>
      <c r="H14" s="85">
        <v>0</v>
      </c>
      <c r="I14">
        <v>17</v>
      </c>
      <c r="J14" s="84" t="s">
        <v>198</v>
      </c>
      <c r="K14" s="93" t="str">
        <f>VLOOKUP(I14,[6]stage_hints!$A:$C,3,FALSE)</f>
        <v>リンクガチャ</v>
      </c>
      <c r="L14" s="94" t="str">
        <f>VLOOKUP(I14,[6]stage_hints!$A:$D,4,FALSE)</f>
        <v>無料のリンクガチャを回して_x000D_経験値素材や売却素材を獲得しましょう</v>
      </c>
      <c r="M14" s="57" t="s">
        <v>211</v>
      </c>
    </row>
    <row r="15" spans="1:13" x14ac:dyDescent="0.15">
      <c r="A15" s="81" t="s">
        <v>201</v>
      </c>
      <c r="B15" s="82">
        <f>floors!$C$2</f>
        <v>30035</v>
      </c>
      <c r="C15" s="83" t="str">
        <f ca="1">VLOOKUP($B15,OFFSET([2]quests!$A$1,0,0,COUNTA([2]quests!$A:$A),MATCH(C$1,[2]quests!$1:$1,0)-MATCH($B$1,[2]quests!$1:$1,0)+1),MATCH(C$1,[2]quests!$1:$1,0)-MATCH($B$1,[2]quests!$1:$1,0)+1,FALSE)</f>
        <v>大鯨の呼び声</v>
      </c>
      <c r="D15" s="83" t="str">
        <f ca="1">VLOOKUP($B15,OFFSET([2]quests!$A$1,0,0,COUNTA([2]quests!$A:$A),MATCH(D$1,[2]quests!$1:$1,0)-MATCH($B$1,[2]quests!$1:$1,0)+1),MATCH(D$1,[2]quests!$1:$1,0)-MATCH($B$1,[2]quests!$1:$1,0)+1,FALSE)</f>
        <v>童話シリーズ3本目</v>
      </c>
      <c r="E15" s="87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【中級】大鯨の呼び声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童話シリーズ3本目</v>
      </c>
      <c r="H15" s="85">
        <v>0</v>
      </c>
      <c r="I15">
        <v>18</v>
      </c>
      <c r="J15" s="84" t="s">
        <v>198</v>
      </c>
      <c r="K15" s="93" t="str">
        <f>VLOOKUP(I15,[6]stage_hints!$A:$C,3,FALSE)</f>
        <v>マルチプレイのメリット（その2）</v>
      </c>
      <c r="L15" s="94" t="str">
        <f>VLOOKUP(I15,[6]stage_hints!$A:$D,4,FALSE)</f>
        <v>マルチプレイならリンクが2倍もらえます_x000D_リンクガチャをたくさん回しましょう</v>
      </c>
      <c r="M15" s="57" t="s">
        <v>211</v>
      </c>
    </row>
    <row r="16" spans="1:13" x14ac:dyDescent="0.15">
      <c r="A16" s="81" t="s">
        <v>201</v>
      </c>
      <c r="B16" s="82">
        <f>floors!$C$2</f>
        <v>30035</v>
      </c>
      <c r="C16" s="83" t="str">
        <f ca="1">VLOOKUP($B16,OFFSET([2]quests!$A$1,0,0,COUNTA([2]quests!$A:$A),MATCH(C$1,[2]quests!$1:$1,0)-MATCH($B$1,[2]quests!$1:$1,0)+1),MATCH(C$1,[2]quests!$1:$1,0)-MATCH($B$1,[2]quests!$1:$1,0)+1,FALSE)</f>
        <v>大鯨の呼び声</v>
      </c>
      <c r="D16" s="83" t="str">
        <f ca="1">VLOOKUP($B16,OFFSET([2]quests!$A$1,0,0,COUNTA([2]quests!$A:$A),MATCH(D$1,[2]quests!$1:$1,0)-MATCH($B$1,[2]quests!$1:$1,0)+1),MATCH(D$1,[2]quests!$1:$1,0)-MATCH($B$1,[2]quests!$1:$1,0)+1,FALSE)</f>
        <v>童話シリーズ3本目</v>
      </c>
      <c r="E16" s="87">
        <v>1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【中級】大鯨の呼び声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童話シリーズ3本目</v>
      </c>
      <c r="H16" s="85">
        <v>0</v>
      </c>
      <c r="I16">
        <v>19</v>
      </c>
      <c r="J16" s="84" t="s">
        <v>198</v>
      </c>
      <c r="K16" s="93" t="str">
        <f>VLOOKUP(I16,[6]stage_hints!$A:$C,3,FALSE)</f>
        <v>ソロ専用タワーオブザクイーン</v>
      </c>
      <c r="L16" s="94" t="str">
        <f>VLOOKUP(I16,[6]stage_hints!$A:$D,4,FALSE)</f>
        <v>ソロ専用の「タワーオブザクイーン」は_x000D_期間限定で定期的に開催されます_x000D_ここでしか獲得できない報酬もあるようです</v>
      </c>
      <c r="M16" s="57" t="s">
        <v>211</v>
      </c>
    </row>
    <row r="17" spans="1:13" x14ac:dyDescent="0.15">
      <c r="A17" s="81" t="s">
        <v>201</v>
      </c>
      <c r="B17" s="82">
        <f>floors!$C$2</f>
        <v>30035</v>
      </c>
      <c r="C17" s="83" t="str">
        <f ca="1">VLOOKUP($B17,OFFSET([2]quests!$A$1,0,0,COUNTA([2]quests!$A:$A),MATCH(C$1,[2]quests!$1:$1,0)-MATCH($B$1,[2]quests!$1:$1,0)+1),MATCH(C$1,[2]quests!$1:$1,0)-MATCH($B$1,[2]quests!$1:$1,0)+1,FALSE)</f>
        <v>大鯨の呼び声</v>
      </c>
      <c r="D17" s="83" t="str">
        <f ca="1">VLOOKUP($B17,OFFSET([2]quests!$A$1,0,0,COUNTA([2]quests!$A:$A),MATCH(D$1,[2]quests!$1:$1,0)-MATCH($B$1,[2]quests!$1:$1,0)+1),MATCH(D$1,[2]quests!$1:$1,0)-MATCH($B$1,[2]quests!$1:$1,0)+1,FALSE)</f>
        <v>童話シリーズ3本目</v>
      </c>
      <c r="E17" s="87">
        <v>1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【中級】大鯨の呼び声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童話シリーズ3本目</v>
      </c>
      <c r="H17" s="85">
        <v>0</v>
      </c>
      <c r="I17">
        <v>20</v>
      </c>
      <c r="J17" s="84" t="s">
        <v>198</v>
      </c>
      <c r="K17" s="93" t="str">
        <f>VLOOKUP(I17,[6]stage_hints!$A:$C,3,FALSE)</f>
        <v>マルチプレイのメリット（その3）</v>
      </c>
      <c r="L17" s="94" t="str">
        <f>VLOOKUP(I17,[6]stage_hints!$A:$D,4,FALSE)</f>
        <v>マルチプレイへの参加はエナジー消費ゼロ_x000D_いつでも好きなだけ遊ぶことができます</v>
      </c>
      <c r="M17" s="57" t="s">
        <v>211</v>
      </c>
    </row>
    <row r="18" spans="1:13" x14ac:dyDescent="0.15">
      <c r="A18" s="81" t="s">
        <v>201</v>
      </c>
      <c r="B18" s="82">
        <f>floors!$C$2</f>
        <v>30035</v>
      </c>
      <c r="C18" s="83" t="str">
        <f ca="1">VLOOKUP($B18,OFFSET([2]quests!$A$1,0,0,COUNTA([2]quests!$A:$A),MATCH(C$1,[2]quests!$1:$1,0)-MATCH($B$1,[2]quests!$1:$1,0)+1),MATCH(C$1,[2]quests!$1:$1,0)-MATCH($B$1,[2]quests!$1:$1,0)+1,FALSE)</f>
        <v>大鯨の呼び声</v>
      </c>
      <c r="D18" s="83" t="str">
        <f ca="1">VLOOKUP($B18,OFFSET([2]quests!$A$1,0,0,COUNTA([2]quests!$A:$A),MATCH(D$1,[2]quests!$1:$1,0)-MATCH($B$1,[2]quests!$1:$1,0)+1),MATCH(D$1,[2]quests!$1:$1,0)-MATCH($B$1,[2]quests!$1:$1,0)+1,FALSE)</f>
        <v>童話シリーズ3本目</v>
      </c>
      <c r="E18" s="87">
        <v>1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【中級】大鯨の呼び声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童話シリーズ3本目</v>
      </c>
      <c r="H18" s="85">
        <v>0</v>
      </c>
      <c r="I18">
        <v>21</v>
      </c>
      <c r="J18" s="84" t="s">
        <v>198</v>
      </c>
      <c r="K18" s="93" t="str">
        <f>VLOOKUP(I18,[6]stage_hints!$A:$C,3,FALSE)</f>
        <v>スキルを有効に</v>
      </c>
      <c r="L18" s="94" t="str">
        <f>VLOOKUP(I18,[6]stage_hints!$A:$D,4,FALSE)</f>
        <v>ターン経過でユニットのスキルが使えます_x000D_強力スキルでバトルを有利に進めましょう</v>
      </c>
      <c r="M18" s="57" t="s">
        <v>211</v>
      </c>
    </row>
    <row r="19" spans="1:13" x14ac:dyDescent="0.15">
      <c r="A19" s="81" t="s">
        <v>201</v>
      </c>
      <c r="B19" s="82">
        <f>floors!$C$2</f>
        <v>30035</v>
      </c>
      <c r="C19" s="83" t="str">
        <f ca="1">VLOOKUP($B19,OFFSET([2]quests!$A$1,0,0,COUNTA([2]quests!$A:$A),MATCH(C$1,[2]quests!$1:$1,0)-MATCH($B$1,[2]quests!$1:$1,0)+1),MATCH(C$1,[2]quests!$1:$1,0)-MATCH($B$1,[2]quests!$1:$1,0)+1,FALSE)</f>
        <v>大鯨の呼び声</v>
      </c>
      <c r="D19" s="83" t="str">
        <f ca="1">VLOOKUP($B19,OFFSET([2]quests!$A$1,0,0,COUNTA([2]quests!$A:$A),MATCH(D$1,[2]quests!$1:$1,0)-MATCH($B$1,[2]quests!$1:$1,0)+1),MATCH(D$1,[2]quests!$1:$1,0)-MATCH($B$1,[2]quests!$1:$1,0)+1,FALSE)</f>
        <v>童話シリーズ3本目</v>
      </c>
      <c r="E19" s="87">
        <v>1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【中級】大鯨の呼び声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童話シリーズ3本目</v>
      </c>
      <c r="H19" s="85">
        <v>0</v>
      </c>
      <c r="I19">
        <v>22</v>
      </c>
      <c r="J19" s="84" t="s">
        <v>198</v>
      </c>
      <c r="K19" s="93" t="str">
        <f>VLOOKUP(I19,[6]stage_hints!$A:$C,3,FALSE)</f>
        <v>フィーバーで一発逆転（その1）</v>
      </c>
      <c r="L19" s="94" t="str">
        <f>VLOOKUP(I19,[6]stage_hints!$A:$D,4,FALSE)</f>
        <v>フィーバーは攻撃と回復を兼ね備えます_x000D_ピンチからの一発逆転を狙いましょう</v>
      </c>
      <c r="M19" s="57" t="s">
        <v>211</v>
      </c>
    </row>
    <row r="20" spans="1:13" x14ac:dyDescent="0.15">
      <c r="A20" s="81" t="s">
        <v>201</v>
      </c>
      <c r="B20" s="82">
        <f>floors!$C$2</f>
        <v>30035</v>
      </c>
      <c r="C20" s="83" t="str">
        <f ca="1">VLOOKUP($B20,OFFSET([2]quests!$A$1,0,0,COUNTA([2]quests!$A:$A),MATCH(C$1,[2]quests!$1:$1,0)-MATCH($B$1,[2]quests!$1:$1,0)+1),MATCH(C$1,[2]quests!$1:$1,0)-MATCH($B$1,[2]quests!$1:$1,0)+1,FALSE)</f>
        <v>大鯨の呼び声</v>
      </c>
      <c r="D20" s="83" t="str">
        <f ca="1">VLOOKUP($B20,OFFSET([2]quests!$A$1,0,0,COUNTA([2]quests!$A:$A),MATCH(D$1,[2]quests!$1:$1,0)-MATCH($B$1,[2]quests!$1:$1,0)+1),MATCH(D$1,[2]quests!$1:$1,0)-MATCH($B$1,[2]quests!$1:$1,0)+1,FALSE)</f>
        <v>童話シリーズ3本目</v>
      </c>
      <c r="E20" s="87">
        <v>1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【中級】大鯨の呼び声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童話シリーズ3本目</v>
      </c>
      <c r="H20" s="85">
        <v>0</v>
      </c>
      <c r="I20">
        <v>23</v>
      </c>
      <c r="J20" s="84" t="s">
        <v>198</v>
      </c>
      <c r="K20" s="93" t="str">
        <f>VLOOKUP(I20,[6]stage_hints!$A:$C,3,FALSE)</f>
        <v>フィーバーで一発逆転（その2）</v>
      </c>
      <c r="L20" s="94" t="str">
        <f>VLOOKUP(I20,[6]stage_hints!$A:$D,4,FALSE)</f>
        <v>フィーバー中は虹色のボムパネルを狙って_x000D_画面上のパネルを一気に破壊しましょう</v>
      </c>
      <c r="M20" s="57" t="s">
        <v>211</v>
      </c>
    </row>
    <row r="21" spans="1:13" x14ac:dyDescent="0.15">
      <c r="A21" s="81" t="s">
        <v>201</v>
      </c>
      <c r="B21" s="82">
        <f>floors!$C$2</f>
        <v>30035</v>
      </c>
      <c r="C21" s="83" t="str">
        <f ca="1">VLOOKUP($B21,OFFSET([2]quests!$A$1,0,0,COUNTA([2]quests!$A:$A),MATCH(C$1,[2]quests!$1:$1,0)-MATCH($B$1,[2]quests!$1:$1,0)+1),MATCH(C$1,[2]quests!$1:$1,0)-MATCH($B$1,[2]quests!$1:$1,0)+1,FALSE)</f>
        <v>大鯨の呼び声</v>
      </c>
      <c r="D21" s="83" t="str">
        <f ca="1">VLOOKUP($B21,OFFSET([2]quests!$A$1,0,0,COUNTA([2]quests!$A:$A),MATCH(D$1,[2]quests!$1:$1,0)-MATCH($B$1,[2]quests!$1:$1,0)+1),MATCH(D$1,[2]quests!$1:$1,0)-MATCH($B$1,[2]quests!$1:$1,0)+1,FALSE)</f>
        <v>童話シリーズ3本目</v>
      </c>
      <c r="E21" s="87">
        <v>1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【中級】大鯨の呼び声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童話シリーズ3本目</v>
      </c>
      <c r="H21" s="85">
        <v>0</v>
      </c>
      <c r="I21">
        <v>24</v>
      </c>
      <c r="J21" s="84" t="s">
        <v>198</v>
      </c>
      <c r="K21" s="93" t="str">
        <f>VLOOKUP(I21,[6]stage_hints!$A:$C,3,FALSE)</f>
        <v>果実を使って限界突破</v>
      </c>
      <c r="L21" s="94" t="str">
        <f>VLOOKUP(I21,[6]stage_hints!$A:$D,4,FALSE)</f>
        <v>攻めの果実 癒しの果実_x000D_生命の果実をユニット強化に使うと_x000D_ステータスが限界突破します（計99個迄）</v>
      </c>
      <c r="M21" s="57" t="s">
        <v>211</v>
      </c>
    </row>
    <row r="22" spans="1:13" x14ac:dyDescent="0.15">
      <c r="A22" s="81" t="s">
        <v>201</v>
      </c>
      <c r="B22" s="82">
        <f>floors!$C$2</f>
        <v>30035</v>
      </c>
      <c r="C22" s="83" t="str">
        <f ca="1">VLOOKUP($B22,OFFSET([2]quests!$A$1,0,0,COUNTA([2]quests!$A:$A),MATCH(C$1,[2]quests!$1:$1,0)-MATCH($B$1,[2]quests!$1:$1,0)+1),MATCH(C$1,[2]quests!$1:$1,0)-MATCH($B$1,[2]quests!$1:$1,0)+1,FALSE)</f>
        <v>大鯨の呼び声</v>
      </c>
      <c r="D22" s="83" t="str">
        <f ca="1">VLOOKUP($B22,OFFSET([2]quests!$A$1,0,0,COUNTA([2]quests!$A:$A),MATCH(D$1,[2]quests!$1:$1,0)-MATCH($B$1,[2]quests!$1:$1,0)+1),MATCH(D$1,[2]quests!$1:$1,0)-MATCH($B$1,[2]quests!$1:$1,0)+1,FALSE)</f>
        <v>童話シリーズ3本目</v>
      </c>
      <c r="E22" s="87">
        <v>1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【中級】大鯨の呼び声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童話シリーズ3本目</v>
      </c>
      <c r="H22" s="85">
        <v>0</v>
      </c>
      <c r="I22">
        <v>25</v>
      </c>
      <c r="J22" s="84" t="s">
        <v>198</v>
      </c>
      <c r="K22" s="93" t="str">
        <f>VLOOKUP(I22,[6]stage_hints!$A:$C,3,FALSE)</f>
        <v>スキルレベルアップ</v>
      </c>
      <c r="L22" s="94" t="str">
        <f>VLOOKUP(I22,[6]stage_hints!$A:$D,4,FALSE)</f>
        <v>「秘術の果実」を強化に使うと_x000D_スキルレベルを上げることができます</v>
      </c>
      <c r="M22" s="57" t="s">
        <v>211</v>
      </c>
    </row>
    <row r="23" spans="1:13" x14ac:dyDescent="0.15">
      <c r="A23" s="81" t="s">
        <v>201</v>
      </c>
      <c r="B23" s="82">
        <f>floors!$C$2</f>
        <v>30035</v>
      </c>
      <c r="C23" s="83" t="str">
        <f ca="1">VLOOKUP($B23,OFFSET([2]quests!$A$1,0,0,COUNTA([2]quests!$A:$A),MATCH(C$1,[2]quests!$1:$1,0)-MATCH($B$1,[2]quests!$1:$1,0)+1),MATCH(C$1,[2]quests!$1:$1,0)-MATCH($B$1,[2]quests!$1:$1,0)+1,FALSE)</f>
        <v>大鯨の呼び声</v>
      </c>
      <c r="D23" s="83" t="str">
        <f ca="1">VLOOKUP($B23,OFFSET([2]quests!$A$1,0,0,COUNTA([2]quests!$A:$A),MATCH(D$1,[2]quests!$1:$1,0)-MATCH($B$1,[2]quests!$1:$1,0)+1),MATCH(D$1,[2]quests!$1:$1,0)-MATCH($B$1,[2]quests!$1:$1,0)+1,FALSE)</f>
        <v>童話シリーズ3本目</v>
      </c>
      <c r="E23" s="87">
        <v>1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【中級】大鯨の呼び声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童話シリーズ3本目</v>
      </c>
      <c r="H23" s="85">
        <v>0</v>
      </c>
      <c r="I23">
        <v>26</v>
      </c>
      <c r="J23" s="84" t="s">
        <v>198</v>
      </c>
      <c r="K23" s="93" t="str">
        <f>VLOOKUP(I23,[6]stage_hints!$A:$C,3,FALSE)</f>
        <v>スキルレベルの効果</v>
      </c>
      <c r="L23" s="94" t="str">
        <f>VLOOKUP(I23,[6]stage_hints!$A:$D,4,FALSE)</f>
        <v>スキルレベルが上がると_x000D_短いターンでスキルを使うことができます</v>
      </c>
      <c r="M23" s="57" t="s">
        <v>211</v>
      </c>
    </row>
    <row r="24" spans="1:13" x14ac:dyDescent="0.15">
      <c r="A24" s="81" t="s">
        <v>201</v>
      </c>
      <c r="B24" s="82">
        <f>floors!$C$2</f>
        <v>30035</v>
      </c>
      <c r="C24" s="83" t="str">
        <f ca="1">VLOOKUP($B24,OFFSET([2]quests!$A$1,0,0,COUNTA([2]quests!$A:$A),MATCH(C$1,[2]quests!$1:$1,0)-MATCH($B$1,[2]quests!$1:$1,0)+1),MATCH(C$1,[2]quests!$1:$1,0)-MATCH($B$1,[2]quests!$1:$1,0)+1,FALSE)</f>
        <v>大鯨の呼び声</v>
      </c>
      <c r="D24" s="83" t="str">
        <f ca="1">VLOOKUP($B24,OFFSET([2]quests!$A$1,0,0,COUNTA([2]quests!$A:$A),MATCH(D$1,[2]quests!$1:$1,0)-MATCH($B$1,[2]quests!$1:$1,0)+1),MATCH(D$1,[2]quests!$1:$1,0)-MATCH($B$1,[2]quests!$1:$1,0)+1,FALSE)</f>
        <v>童話シリーズ3本目</v>
      </c>
      <c r="E24" s="87">
        <v>1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【中級】大鯨の呼び声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童話シリーズ3本目</v>
      </c>
      <c r="H24" s="85">
        <v>0</v>
      </c>
      <c r="I24">
        <v>27</v>
      </c>
      <c r="J24" s="84" t="s">
        <v>198</v>
      </c>
      <c r="K24" s="93" t="str">
        <f>VLOOKUP(I24,[6]stage_hints!$A:$C,3,FALSE)</f>
        <v>ホーム画面からデッキを編成</v>
      </c>
      <c r="L24" s="94" t="str">
        <f>VLOOKUP(I24,[6]stage_hints!$A:$D,4,FALSE)</f>
        <v>ホーム画面でユニットを長押しすると_x000D_すぐにパーティ編成に移動できます</v>
      </c>
      <c r="M24" s="57" t="s">
        <v>211</v>
      </c>
    </row>
    <row r="25" spans="1:13" x14ac:dyDescent="0.15">
      <c r="A25" s="81" t="s">
        <v>201</v>
      </c>
      <c r="B25" s="82">
        <f>floors!$C$2</f>
        <v>30035</v>
      </c>
      <c r="C25" s="83" t="str">
        <f ca="1">VLOOKUP($B25,OFFSET([2]quests!$A$1,0,0,COUNTA([2]quests!$A:$A),MATCH(C$1,[2]quests!$1:$1,0)-MATCH($B$1,[2]quests!$1:$1,0)+1),MATCH(C$1,[2]quests!$1:$1,0)-MATCH($B$1,[2]quests!$1:$1,0)+1,FALSE)</f>
        <v>大鯨の呼び声</v>
      </c>
      <c r="D25" s="83" t="str">
        <f ca="1">VLOOKUP($B25,OFFSET([2]quests!$A$1,0,0,COUNTA([2]quests!$A:$A),MATCH(D$1,[2]quests!$1:$1,0)-MATCH($B$1,[2]quests!$1:$1,0)+1),MATCH(D$1,[2]quests!$1:$1,0)-MATCH($B$1,[2]quests!$1:$1,0)+1,FALSE)</f>
        <v>童話シリーズ3本目</v>
      </c>
      <c r="E25" s="87">
        <v>1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【中級】大鯨の呼び声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童話シリーズ3本目</v>
      </c>
      <c r="H25" s="85">
        <v>0</v>
      </c>
      <c r="I25">
        <v>28</v>
      </c>
      <c r="J25" s="84" t="s">
        <v>198</v>
      </c>
      <c r="K25" s="93" t="str">
        <f>VLOOKUP(I25,[6]stage_hints!$A:$C,3,FALSE)</f>
        <v>ステータス情報は長押しで</v>
      </c>
      <c r="L25" s="94" t="str">
        <f>VLOOKUP(I25,[6]stage_hints!$A:$D,4,FALSE)</f>
        <v>ユニットのアイコンを長押しすると_x000D_ステータス情報を確認することができます</v>
      </c>
      <c r="M25" s="57" t="s">
        <v>211</v>
      </c>
    </row>
    <row r="26" spans="1:13" x14ac:dyDescent="0.15">
      <c r="A26" s="81" t="s">
        <v>201</v>
      </c>
      <c r="B26" s="82">
        <f>floors!$C$2</f>
        <v>30035</v>
      </c>
      <c r="C26" s="83" t="str">
        <f ca="1">VLOOKUP($B26,OFFSET([2]quests!$A$1,0,0,COUNTA([2]quests!$A:$A),MATCH(C$1,[2]quests!$1:$1,0)-MATCH($B$1,[2]quests!$1:$1,0)+1),MATCH(C$1,[2]quests!$1:$1,0)-MATCH($B$1,[2]quests!$1:$1,0)+1,FALSE)</f>
        <v>大鯨の呼び声</v>
      </c>
      <c r="D26" s="83" t="str">
        <f ca="1">VLOOKUP($B26,OFFSET([2]quests!$A$1,0,0,COUNTA([2]quests!$A:$A),MATCH(D$1,[2]quests!$1:$1,0)-MATCH($B$1,[2]quests!$1:$1,0)+1),MATCH(D$1,[2]quests!$1:$1,0)-MATCH($B$1,[2]quests!$1:$1,0)+1,FALSE)</f>
        <v>童話シリーズ3本目</v>
      </c>
      <c r="E26" s="87">
        <v>1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【中級】大鯨の呼び声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童話シリーズ3本目</v>
      </c>
      <c r="H26" s="85">
        <v>0</v>
      </c>
      <c r="I26">
        <v>29</v>
      </c>
      <c r="J26" s="84" t="s">
        <v>198</v>
      </c>
      <c r="K26" s="93" t="str">
        <f>VLOOKUP(I26,[6]stage_hints!$A:$C,3,FALSE)</f>
        <v>「バグ」のメリット</v>
      </c>
      <c r="L26" s="94" t="str">
        <f>VLOOKUP(I26,[6]stage_hints!$A:$D,4,FALSE)</f>
        <v>ユニットの「バグ」を増やすと_x000D_報酬をもらえる確率がアップします</v>
      </c>
      <c r="M26" s="57" t="s">
        <v>211</v>
      </c>
    </row>
    <row r="27" spans="1:13" x14ac:dyDescent="0.15">
      <c r="A27" s="81" t="s">
        <v>201</v>
      </c>
      <c r="B27" s="82">
        <f>floors!$C$2</f>
        <v>30035</v>
      </c>
      <c r="C27" s="83" t="str">
        <f ca="1">VLOOKUP($B27,OFFSET([2]quests!$A$1,0,0,COUNTA([2]quests!$A:$A),MATCH(C$1,[2]quests!$1:$1,0)-MATCH($B$1,[2]quests!$1:$1,0)+1),MATCH(C$1,[2]quests!$1:$1,0)-MATCH($B$1,[2]quests!$1:$1,0)+1,FALSE)</f>
        <v>大鯨の呼び声</v>
      </c>
      <c r="D27" s="83" t="str">
        <f ca="1">VLOOKUP($B27,OFFSET([2]quests!$A$1,0,0,COUNTA([2]quests!$A:$A),MATCH(D$1,[2]quests!$1:$1,0)-MATCH($B$1,[2]quests!$1:$1,0)+1),MATCH(D$1,[2]quests!$1:$1,0)-MATCH($B$1,[2]quests!$1:$1,0)+1,FALSE)</f>
        <v>童話シリーズ3本目</v>
      </c>
      <c r="E27" s="87">
        <v>1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【中級】大鯨の呼び声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童話シリーズ3本目</v>
      </c>
      <c r="H27" s="85">
        <v>0</v>
      </c>
      <c r="I27">
        <v>30</v>
      </c>
      <c r="J27" s="84" t="s">
        <v>198</v>
      </c>
      <c r="K27" s="93" t="str">
        <f>VLOOKUP(I27,[6]stage_hints!$A:$C,3,FALSE)</f>
        <v>「バグ」の増やし方</v>
      </c>
      <c r="L27" s="94" t="str">
        <f>VLOOKUP(I27,[6]stage_hints!$A:$D,4,FALSE)</f>
        <v>同じユニット同士を強化で合成すると_x000D_「バグ」を増やすことができます</v>
      </c>
      <c r="M27" s="57" t="s">
        <v>211</v>
      </c>
    </row>
    <row r="28" spans="1:13" x14ac:dyDescent="0.15">
      <c r="A28" s="81" t="s">
        <v>201</v>
      </c>
      <c r="B28" s="82">
        <f>floors!$C$2</f>
        <v>30035</v>
      </c>
      <c r="C28" s="83" t="str">
        <f ca="1">VLOOKUP($B28,OFFSET([2]quests!$A$1,0,0,COUNTA([2]quests!$A:$A),MATCH(C$1,[2]quests!$1:$1,0)-MATCH($B$1,[2]quests!$1:$1,0)+1),MATCH(C$1,[2]quests!$1:$1,0)-MATCH($B$1,[2]quests!$1:$1,0)+1,FALSE)</f>
        <v>大鯨の呼び声</v>
      </c>
      <c r="D28" s="83" t="str">
        <f ca="1">VLOOKUP($B28,OFFSET([2]quests!$A$1,0,0,COUNTA([2]quests!$A:$A),MATCH(D$1,[2]quests!$1:$1,0)-MATCH($B$1,[2]quests!$1:$1,0)+1),MATCH(D$1,[2]quests!$1:$1,0)-MATCH($B$1,[2]quests!$1:$1,0)+1,FALSE)</f>
        <v>童話シリーズ3本目</v>
      </c>
      <c r="E28" s="87">
        <v>1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【中級】大鯨の呼び声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童話シリーズ3本目</v>
      </c>
      <c r="H28" s="85">
        <v>0</v>
      </c>
      <c r="I28">
        <v>31</v>
      </c>
      <c r="J28" s="84" t="s">
        <v>198</v>
      </c>
      <c r="K28" s="93" t="str">
        <f>VLOOKUP(I28,[6]stage_hints!$A:$C,3,FALSE)</f>
        <v>イベントはお知らせでチェック</v>
      </c>
      <c r="L28" s="94" t="str">
        <f>VLOOKUP(I28,[6]stage_hints!$A:$D,4,FALSE)</f>
        <v>イベント限定ユニットを取り忘れないように_x000D_お知らせをこまめにチェックしましょう</v>
      </c>
      <c r="M28" s="57" t="s">
        <v>211</v>
      </c>
    </row>
    <row r="29" spans="1:13" x14ac:dyDescent="0.15">
      <c r="A29" s="81" t="s">
        <v>201</v>
      </c>
      <c r="B29" s="82">
        <f>floors!$C$2</f>
        <v>30035</v>
      </c>
      <c r="C29" s="83" t="str">
        <f ca="1">VLOOKUP($B29,OFFSET([2]quests!$A$1,0,0,COUNTA([2]quests!$A:$A),MATCH(C$1,[2]quests!$1:$1,0)-MATCH($B$1,[2]quests!$1:$1,0)+1),MATCH(C$1,[2]quests!$1:$1,0)-MATCH($B$1,[2]quests!$1:$1,0)+1,FALSE)</f>
        <v>大鯨の呼び声</v>
      </c>
      <c r="D29" s="83" t="str">
        <f ca="1">VLOOKUP($B29,OFFSET([2]quests!$A$1,0,0,COUNTA([2]quests!$A:$A),MATCH(D$1,[2]quests!$1:$1,0)-MATCH($B$1,[2]quests!$1:$1,0)+1),MATCH(D$1,[2]quests!$1:$1,0)-MATCH($B$1,[2]quests!$1:$1,0)+1,FALSE)</f>
        <v>童話シリーズ3本目</v>
      </c>
      <c r="E29" s="87">
        <v>1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【中級】大鯨の呼び声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童話シリーズ3本目</v>
      </c>
      <c r="H29" s="85">
        <v>0</v>
      </c>
      <c r="I29">
        <v>32</v>
      </c>
      <c r="J29" s="84" t="s">
        <v>198</v>
      </c>
      <c r="K29" s="93" t="str">
        <f>VLOOKUP(I29,[6]stage_hints!$A:$C,3,FALSE)</f>
        <v>敵の連続攻撃には</v>
      </c>
      <c r="L29" s="94" t="str">
        <f>VLOOKUP(I29,[6]stage_hints!$A:$D,4,FALSE)</f>
        <v>カウンタースキルを持つユニットがいれば_x000D_ダメージ回数分の反撃ができます</v>
      </c>
      <c r="M29" s="57" t="s">
        <v>211</v>
      </c>
    </row>
    <row r="30" spans="1:13" x14ac:dyDescent="0.15">
      <c r="A30" s="81" t="s">
        <v>201</v>
      </c>
      <c r="B30" s="82">
        <f>floors!$C$2</f>
        <v>30035</v>
      </c>
      <c r="C30" s="83" t="str">
        <f ca="1">VLOOKUP($B30,OFFSET([2]quests!$A$1,0,0,COUNTA([2]quests!$A:$A),MATCH(C$1,[2]quests!$1:$1,0)-MATCH($B$1,[2]quests!$1:$1,0)+1),MATCH(C$1,[2]quests!$1:$1,0)-MATCH($B$1,[2]quests!$1:$1,0)+1,FALSE)</f>
        <v>大鯨の呼び声</v>
      </c>
      <c r="D30" s="83" t="str">
        <f ca="1">VLOOKUP($B30,OFFSET([2]quests!$A$1,0,0,COUNTA([2]quests!$A:$A),MATCH(D$1,[2]quests!$1:$1,0)-MATCH($B$1,[2]quests!$1:$1,0)+1),MATCH(D$1,[2]quests!$1:$1,0)-MATCH($B$1,[2]quests!$1:$1,0)+1,FALSE)</f>
        <v>童話シリーズ3本目</v>
      </c>
      <c r="E30" s="87">
        <v>1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【中級】大鯨の呼び声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童話シリーズ3本目</v>
      </c>
      <c r="H30" s="85">
        <v>0</v>
      </c>
      <c r="I30">
        <v>33</v>
      </c>
      <c r="J30" s="84" t="s">
        <v>198</v>
      </c>
      <c r="K30" s="93" t="str">
        <f>VLOOKUP(I30,[6]stage_hints!$A:$C,3,FALSE)</f>
        <v>敵のカウンター攻撃には</v>
      </c>
      <c r="L30" s="94" t="str">
        <f>VLOOKUP(I30,[6]stage_hints!$A:$D,4,FALSE)</f>
        <v>カウンターブレイクスキルを持っていれば_x000D_敵のカウンターを解除して攻撃ができます</v>
      </c>
      <c r="M30" s="57" t="s">
        <v>211</v>
      </c>
    </row>
    <row r="31" spans="1:13" x14ac:dyDescent="0.15">
      <c r="A31" s="81" t="s">
        <v>201</v>
      </c>
      <c r="B31" s="82">
        <f>floors!$C$2</f>
        <v>30035</v>
      </c>
      <c r="C31" s="83" t="str">
        <f ca="1">VLOOKUP($B31,OFFSET([2]quests!$A$1,0,0,COUNTA([2]quests!$A:$A),MATCH(C$1,[2]quests!$1:$1,0)-MATCH($B$1,[2]quests!$1:$1,0)+1),MATCH(C$1,[2]quests!$1:$1,0)-MATCH($B$1,[2]quests!$1:$1,0)+1,FALSE)</f>
        <v>大鯨の呼び声</v>
      </c>
      <c r="D31" s="83" t="str">
        <f ca="1">VLOOKUP($B31,OFFSET([2]quests!$A$1,0,0,COUNTA([2]quests!$A:$A),MATCH(D$1,[2]quests!$1:$1,0)-MATCH($B$1,[2]quests!$1:$1,0)+1),MATCH(D$1,[2]quests!$1:$1,0)-MATCH($B$1,[2]quests!$1:$1,0)+1,FALSE)</f>
        <v>童話シリーズ3本目</v>
      </c>
      <c r="E31" s="87">
        <v>1</v>
      </c>
      <c r="F31" s="83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【中級】大鯨の呼び声</v>
      </c>
      <c r="G31" s="83" t="str">
        <f ca="1">VLOOKUP($B31&amp;"_"&amp;$E31,OFFSET([2]stages!$A$1,0,0,COUNTA([2]stages!$A:$A),MATCH(G$1,[2]stages!$2:$2,0)-MATCH("temp_stage",[2]stages!$2:$2,0)+1),MATCH(G$1,[2]stages!$2:$2,0)-MATCH("temp_stage",[2]stages!$2:$2,0)+1,FALSE)</f>
        <v>童話シリーズ3本目</v>
      </c>
      <c r="H31" s="85">
        <v>0</v>
      </c>
      <c r="I31">
        <v>34</v>
      </c>
      <c r="J31" s="84" t="s">
        <v>198</v>
      </c>
      <c r="K31" s="93" t="str">
        <f>VLOOKUP(I31,[6]stage_hints!$A:$C,3,FALSE)</f>
        <v>ステータスをスキルで下げられたら</v>
      </c>
      <c r="L31" s="94" t="str">
        <f>VLOOKUP(I31,[6]stage_hints!$A:$D,4,FALSE)</f>
        <v>ステータスダウンのスキルを受けたら_x000D_ステータスアップスキルで上書きしましょう</v>
      </c>
      <c r="M31" s="57" t="s">
        <v>211</v>
      </c>
    </row>
    <row r="32" spans="1:13" x14ac:dyDescent="0.15">
      <c r="A32" s="81" t="s">
        <v>201</v>
      </c>
      <c r="B32" s="82">
        <f>floors!$C$2</f>
        <v>30035</v>
      </c>
      <c r="C32" s="83" t="str">
        <f ca="1">VLOOKUP($B32,OFFSET([2]quests!$A$1,0,0,COUNTA([2]quests!$A:$A),MATCH(C$1,[2]quests!$1:$1,0)-MATCH($B$1,[2]quests!$1:$1,0)+1),MATCH(C$1,[2]quests!$1:$1,0)-MATCH($B$1,[2]quests!$1:$1,0)+1,FALSE)</f>
        <v>大鯨の呼び声</v>
      </c>
      <c r="D32" s="83" t="str">
        <f ca="1">VLOOKUP($B32,OFFSET([2]quests!$A$1,0,0,COUNTA([2]quests!$A:$A),MATCH(D$1,[2]quests!$1:$1,0)-MATCH($B$1,[2]quests!$1:$1,0)+1),MATCH(D$1,[2]quests!$1:$1,0)-MATCH($B$1,[2]quests!$1:$1,0)+1,FALSE)</f>
        <v>童話シリーズ3本目</v>
      </c>
      <c r="E32" s="87">
        <v>1</v>
      </c>
      <c r="F32" s="83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【中級】大鯨の呼び声</v>
      </c>
      <c r="G32" s="83" t="str">
        <f ca="1">VLOOKUP($B32&amp;"_"&amp;$E32,OFFSET([2]stages!$A$1,0,0,COUNTA([2]stages!$A:$A),MATCH(G$1,[2]stages!$2:$2,0)-MATCH("temp_stage",[2]stages!$2:$2,0)+1),MATCH(G$1,[2]stages!$2:$2,0)-MATCH("temp_stage",[2]stages!$2:$2,0)+1,FALSE)</f>
        <v>童話シリーズ3本目</v>
      </c>
      <c r="H32" s="85">
        <v>0</v>
      </c>
      <c r="I32">
        <v>35</v>
      </c>
      <c r="J32" s="84" t="s">
        <v>198</v>
      </c>
      <c r="K32" s="93" t="str">
        <f>VLOOKUP(I32,[6]stage_hints!$A:$C,3,FALSE)</f>
        <v>敵のステータスがスキルで上がったら</v>
      </c>
      <c r="L32" s="94" t="str">
        <f>VLOOKUP(I32,[6]stage_hints!$A:$D,4,FALSE)</f>
        <v>敵のステータスがスキルでアップしたときは_x000D_ステータスダウンスキルで上書きしましょう</v>
      </c>
      <c r="M32" s="57" t="s">
        <v>211</v>
      </c>
    </row>
    <row r="33" spans="1:13" x14ac:dyDescent="0.15">
      <c r="A33" s="81" t="s">
        <v>201</v>
      </c>
      <c r="B33" s="82">
        <f>floors!$C$2</f>
        <v>30035</v>
      </c>
      <c r="C33" s="83" t="str">
        <f ca="1">VLOOKUP($B33,OFFSET([2]quests!$A$1,0,0,COUNTA([2]quests!$A:$A),MATCH(C$1,[2]quests!$1:$1,0)-MATCH($B$1,[2]quests!$1:$1,0)+1),MATCH(C$1,[2]quests!$1:$1,0)-MATCH($B$1,[2]quests!$1:$1,0)+1,FALSE)</f>
        <v>大鯨の呼び声</v>
      </c>
      <c r="D33" s="83" t="str">
        <f ca="1">VLOOKUP($B33,OFFSET([2]quests!$A$1,0,0,COUNTA([2]quests!$A:$A),MATCH(D$1,[2]quests!$1:$1,0)-MATCH($B$1,[2]quests!$1:$1,0)+1),MATCH(D$1,[2]quests!$1:$1,0)-MATCH($B$1,[2]quests!$1:$1,0)+1,FALSE)</f>
        <v>童話シリーズ3本目</v>
      </c>
      <c r="E33" s="87">
        <v>1</v>
      </c>
      <c r="F33" s="83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【中級】大鯨の呼び声</v>
      </c>
      <c r="G33" s="83" t="str">
        <f ca="1">VLOOKUP($B33&amp;"_"&amp;$E33,OFFSET([2]stages!$A$1,0,0,COUNTA([2]stages!$A:$A),MATCH(G$1,[2]stages!$2:$2,0)-MATCH("temp_stage",[2]stages!$2:$2,0)+1),MATCH(G$1,[2]stages!$2:$2,0)-MATCH("temp_stage",[2]stages!$2:$2,0)+1,FALSE)</f>
        <v>童話シリーズ3本目</v>
      </c>
      <c r="H33" s="85">
        <v>0</v>
      </c>
      <c r="I33">
        <v>39</v>
      </c>
      <c r="J33" s="84" t="s">
        <v>198</v>
      </c>
      <c r="K33" s="93" t="str">
        <f>VLOOKUP(I33,[6]stage_hints!$A:$C,3,FALSE)</f>
        <v>システム適合者を確認</v>
      </c>
      <c r="L33" s="94" t="str">
        <f>VLOOKUP(I33,[6]stage_hints!$A:$D,4,FALSE)</f>
        <v>ALICEが 「アナタ」を呼んでいます</v>
      </c>
      <c r="M33" s="57" t="s">
        <v>211</v>
      </c>
    </row>
    <row r="34" spans="1:13" x14ac:dyDescent="0.15">
      <c r="A34" s="81" t="s">
        <v>201</v>
      </c>
      <c r="B34" s="82">
        <f>floors!$C$2</f>
        <v>30035</v>
      </c>
      <c r="C34" s="83" t="str">
        <f ca="1">VLOOKUP($B34,OFFSET([2]quests!$A$1,0,0,COUNTA([2]quests!$A:$A),MATCH(C$1,[2]quests!$1:$1,0)-MATCH($B$1,[2]quests!$1:$1,0)+1),MATCH(C$1,[2]quests!$1:$1,0)-MATCH($B$1,[2]quests!$1:$1,0)+1,FALSE)</f>
        <v>大鯨の呼び声</v>
      </c>
      <c r="D34" s="83" t="str">
        <f ca="1">VLOOKUP($B34,OFFSET([2]quests!$A$1,0,0,COUNTA([2]quests!$A:$A),MATCH(D$1,[2]quests!$1:$1,0)-MATCH($B$1,[2]quests!$1:$1,0)+1),MATCH(D$1,[2]quests!$1:$1,0)-MATCH($B$1,[2]quests!$1:$1,0)+1,FALSE)</f>
        <v>童話シリーズ3本目</v>
      </c>
      <c r="E34" s="87">
        <v>2</v>
      </c>
      <c r="F34" s="83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【上級】大鯨の呼び声</v>
      </c>
      <c r="G34" s="83" t="str">
        <f ca="1">VLOOKUP($B34&amp;"_"&amp;$E34,OFFSET([2]stages!$A$1,0,0,COUNTA([2]stages!$A:$A),MATCH(G$1,[2]stages!$2:$2,0)-MATCH("temp_stage",[2]stages!$2:$2,0)+1),MATCH(G$1,[2]stages!$2:$2,0)-MATCH("temp_stage",[2]stages!$2:$2,0)+1,FALSE)</f>
        <v>童話シリーズ3本目</v>
      </c>
      <c r="H34" s="85">
        <v>0</v>
      </c>
      <c r="I34" s="97">
        <v>3</v>
      </c>
      <c r="J34" s="84" t="s">
        <v>198</v>
      </c>
      <c r="K34" s="93" t="str">
        <f>VLOOKUP(I34,[6]stage_hints!$A:$C,3,FALSE)</f>
        <v>ターゲット</v>
      </c>
      <c r="L34" s="94" t="str">
        <f>VLOOKUP(I34,[6]stage_hints!$A:$D,4,FALSE)</f>
        <v>敵ユニットをタップすると_x000D_その敵を狙い撃ちできます</v>
      </c>
      <c r="M34" s="57" t="s">
        <v>211</v>
      </c>
    </row>
    <row r="35" spans="1:13" x14ac:dyDescent="0.15">
      <c r="A35" s="81" t="s">
        <v>201</v>
      </c>
      <c r="B35" s="82">
        <f>floors!$C$2</f>
        <v>30035</v>
      </c>
      <c r="C35" s="83" t="str">
        <f ca="1">VLOOKUP($B35,OFFSET([2]quests!$A$1,0,0,COUNTA([2]quests!$A:$A),MATCH(C$1,[2]quests!$1:$1,0)-MATCH($B$1,[2]quests!$1:$1,0)+1),MATCH(C$1,[2]quests!$1:$1,0)-MATCH($B$1,[2]quests!$1:$1,0)+1,FALSE)</f>
        <v>大鯨の呼び声</v>
      </c>
      <c r="D35" s="83" t="str">
        <f ca="1">VLOOKUP($B35,OFFSET([2]quests!$A$1,0,0,COUNTA([2]quests!$A:$A),MATCH(D$1,[2]quests!$1:$1,0)-MATCH($B$1,[2]quests!$1:$1,0)+1),MATCH(D$1,[2]quests!$1:$1,0)-MATCH($B$1,[2]quests!$1:$1,0)+1,FALSE)</f>
        <v>童話シリーズ3本目</v>
      </c>
      <c r="E35" s="87">
        <v>2</v>
      </c>
      <c r="F35" s="83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【上級】大鯨の呼び声</v>
      </c>
      <c r="G35" s="83" t="str">
        <f ca="1">VLOOKUP($B35&amp;"_"&amp;$E35,OFFSET([2]stages!$A$1,0,0,COUNTA([2]stages!$A:$A),MATCH(G$1,[2]stages!$2:$2,0)-MATCH("temp_stage",[2]stages!$2:$2,0)+1),MATCH(G$1,[2]stages!$2:$2,0)-MATCH("temp_stage",[2]stages!$2:$2,0)+1,FALSE)</f>
        <v>童話シリーズ3本目</v>
      </c>
      <c r="H35" s="85">
        <v>0</v>
      </c>
      <c r="I35" s="97">
        <v>6</v>
      </c>
      <c r="J35" s="84" t="s">
        <v>198</v>
      </c>
      <c r="K35" s="93" t="str">
        <f>VLOOKUP(I35,[6]stage_hints!$A:$C,3,FALSE)</f>
        <v>ユニット強化の属性ボーナス</v>
      </c>
      <c r="L35" s="94" t="str">
        <f>VLOOKUP(I35,[6]stage_hints!$A:$D,4,FALSE)</f>
        <v>同属性ユニットを強化素材にすると_x000D_経験値が多くもらえます</v>
      </c>
      <c r="M35" s="57" t="s">
        <v>211</v>
      </c>
    </row>
    <row r="36" spans="1:13" x14ac:dyDescent="0.15">
      <c r="A36" s="81" t="s">
        <v>201</v>
      </c>
      <c r="B36" s="82">
        <f>floors!$C$2</f>
        <v>30035</v>
      </c>
      <c r="C36" s="83" t="str">
        <f ca="1">VLOOKUP($B36,OFFSET([2]quests!$A$1,0,0,COUNTA([2]quests!$A:$A),MATCH(C$1,[2]quests!$1:$1,0)-MATCH($B$1,[2]quests!$1:$1,0)+1),MATCH(C$1,[2]quests!$1:$1,0)-MATCH($B$1,[2]quests!$1:$1,0)+1,FALSE)</f>
        <v>大鯨の呼び声</v>
      </c>
      <c r="D36" s="83" t="str">
        <f ca="1">VLOOKUP($B36,OFFSET([2]quests!$A$1,0,0,COUNTA([2]quests!$A:$A),MATCH(D$1,[2]quests!$1:$1,0)-MATCH($B$1,[2]quests!$1:$1,0)+1),MATCH(D$1,[2]quests!$1:$1,0)-MATCH($B$1,[2]quests!$1:$1,0)+1,FALSE)</f>
        <v>童話シリーズ3本目</v>
      </c>
      <c r="E36" s="87">
        <v>2</v>
      </c>
      <c r="F36" s="83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【上級】大鯨の呼び声</v>
      </c>
      <c r="G36" s="83" t="str">
        <f ca="1">VLOOKUP($B36&amp;"_"&amp;$E36,OFFSET([2]stages!$A$1,0,0,COUNTA([2]stages!$A:$A),MATCH(G$1,[2]stages!$2:$2,0)-MATCH("temp_stage",[2]stages!$2:$2,0)+1),MATCH(G$1,[2]stages!$2:$2,0)-MATCH("temp_stage",[2]stages!$2:$2,0)+1,FALSE)</f>
        <v>童話シリーズ3本目</v>
      </c>
      <c r="H36" s="85">
        <v>0</v>
      </c>
      <c r="I36" s="97">
        <v>7</v>
      </c>
      <c r="J36" s="84" t="s">
        <v>198</v>
      </c>
      <c r="K36" s="93" t="str">
        <f>VLOOKUP(I36,[6]stage_hints!$A:$C,3,FALSE)</f>
        <v>メタルダックで経験値を獲得</v>
      </c>
      <c r="L36" s="94" t="str">
        <f>VLOOKUP(I36,[6]stage_hints!$A:$D,4,FALSE)</f>
        <v>「メタルなアヒル」を強化素材にすると_x000D_大量の経験値がもらえます</v>
      </c>
      <c r="M36" s="57" t="s">
        <v>211</v>
      </c>
    </row>
    <row r="37" spans="1:13" x14ac:dyDescent="0.15">
      <c r="A37" s="81" t="s">
        <v>201</v>
      </c>
      <c r="B37" s="82">
        <f>floors!$C$2</f>
        <v>30035</v>
      </c>
      <c r="C37" s="83" t="str">
        <f ca="1">VLOOKUP($B37,OFFSET([2]quests!$A$1,0,0,COUNTA([2]quests!$A:$A),MATCH(C$1,[2]quests!$1:$1,0)-MATCH($B$1,[2]quests!$1:$1,0)+1),MATCH(C$1,[2]quests!$1:$1,0)-MATCH($B$1,[2]quests!$1:$1,0)+1,FALSE)</f>
        <v>大鯨の呼び声</v>
      </c>
      <c r="D37" s="83" t="str">
        <f ca="1">VLOOKUP($B37,OFFSET([2]quests!$A$1,0,0,COUNTA([2]quests!$A:$A),MATCH(D$1,[2]quests!$1:$1,0)-MATCH($B$1,[2]quests!$1:$1,0)+1),MATCH(D$1,[2]quests!$1:$1,0)-MATCH($B$1,[2]quests!$1:$1,0)+1,FALSE)</f>
        <v>童話シリーズ3本目</v>
      </c>
      <c r="E37" s="87">
        <v>2</v>
      </c>
      <c r="F37" s="83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【上級】大鯨の呼び声</v>
      </c>
      <c r="G37" s="83" t="str">
        <f ca="1">VLOOKUP($B37&amp;"_"&amp;$E37,OFFSET([2]stages!$A$1,0,0,COUNTA([2]stages!$A:$A),MATCH(G$1,[2]stages!$2:$2,0)-MATCH("temp_stage",[2]stages!$2:$2,0)+1),MATCH(G$1,[2]stages!$2:$2,0)-MATCH("temp_stage",[2]stages!$2:$2,0)+1,FALSE)</f>
        <v>童話シリーズ3本目</v>
      </c>
      <c r="H37" s="85">
        <v>0</v>
      </c>
      <c r="I37" s="97">
        <v>8</v>
      </c>
      <c r="J37" s="84" t="s">
        <v>198</v>
      </c>
      <c r="K37" s="93" t="str">
        <f>VLOOKUP(I37,[6]stage_hints!$A:$C,3,FALSE)</f>
        <v>ゲリラクエストは要チェック</v>
      </c>
      <c r="L37" s="94" t="str">
        <f>VLOOKUP(I37,[6]stage_hints!$A:$D,4,FALSE)</f>
        <v>時間限定の「アヒル捕獲作戦」では_x000D_経験値素材ユニットが多く手に入ります</v>
      </c>
      <c r="M37" s="57" t="s">
        <v>211</v>
      </c>
    </row>
    <row r="38" spans="1:13" x14ac:dyDescent="0.15">
      <c r="A38" s="81" t="s">
        <v>201</v>
      </c>
      <c r="B38" s="82">
        <f>floors!$C$2</f>
        <v>30035</v>
      </c>
      <c r="C38" s="83" t="str">
        <f ca="1">VLOOKUP($B38,OFFSET([2]quests!$A$1,0,0,COUNTA([2]quests!$A:$A),MATCH(C$1,[2]quests!$1:$1,0)-MATCH($B$1,[2]quests!$1:$1,0)+1),MATCH(C$1,[2]quests!$1:$1,0)-MATCH($B$1,[2]quests!$1:$1,0)+1,FALSE)</f>
        <v>大鯨の呼び声</v>
      </c>
      <c r="D38" s="83" t="str">
        <f ca="1">VLOOKUP($B38,OFFSET([2]quests!$A$1,0,0,COUNTA([2]quests!$A:$A),MATCH(D$1,[2]quests!$1:$1,0)-MATCH($B$1,[2]quests!$1:$1,0)+1),MATCH(D$1,[2]quests!$1:$1,0)-MATCH($B$1,[2]quests!$1:$1,0)+1,FALSE)</f>
        <v>童話シリーズ3本目</v>
      </c>
      <c r="E38" s="87">
        <v>2</v>
      </c>
      <c r="F38" s="83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【上級】大鯨の呼び声</v>
      </c>
      <c r="G38" s="83" t="str">
        <f ca="1">VLOOKUP($B38&amp;"_"&amp;$E38,OFFSET([2]stages!$A$1,0,0,COUNTA([2]stages!$A:$A),MATCH(G$1,[2]stages!$2:$2,0)-MATCH("temp_stage",[2]stages!$2:$2,0)+1),MATCH(G$1,[2]stages!$2:$2,0)-MATCH("temp_stage",[2]stages!$2:$2,0)+1,FALSE)</f>
        <v>童話シリーズ3本目</v>
      </c>
      <c r="H38" s="85">
        <v>0</v>
      </c>
      <c r="I38" s="97">
        <v>9</v>
      </c>
      <c r="J38" s="84" t="s">
        <v>198</v>
      </c>
      <c r="K38" s="93" t="str">
        <f>VLOOKUP(I38,[6]stage_hints!$A:$C,3,FALSE)</f>
        <v>ゴールドダックでビットを獲得</v>
      </c>
      <c r="L38" s="94" t="str">
        <f>VLOOKUP(I38,[6]stage_hints!$A:$D,4,FALSE)</f>
        <v>「ゴールドなアヒル」を売却すると_x000D_大量のビットがもらえます</v>
      </c>
      <c r="M38" s="57" t="s">
        <v>211</v>
      </c>
    </row>
    <row r="39" spans="1:13" x14ac:dyDescent="0.15">
      <c r="A39" s="81" t="s">
        <v>201</v>
      </c>
      <c r="B39" s="82">
        <f>floors!$C$2</f>
        <v>30035</v>
      </c>
      <c r="C39" s="83" t="str">
        <f ca="1">VLOOKUP($B39,OFFSET([2]quests!$A$1,0,0,COUNTA([2]quests!$A:$A),MATCH(C$1,[2]quests!$1:$1,0)-MATCH($B$1,[2]quests!$1:$1,0)+1),MATCH(C$1,[2]quests!$1:$1,0)-MATCH($B$1,[2]quests!$1:$1,0)+1,FALSE)</f>
        <v>大鯨の呼び声</v>
      </c>
      <c r="D39" s="83" t="str">
        <f ca="1">VLOOKUP($B39,OFFSET([2]quests!$A$1,0,0,COUNTA([2]quests!$A:$A),MATCH(D$1,[2]quests!$1:$1,0)-MATCH($B$1,[2]quests!$1:$1,0)+1),MATCH(D$1,[2]quests!$1:$1,0)-MATCH($B$1,[2]quests!$1:$1,0)+1,FALSE)</f>
        <v>童話シリーズ3本目</v>
      </c>
      <c r="E39" s="87">
        <v>2</v>
      </c>
      <c r="F39" s="83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【上級】大鯨の呼び声</v>
      </c>
      <c r="G39" s="83" t="str">
        <f ca="1">VLOOKUP($B39&amp;"_"&amp;$E39,OFFSET([2]stages!$A$1,0,0,COUNTA([2]stages!$A:$A),MATCH(G$1,[2]stages!$2:$2,0)-MATCH("temp_stage",[2]stages!$2:$2,0)+1),MATCH(G$1,[2]stages!$2:$2,0)-MATCH("temp_stage",[2]stages!$2:$2,0)+1,FALSE)</f>
        <v>童話シリーズ3本目</v>
      </c>
      <c r="H39" s="85">
        <v>0</v>
      </c>
      <c r="I39" s="97">
        <v>10</v>
      </c>
      <c r="J39" s="84" t="s">
        <v>198</v>
      </c>
      <c r="K39" s="93" t="str">
        <f>VLOOKUP(I39,[6]stage_hints!$A:$C,3,FALSE)</f>
        <v>土日に大量のビットを獲得</v>
      </c>
      <c r="L39" s="94" t="str">
        <f>VLOOKUP(I39,[6]stage_hints!$A:$D,4,FALSE)</f>
        <v>土日限定の「ゴールドカジノ」では_x000D_売却素材ユニットが多く手に入ります</v>
      </c>
      <c r="M39" s="57" t="s">
        <v>211</v>
      </c>
    </row>
    <row r="40" spans="1:13" x14ac:dyDescent="0.15">
      <c r="A40" s="81" t="s">
        <v>201</v>
      </c>
      <c r="B40" s="82">
        <f>floors!$C$2</f>
        <v>30035</v>
      </c>
      <c r="C40" s="83" t="str">
        <f ca="1">VLOOKUP($B40,OFFSET([2]quests!$A$1,0,0,COUNTA([2]quests!$A:$A),MATCH(C$1,[2]quests!$1:$1,0)-MATCH($B$1,[2]quests!$1:$1,0)+1),MATCH(C$1,[2]quests!$1:$1,0)-MATCH($B$1,[2]quests!$1:$1,0)+1,FALSE)</f>
        <v>大鯨の呼び声</v>
      </c>
      <c r="D40" s="83" t="str">
        <f ca="1">VLOOKUP($B40,OFFSET([2]quests!$A$1,0,0,COUNTA([2]quests!$A:$A),MATCH(D$1,[2]quests!$1:$1,0)-MATCH($B$1,[2]quests!$1:$1,0)+1),MATCH(D$1,[2]quests!$1:$1,0)-MATCH($B$1,[2]quests!$1:$1,0)+1,FALSE)</f>
        <v>童話シリーズ3本目</v>
      </c>
      <c r="E40" s="87">
        <v>2</v>
      </c>
      <c r="F40" s="83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【上級】大鯨の呼び声</v>
      </c>
      <c r="G40" s="83" t="str">
        <f ca="1">VLOOKUP($B40&amp;"_"&amp;$E40,OFFSET([2]stages!$A$1,0,0,COUNTA([2]stages!$A:$A),MATCH(G$1,[2]stages!$2:$2,0)-MATCH("temp_stage",[2]stages!$2:$2,0)+1),MATCH(G$1,[2]stages!$2:$2,0)-MATCH("temp_stage",[2]stages!$2:$2,0)+1,FALSE)</f>
        <v>童話シリーズ3本目</v>
      </c>
      <c r="H40" s="85">
        <v>0</v>
      </c>
      <c r="I40" s="97">
        <v>11</v>
      </c>
      <c r="J40" s="84" t="s">
        <v>198</v>
      </c>
      <c r="K40" s="93" t="str">
        <f>VLOOKUP(I40,[6]stage_hints!$A:$C,3,FALSE)</f>
        <v>ランク解放クエスト</v>
      </c>
      <c r="L40" s="94" t="str">
        <f>VLOOKUP(I40,[6]stage_hints!$A:$D,4,FALSE)</f>
        <v>一定ランクに到達すると_x000D_報酬付きのランク開放クエストが現れます</v>
      </c>
      <c r="M40" s="57" t="s">
        <v>211</v>
      </c>
    </row>
    <row r="41" spans="1:13" x14ac:dyDescent="0.15">
      <c r="A41" s="81" t="s">
        <v>201</v>
      </c>
      <c r="B41" s="82">
        <f>floors!$C$2</f>
        <v>30035</v>
      </c>
      <c r="C41" s="83" t="str">
        <f ca="1">VLOOKUP($B41,OFFSET([2]quests!$A$1,0,0,COUNTA([2]quests!$A:$A),MATCH(C$1,[2]quests!$1:$1,0)-MATCH($B$1,[2]quests!$1:$1,0)+1),MATCH(C$1,[2]quests!$1:$1,0)-MATCH($B$1,[2]quests!$1:$1,0)+1,FALSE)</f>
        <v>大鯨の呼び声</v>
      </c>
      <c r="D41" s="83" t="str">
        <f ca="1">VLOOKUP($B41,OFFSET([2]quests!$A$1,0,0,COUNTA([2]quests!$A:$A),MATCH(D$1,[2]quests!$1:$1,0)-MATCH($B$1,[2]quests!$1:$1,0)+1),MATCH(D$1,[2]quests!$1:$1,0)-MATCH($B$1,[2]quests!$1:$1,0)+1,FALSE)</f>
        <v>童話シリーズ3本目</v>
      </c>
      <c r="E41" s="87">
        <v>2</v>
      </c>
      <c r="F41" s="83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【上級】大鯨の呼び声</v>
      </c>
      <c r="G41" s="83" t="str">
        <f ca="1">VLOOKUP($B41&amp;"_"&amp;$E41,OFFSET([2]stages!$A$1,0,0,COUNTA([2]stages!$A:$A),MATCH(G$1,[2]stages!$2:$2,0)-MATCH("temp_stage",[2]stages!$2:$2,0)+1),MATCH(G$1,[2]stages!$2:$2,0)-MATCH("temp_stage",[2]stages!$2:$2,0)+1,FALSE)</f>
        <v>童話シリーズ3本目</v>
      </c>
      <c r="H41" s="85">
        <v>0</v>
      </c>
      <c r="I41" s="97">
        <v>12</v>
      </c>
      <c r="J41" s="84" t="s">
        <v>198</v>
      </c>
      <c r="K41" s="93" t="str">
        <f>VLOOKUP(I41,[6]stage_hints!$A:$C,3,FALSE)</f>
        <v>ユニットのお気に入り登録</v>
      </c>
      <c r="L41" s="94" t="str">
        <f>VLOOKUP(I41,[6]stage_hints!$A:$D,4,FALSE)</f>
        <v>大事なユニットを誤って消さないように_x000D_フォルダから「お気に入り登録」しましょう</v>
      </c>
      <c r="M41" s="57" t="s">
        <v>211</v>
      </c>
    </row>
    <row r="42" spans="1:13" x14ac:dyDescent="0.15">
      <c r="A42" s="81" t="s">
        <v>201</v>
      </c>
      <c r="B42" s="82">
        <f>floors!$C$2</f>
        <v>30035</v>
      </c>
      <c r="C42" s="83" t="str">
        <f ca="1">VLOOKUP($B42,OFFSET([2]quests!$A$1,0,0,COUNTA([2]quests!$A:$A),MATCH(C$1,[2]quests!$1:$1,0)-MATCH($B$1,[2]quests!$1:$1,0)+1),MATCH(C$1,[2]quests!$1:$1,0)-MATCH($B$1,[2]quests!$1:$1,0)+1,FALSE)</f>
        <v>大鯨の呼び声</v>
      </c>
      <c r="D42" s="83" t="str">
        <f ca="1">VLOOKUP($B42,OFFSET([2]quests!$A$1,0,0,COUNTA([2]quests!$A:$A),MATCH(D$1,[2]quests!$1:$1,0)-MATCH($B$1,[2]quests!$1:$1,0)+1),MATCH(D$1,[2]quests!$1:$1,0)-MATCH($B$1,[2]quests!$1:$1,0)+1,FALSE)</f>
        <v>童話シリーズ3本目</v>
      </c>
      <c r="E42" s="87">
        <v>2</v>
      </c>
      <c r="F42" s="83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【上級】大鯨の呼び声</v>
      </c>
      <c r="G42" s="83" t="str">
        <f ca="1">VLOOKUP($B42&amp;"_"&amp;$E42,OFFSET([2]stages!$A$1,0,0,COUNTA([2]stages!$A:$A),MATCH(G$1,[2]stages!$2:$2,0)-MATCH("temp_stage",[2]stages!$2:$2,0)+1),MATCH(G$1,[2]stages!$2:$2,0)-MATCH("temp_stage",[2]stages!$2:$2,0)+1,FALSE)</f>
        <v>童話シリーズ3本目</v>
      </c>
      <c r="H42" s="85">
        <v>0</v>
      </c>
      <c r="I42" s="97">
        <v>13</v>
      </c>
      <c r="J42" s="84" t="s">
        <v>198</v>
      </c>
      <c r="K42" s="93" t="str">
        <f>VLOOKUP(I42,[6]stage_hints!$A:$C,3,FALSE)</f>
        <v>ユニットの覚醒</v>
      </c>
      <c r="L42" s="94" t="str">
        <f>VLOOKUP(I42,[6]stage_hints!$A:$D,4,FALSE)</f>
        <v>ユニットを覚醒させると_x000D_比べものにならない強さが手に入ります</v>
      </c>
      <c r="M42" s="57" t="s">
        <v>211</v>
      </c>
    </row>
    <row r="43" spans="1:13" x14ac:dyDescent="0.15">
      <c r="A43" s="81" t="s">
        <v>201</v>
      </c>
      <c r="B43" s="82">
        <f>floors!$C$2</f>
        <v>30035</v>
      </c>
      <c r="C43" s="83" t="str">
        <f ca="1">VLOOKUP($B43,OFFSET([2]quests!$A$1,0,0,COUNTA([2]quests!$A:$A),MATCH(C$1,[2]quests!$1:$1,0)-MATCH($B$1,[2]quests!$1:$1,0)+1),MATCH(C$1,[2]quests!$1:$1,0)-MATCH($B$1,[2]quests!$1:$1,0)+1,FALSE)</f>
        <v>大鯨の呼び声</v>
      </c>
      <c r="D43" s="83" t="str">
        <f ca="1">VLOOKUP($B43,OFFSET([2]quests!$A$1,0,0,COUNTA([2]quests!$A:$A),MATCH(D$1,[2]quests!$1:$1,0)-MATCH($B$1,[2]quests!$1:$1,0)+1),MATCH(D$1,[2]quests!$1:$1,0)-MATCH($B$1,[2]quests!$1:$1,0)+1,FALSE)</f>
        <v>童話シリーズ3本目</v>
      </c>
      <c r="E43" s="87">
        <v>2</v>
      </c>
      <c r="F43" s="83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【上級】大鯨の呼び声</v>
      </c>
      <c r="G43" s="83" t="str">
        <f ca="1">VLOOKUP($B43&amp;"_"&amp;$E43,OFFSET([2]stages!$A$1,0,0,COUNTA([2]stages!$A:$A),MATCH(G$1,[2]stages!$2:$2,0)-MATCH("temp_stage",[2]stages!$2:$2,0)+1),MATCH(G$1,[2]stages!$2:$2,0)-MATCH("temp_stage",[2]stages!$2:$2,0)+1,FALSE)</f>
        <v>童話シリーズ3本目</v>
      </c>
      <c r="H43" s="85">
        <v>0</v>
      </c>
      <c r="I43" s="97">
        <v>14</v>
      </c>
      <c r="J43" s="84" t="s">
        <v>198</v>
      </c>
      <c r="K43" s="93" t="str">
        <f>VLOOKUP(I43,[6]stage_hints!$A:$C,3,FALSE)</f>
        <v>覚醒するにはレベルを最大に</v>
      </c>
      <c r="L43" s="94" t="str">
        <f>VLOOKUP(I43,[6]stage_hints!$A:$D,4,FALSE)</f>
        <v>覚醒するにはユニットのレベルを_x000D_最大まで上げる必要があります</v>
      </c>
      <c r="M43" s="57" t="s">
        <v>211</v>
      </c>
    </row>
    <row r="44" spans="1:13" x14ac:dyDescent="0.15">
      <c r="A44" s="81" t="s">
        <v>201</v>
      </c>
      <c r="B44" s="82">
        <f>floors!$C$2</f>
        <v>30035</v>
      </c>
      <c r="C44" s="83" t="str">
        <f ca="1">VLOOKUP($B44,OFFSET([2]quests!$A$1,0,0,COUNTA([2]quests!$A:$A),MATCH(C$1,[2]quests!$1:$1,0)-MATCH($B$1,[2]quests!$1:$1,0)+1),MATCH(C$1,[2]quests!$1:$1,0)-MATCH($B$1,[2]quests!$1:$1,0)+1,FALSE)</f>
        <v>大鯨の呼び声</v>
      </c>
      <c r="D44" s="83" t="str">
        <f ca="1">VLOOKUP($B44,OFFSET([2]quests!$A$1,0,0,COUNTA([2]quests!$A:$A),MATCH(D$1,[2]quests!$1:$1,0)-MATCH($B$1,[2]quests!$1:$1,0)+1),MATCH(D$1,[2]quests!$1:$1,0)-MATCH($B$1,[2]quests!$1:$1,0)+1,FALSE)</f>
        <v>童話シリーズ3本目</v>
      </c>
      <c r="E44" s="87">
        <v>2</v>
      </c>
      <c r="F44" s="83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【上級】大鯨の呼び声</v>
      </c>
      <c r="G44" s="83" t="str">
        <f ca="1">VLOOKUP($B44&amp;"_"&amp;$E44,OFFSET([2]stages!$A$1,0,0,COUNTA([2]stages!$A:$A),MATCH(G$1,[2]stages!$2:$2,0)-MATCH("temp_stage",[2]stages!$2:$2,0)+1),MATCH(G$1,[2]stages!$2:$2,0)-MATCH("temp_stage",[2]stages!$2:$2,0)+1,FALSE)</f>
        <v>童話シリーズ3本目</v>
      </c>
      <c r="H44" s="85">
        <v>0</v>
      </c>
      <c r="I44" s="97">
        <v>15</v>
      </c>
      <c r="J44" s="84" t="s">
        <v>198</v>
      </c>
      <c r="K44" s="93" t="str">
        <f>VLOOKUP(I44,[6]stage_hints!$A:$C,3,FALSE)</f>
        <v>覚醒素材を獲得</v>
      </c>
      <c r="L44" s="94" t="str">
        <f>VLOOKUP(I44,[6]stage_hints!$A:$D,4,FALSE)</f>
        <v>「曜日クエスト」では_x000D_ユニットの覚醒に必要な素材が手に入ります</v>
      </c>
      <c r="M44" s="57" t="s">
        <v>211</v>
      </c>
    </row>
    <row r="45" spans="1:13" x14ac:dyDescent="0.15">
      <c r="A45" s="81" t="s">
        <v>201</v>
      </c>
      <c r="B45" s="82">
        <f>floors!$C$2</f>
        <v>30035</v>
      </c>
      <c r="C45" s="83" t="str">
        <f ca="1">VLOOKUP($B45,OFFSET([2]quests!$A$1,0,0,COUNTA([2]quests!$A:$A),MATCH(C$1,[2]quests!$1:$1,0)-MATCH($B$1,[2]quests!$1:$1,0)+1),MATCH(C$1,[2]quests!$1:$1,0)-MATCH($B$1,[2]quests!$1:$1,0)+1,FALSE)</f>
        <v>大鯨の呼び声</v>
      </c>
      <c r="D45" s="83" t="str">
        <f ca="1">VLOOKUP($B45,OFFSET([2]quests!$A$1,0,0,COUNTA([2]quests!$A:$A),MATCH(D$1,[2]quests!$1:$1,0)-MATCH($B$1,[2]quests!$1:$1,0)+1),MATCH(D$1,[2]quests!$1:$1,0)-MATCH($B$1,[2]quests!$1:$1,0)+1,FALSE)</f>
        <v>童話シリーズ3本目</v>
      </c>
      <c r="E45" s="87">
        <v>2</v>
      </c>
      <c r="F45" s="83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【上級】大鯨の呼び声</v>
      </c>
      <c r="G45" s="83" t="str">
        <f ca="1">VLOOKUP($B45&amp;"_"&amp;$E45,OFFSET([2]stages!$A$1,0,0,COUNTA([2]stages!$A:$A),MATCH(G$1,[2]stages!$2:$2,0)-MATCH("temp_stage",[2]stages!$2:$2,0)+1),MATCH(G$1,[2]stages!$2:$2,0)-MATCH("temp_stage",[2]stages!$2:$2,0)+1,FALSE)</f>
        <v>童話シリーズ3本目</v>
      </c>
      <c r="H45" s="85">
        <v>0</v>
      </c>
      <c r="I45" s="97">
        <v>16</v>
      </c>
      <c r="J45" s="84" t="s">
        <v>198</v>
      </c>
      <c r="K45" s="93" t="str">
        <f>VLOOKUP(I45,[6]stage_hints!$A:$C,3,FALSE)</f>
        <v>マルチプレイのメリット（その1）</v>
      </c>
      <c r="L45" s="94" t="str">
        <f>VLOOKUP(I45,[6]stage_hints!$A:$D,4,FALSE)</f>
        <v>他のプレイヤーとマルチプレイで遊ぶと_x000D_ポリゴンがもらえます（100人まで）</v>
      </c>
      <c r="M45" s="57" t="s">
        <v>211</v>
      </c>
    </row>
    <row r="46" spans="1:13" x14ac:dyDescent="0.15">
      <c r="A46" s="81" t="s">
        <v>201</v>
      </c>
      <c r="B46" s="82">
        <f>floors!$C$2</f>
        <v>30035</v>
      </c>
      <c r="C46" s="83" t="str">
        <f ca="1">VLOOKUP($B46,OFFSET([2]quests!$A$1,0,0,COUNTA([2]quests!$A:$A),MATCH(C$1,[2]quests!$1:$1,0)-MATCH($B$1,[2]quests!$1:$1,0)+1),MATCH(C$1,[2]quests!$1:$1,0)-MATCH($B$1,[2]quests!$1:$1,0)+1,FALSE)</f>
        <v>大鯨の呼び声</v>
      </c>
      <c r="D46" s="83" t="str">
        <f ca="1">VLOOKUP($B46,OFFSET([2]quests!$A$1,0,0,COUNTA([2]quests!$A:$A),MATCH(D$1,[2]quests!$1:$1,0)-MATCH($B$1,[2]quests!$1:$1,0)+1),MATCH(D$1,[2]quests!$1:$1,0)-MATCH($B$1,[2]quests!$1:$1,0)+1,FALSE)</f>
        <v>童話シリーズ3本目</v>
      </c>
      <c r="E46" s="87">
        <v>2</v>
      </c>
      <c r="F46" s="83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【上級】大鯨の呼び声</v>
      </c>
      <c r="G46" s="83" t="str">
        <f ca="1">VLOOKUP($B46&amp;"_"&amp;$E46,OFFSET([2]stages!$A$1,0,0,COUNTA([2]stages!$A:$A),MATCH(G$1,[2]stages!$2:$2,0)-MATCH("temp_stage",[2]stages!$2:$2,0)+1),MATCH(G$1,[2]stages!$2:$2,0)-MATCH("temp_stage",[2]stages!$2:$2,0)+1,FALSE)</f>
        <v>童話シリーズ3本目</v>
      </c>
      <c r="H46" s="85">
        <v>0</v>
      </c>
      <c r="I46" s="97">
        <v>17</v>
      </c>
      <c r="J46" s="84" t="s">
        <v>198</v>
      </c>
      <c r="K46" s="93" t="str">
        <f>VLOOKUP(I46,[6]stage_hints!$A:$C,3,FALSE)</f>
        <v>リンクガチャ</v>
      </c>
      <c r="L46" s="94" t="str">
        <f>VLOOKUP(I46,[6]stage_hints!$A:$D,4,FALSE)</f>
        <v>無料のリンクガチャを回して_x000D_経験値素材や売却素材を獲得しましょう</v>
      </c>
      <c r="M46" s="57" t="s">
        <v>211</v>
      </c>
    </row>
    <row r="47" spans="1:13" x14ac:dyDescent="0.15">
      <c r="A47" s="81" t="s">
        <v>201</v>
      </c>
      <c r="B47" s="82">
        <f>floors!$C$2</f>
        <v>30035</v>
      </c>
      <c r="C47" s="83" t="str">
        <f ca="1">VLOOKUP($B47,OFFSET([2]quests!$A$1,0,0,COUNTA([2]quests!$A:$A),MATCH(C$1,[2]quests!$1:$1,0)-MATCH($B$1,[2]quests!$1:$1,0)+1),MATCH(C$1,[2]quests!$1:$1,0)-MATCH($B$1,[2]quests!$1:$1,0)+1,FALSE)</f>
        <v>大鯨の呼び声</v>
      </c>
      <c r="D47" s="83" t="str">
        <f ca="1">VLOOKUP($B47,OFFSET([2]quests!$A$1,0,0,COUNTA([2]quests!$A:$A),MATCH(D$1,[2]quests!$1:$1,0)-MATCH($B$1,[2]quests!$1:$1,0)+1),MATCH(D$1,[2]quests!$1:$1,0)-MATCH($B$1,[2]quests!$1:$1,0)+1,FALSE)</f>
        <v>童話シリーズ3本目</v>
      </c>
      <c r="E47" s="87">
        <v>2</v>
      </c>
      <c r="F47" s="83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【上級】大鯨の呼び声</v>
      </c>
      <c r="G47" s="83" t="str">
        <f ca="1">VLOOKUP($B47&amp;"_"&amp;$E47,OFFSET([2]stages!$A$1,0,0,COUNTA([2]stages!$A:$A),MATCH(G$1,[2]stages!$2:$2,0)-MATCH("temp_stage",[2]stages!$2:$2,0)+1),MATCH(G$1,[2]stages!$2:$2,0)-MATCH("temp_stage",[2]stages!$2:$2,0)+1,FALSE)</f>
        <v>童話シリーズ3本目</v>
      </c>
      <c r="H47" s="85">
        <v>0</v>
      </c>
      <c r="I47" s="97">
        <v>18</v>
      </c>
      <c r="J47" s="84" t="s">
        <v>198</v>
      </c>
      <c r="K47" s="93" t="str">
        <f>VLOOKUP(I47,[6]stage_hints!$A:$C,3,FALSE)</f>
        <v>マルチプレイのメリット（その2）</v>
      </c>
      <c r="L47" s="94" t="str">
        <f>VLOOKUP(I47,[6]stage_hints!$A:$D,4,FALSE)</f>
        <v>マルチプレイならリンクが2倍もらえます_x000D_リンクガチャをたくさん回しましょう</v>
      </c>
      <c r="M47" s="57" t="s">
        <v>211</v>
      </c>
    </row>
    <row r="48" spans="1:13" x14ac:dyDescent="0.15">
      <c r="A48" s="81" t="s">
        <v>201</v>
      </c>
      <c r="B48" s="82">
        <f>floors!$C$2</f>
        <v>30035</v>
      </c>
      <c r="C48" s="83" t="str">
        <f ca="1">VLOOKUP($B48,OFFSET([2]quests!$A$1,0,0,COUNTA([2]quests!$A:$A),MATCH(C$1,[2]quests!$1:$1,0)-MATCH($B$1,[2]quests!$1:$1,0)+1),MATCH(C$1,[2]quests!$1:$1,0)-MATCH($B$1,[2]quests!$1:$1,0)+1,FALSE)</f>
        <v>大鯨の呼び声</v>
      </c>
      <c r="D48" s="83" t="str">
        <f ca="1">VLOOKUP($B48,OFFSET([2]quests!$A$1,0,0,COUNTA([2]quests!$A:$A),MATCH(D$1,[2]quests!$1:$1,0)-MATCH($B$1,[2]quests!$1:$1,0)+1),MATCH(D$1,[2]quests!$1:$1,0)-MATCH($B$1,[2]quests!$1:$1,0)+1,FALSE)</f>
        <v>童話シリーズ3本目</v>
      </c>
      <c r="E48" s="87">
        <v>2</v>
      </c>
      <c r="F48" s="83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【上級】大鯨の呼び声</v>
      </c>
      <c r="G48" s="83" t="str">
        <f ca="1">VLOOKUP($B48&amp;"_"&amp;$E48,OFFSET([2]stages!$A$1,0,0,COUNTA([2]stages!$A:$A),MATCH(G$1,[2]stages!$2:$2,0)-MATCH("temp_stage",[2]stages!$2:$2,0)+1),MATCH(G$1,[2]stages!$2:$2,0)-MATCH("temp_stage",[2]stages!$2:$2,0)+1,FALSE)</f>
        <v>童話シリーズ3本目</v>
      </c>
      <c r="H48" s="85">
        <v>0</v>
      </c>
      <c r="I48" s="97">
        <v>19</v>
      </c>
      <c r="J48" s="84" t="s">
        <v>198</v>
      </c>
      <c r="K48" s="93" t="str">
        <f>VLOOKUP(I48,[6]stage_hints!$A:$C,3,FALSE)</f>
        <v>ソロ専用タワーオブザクイーン</v>
      </c>
      <c r="L48" s="94" t="str">
        <f>VLOOKUP(I48,[6]stage_hints!$A:$D,4,FALSE)</f>
        <v>ソロ専用の「タワーオブザクイーン」は_x000D_期間限定で定期的に開催されます_x000D_ここでしか獲得できない報酬もあるようです</v>
      </c>
      <c r="M48" s="57" t="s">
        <v>211</v>
      </c>
    </row>
    <row r="49" spans="1:13" x14ac:dyDescent="0.15">
      <c r="A49" s="81" t="s">
        <v>201</v>
      </c>
      <c r="B49" s="82">
        <f>floors!$C$2</f>
        <v>30035</v>
      </c>
      <c r="C49" s="83" t="str">
        <f ca="1">VLOOKUP($B49,OFFSET([2]quests!$A$1,0,0,COUNTA([2]quests!$A:$A),MATCH(C$1,[2]quests!$1:$1,0)-MATCH($B$1,[2]quests!$1:$1,0)+1),MATCH(C$1,[2]quests!$1:$1,0)-MATCH($B$1,[2]quests!$1:$1,0)+1,FALSE)</f>
        <v>大鯨の呼び声</v>
      </c>
      <c r="D49" s="83" t="str">
        <f ca="1">VLOOKUP($B49,OFFSET([2]quests!$A$1,0,0,COUNTA([2]quests!$A:$A),MATCH(D$1,[2]quests!$1:$1,0)-MATCH($B$1,[2]quests!$1:$1,0)+1),MATCH(D$1,[2]quests!$1:$1,0)-MATCH($B$1,[2]quests!$1:$1,0)+1,FALSE)</f>
        <v>童話シリーズ3本目</v>
      </c>
      <c r="E49" s="87">
        <v>2</v>
      </c>
      <c r="F49" s="83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【上級】大鯨の呼び声</v>
      </c>
      <c r="G49" s="83" t="str">
        <f ca="1">VLOOKUP($B49&amp;"_"&amp;$E49,OFFSET([2]stages!$A$1,0,0,COUNTA([2]stages!$A:$A),MATCH(G$1,[2]stages!$2:$2,0)-MATCH("temp_stage",[2]stages!$2:$2,0)+1),MATCH(G$1,[2]stages!$2:$2,0)-MATCH("temp_stage",[2]stages!$2:$2,0)+1,FALSE)</f>
        <v>童話シリーズ3本目</v>
      </c>
      <c r="H49" s="85">
        <v>0</v>
      </c>
      <c r="I49" s="97">
        <v>20</v>
      </c>
      <c r="J49" s="84" t="s">
        <v>198</v>
      </c>
      <c r="K49" s="93" t="str">
        <f>VLOOKUP(I49,[6]stage_hints!$A:$C,3,FALSE)</f>
        <v>マルチプレイのメリット（その3）</v>
      </c>
      <c r="L49" s="94" t="str">
        <f>VLOOKUP(I49,[6]stage_hints!$A:$D,4,FALSE)</f>
        <v>マルチプレイへの参加はエナジー消費ゼロ_x000D_いつでも好きなだけ遊ぶことができます</v>
      </c>
      <c r="M49" s="57" t="s">
        <v>211</v>
      </c>
    </row>
    <row r="50" spans="1:13" x14ac:dyDescent="0.15">
      <c r="A50" s="81" t="s">
        <v>201</v>
      </c>
      <c r="B50" s="82">
        <f>floors!$C$2</f>
        <v>30035</v>
      </c>
      <c r="C50" s="83" t="str">
        <f ca="1">VLOOKUP($B50,OFFSET([2]quests!$A$1,0,0,COUNTA([2]quests!$A:$A),MATCH(C$1,[2]quests!$1:$1,0)-MATCH($B$1,[2]quests!$1:$1,0)+1),MATCH(C$1,[2]quests!$1:$1,0)-MATCH($B$1,[2]quests!$1:$1,0)+1,FALSE)</f>
        <v>大鯨の呼び声</v>
      </c>
      <c r="D50" s="83" t="str">
        <f ca="1">VLOOKUP($B50,OFFSET([2]quests!$A$1,0,0,COUNTA([2]quests!$A:$A),MATCH(D$1,[2]quests!$1:$1,0)-MATCH($B$1,[2]quests!$1:$1,0)+1),MATCH(D$1,[2]quests!$1:$1,0)-MATCH($B$1,[2]quests!$1:$1,0)+1,FALSE)</f>
        <v>童話シリーズ3本目</v>
      </c>
      <c r="E50" s="87">
        <v>2</v>
      </c>
      <c r="F50" s="83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【上級】大鯨の呼び声</v>
      </c>
      <c r="G50" s="83" t="str">
        <f ca="1">VLOOKUP($B50&amp;"_"&amp;$E50,OFFSET([2]stages!$A$1,0,0,COUNTA([2]stages!$A:$A),MATCH(G$1,[2]stages!$2:$2,0)-MATCH("temp_stage",[2]stages!$2:$2,0)+1),MATCH(G$1,[2]stages!$2:$2,0)-MATCH("temp_stage",[2]stages!$2:$2,0)+1,FALSE)</f>
        <v>童話シリーズ3本目</v>
      </c>
      <c r="H50" s="85">
        <v>0</v>
      </c>
      <c r="I50" s="97">
        <v>21</v>
      </c>
      <c r="J50" s="84" t="s">
        <v>198</v>
      </c>
      <c r="K50" s="93" t="str">
        <f>VLOOKUP(I50,[6]stage_hints!$A:$C,3,FALSE)</f>
        <v>スキルを有効に</v>
      </c>
      <c r="L50" s="94" t="str">
        <f>VLOOKUP(I50,[6]stage_hints!$A:$D,4,FALSE)</f>
        <v>ターン経過でユニットのスキルが使えます_x000D_強力スキルでバトルを有利に進めましょう</v>
      </c>
      <c r="M50" s="57" t="s">
        <v>211</v>
      </c>
    </row>
    <row r="51" spans="1:13" x14ac:dyDescent="0.15">
      <c r="A51" s="81" t="s">
        <v>201</v>
      </c>
      <c r="B51" s="82">
        <f>floors!$C$2</f>
        <v>30035</v>
      </c>
      <c r="C51" s="83" t="str">
        <f ca="1">VLOOKUP($B51,OFFSET([2]quests!$A$1,0,0,COUNTA([2]quests!$A:$A),MATCH(C$1,[2]quests!$1:$1,0)-MATCH($B$1,[2]quests!$1:$1,0)+1),MATCH(C$1,[2]quests!$1:$1,0)-MATCH($B$1,[2]quests!$1:$1,0)+1,FALSE)</f>
        <v>大鯨の呼び声</v>
      </c>
      <c r="D51" s="83" t="str">
        <f ca="1">VLOOKUP($B51,OFFSET([2]quests!$A$1,0,0,COUNTA([2]quests!$A:$A),MATCH(D$1,[2]quests!$1:$1,0)-MATCH($B$1,[2]quests!$1:$1,0)+1),MATCH(D$1,[2]quests!$1:$1,0)-MATCH($B$1,[2]quests!$1:$1,0)+1,FALSE)</f>
        <v>童話シリーズ3本目</v>
      </c>
      <c r="E51" s="87">
        <v>2</v>
      </c>
      <c r="F51" s="83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【上級】大鯨の呼び声</v>
      </c>
      <c r="G51" s="83" t="str">
        <f ca="1">VLOOKUP($B51&amp;"_"&amp;$E51,OFFSET([2]stages!$A$1,0,0,COUNTA([2]stages!$A:$A),MATCH(G$1,[2]stages!$2:$2,0)-MATCH("temp_stage",[2]stages!$2:$2,0)+1),MATCH(G$1,[2]stages!$2:$2,0)-MATCH("temp_stage",[2]stages!$2:$2,0)+1,FALSE)</f>
        <v>童話シリーズ3本目</v>
      </c>
      <c r="H51" s="85">
        <v>0</v>
      </c>
      <c r="I51" s="97">
        <v>22</v>
      </c>
      <c r="J51" s="84" t="s">
        <v>198</v>
      </c>
      <c r="K51" s="93" t="str">
        <f>VLOOKUP(I51,[6]stage_hints!$A:$C,3,FALSE)</f>
        <v>フィーバーで一発逆転（その1）</v>
      </c>
      <c r="L51" s="94" t="str">
        <f>VLOOKUP(I51,[6]stage_hints!$A:$D,4,FALSE)</f>
        <v>フィーバーは攻撃と回復を兼ね備えます_x000D_ピンチからの一発逆転を狙いましょう</v>
      </c>
      <c r="M51" s="57" t="s">
        <v>211</v>
      </c>
    </row>
    <row r="52" spans="1:13" x14ac:dyDescent="0.15">
      <c r="A52" s="81" t="s">
        <v>201</v>
      </c>
      <c r="B52" s="82">
        <f>floors!$C$2</f>
        <v>30035</v>
      </c>
      <c r="C52" s="83" t="str">
        <f ca="1">VLOOKUP($B52,OFFSET([2]quests!$A$1,0,0,COUNTA([2]quests!$A:$A),MATCH(C$1,[2]quests!$1:$1,0)-MATCH($B$1,[2]quests!$1:$1,0)+1),MATCH(C$1,[2]quests!$1:$1,0)-MATCH($B$1,[2]quests!$1:$1,0)+1,FALSE)</f>
        <v>大鯨の呼び声</v>
      </c>
      <c r="D52" s="83" t="str">
        <f ca="1">VLOOKUP($B52,OFFSET([2]quests!$A$1,0,0,COUNTA([2]quests!$A:$A),MATCH(D$1,[2]quests!$1:$1,0)-MATCH($B$1,[2]quests!$1:$1,0)+1),MATCH(D$1,[2]quests!$1:$1,0)-MATCH($B$1,[2]quests!$1:$1,0)+1,FALSE)</f>
        <v>童話シリーズ3本目</v>
      </c>
      <c r="E52" s="87">
        <v>2</v>
      </c>
      <c r="F52" s="83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【上級】大鯨の呼び声</v>
      </c>
      <c r="G52" s="83" t="str">
        <f ca="1">VLOOKUP($B52&amp;"_"&amp;$E52,OFFSET([2]stages!$A$1,0,0,COUNTA([2]stages!$A:$A),MATCH(G$1,[2]stages!$2:$2,0)-MATCH("temp_stage",[2]stages!$2:$2,0)+1),MATCH(G$1,[2]stages!$2:$2,0)-MATCH("temp_stage",[2]stages!$2:$2,0)+1,FALSE)</f>
        <v>童話シリーズ3本目</v>
      </c>
      <c r="H52" s="85">
        <v>0</v>
      </c>
      <c r="I52" s="97">
        <v>23</v>
      </c>
      <c r="J52" s="84" t="s">
        <v>198</v>
      </c>
      <c r="K52" s="93" t="str">
        <f>VLOOKUP(I52,[6]stage_hints!$A:$C,3,FALSE)</f>
        <v>フィーバーで一発逆転（その2）</v>
      </c>
      <c r="L52" s="94" t="str">
        <f>VLOOKUP(I52,[6]stage_hints!$A:$D,4,FALSE)</f>
        <v>フィーバー中は虹色のボムパネルを狙って_x000D_画面上のパネルを一気に破壊しましょう</v>
      </c>
      <c r="M52" s="57" t="s">
        <v>211</v>
      </c>
    </row>
    <row r="53" spans="1:13" x14ac:dyDescent="0.15">
      <c r="A53" s="81" t="s">
        <v>201</v>
      </c>
      <c r="B53" s="82">
        <f>floors!$C$2</f>
        <v>30035</v>
      </c>
      <c r="C53" s="83" t="str">
        <f ca="1">VLOOKUP($B53,OFFSET([2]quests!$A$1,0,0,COUNTA([2]quests!$A:$A),MATCH(C$1,[2]quests!$1:$1,0)-MATCH($B$1,[2]quests!$1:$1,0)+1),MATCH(C$1,[2]quests!$1:$1,0)-MATCH($B$1,[2]quests!$1:$1,0)+1,FALSE)</f>
        <v>大鯨の呼び声</v>
      </c>
      <c r="D53" s="83" t="str">
        <f ca="1">VLOOKUP($B53,OFFSET([2]quests!$A$1,0,0,COUNTA([2]quests!$A:$A),MATCH(D$1,[2]quests!$1:$1,0)-MATCH($B$1,[2]quests!$1:$1,0)+1),MATCH(D$1,[2]quests!$1:$1,0)-MATCH($B$1,[2]quests!$1:$1,0)+1,FALSE)</f>
        <v>童話シリーズ3本目</v>
      </c>
      <c r="E53" s="87">
        <v>2</v>
      </c>
      <c r="F53" s="83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【上級】大鯨の呼び声</v>
      </c>
      <c r="G53" s="83" t="str">
        <f ca="1">VLOOKUP($B53&amp;"_"&amp;$E53,OFFSET([2]stages!$A$1,0,0,COUNTA([2]stages!$A:$A),MATCH(G$1,[2]stages!$2:$2,0)-MATCH("temp_stage",[2]stages!$2:$2,0)+1),MATCH(G$1,[2]stages!$2:$2,0)-MATCH("temp_stage",[2]stages!$2:$2,0)+1,FALSE)</f>
        <v>童話シリーズ3本目</v>
      </c>
      <c r="H53" s="85">
        <v>0</v>
      </c>
      <c r="I53" s="97">
        <v>24</v>
      </c>
      <c r="J53" s="84" t="s">
        <v>198</v>
      </c>
      <c r="K53" s="93" t="str">
        <f>VLOOKUP(I53,[6]stage_hints!$A:$C,3,FALSE)</f>
        <v>果実を使って限界突破</v>
      </c>
      <c r="L53" s="94" t="str">
        <f>VLOOKUP(I53,[6]stage_hints!$A:$D,4,FALSE)</f>
        <v>攻めの果実 癒しの果実_x000D_生命の果実をユニット強化に使うと_x000D_ステータスが限界突破します（計99個迄）</v>
      </c>
      <c r="M53" s="57" t="s">
        <v>211</v>
      </c>
    </row>
    <row r="54" spans="1:13" x14ac:dyDescent="0.15">
      <c r="A54" s="81" t="s">
        <v>201</v>
      </c>
      <c r="B54" s="82">
        <f>floors!$C$2</f>
        <v>30035</v>
      </c>
      <c r="C54" s="83" t="str">
        <f ca="1">VLOOKUP($B54,OFFSET([2]quests!$A$1,0,0,COUNTA([2]quests!$A:$A),MATCH(C$1,[2]quests!$1:$1,0)-MATCH($B$1,[2]quests!$1:$1,0)+1),MATCH(C$1,[2]quests!$1:$1,0)-MATCH($B$1,[2]quests!$1:$1,0)+1,FALSE)</f>
        <v>大鯨の呼び声</v>
      </c>
      <c r="D54" s="83" t="str">
        <f ca="1">VLOOKUP($B54,OFFSET([2]quests!$A$1,0,0,COUNTA([2]quests!$A:$A),MATCH(D$1,[2]quests!$1:$1,0)-MATCH($B$1,[2]quests!$1:$1,0)+1),MATCH(D$1,[2]quests!$1:$1,0)-MATCH($B$1,[2]quests!$1:$1,0)+1,FALSE)</f>
        <v>童話シリーズ3本目</v>
      </c>
      <c r="E54" s="87">
        <v>2</v>
      </c>
      <c r="F54" s="83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【上級】大鯨の呼び声</v>
      </c>
      <c r="G54" s="83" t="str">
        <f ca="1">VLOOKUP($B54&amp;"_"&amp;$E54,OFFSET([2]stages!$A$1,0,0,COUNTA([2]stages!$A:$A),MATCH(G$1,[2]stages!$2:$2,0)-MATCH("temp_stage",[2]stages!$2:$2,0)+1),MATCH(G$1,[2]stages!$2:$2,0)-MATCH("temp_stage",[2]stages!$2:$2,0)+1,FALSE)</f>
        <v>童話シリーズ3本目</v>
      </c>
      <c r="H54" s="85">
        <v>0</v>
      </c>
      <c r="I54" s="97">
        <v>25</v>
      </c>
      <c r="J54" s="84" t="s">
        <v>198</v>
      </c>
      <c r="K54" s="93" t="str">
        <f>VLOOKUP(I54,[6]stage_hints!$A:$C,3,FALSE)</f>
        <v>スキルレベルアップ</v>
      </c>
      <c r="L54" s="94" t="str">
        <f>VLOOKUP(I54,[6]stage_hints!$A:$D,4,FALSE)</f>
        <v>「秘術の果実」を強化に使うと_x000D_スキルレベルを上げることができます</v>
      </c>
      <c r="M54" s="57" t="s">
        <v>211</v>
      </c>
    </row>
    <row r="55" spans="1:13" x14ac:dyDescent="0.15">
      <c r="A55" s="81" t="s">
        <v>201</v>
      </c>
      <c r="B55" s="82">
        <f>floors!$C$2</f>
        <v>30035</v>
      </c>
      <c r="C55" s="83" t="str">
        <f ca="1">VLOOKUP($B55,OFFSET([2]quests!$A$1,0,0,COUNTA([2]quests!$A:$A),MATCH(C$1,[2]quests!$1:$1,0)-MATCH($B$1,[2]quests!$1:$1,0)+1),MATCH(C$1,[2]quests!$1:$1,0)-MATCH($B$1,[2]quests!$1:$1,0)+1,FALSE)</f>
        <v>大鯨の呼び声</v>
      </c>
      <c r="D55" s="83" t="str">
        <f ca="1">VLOOKUP($B55,OFFSET([2]quests!$A$1,0,0,COUNTA([2]quests!$A:$A),MATCH(D$1,[2]quests!$1:$1,0)-MATCH($B$1,[2]quests!$1:$1,0)+1),MATCH(D$1,[2]quests!$1:$1,0)-MATCH($B$1,[2]quests!$1:$1,0)+1,FALSE)</f>
        <v>童話シリーズ3本目</v>
      </c>
      <c r="E55" s="87">
        <v>2</v>
      </c>
      <c r="F55" s="83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【上級】大鯨の呼び声</v>
      </c>
      <c r="G55" s="83" t="str">
        <f ca="1">VLOOKUP($B55&amp;"_"&amp;$E55,OFFSET([2]stages!$A$1,0,0,COUNTA([2]stages!$A:$A),MATCH(G$1,[2]stages!$2:$2,0)-MATCH("temp_stage",[2]stages!$2:$2,0)+1),MATCH(G$1,[2]stages!$2:$2,0)-MATCH("temp_stage",[2]stages!$2:$2,0)+1,FALSE)</f>
        <v>童話シリーズ3本目</v>
      </c>
      <c r="H55" s="85">
        <v>0</v>
      </c>
      <c r="I55" s="97">
        <v>26</v>
      </c>
      <c r="J55" s="84" t="s">
        <v>198</v>
      </c>
      <c r="K55" s="93" t="str">
        <f>VLOOKUP(I55,[6]stage_hints!$A:$C,3,FALSE)</f>
        <v>スキルレベルの効果</v>
      </c>
      <c r="L55" s="94" t="str">
        <f>VLOOKUP(I55,[6]stage_hints!$A:$D,4,FALSE)</f>
        <v>スキルレベルが上がると_x000D_短いターンでスキルを使うことができます</v>
      </c>
      <c r="M55" s="57" t="s">
        <v>211</v>
      </c>
    </row>
    <row r="56" spans="1:13" x14ac:dyDescent="0.15">
      <c r="A56" s="81" t="s">
        <v>201</v>
      </c>
      <c r="B56" s="82">
        <f>floors!$C$2</f>
        <v>30035</v>
      </c>
      <c r="C56" s="83" t="str">
        <f ca="1">VLOOKUP($B56,OFFSET([2]quests!$A$1,0,0,COUNTA([2]quests!$A:$A),MATCH(C$1,[2]quests!$1:$1,0)-MATCH($B$1,[2]quests!$1:$1,0)+1),MATCH(C$1,[2]quests!$1:$1,0)-MATCH($B$1,[2]quests!$1:$1,0)+1,FALSE)</f>
        <v>大鯨の呼び声</v>
      </c>
      <c r="D56" s="83" t="str">
        <f ca="1">VLOOKUP($B56,OFFSET([2]quests!$A$1,0,0,COUNTA([2]quests!$A:$A),MATCH(D$1,[2]quests!$1:$1,0)-MATCH($B$1,[2]quests!$1:$1,0)+1),MATCH(D$1,[2]quests!$1:$1,0)-MATCH($B$1,[2]quests!$1:$1,0)+1,FALSE)</f>
        <v>童話シリーズ3本目</v>
      </c>
      <c r="E56" s="87">
        <v>2</v>
      </c>
      <c r="F56" s="83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【上級】大鯨の呼び声</v>
      </c>
      <c r="G56" s="83" t="str">
        <f ca="1">VLOOKUP($B56&amp;"_"&amp;$E56,OFFSET([2]stages!$A$1,0,0,COUNTA([2]stages!$A:$A),MATCH(G$1,[2]stages!$2:$2,0)-MATCH("temp_stage",[2]stages!$2:$2,0)+1),MATCH(G$1,[2]stages!$2:$2,0)-MATCH("temp_stage",[2]stages!$2:$2,0)+1,FALSE)</f>
        <v>童話シリーズ3本目</v>
      </c>
      <c r="H56" s="85">
        <v>0</v>
      </c>
      <c r="I56" s="97">
        <v>27</v>
      </c>
      <c r="J56" s="84" t="s">
        <v>198</v>
      </c>
      <c r="K56" s="93" t="str">
        <f>VLOOKUP(I56,[6]stage_hints!$A:$C,3,FALSE)</f>
        <v>ホーム画面からデッキを編成</v>
      </c>
      <c r="L56" s="94" t="str">
        <f>VLOOKUP(I56,[6]stage_hints!$A:$D,4,FALSE)</f>
        <v>ホーム画面でユニットを長押しすると_x000D_すぐにパーティ編成に移動できます</v>
      </c>
      <c r="M56" s="57" t="s">
        <v>211</v>
      </c>
    </row>
    <row r="57" spans="1:13" x14ac:dyDescent="0.15">
      <c r="A57" s="81" t="s">
        <v>201</v>
      </c>
      <c r="B57" s="82">
        <f>floors!$C$2</f>
        <v>30035</v>
      </c>
      <c r="C57" s="83" t="str">
        <f ca="1">VLOOKUP($B57,OFFSET([2]quests!$A$1,0,0,COUNTA([2]quests!$A:$A),MATCH(C$1,[2]quests!$1:$1,0)-MATCH($B$1,[2]quests!$1:$1,0)+1),MATCH(C$1,[2]quests!$1:$1,0)-MATCH($B$1,[2]quests!$1:$1,0)+1,FALSE)</f>
        <v>大鯨の呼び声</v>
      </c>
      <c r="D57" s="83" t="str">
        <f ca="1">VLOOKUP($B57,OFFSET([2]quests!$A$1,0,0,COUNTA([2]quests!$A:$A),MATCH(D$1,[2]quests!$1:$1,0)-MATCH($B$1,[2]quests!$1:$1,0)+1),MATCH(D$1,[2]quests!$1:$1,0)-MATCH($B$1,[2]quests!$1:$1,0)+1,FALSE)</f>
        <v>童話シリーズ3本目</v>
      </c>
      <c r="E57" s="87">
        <v>2</v>
      </c>
      <c r="F57" s="83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【上級】大鯨の呼び声</v>
      </c>
      <c r="G57" s="83" t="str">
        <f ca="1">VLOOKUP($B57&amp;"_"&amp;$E57,OFFSET([2]stages!$A$1,0,0,COUNTA([2]stages!$A:$A),MATCH(G$1,[2]stages!$2:$2,0)-MATCH("temp_stage",[2]stages!$2:$2,0)+1),MATCH(G$1,[2]stages!$2:$2,0)-MATCH("temp_stage",[2]stages!$2:$2,0)+1,FALSE)</f>
        <v>童話シリーズ3本目</v>
      </c>
      <c r="H57" s="85">
        <v>0</v>
      </c>
      <c r="I57" s="97">
        <v>28</v>
      </c>
      <c r="J57" s="84" t="s">
        <v>198</v>
      </c>
      <c r="K57" s="93" t="str">
        <f>VLOOKUP(I57,[6]stage_hints!$A:$C,3,FALSE)</f>
        <v>ステータス情報は長押しで</v>
      </c>
      <c r="L57" s="94" t="str">
        <f>VLOOKUP(I57,[6]stage_hints!$A:$D,4,FALSE)</f>
        <v>ユニットのアイコンを長押しすると_x000D_ステータス情報を確認することができます</v>
      </c>
      <c r="M57" s="57" t="s">
        <v>211</v>
      </c>
    </row>
    <row r="58" spans="1:13" x14ac:dyDescent="0.15">
      <c r="A58" s="81" t="s">
        <v>201</v>
      </c>
      <c r="B58" s="82">
        <f>floors!$C$2</f>
        <v>30035</v>
      </c>
      <c r="C58" s="83" t="str">
        <f ca="1">VLOOKUP($B58,OFFSET([2]quests!$A$1,0,0,COUNTA([2]quests!$A:$A),MATCH(C$1,[2]quests!$1:$1,0)-MATCH($B$1,[2]quests!$1:$1,0)+1),MATCH(C$1,[2]quests!$1:$1,0)-MATCH($B$1,[2]quests!$1:$1,0)+1,FALSE)</f>
        <v>大鯨の呼び声</v>
      </c>
      <c r="D58" s="83" t="str">
        <f ca="1">VLOOKUP($B58,OFFSET([2]quests!$A$1,0,0,COUNTA([2]quests!$A:$A),MATCH(D$1,[2]quests!$1:$1,0)-MATCH($B$1,[2]quests!$1:$1,0)+1),MATCH(D$1,[2]quests!$1:$1,0)-MATCH($B$1,[2]quests!$1:$1,0)+1,FALSE)</f>
        <v>童話シリーズ3本目</v>
      </c>
      <c r="E58" s="87">
        <v>2</v>
      </c>
      <c r="F58" s="83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【上級】大鯨の呼び声</v>
      </c>
      <c r="G58" s="83" t="str">
        <f ca="1">VLOOKUP($B58&amp;"_"&amp;$E58,OFFSET([2]stages!$A$1,0,0,COUNTA([2]stages!$A:$A),MATCH(G$1,[2]stages!$2:$2,0)-MATCH("temp_stage",[2]stages!$2:$2,0)+1),MATCH(G$1,[2]stages!$2:$2,0)-MATCH("temp_stage",[2]stages!$2:$2,0)+1,FALSE)</f>
        <v>童話シリーズ3本目</v>
      </c>
      <c r="H58" s="85">
        <v>0</v>
      </c>
      <c r="I58" s="97">
        <v>29</v>
      </c>
      <c r="J58" s="84" t="s">
        <v>198</v>
      </c>
      <c r="K58" s="93" t="str">
        <f>VLOOKUP(I58,[6]stage_hints!$A:$C,3,FALSE)</f>
        <v>「バグ」のメリット</v>
      </c>
      <c r="L58" s="94" t="str">
        <f>VLOOKUP(I58,[6]stage_hints!$A:$D,4,FALSE)</f>
        <v>ユニットの「バグ」を増やすと_x000D_報酬をもらえる確率がアップします</v>
      </c>
      <c r="M58" s="57" t="s">
        <v>211</v>
      </c>
    </row>
    <row r="59" spans="1:13" x14ac:dyDescent="0.15">
      <c r="A59" s="81" t="s">
        <v>201</v>
      </c>
      <c r="B59" s="82">
        <f>floors!$C$2</f>
        <v>30035</v>
      </c>
      <c r="C59" s="83" t="str">
        <f ca="1">VLOOKUP($B59,OFFSET([2]quests!$A$1,0,0,COUNTA([2]quests!$A:$A),MATCH(C$1,[2]quests!$1:$1,0)-MATCH($B$1,[2]quests!$1:$1,0)+1),MATCH(C$1,[2]quests!$1:$1,0)-MATCH($B$1,[2]quests!$1:$1,0)+1,FALSE)</f>
        <v>大鯨の呼び声</v>
      </c>
      <c r="D59" s="83" t="str">
        <f ca="1">VLOOKUP($B59,OFFSET([2]quests!$A$1,0,0,COUNTA([2]quests!$A:$A),MATCH(D$1,[2]quests!$1:$1,0)-MATCH($B$1,[2]quests!$1:$1,0)+1),MATCH(D$1,[2]quests!$1:$1,0)-MATCH($B$1,[2]quests!$1:$1,0)+1,FALSE)</f>
        <v>童話シリーズ3本目</v>
      </c>
      <c r="E59" s="87">
        <v>2</v>
      </c>
      <c r="F59" s="83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【上級】大鯨の呼び声</v>
      </c>
      <c r="G59" s="83" t="str">
        <f ca="1">VLOOKUP($B59&amp;"_"&amp;$E59,OFFSET([2]stages!$A$1,0,0,COUNTA([2]stages!$A:$A),MATCH(G$1,[2]stages!$2:$2,0)-MATCH("temp_stage",[2]stages!$2:$2,0)+1),MATCH(G$1,[2]stages!$2:$2,0)-MATCH("temp_stage",[2]stages!$2:$2,0)+1,FALSE)</f>
        <v>童話シリーズ3本目</v>
      </c>
      <c r="H59" s="85">
        <v>0</v>
      </c>
      <c r="I59" s="97">
        <v>30</v>
      </c>
      <c r="J59" s="84" t="s">
        <v>198</v>
      </c>
      <c r="K59" s="93" t="str">
        <f>VLOOKUP(I59,[6]stage_hints!$A:$C,3,FALSE)</f>
        <v>「バグ」の増やし方</v>
      </c>
      <c r="L59" s="94" t="str">
        <f>VLOOKUP(I59,[6]stage_hints!$A:$D,4,FALSE)</f>
        <v>同じユニット同士を強化で合成すると_x000D_「バグ」を増やすことができます</v>
      </c>
      <c r="M59" s="57" t="s">
        <v>211</v>
      </c>
    </row>
    <row r="60" spans="1:13" x14ac:dyDescent="0.15">
      <c r="A60" s="81" t="s">
        <v>201</v>
      </c>
      <c r="B60" s="82">
        <f>floors!$C$2</f>
        <v>30035</v>
      </c>
      <c r="C60" s="83" t="str">
        <f ca="1">VLOOKUP($B60,OFFSET([2]quests!$A$1,0,0,COUNTA([2]quests!$A:$A),MATCH(C$1,[2]quests!$1:$1,0)-MATCH($B$1,[2]quests!$1:$1,0)+1),MATCH(C$1,[2]quests!$1:$1,0)-MATCH($B$1,[2]quests!$1:$1,0)+1,FALSE)</f>
        <v>大鯨の呼び声</v>
      </c>
      <c r="D60" s="83" t="str">
        <f ca="1">VLOOKUP($B60,OFFSET([2]quests!$A$1,0,0,COUNTA([2]quests!$A:$A),MATCH(D$1,[2]quests!$1:$1,0)-MATCH($B$1,[2]quests!$1:$1,0)+1),MATCH(D$1,[2]quests!$1:$1,0)-MATCH($B$1,[2]quests!$1:$1,0)+1,FALSE)</f>
        <v>童話シリーズ3本目</v>
      </c>
      <c r="E60" s="87">
        <v>2</v>
      </c>
      <c r="F60" s="83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【上級】大鯨の呼び声</v>
      </c>
      <c r="G60" s="83" t="str">
        <f ca="1">VLOOKUP($B60&amp;"_"&amp;$E60,OFFSET([2]stages!$A$1,0,0,COUNTA([2]stages!$A:$A),MATCH(G$1,[2]stages!$2:$2,0)-MATCH("temp_stage",[2]stages!$2:$2,0)+1),MATCH(G$1,[2]stages!$2:$2,0)-MATCH("temp_stage",[2]stages!$2:$2,0)+1,FALSE)</f>
        <v>童話シリーズ3本目</v>
      </c>
      <c r="H60" s="85">
        <v>0</v>
      </c>
      <c r="I60" s="97">
        <v>31</v>
      </c>
      <c r="J60" s="84" t="s">
        <v>198</v>
      </c>
      <c r="K60" s="93" t="str">
        <f>VLOOKUP(I60,[6]stage_hints!$A:$C,3,FALSE)</f>
        <v>イベントはお知らせでチェック</v>
      </c>
      <c r="L60" s="94" t="str">
        <f>VLOOKUP(I60,[6]stage_hints!$A:$D,4,FALSE)</f>
        <v>イベント限定ユニットを取り忘れないように_x000D_お知らせをこまめにチェックしましょう</v>
      </c>
      <c r="M60" s="57" t="s">
        <v>211</v>
      </c>
    </row>
    <row r="61" spans="1:13" x14ac:dyDescent="0.15">
      <c r="A61" s="81" t="s">
        <v>201</v>
      </c>
      <c r="B61" s="82">
        <f>floors!$C$2</f>
        <v>30035</v>
      </c>
      <c r="C61" s="83" t="str">
        <f ca="1">VLOOKUP($B61,OFFSET([2]quests!$A$1,0,0,COUNTA([2]quests!$A:$A),MATCH(C$1,[2]quests!$1:$1,0)-MATCH($B$1,[2]quests!$1:$1,0)+1),MATCH(C$1,[2]quests!$1:$1,0)-MATCH($B$1,[2]quests!$1:$1,0)+1,FALSE)</f>
        <v>大鯨の呼び声</v>
      </c>
      <c r="D61" s="83" t="str">
        <f ca="1">VLOOKUP($B61,OFFSET([2]quests!$A$1,0,0,COUNTA([2]quests!$A:$A),MATCH(D$1,[2]quests!$1:$1,0)-MATCH($B$1,[2]quests!$1:$1,0)+1),MATCH(D$1,[2]quests!$1:$1,0)-MATCH($B$1,[2]quests!$1:$1,0)+1,FALSE)</f>
        <v>童話シリーズ3本目</v>
      </c>
      <c r="E61" s="87">
        <v>2</v>
      </c>
      <c r="F61" s="83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【上級】大鯨の呼び声</v>
      </c>
      <c r="G61" s="83" t="str">
        <f ca="1">VLOOKUP($B61&amp;"_"&amp;$E61,OFFSET([2]stages!$A$1,0,0,COUNTA([2]stages!$A:$A),MATCH(G$1,[2]stages!$2:$2,0)-MATCH("temp_stage",[2]stages!$2:$2,0)+1),MATCH(G$1,[2]stages!$2:$2,0)-MATCH("temp_stage",[2]stages!$2:$2,0)+1,FALSE)</f>
        <v>童話シリーズ3本目</v>
      </c>
      <c r="H61" s="85">
        <v>0</v>
      </c>
      <c r="I61" s="97">
        <v>32</v>
      </c>
      <c r="J61" s="84" t="s">
        <v>198</v>
      </c>
      <c r="K61" s="93" t="str">
        <f>VLOOKUP(I61,[6]stage_hints!$A:$C,3,FALSE)</f>
        <v>敵の連続攻撃には</v>
      </c>
      <c r="L61" s="94" t="str">
        <f>VLOOKUP(I61,[6]stage_hints!$A:$D,4,FALSE)</f>
        <v>カウンタースキルを持つユニットがいれば_x000D_ダメージ回数分の反撃ができます</v>
      </c>
      <c r="M61" s="57" t="s">
        <v>211</v>
      </c>
    </row>
    <row r="62" spans="1:13" x14ac:dyDescent="0.15">
      <c r="A62" s="81" t="s">
        <v>201</v>
      </c>
      <c r="B62" s="82">
        <f>floors!$C$2</f>
        <v>30035</v>
      </c>
      <c r="C62" s="83" t="str">
        <f ca="1">VLOOKUP($B62,OFFSET([2]quests!$A$1,0,0,COUNTA([2]quests!$A:$A),MATCH(C$1,[2]quests!$1:$1,0)-MATCH($B$1,[2]quests!$1:$1,0)+1),MATCH(C$1,[2]quests!$1:$1,0)-MATCH($B$1,[2]quests!$1:$1,0)+1,FALSE)</f>
        <v>大鯨の呼び声</v>
      </c>
      <c r="D62" s="83" t="str">
        <f ca="1">VLOOKUP($B62,OFFSET([2]quests!$A$1,0,0,COUNTA([2]quests!$A:$A),MATCH(D$1,[2]quests!$1:$1,0)-MATCH($B$1,[2]quests!$1:$1,0)+1),MATCH(D$1,[2]quests!$1:$1,0)-MATCH($B$1,[2]quests!$1:$1,0)+1,FALSE)</f>
        <v>童話シリーズ3本目</v>
      </c>
      <c r="E62" s="87">
        <v>2</v>
      </c>
      <c r="F62" s="83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【上級】大鯨の呼び声</v>
      </c>
      <c r="G62" s="83" t="str">
        <f ca="1">VLOOKUP($B62&amp;"_"&amp;$E62,OFFSET([2]stages!$A$1,0,0,COUNTA([2]stages!$A:$A),MATCH(G$1,[2]stages!$2:$2,0)-MATCH("temp_stage",[2]stages!$2:$2,0)+1),MATCH(G$1,[2]stages!$2:$2,0)-MATCH("temp_stage",[2]stages!$2:$2,0)+1,FALSE)</f>
        <v>童話シリーズ3本目</v>
      </c>
      <c r="H62" s="85">
        <v>0</v>
      </c>
      <c r="I62" s="97">
        <v>33</v>
      </c>
      <c r="J62" s="84" t="s">
        <v>198</v>
      </c>
      <c r="K62" s="93" t="str">
        <f>VLOOKUP(I62,[6]stage_hints!$A:$C,3,FALSE)</f>
        <v>敵のカウンター攻撃には</v>
      </c>
      <c r="L62" s="94" t="str">
        <f>VLOOKUP(I62,[6]stage_hints!$A:$D,4,FALSE)</f>
        <v>カウンターブレイクスキルを持っていれば_x000D_敵のカウンターを解除して攻撃ができます</v>
      </c>
      <c r="M62" s="57" t="s">
        <v>211</v>
      </c>
    </row>
    <row r="63" spans="1:13" x14ac:dyDescent="0.15">
      <c r="A63" s="81" t="s">
        <v>201</v>
      </c>
      <c r="B63" s="82">
        <f>floors!$C$2</f>
        <v>30035</v>
      </c>
      <c r="C63" s="83" t="str">
        <f ca="1">VLOOKUP($B63,OFFSET([2]quests!$A$1,0,0,COUNTA([2]quests!$A:$A),MATCH(C$1,[2]quests!$1:$1,0)-MATCH($B$1,[2]quests!$1:$1,0)+1),MATCH(C$1,[2]quests!$1:$1,0)-MATCH($B$1,[2]quests!$1:$1,0)+1,FALSE)</f>
        <v>大鯨の呼び声</v>
      </c>
      <c r="D63" s="83" t="str">
        <f ca="1">VLOOKUP($B63,OFFSET([2]quests!$A$1,0,0,COUNTA([2]quests!$A:$A),MATCH(D$1,[2]quests!$1:$1,0)-MATCH($B$1,[2]quests!$1:$1,0)+1),MATCH(D$1,[2]quests!$1:$1,0)-MATCH($B$1,[2]quests!$1:$1,0)+1,FALSE)</f>
        <v>童話シリーズ3本目</v>
      </c>
      <c r="E63" s="87">
        <v>2</v>
      </c>
      <c r="F63" s="83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【上級】大鯨の呼び声</v>
      </c>
      <c r="G63" s="83" t="str">
        <f ca="1">VLOOKUP($B63&amp;"_"&amp;$E63,OFFSET([2]stages!$A$1,0,0,COUNTA([2]stages!$A:$A),MATCH(G$1,[2]stages!$2:$2,0)-MATCH("temp_stage",[2]stages!$2:$2,0)+1),MATCH(G$1,[2]stages!$2:$2,0)-MATCH("temp_stage",[2]stages!$2:$2,0)+1,FALSE)</f>
        <v>童話シリーズ3本目</v>
      </c>
      <c r="H63" s="85">
        <v>0</v>
      </c>
      <c r="I63" s="97">
        <v>34</v>
      </c>
      <c r="J63" s="84" t="s">
        <v>198</v>
      </c>
      <c r="K63" s="93" t="str">
        <f>VLOOKUP(I63,[6]stage_hints!$A:$C,3,FALSE)</f>
        <v>ステータスをスキルで下げられたら</v>
      </c>
      <c r="L63" s="94" t="str">
        <f>VLOOKUP(I63,[6]stage_hints!$A:$D,4,FALSE)</f>
        <v>ステータスダウンのスキルを受けたら_x000D_ステータスアップスキルで上書きしましょう</v>
      </c>
      <c r="M63" s="57" t="s">
        <v>211</v>
      </c>
    </row>
    <row r="64" spans="1:13" x14ac:dyDescent="0.15">
      <c r="A64" s="81" t="s">
        <v>201</v>
      </c>
      <c r="B64" s="82">
        <f>floors!$C$2</f>
        <v>30035</v>
      </c>
      <c r="C64" s="83" t="str">
        <f ca="1">VLOOKUP($B64,OFFSET([2]quests!$A$1,0,0,COUNTA([2]quests!$A:$A),MATCH(C$1,[2]quests!$1:$1,0)-MATCH($B$1,[2]quests!$1:$1,0)+1),MATCH(C$1,[2]quests!$1:$1,0)-MATCH($B$1,[2]quests!$1:$1,0)+1,FALSE)</f>
        <v>大鯨の呼び声</v>
      </c>
      <c r="D64" s="83" t="str">
        <f ca="1">VLOOKUP($B64,OFFSET([2]quests!$A$1,0,0,COUNTA([2]quests!$A:$A),MATCH(D$1,[2]quests!$1:$1,0)-MATCH($B$1,[2]quests!$1:$1,0)+1),MATCH(D$1,[2]quests!$1:$1,0)-MATCH($B$1,[2]quests!$1:$1,0)+1,FALSE)</f>
        <v>童話シリーズ3本目</v>
      </c>
      <c r="E64" s="87">
        <v>2</v>
      </c>
      <c r="F64" s="83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【上級】大鯨の呼び声</v>
      </c>
      <c r="G64" s="83" t="str">
        <f ca="1">VLOOKUP($B64&amp;"_"&amp;$E64,OFFSET([2]stages!$A$1,0,0,COUNTA([2]stages!$A:$A),MATCH(G$1,[2]stages!$2:$2,0)-MATCH("temp_stage",[2]stages!$2:$2,0)+1),MATCH(G$1,[2]stages!$2:$2,0)-MATCH("temp_stage",[2]stages!$2:$2,0)+1,FALSE)</f>
        <v>童話シリーズ3本目</v>
      </c>
      <c r="H64" s="85">
        <v>0</v>
      </c>
      <c r="I64" s="97">
        <v>35</v>
      </c>
      <c r="J64" s="84" t="s">
        <v>198</v>
      </c>
      <c r="K64" s="93" t="str">
        <f>VLOOKUP(I64,[6]stage_hints!$A:$C,3,FALSE)</f>
        <v>敵のステータスがスキルで上がったら</v>
      </c>
      <c r="L64" s="94" t="str">
        <f>VLOOKUP(I64,[6]stage_hints!$A:$D,4,FALSE)</f>
        <v>敵のステータスがスキルでアップしたときは_x000D_ステータスダウンスキルで上書きしましょう</v>
      </c>
      <c r="M64" s="57" t="s">
        <v>211</v>
      </c>
    </row>
    <row r="65" spans="1:13" x14ac:dyDescent="0.15">
      <c r="A65" s="81" t="s">
        <v>201</v>
      </c>
      <c r="B65" s="82">
        <f>floors!$C$2</f>
        <v>30035</v>
      </c>
      <c r="C65" s="83" t="str">
        <f ca="1">VLOOKUP($B65,OFFSET([2]quests!$A$1,0,0,COUNTA([2]quests!$A:$A),MATCH(C$1,[2]quests!$1:$1,0)-MATCH($B$1,[2]quests!$1:$1,0)+1),MATCH(C$1,[2]quests!$1:$1,0)-MATCH($B$1,[2]quests!$1:$1,0)+1,FALSE)</f>
        <v>大鯨の呼び声</v>
      </c>
      <c r="D65" s="83" t="str">
        <f ca="1">VLOOKUP($B65,OFFSET([2]quests!$A$1,0,0,COUNTA([2]quests!$A:$A),MATCH(D$1,[2]quests!$1:$1,0)-MATCH($B$1,[2]quests!$1:$1,0)+1),MATCH(D$1,[2]quests!$1:$1,0)-MATCH($B$1,[2]quests!$1:$1,0)+1,FALSE)</f>
        <v>童話シリーズ3本目</v>
      </c>
      <c r="E65" s="87">
        <v>2</v>
      </c>
      <c r="F65" s="83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【上級】大鯨の呼び声</v>
      </c>
      <c r="G65" s="83" t="str">
        <f ca="1">VLOOKUP($B65&amp;"_"&amp;$E65,OFFSET([2]stages!$A$1,0,0,COUNTA([2]stages!$A:$A),MATCH(G$1,[2]stages!$2:$2,0)-MATCH("temp_stage",[2]stages!$2:$2,0)+1),MATCH(G$1,[2]stages!$2:$2,0)-MATCH("temp_stage",[2]stages!$2:$2,0)+1,FALSE)</f>
        <v>童話シリーズ3本目</v>
      </c>
      <c r="H65" s="85">
        <v>0</v>
      </c>
      <c r="I65" s="97">
        <v>36</v>
      </c>
      <c r="J65" s="84" t="s">
        <v>198</v>
      </c>
      <c r="K65" s="93" t="str">
        <f>VLOOKUP(I65,[6]stage_hints!$A:$C,3,FALSE)</f>
        <v>タワーオブザクイーンのボス</v>
      </c>
      <c r="L65" s="94" t="str">
        <f>VLOOKUP(I65,[6]stage_hints!$A:$D,4,FALSE)</f>
        <v>「タワーオブザクイーン」最上階のボスは_x000D_15階の初回クリア報酬で獲得できるほか_x000D_その階にて低確率でドロップもします</v>
      </c>
      <c r="M65" s="57" t="s">
        <v>211</v>
      </c>
    </row>
    <row r="66" spans="1:13" x14ac:dyDescent="0.15">
      <c r="A66" s="81" t="s">
        <v>201</v>
      </c>
      <c r="B66" s="82">
        <f>floors!$C$2</f>
        <v>30035</v>
      </c>
      <c r="C66" s="83" t="str">
        <f ca="1">VLOOKUP($B66,OFFSET([2]quests!$A$1,0,0,COUNTA([2]quests!$A:$A),MATCH(C$1,[2]quests!$1:$1,0)-MATCH($B$1,[2]quests!$1:$1,0)+1),MATCH(C$1,[2]quests!$1:$1,0)-MATCH($B$1,[2]quests!$1:$1,0)+1,FALSE)</f>
        <v>大鯨の呼び声</v>
      </c>
      <c r="D66" s="83" t="str">
        <f ca="1">VLOOKUP($B66,OFFSET([2]quests!$A$1,0,0,COUNTA([2]quests!$A:$A),MATCH(D$1,[2]quests!$1:$1,0)-MATCH($B$1,[2]quests!$1:$1,0)+1),MATCH(D$1,[2]quests!$1:$1,0)-MATCH($B$1,[2]quests!$1:$1,0)+1,FALSE)</f>
        <v>童話シリーズ3本目</v>
      </c>
      <c r="E66" s="87">
        <v>2</v>
      </c>
      <c r="F66" s="83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【上級】大鯨の呼び声</v>
      </c>
      <c r="G66" s="83" t="str">
        <f ca="1">VLOOKUP($B66&amp;"_"&amp;$E66,OFFSET([2]stages!$A$1,0,0,COUNTA([2]stages!$A:$A),MATCH(G$1,[2]stages!$2:$2,0)-MATCH("temp_stage",[2]stages!$2:$2,0)+1),MATCH(G$1,[2]stages!$2:$2,0)-MATCH("temp_stage",[2]stages!$2:$2,0)+1,FALSE)</f>
        <v>童話シリーズ3本目</v>
      </c>
      <c r="H66" s="85">
        <v>0</v>
      </c>
      <c r="I66" s="97">
        <v>37</v>
      </c>
      <c r="J66" s="84" t="s">
        <v>198</v>
      </c>
      <c r="K66" s="93" t="str">
        <f>VLOOKUP(I66,[6]stage_hints!$A:$C,3,FALSE)</f>
        <v>限界突破値の引き継ぎ</v>
      </c>
      <c r="L66" s="94" t="str">
        <f>VLOOKUP(I66,[6]stage_hints!$A:$D,4,FALSE)</f>
        <v>同じユニットを強化で合成すると_x000D_限界突破値を引き継げます（覚醒前後も可）</v>
      </c>
      <c r="M66" s="57" t="s">
        <v>211</v>
      </c>
    </row>
    <row r="67" spans="1:13" x14ac:dyDescent="0.15">
      <c r="A67" s="81" t="s">
        <v>201</v>
      </c>
      <c r="B67" s="82">
        <f>floors!$C$2</f>
        <v>30035</v>
      </c>
      <c r="C67" s="83" t="str">
        <f ca="1">VLOOKUP($B67,OFFSET([2]quests!$A$1,0,0,COUNTA([2]quests!$A:$A),MATCH(C$1,[2]quests!$1:$1,0)-MATCH($B$1,[2]quests!$1:$1,0)+1),MATCH(C$1,[2]quests!$1:$1,0)-MATCH($B$1,[2]quests!$1:$1,0)+1,FALSE)</f>
        <v>大鯨の呼び声</v>
      </c>
      <c r="D67" s="83" t="str">
        <f ca="1">VLOOKUP($B67,OFFSET([2]quests!$A$1,0,0,COUNTA([2]quests!$A:$A),MATCH(D$1,[2]quests!$1:$1,0)-MATCH($B$1,[2]quests!$1:$1,0)+1),MATCH(D$1,[2]quests!$1:$1,0)-MATCH($B$1,[2]quests!$1:$1,0)+1,FALSE)</f>
        <v>童話シリーズ3本目</v>
      </c>
      <c r="E67" s="87">
        <v>2</v>
      </c>
      <c r="F67" s="83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【上級】大鯨の呼び声</v>
      </c>
      <c r="G67" s="83" t="str">
        <f ca="1">VLOOKUP($B67&amp;"_"&amp;$E67,OFFSET([2]stages!$A$1,0,0,COUNTA([2]stages!$A:$A),MATCH(G$1,[2]stages!$2:$2,0)-MATCH("temp_stage",[2]stages!$2:$2,0)+1),MATCH(G$1,[2]stages!$2:$2,0)-MATCH("temp_stage",[2]stages!$2:$2,0)+1,FALSE)</f>
        <v>童話シリーズ3本目</v>
      </c>
      <c r="H67" s="85">
        <v>0</v>
      </c>
      <c r="I67" s="97">
        <v>39</v>
      </c>
      <c r="J67" s="84" t="s">
        <v>198</v>
      </c>
      <c r="K67" s="93" t="str">
        <f>VLOOKUP(I67,[6]stage_hints!$A:$C,3,FALSE)</f>
        <v>システム適合者を確認</v>
      </c>
      <c r="L67" s="94" t="str">
        <f>VLOOKUP(I67,[6]stage_hints!$A:$D,4,FALSE)</f>
        <v>ALICEが 「アナタ」を呼んでいます</v>
      </c>
      <c r="M67" s="57" t="s">
        <v>211</v>
      </c>
    </row>
    <row r="68" spans="1:13" x14ac:dyDescent="0.15">
      <c r="A68" s="81" t="s">
        <v>201</v>
      </c>
      <c r="B68" s="82">
        <f>floors!$C$2</f>
        <v>30035</v>
      </c>
      <c r="C68" s="83" t="str">
        <f ca="1">VLOOKUP($B68,OFFSET([2]quests!$A$1,0,0,COUNTA([2]quests!$A:$A),MATCH(C$1,[2]quests!$1:$1,0)-MATCH($B$1,[2]quests!$1:$1,0)+1),MATCH(C$1,[2]quests!$1:$1,0)-MATCH($B$1,[2]quests!$1:$1,0)+1,FALSE)</f>
        <v>大鯨の呼び声</v>
      </c>
      <c r="D68" s="83" t="str">
        <f ca="1">VLOOKUP($B68,OFFSET([2]quests!$A$1,0,0,COUNTA([2]quests!$A:$A),MATCH(D$1,[2]quests!$1:$1,0)-MATCH($B$1,[2]quests!$1:$1,0)+1),MATCH(D$1,[2]quests!$1:$1,0)-MATCH($B$1,[2]quests!$1:$1,0)+1,FALSE)</f>
        <v>童話シリーズ3本目</v>
      </c>
      <c r="E68" s="87">
        <v>3</v>
      </c>
      <c r="F68" s="83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【超級】大鯨の呼び声</v>
      </c>
      <c r="G68" s="83" t="str">
        <f ca="1">VLOOKUP($B68&amp;"_"&amp;$E68,OFFSET([2]stages!$A$1,0,0,COUNTA([2]stages!$A:$A),MATCH(G$1,[2]stages!$2:$2,0)-MATCH("temp_stage",[2]stages!$2:$2,0)+1),MATCH(G$1,[2]stages!$2:$2,0)-MATCH("temp_stage",[2]stages!$2:$2,0)+1,FALSE)</f>
        <v>童話シリーズ3本目</v>
      </c>
      <c r="H68" s="85">
        <v>0</v>
      </c>
      <c r="I68">
        <v>12</v>
      </c>
      <c r="J68" s="84" t="s">
        <v>198</v>
      </c>
      <c r="K68" s="93" t="str">
        <f>VLOOKUP(I68,[6]stage_hints!$A:$C,3,FALSE)</f>
        <v>ユニットのお気に入り登録</v>
      </c>
      <c r="L68" s="94" t="str">
        <f>VLOOKUP(I68,[6]stage_hints!$A:$D,4,FALSE)</f>
        <v>大事なユニットを誤って消さないように_x000D_フォルダから「お気に入り登録」しましょう</v>
      </c>
      <c r="M68" s="57" t="s">
        <v>211</v>
      </c>
    </row>
    <row r="69" spans="1:13" x14ac:dyDescent="0.15">
      <c r="A69" s="81" t="s">
        <v>201</v>
      </c>
      <c r="B69" s="82">
        <f>floors!$C$2</f>
        <v>30035</v>
      </c>
      <c r="C69" s="83" t="str">
        <f ca="1">VLOOKUP($B69,OFFSET([2]quests!$A$1,0,0,COUNTA([2]quests!$A:$A),MATCH(C$1,[2]quests!$1:$1,0)-MATCH($B$1,[2]quests!$1:$1,0)+1),MATCH(C$1,[2]quests!$1:$1,0)-MATCH($B$1,[2]quests!$1:$1,0)+1,FALSE)</f>
        <v>大鯨の呼び声</v>
      </c>
      <c r="D69" s="83" t="str">
        <f ca="1">VLOOKUP($B69,OFFSET([2]quests!$A$1,0,0,COUNTA([2]quests!$A:$A),MATCH(D$1,[2]quests!$1:$1,0)-MATCH($B$1,[2]quests!$1:$1,0)+1),MATCH(D$1,[2]quests!$1:$1,0)-MATCH($B$1,[2]quests!$1:$1,0)+1,FALSE)</f>
        <v>童話シリーズ3本目</v>
      </c>
      <c r="E69" s="87">
        <v>3</v>
      </c>
      <c r="F69" s="83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【超級】大鯨の呼び声</v>
      </c>
      <c r="G69" s="83" t="str">
        <f ca="1">VLOOKUP($B69&amp;"_"&amp;$E69,OFFSET([2]stages!$A$1,0,0,COUNTA([2]stages!$A:$A),MATCH(G$1,[2]stages!$2:$2,0)-MATCH("temp_stage",[2]stages!$2:$2,0)+1),MATCH(G$1,[2]stages!$2:$2,0)-MATCH("temp_stage",[2]stages!$2:$2,0)+1,FALSE)</f>
        <v>童話シリーズ3本目</v>
      </c>
      <c r="H69" s="85">
        <v>0</v>
      </c>
      <c r="I69">
        <v>17</v>
      </c>
      <c r="J69" s="84" t="s">
        <v>198</v>
      </c>
      <c r="K69" s="93" t="str">
        <f>VLOOKUP(I69,[6]stage_hints!$A:$C,3,FALSE)</f>
        <v>リンクガチャ</v>
      </c>
      <c r="L69" s="94" t="str">
        <f>VLOOKUP(I69,[6]stage_hints!$A:$D,4,FALSE)</f>
        <v>無料のリンクガチャを回して_x000D_経験値素材や売却素材を獲得しましょう</v>
      </c>
      <c r="M69" s="57" t="s">
        <v>211</v>
      </c>
    </row>
    <row r="70" spans="1:13" x14ac:dyDescent="0.15">
      <c r="A70" s="81" t="s">
        <v>201</v>
      </c>
      <c r="B70" s="82">
        <f>floors!$C$2</f>
        <v>30035</v>
      </c>
      <c r="C70" s="83" t="str">
        <f ca="1">VLOOKUP($B70,OFFSET([2]quests!$A$1,0,0,COUNTA([2]quests!$A:$A),MATCH(C$1,[2]quests!$1:$1,0)-MATCH($B$1,[2]quests!$1:$1,0)+1),MATCH(C$1,[2]quests!$1:$1,0)-MATCH($B$1,[2]quests!$1:$1,0)+1,FALSE)</f>
        <v>大鯨の呼び声</v>
      </c>
      <c r="D70" s="83" t="str">
        <f ca="1">VLOOKUP($B70,OFFSET([2]quests!$A$1,0,0,COUNTA([2]quests!$A:$A),MATCH(D$1,[2]quests!$1:$1,0)-MATCH($B$1,[2]quests!$1:$1,0)+1),MATCH(D$1,[2]quests!$1:$1,0)-MATCH($B$1,[2]quests!$1:$1,0)+1,FALSE)</f>
        <v>童話シリーズ3本目</v>
      </c>
      <c r="E70" s="87">
        <v>3</v>
      </c>
      <c r="F70" s="83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【超級】大鯨の呼び声</v>
      </c>
      <c r="G70" s="83" t="str">
        <f ca="1">VLOOKUP($B70&amp;"_"&amp;$E70,OFFSET([2]stages!$A$1,0,0,COUNTA([2]stages!$A:$A),MATCH(G$1,[2]stages!$2:$2,0)-MATCH("temp_stage",[2]stages!$2:$2,0)+1),MATCH(G$1,[2]stages!$2:$2,0)-MATCH("temp_stage",[2]stages!$2:$2,0)+1,FALSE)</f>
        <v>童話シリーズ3本目</v>
      </c>
      <c r="H70" s="85">
        <v>0</v>
      </c>
      <c r="I70">
        <v>19</v>
      </c>
      <c r="J70" s="84" t="s">
        <v>198</v>
      </c>
      <c r="K70" s="93" t="str">
        <f>VLOOKUP(I70,[6]stage_hints!$A:$C,3,FALSE)</f>
        <v>ソロ専用タワーオブザクイーン</v>
      </c>
      <c r="L70" s="94" t="str">
        <f>VLOOKUP(I70,[6]stage_hints!$A:$D,4,FALSE)</f>
        <v>ソロ専用の「タワーオブザクイーン」は_x000D_期間限定で定期的に開催されます_x000D_ここでしか獲得できない報酬もあるようです</v>
      </c>
      <c r="M70" s="57" t="s">
        <v>211</v>
      </c>
    </row>
    <row r="71" spans="1:13" x14ac:dyDescent="0.15">
      <c r="A71" s="81" t="s">
        <v>201</v>
      </c>
      <c r="B71" s="82">
        <f>floors!$C$2</f>
        <v>30035</v>
      </c>
      <c r="C71" s="83" t="str">
        <f ca="1">VLOOKUP($B71,OFFSET([2]quests!$A$1,0,0,COUNTA([2]quests!$A:$A),MATCH(C$1,[2]quests!$1:$1,0)-MATCH($B$1,[2]quests!$1:$1,0)+1),MATCH(C$1,[2]quests!$1:$1,0)-MATCH($B$1,[2]quests!$1:$1,0)+1,FALSE)</f>
        <v>大鯨の呼び声</v>
      </c>
      <c r="D71" s="83" t="str">
        <f ca="1">VLOOKUP($B71,OFFSET([2]quests!$A$1,0,0,COUNTA([2]quests!$A:$A),MATCH(D$1,[2]quests!$1:$1,0)-MATCH($B$1,[2]quests!$1:$1,0)+1),MATCH(D$1,[2]quests!$1:$1,0)-MATCH($B$1,[2]quests!$1:$1,0)+1,FALSE)</f>
        <v>童話シリーズ3本目</v>
      </c>
      <c r="E71" s="87">
        <v>3</v>
      </c>
      <c r="F71" s="83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【超級】大鯨の呼び声</v>
      </c>
      <c r="G71" s="83" t="str">
        <f ca="1">VLOOKUP($B71&amp;"_"&amp;$E71,OFFSET([2]stages!$A$1,0,0,COUNTA([2]stages!$A:$A),MATCH(G$1,[2]stages!$2:$2,0)-MATCH("temp_stage",[2]stages!$2:$2,0)+1),MATCH(G$1,[2]stages!$2:$2,0)-MATCH("temp_stage",[2]stages!$2:$2,0)+1,FALSE)</f>
        <v>童話シリーズ3本目</v>
      </c>
      <c r="H71" s="85">
        <v>0</v>
      </c>
      <c r="I71">
        <v>21</v>
      </c>
      <c r="J71" s="84" t="s">
        <v>198</v>
      </c>
      <c r="K71" s="93" t="str">
        <f>VLOOKUP(I71,[6]stage_hints!$A:$C,3,FALSE)</f>
        <v>スキルを有効に</v>
      </c>
      <c r="L71" s="94" t="str">
        <f>VLOOKUP(I71,[6]stage_hints!$A:$D,4,FALSE)</f>
        <v>ターン経過でユニットのスキルが使えます_x000D_強力スキルでバトルを有利に進めましょう</v>
      </c>
      <c r="M71" s="57" t="s">
        <v>211</v>
      </c>
    </row>
    <row r="72" spans="1:13" x14ac:dyDescent="0.15">
      <c r="A72" s="81" t="s">
        <v>201</v>
      </c>
      <c r="B72" s="82">
        <f>floors!$C$2</f>
        <v>30035</v>
      </c>
      <c r="C72" s="83" t="str">
        <f ca="1">VLOOKUP($B72,OFFSET([2]quests!$A$1,0,0,COUNTA([2]quests!$A:$A),MATCH(C$1,[2]quests!$1:$1,0)-MATCH($B$1,[2]quests!$1:$1,0)+1),MATCH(C$1,[2]quests!$1:$1,0)-MATCH($B$1,[2]quests!$1:$1,0)+1,FALSE)</f>
        <v>大鯨の呼び声</v>
      </c>
      <c r="D72" s="83" t="str">
        <f ca="1">VLOOKUP($B72,OFFSET([2]quests!$A$1,0,0,COUNTA([2]quests!$A:$A),MATCH(D$1,[2]quests!$1:$1,0)-MATCH($B$1,[2]quests!$1:$1,0)+1),MATCH(D$1,[2]quests!$1:$1,0)-MATCH($B$1,[2]quests!$1:$1,0)+1,FALSE)</f>
        <v>童話シリーズ3本目</v>
      </c>
      <c r="E72" s="87">
        <v>3</v>
      </c>
      <c r="F72" s="83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【超級】大鯨の呼び声</v>
      </c>
      <c r="G72" s="83" t="str">
        <f ca="1">VLOOKUP($B72&amp;"_"&amp;$E72,OFFSET([2]stages!$A$1,0,0,COUNTA([2]stages!$A:$A),MATCH(G$1,[2]stages!$2:$2,0)-MATCH("temp_stage",[2]stages!$2:$2,0)+1),MATCH(G$1,[2]stages!$2:$2,0)-MATCH("temp_stage",[2]stages!$2:$2,0)+1,FALSE)</f>
        <v>童話シリーズ3本目</v>
      </c>
      <c r="H72" s="85">
        <v>0</v>
      </c>
      <c r="I72">
        <v>27</v>
      </c>
      <c r="J72" s="84" t="s">
        <v>198</v>
      </c>
      <c r="K72" s="93" t="str">
        <f>VLOOKUP(I72,[6]stage_hints!$A:$C,3,FALSE)</f>
        <v>ホーム画面からデッキを編成</v>
      </c>
      <c r="L72" s="94" t="str">
        <f>VLOOKUP(I72,[6]stage_hints!$A:$D,4,FALSE)</f>
        <v>ホーム画面でユニットを長押しすると_x000D_すぐにパーティ編成に移動できます</v>
      </c>
      <c r="M72" s="57" t="s">
        <v>211</v>
      </c>
    </row>
    <row r="73" spans="1:13" x14ac:dyDescent="0.15">
      <c r="A73" s="81" t="s">
        <v>201</v>
      </c>
      <c r="B73" s="82">
        <f>floors!$C$2</f>
        <v>30035</v>
      </c>
      <c r="C73" s="83" t="str">
        <f ca="1">VLOOKUP($B73,OFFSET([2]quests!$A$1,0,0,COUNTA([2]quests!$A:$A),MATCH(C$1,[2]quests!$1:$1,0)-MATCH($B$1,[2]quests!$1:$1,0)+1),MATCH(C$1,[2]quests!$1:$1,0)-MATCH($B$1,[2]quests!$1:$1,0)+1,FALSE)</f>
        <v>大鯨の呼び声</v>
      </c>
      <c r="D73" s="83" t="str">
        <f ca="1">VLOOKUP($B73,OFFSET([2]quests!$A$1,0,0,COUNTA([2]quests!$A:$A),MATCH(D$1,[2]quests!$1:$1,0)-MATCH($B$1,[2]quests!$1:$1,0)+1),MATCH(D$1,[2]quests!$1:$1,0)-MATCH($B$1,[2]quests!$1:$1,0)+1,FALSE)</f>
        <v>童話シリーズ3本目</v>
      </c>
      <c r="E73" s="87">
        <v>3</v>
      </c>
      <c r="F73" s="83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【超級】大鯨の呼び声</v>
      </c>
      <c r="G73" s="83" t="str">
        <f ca="1">VLOOKUP($B73&amp;"_"&amp;$E73,OFFSET([2]stages!$A$1,0,0,COUNTA([2]stages!$A:$A),MATCH(G$1,[2]stages!$2:$2,0)-MATCH("temp_stage",[2]stages!$2:$2,0)+1),MATCH(G$1,[2]stages!$2:$2,0)-MATCH("temp_stage",[2]stages!$2:$2,0)+1,FALSE)</f>
        <v>童話シリーズ3本目</v>
      </c>
      <c r="H73" s="85">
        <v>0</v>
      </c>
      <c r="I73">
        <v>28</v>
      </c>
      <c r="J73" s="84" t="s">
        <v>198</v>
      </c>
      <c r="K73" s="93" t="str">
        <f>VLOOKUP(I73,[6]stage_hints!$A:$C,3,FALSE)</f>
        <v>ステータス情報は長押しで</v>
      </c>
      <c r="L73" s="94" t="str">
        <f>VLOOKUP(I73,[6]stage_hints!$A:$D,4,FALSE)</f>
        <v>ユニットのアイコンを長押しすると_x000D_ステータス情報を確認することができます</v>
      </c>
      <c r="M73" s="57" t="s">
        <v>211</v>
      </c>
    </row>
    <row r="74" spans="1:13" x14ac:dyDescent="0.15">
      <c r="A74" s="81" t="s">
        <v>201</v>
      </c>
      <c r="B74" s="82">
        <f>floors!$C$2</f>
        <v>30035</v>
      </c>
      <c r="C74" s="83" t="str">
        <f ca="1">VLOOKUP($B74,OFFSET([2]quests!$A$1,0,0,COUNTA([2]quests!$A:$A),MATCH(C$1,[2]quests!$1:$1,0)-MATCH($B$1,[2]quests!$1:$1,0)+1),MATCH(C$1,[2]quests!$1:$1,0)-MATCH($B$1,[2]quests!$1:$1,0)+1,FALSE)</f>
        <v>大鯨の呼び声</v>
      </c>
      <c r="D74" s="83" t="str">
        <f ca="1">VLOOKUP($B74,OFFSET([2]quests!$A$1,0,0,COUNTA([2]quests!$A:$A),MATCH(D$1,[2]quests!$1:$1,0)-MATCH($B$1,[2]quests!$1:$1,0)+1),MATCH(D$1,[2]quests!$1:$1,0)-MATCH($B$1,[2]quests!$1:$1,0)+1,FALSE)</f>
        <v>童話シリーズ3本目</v>
      </c>
      <c r="E74" s="87">
        <v>3</v>
      </c>
      <c r="F74" s="83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【超級】大鯨の呼び声</v>
      </c>
      <c r="G74" s="83" t="str">
        <f ca="1">VLOOKUP($B74&amp;"_"&amp;$E74,OFFSET([2]stages!$A$1,0,0,COUNTA([2]stages!$A:$A),MATCH(G$1,[2]stages!$2:$2,0)-MATCH("temp_stage",[2]stages!$2:$2,0)+1),MATCH(G$1,[2]stages!$2:$2,0)-MATCH("temp_stage",[2]stages!$2:$2,0)+1,FALSE)</f>
        <v>童話シリーズ3本目</v>
      </c>
      <c r="H74" s="85">
        <v>0</v>
      </c>
      <c r="I74">
        <v>29</v>
      </c>
      <c r="J74" s="84" t="s">
        <v>198</v>
      </c>
      <c r="K74" s="93" t="str">
        <f>VLOOKUP(I74,[6]stage_hints!$A:$C,3,FALSE)</f>
        <v>「バグ」のメリット</v>
      </c>
      <c r="L74" s="94" t="str">
        <f>VLOOKUP(I74,[6]stage_hints!$A:$D,4,FALSE)</f>
        <v>ユニットの「バグ」を増やすと_x000D_報酬をもらえる確率がアップします</v>
      </c>
      <c r="M74" s="57" t="s">
        <v>211</v>
      </c>
    </row>
    <row r="75" spans="1:13" x14ac:dyDescent="0.15">
      <c r="A75" s="81" t="s">
        <v>201</v>
      </c>
      <c r="B75" s="82">
        <f>floors!$C$2</f>
        <v>30035</v>
      </c>
      <c r="C75" s="83" t="str">
        <f ca="1">VLOOKUP($B75,OFFSET([2]quests!$A$1,0,0,COUNTA([2]quests!$A:$A),MATCH(C$1,[2]quests!$1:$1,0)-MATCH($B$1,[2]quests!$1:$1,0)+1),MATCH(C$1,[2]quests!$1:$1,0)-MATCH($B$1,[2]quests!$1:$1,0)+1,FALSE)</f>
        <v>大鯨の呼び声</v>
      </c>
      <c r="D75" s="83" t="str">
        <f ca="1">VLOOKUP($B75,OFFSET([2]quests!$A$1,0,0,COUNTA([2]quests!$A:$A),MATCH(D$1,[2]quests!$1:$1,0)-MATCH($B$1,[2]quests!$1:$1,0)+1),MATCH(D$1,[2]quests!$1:$1,0)-MATCH($B$1,[2]quests!$1:$1,0)+1,FALSE)</f>
        <v>童話シリーズ3本目</v>
      </c>
      <c r="E75" s="87">
        <v>3</v>
      </c>
      <c r="F75" s="83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【超級】大鯨の呼び声</v>
      </c>
      <c r="G75" s="83" t="str">
        <f ca="1">VLOOKUP($B75&amp;"_"&amp;$E75,OFFSET([2]stages!$A$1,0,0,COUNTA([2]stages!$A:$A),MATCH(G$1,[2]stages!$2:$2,0)-MATCH("temp_stage",[2]stages!$2:$2,0)+1),MATCH(G$1,[2]stages!$2:$2,0)-MATCH("temp_stage",[2]stages!$2:$2,0)+1,FALSE)</f>
        <v>童話シリーズ3本目</v>
      </c>
      <c r="H75" s="85">
        <v>0</v>
      </c>
      <c r="I75">
        <v>30</v>
      </c>
      <c r="J75" s="84" t="s">
        <v>198</v>
      </c>
      <c r="K75" s="93" t="str">
        <f>VLOOKUP(I75,[6]stage_hints!$A:$C,3,FALSE)</f>
        <v>「バグ」の増やし方</v>
      </c>
      <c r="L75" s="94" t="str">
        <f>VLOOKUP(I75,[6]stage_hints!$A:$D,4,FALSE)</f>
        <v>同じユニット同士を強化で合成すると_x000D_「バグ」を増やすことができます</v>
      </c>
      <c r="M75" s="57" t="s">
        <v>211</v>
      </c>
    </row>
    <row r="76" spans="1:13" x14ac:dyDescent="0.15">
      <c r="A76" s="81" t="s">
        <v>201</v>
      </c>
      <c r="B76" s="82">
        <f>floors!$C$2</f>
        <v>30035</v>
      </c>
      <c r="C76" s="83" t="str">
        <f ca="1">VLOOKUP($B76,OFFSET([2]quests!$A$1,0,0,COUNTA([2]quests!$A:$A),MATCH(C$1,[2]quests!$1:$1,0)-MATCH($B$1,[2]quests!$1:$1,0)+1),MATCH(C$1,[2]quests!$1:$1,0)-MATCH($B$1,[2]quests!$1:$1,0)+1,FALSE)</f>
        <v>大鯨の呼び声</v>
      </c>
      <c r="D76" s="83" t="str">
        <f ca="1">VLOOKUP($B76,OFFSET([2]quests!$A$1,0,0,COUNTA([2]quests!$A:$A),MATCH(D$1,[2]quests!$1:$1,0)-MATCH($B$1,[2]quests!$1:$1,0)+1),MATCH(D$1,[2]quests!$1:$1,0)-MATCH($B$1,[2]quests!$1:$1,0)+1,FALSE)</f>
        <v>童話シリーズ3本目</v>
      </c>
      <c r="E76" s="87">
        <v>3</v>
      </c>
      <c r="F76" s="83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【超級】大鯨の呼び声</v>
      </c>
      <c r="G76" s="83" t="str">
        <f ca="1">VLOOKUP($B76&amp;"_"&amp;$E76,OFFSET([2]stages!$A$1,0,0,COUNTA([2]stages!$A:$A),MATCH(G$1,[2]stages!$2:$2,0)-MATCH("temp_stage",[2]stages!$2:$2,0)+1),MATCH(G$1,[2]stages!$2:$2,0)-MATCH("temp_stage",[2]stages!$2:$2,0)+1,FALSE)</f>
        <v>童話シリーズ3本目</v>
      </c>
      <c r="H76" s="85">
        <v>0</v>
      </c>
      <c r="I76">
        <v>32</v>
      </c>
      <c r="J76" s="84" t="s">
        <v>198</v>
      </c>
      <c r="K76" s="93" t="str">
        <f>VLOOKUP(I76,[6]stage_hints!$A:$C,3,FALSE)</f>
        <v>敵の連続攻撃には</v>
      </c>
      <c r="L76" s="94" t="str">
        <f>VLOOKUP(I76,[6]stage_hints!$A:$D,4,FALSE)</f>
        <v>カウンタースキルを持つユニットがいれば_x000D_ダメージ回数分の反撃ができます</v>
      </c>
      <c r="M76" s="57" t="s">
        <v>211</v>
      </c>
    </row>
    <row r="77" spans="1:13" x14ac:dyDescent="0.15">
      <c r="A77" s="81" t="s">
        <v>201</v>
      </c>
      <c r="B77" s="82">
        <f>floors!$C$2</f>
        <v>30035</v>
      </c>
      <c r="C77" s="83" t="str">
        <f ca="1">VLOOKUP($B77,OFFSET([2]quests!$A$1,0,0,COUNTA([2]quests!$A:$A),MATCH(C$1,[2]quests!$1:$1,0)-MATCH($B$1,[2]quests!$1:$1,0)+1),MATCH(C$1,[2]quests!$1:$1,0)-MATCH($B$1,[2]quests!$1:$1,0)+1,FALSE)</f>
        <v>大鯨の呼び声</v>
      </c>
      <c r="D77" s="83" t="str">
        <f ca="1">VLOOKUP($B77,OFFSET([2]quests!$A$1,0,0,COUNTA([2]quests!$A:$A),MATCH(D$1,[2]quests!$1:$1,0)-MATCH($B$1,[2]quests!$1:$1,0)+1),MATCH(D$1,[2]quests!$1:$1,0)-MATCH($B$1,[2]quests!$1:$1,0)+1,FALSE)</f>
        <v>童話シリーズ3本目</v>
      </c>
      <c r="E77" s="87">
        <v>3</v>
      </c>
      <c r="F77" s="83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【超級】大鯨の呼び声</v>
      </c>
      <c r="G77" s="83" t="str">
        <f ca="1">VLOOKUP($B77&amp;"_"&amp;$E77,OFFSET([2]stages!$A$1,0,0,COUNTA([2]stages!$A:$A),MATCH(G$1,[2]stages!$2:$2,0)-MATCH("temp_stage",[2]stages!$2:$2,0)+1),MATCH(G$1,[2]stages!$2:$2,0)-MATCH("temp_stage",[2]stages!$2:$2,0)+1,FALSE)</f>
        <v>童話シリーズ3本目</v>
      </c>
      <c r="H77" s="85">
        <v>0</v>
      </c>
      <c r="I77">
        <v>33</v>
      </c>
      <c r="J77" s="84" t="s">
        <v>198</v>
      </c>
      <c r="K77" s="93" t="str">
        <f>VLOOKUP(I77,[6]stage_hints!$A:$C,3,FALSE)</f>
        <v>敵のカウンター攻撃には</v>
      </c>
      <c r="L77" s="94" t="str">
        <f>VLOOKUP(I77,[6]stage_hints!$A:$D,4,FALSE)</f>
        <v>カウンターブレイクスキルを持っていれば_x000D_敵のカウンターを解除して攻撃ができます</v>
      </c>
      <c r="M77" s="57" t="s">
        <v>211</v>
      </c>
    </row>
    <row r="78" spans="1:13" x14ac:dyDescent="0.15">
      <c r="A78" s="81" t="s">
        <v>201</v>
      </c>
      <c r="B78" s="82">
        <f>floors!$C$2</f>
        <v>30035</v>
      </c>
      <c r="C78" s="83" t="str">
        <f ca="1">VLOOKUP($B78,OFFSET([2]quests!$A$1,0,0,COUNTA([2]quests!$A:$A),MATCH(C$1,[2]quests!$1:$1,0)-MATCH($B$1,[2]quests!$1:$1,0)+1),MATCH(C$1,[2]quests!$1:$1,0)-MATCH($B$1,[2]quests!$1:$1,0)+1,FALSE)</f>
        <v>大鯨の呼び声</v>
      </c>
      <c r="D78" s="83" t="str">
        <f ca="1">VLOOKUP($B78,OFFSET([2]quests!$A$1,0,0,COUNTA([2]quests!$A:$A),MATCH(D$1,[2]quests!$1:$1,0)-MATCH($B$1,[2]quests!$1:$1,0)+1),MATCH(D$1,[2]quests!$1:$1,0)-MATCH($B$1,[2]quests!$1:$1,0)+1,FALSE)</f>
        <v>童話シリーズ3本目</v>
      </c>
      <c r="E78" s="87">
        <v>3</v>
      </c>
      <c r="F78" s="83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【超級】大鯨の呼び声</v>
      </c>
      <c r="G78" s="83" t="str">
        <f ca="1">VLOOKUP($B78&amp;"_"&amp;$E78,OFFSET([2]stages!$A$1,0,0,COUNTA([2]stages!$A:$A),MATCH(G$1,[2]stages!$2:$2,0)-MATCH("temp_stage",[2]stages!$2:$2,0)+1),MATCH(G$1,[2]stages!$2:$2,0)-MATCH("temp_stage",[2]stages!$2:$2,0)+1,FALSE)</f>
        <v>童話シリーズ3本目</v>
      </c>
      <c r="H78" s="85">
        <v>0</v>
      </c>
      <c r="I78">
        <v>34</v>
      </c>
      <c r="J78" s="84" t="s">
        <v>198</v>
      </c>
      <c r="K78" s="93" t="str">
        <f>VLOOKUP(I78,[6]stage_hints!$A:$C,3,FALSE)</f>
        <v>ステータスをスキルで下げられたら</v>
      </c>
      <c r="L78" s="94" t="str">
        <f>VLOOKUP(I78,[6]stage_hints!$A:$D,4,FALSE)</f>
        <v>ステータスダウンのスキルを受けたら_x000D_ステータスアップスキルで上書きしましょう</v>
      </c>
      <c r="M78" s="57" t="s">
        <v>211</v>
      </c>
    </row>
    <row r="79" spans="1:13" x14ac:dyDescent="0.15">
      <c r="A79" s="81" t="s">
        <v>201</v>
      </c>
      <c r="B79" s="82">
        <f>floors!$C$2</f>
        <v>30035</v>
      </c>
      <c r="C79" s="83" t="str">
        <f ca="1">VLOOKUP($B79,OFFSET([2]quests!$A$1,0,0,COUNTA([2]quests!$A:$A),MATCH(C$1,[2]quests!$1:$1,0)-MATCH($B$1,[2]quests!$1:$1,0)+1),MATCH(C$1,[2]quests!$1:$1,0)-MATCH($B$1,[2]quests!$1:$1,0)+1,FALSE)</f>
        <v>大鯨の呼び声</v>
      </c>
      <c r="D79" s="83" t="str">
        <f ca="1">VLOOKUP($B79,OFFSET([2]quests!$A$1,0,0,COUNTA([2]quests!$A:$A),MATCH(D$1,[2]quests!$1:$1,0)-MATCH($B$1,[2]quests!$1:$1,0)+1),MATCH(D$1,[2]quests!$1:$1,0)-MATCH($B$1,[2]quests!$1:$1,0)+1,FALSE)</f>
        <v>童話シリーズ3本目</v>
      </c>
      <c r="E79" s="87">
        <v>3</v>
      </c>
      <c r="F79" s="83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【超級】大鯨の呼び声</v>
      </c>
      <c r="G79" s="83" t="str">
        <f ca="1">VLOOKUP($B79&amp;"_"&amp;$E79,OFFSET([2]stages!$A$1,0,0,COUNTA([2]stages!$A:$A),MATCH(G$1,[2]stages!$2:$2,0)-MATCH("temp_stage",[2]stages!$2:$2,0)+1),MATCH(G$1,[2]stages!$2:$2,0)-MATCH("temp_stage",[2]stages!$2:$2,0)+1,FALSE)</f>
        <v>童話シリーズ3本目</v>
      </c>
      <c r="H79" s="85">
        <v>0</v>
      </c>
      <c r="I79">
        <v>35</v>
      </c>
      <c r="J79" s="84" t="s">
        <v>198</v>
      </c>
      <c r="K79" s="93" t="str">
        <f>VLOOKUP(I79,[6]stage_hints!$A:$C,3,FALSE)</f>
        <v>敵のステータスがスキルで上がったら</v>
      </c>
      <c r="L79" s="94" t="str">
        <f>VLOOKUP(I79,[6]stage_hints!$A:$D,4,FALSE)</f>
        <v>敵のステータスがスキルでアップしたときは_x000D_ステータスダウンスキルで上書きしましょう</v>
      </c>
      <c r="M79" s="57" t="s">
        <v>211</v>
      </c>
    </row>
    <row r="80" spans="1:13" x14ac:dyDescent="0.15">
      <c r="A80" s="81" t="s">
        <v>201</v>
      </c>
      <c r="B80" s="82">
        <f>floors!$C$2</f>
        <v>30035</v>
      </c>
      <c r="C80" s="83" t="str">
        <f ca="1">VLOOKUP($B80,OFFSET([2]quests!$A$1,0,0,COUNTA([2]quests!$A:$A),MATCH(C$1,[2]quests!$1:$1,0)-MATCH($B$1,[2]quests!$1:$1,0)+1),MATCH(C$1,[2]quests!$1:$1,0)-MATCH($B$1,[2]quests!$1:$1,0)+1,FALSE)</f>
        <v>大鯨の呼び声</v>
      </c>
      <c r="D80" s="83" t="str">
        <f ca="1">VLOOKUP($B80,OFFSET([2]quests!$A$1,0,0,COUNTA([2]quests!$A:$A),MATCH(D$1,[2]quests!$1:$1,0)-MATCH($B$1,[2]quests!$1:$1,0)+1),MATCH(D$1,[2]quests!$1:$1,0)-MATCH($B$1,[2]quests!$1:$1,0)+1,FALSE)</f>
        <v>童話シリーズ3本目</v>
      </c>
      <c r="E80" s="87">
        <v>3</v>
      </c>
      <c r="F80" s="83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【超級】大鯨の呼び声</v>
      </c>
      <c r="G80" s="83" t="str">
        <f ca="1">VLOOKUP($B80&amp;"_"&amp;$E80,OFFSET([2]stages!$A$1,0,0,COUNTA([2]stages!$A:$A),MATCH(G$1,[2]stages!$2:$2,0)-MATCH("temp_stage",[2]stages!$2:$2,0)+1),MATCH(G$1,[2]stages!$2:$2,0)-MATCH("temp_stage",[2]stages!$2:$2,0)+1,FALSE)</f>
        <v>童話シリーズ3本目</v>
      </c>
      <c r="H80" s="85">
        <v>0</v>
      </c>
      <c r="I80">
        <v>36</v>
      </c>
      <c r="J80" s="84" t="s">
        <v>198</v>
      </c>
      <c r="K80" s="93" t="str">
        <f>VLOOKUP(I80,[6]stage_hints!$A:$C,3,FALSE)</f>
        <v>タワーオブザクイーンのボス</v>
      </c>
      <c r="L80" s="94" t="str">
        <f>VLOOKUP(I80,[6]stage_hints!$A:$D,4,FALSE)</f>
        <v>「タワーオブザクイーン」最上階のボスは_x000D_15階の初回クリア報酬で獲得できるほか_x000D_その階にて低確率でドロップもします</v>
      </c>
      <c r="M80" s="57" t="s">
        <v>211</v>
      </c>
    </row>
    <row r="81" spans="1:13" x14ac:dyDescent="0.15">
      <c r="A81" s="81" t="s">
        <v>201</v>
      </c>
      <c r="B81" s="82">
        <f>floors!$C$2</f>
        <v>30035</v>
      </c>
      <c r="C81" s="83" t="str">
        <f ca="1">VLOOKUP($B81,OFFSET([2]quests!$A$1,0,0,COUNTA([2]quests!$A:$A),MATCH(C$1,[2]quests!$1:$1,0)-MATCH($B$1,[2]quests!$1:$1,0)+1),MATCH(C$1,[2]quests!$1:$1,0)-MATCH($B$1,[2]quests!$1:$1,0)+1,FALSE)</f>
        <v>大鯨の呼び声</v>
      </c>
      <c r="D81" s="83" t="str">
        <f ca="1">VLOOKUP($B81,OFFSET([2]quests!$A$1,0,0,COUNTA([2]quests!$A:$A),MATCH(D$1,[2]quests!$1:$1,0)-MATCH($B$1,[2]quests!$1:$1,0)+1),MATCH(D$1,[2]quests!$1:$1,0)-MATCH($B$1,[2]quests!$1:$1,0)+1,FALSE)</f>
        <v>童話シリーズ3本目</v>
      </c>
      <c r="E81" s="87">
        <v>3</v>
      </c>
      <c r="F81" s="83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【超級】大鯨の呼び声</v>
      </c>
      <c r="G81" s="83" t="str">
        <f ca="1">VLOOKUP($B81&amp;"_"&amp;$E81,OFFSET([2]stages!$A$1,0,0,COUNTA([2]stages!$A:$A),MATCH(G$1,[2]stages!$2:$2,0)-MATCH("temp_stage",[2]stages!$2:$2,0)+1),MATCH(G$1,[2]stages!$2:$2,0)-MATCH("temp_stage",[2]stages!$2:$2,0)+1,FALSE)</f>
        <v>童話シリーズ3本目</v>
      </c>
      <c r="H81" s="85">
        <v>0</v>
      </c>
      <c r="I81">
        <v>37</v>
      </c>
      <c r="J81" s="84" t="s">
        <v>198</v>
      </c>
      <c r="K81" s="93" t="str">
        <f>VLOOKUP(I81,[6]stage_hints!$A:$C,3,FALSE)</f>
        <v>限界突破値の引き継ぎ</v>
      </c>
      <c r="L81" s="94" t="str">
        <f>VLOOKUP(I81,[6]stage_hints!$A:$D,4,FALSE)</f>
        <v>同じユニットを強化で合成すると_x000D_限界突破値を引き継げます（覚醒前後も可）</v>
      </c>
      <c r="M81" s="57" t="s">
        <v>211</v>
      </c>
    </row>
    <row r="82" spans="1:13" x14ac:dyDescent="0.15">
      <c r="A82" s="81" t="s">
        <v>201</v>
      </c>
      <c r="B82" s="82">
        <f>floors!$C$2</f>
        <v>30035</v>
      </c>
      <c r="C82" s="83" t="str">
        <f ca="1">VLOOKUP($B82,OFFSET([2]quests!$A$1,0,0,COUNTA([2]quests!$A:$A),MATCH(C$1,[2]quests!$1:$1,0)-MATCH($B$1,[2]quests!$1:$1,0)+1),MATCH(C$1,[2]quests!$1:$1,0)-MATCH($B$1,[2]quests!$1:$1,0)+1,FALSE)</f>
        <v>大鯨の呼び声</v>
      </c>
      <c r="D82" s="83" t="str">
        <f ca="1">VLOOKUP($B82,OFFSET([2]quests!$A$1,0,0,COUNTA([2]quests!$A:$A),MATCH(D$1,[2]quests!$1:$1,0)-MATCH($B$1,[2]quests!$1:$1,0)+1),MATCH(D$1,[2]quests!$1:$1,0)-MATCH($B$1,[2]quests!$1:$1,0)+1,FALSE)</f>
        <v>童話シリーズ3本目</v>
      </c>
      <c r="E82" s="87">
        <v>3</v>
      </c>
      <c r="F82" s="83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【超級】大鯨の呼び声</v>
      </c>
      <c r="G82" s="83" t="str">
        <f ca="1">VLOOKUP($B82&amp;"_"&amp;$E82,OFFSET([2]stages!$A$1,0,0,COUNTA([2]stages!$A:$A),MATCH(G$1,[2]stages!$2:$2,0)-MATCH("temp_stage",[2]stages!$2:$2,0)+1),MATCH(G$1,[2]stages!$2:$2,0)-MATCH("temp_stage",[2]stages!$2:$2,0)+1,FALSE)</f>
        <v>童話シリーズ3本目</v>
      </c>
      <c r="H82" s="85">
        <v>0</v>
      </c>
      <c r="I82">
        <v>39</v>
      </c>
      <c r="J82" s="84" t="s">
        <v>198</v>
      </c>
      <c r="K82" s="93" t="str">
        <f>VLOOKUP(I82,[6]stage_hints!$A:$C,3,FALSE)</f>
        <v>システム適合者を確認</v>
      </c>
      <c r="L82" s="94" t="str">
        <f>VLOOKUP(I82,[6]stage_hints!$A:$D,4,FALSE)</f>
        <v>ALICEが 「アナタ」を呼んでいます</v>
      </c>
      <c r="M82" s="57" t="s">
        <v>211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7"/>
  <sheetViews>
    <sheetView showGridLines="0" workbookViewId="0">
      <pane ySplit="1" topLeftCell="A2" activePane="bottomLeft" state="frozen"/>
      <selection pane="bottomLeft" activeCell="M17" sqref="M17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188</v>
      </c>
      <c r="B1" s="72" t="s">
        <v>151</v>
      </c>
      <c r="C1" s="77" t="s">
        <v>190</v>
      </c>
      <c r="D1" s="77" t="s">
        <v>33</v>
      </c>
      <c r="E1" s="72" t="s">
        <v>191</v>
      </c>
      <c r="F1" s="77" t="s">
        <v>18</v>
      </c>
      <c r="G1" s="77" t="s">
        <v>33</v>
      </c>
      <c r="H1" s="72" t="s">
        <v>193</v>
      </c>
      <c r="I1" s="89" t="s">
        <v>194</v>
      </c>
      <c r="J1" s="91" t="s">
        <v>195</v>
      </c>
      <c r="K1" s="79" t="s">
        <v>127</v>
      </c>
      <c r="L1" s="78" t="s">
        <v>187</v>
      </c>
      <c r="M1" s="92" t="s">
        <v>186</v>
      </c>
      <c r="N1" s="80" t="s">
        <v>196</v>
      </c>
    </row>
    <row r="2" spans="1:14" ht="28" x14ac:dyDescent="0.15">
      <c r="A2" s="81" t="s">
        <v>197</v>
      </c>
      <c r="B2" s="82">
        <f>floors!$C$2</f>
        <v>30035</v>
      </c>
      <c r="C2" s="83" t="str">
        <f ca="1">VLOOKUP($B2,OFFSET([2]quests!$A$1,0,0,COUNTA([2]quests!$A:$A),MATCH(C$1,[2]quests!$1:$1,0)-MATCH($B$1,[2]quests!$1:$1,0)+1),MATCH(C$1,[2]quests!$1:$1,0)-MATCH($B$1,[2]quests!$1:$1,0)+1,FALSE)</f>
        <v>大鯨の呼び声</v>
      </c>
      <c r="D2" s="83" t="str">
        <f ca="1">VLOOKUP($B2,OFFSET([2]quests!$A$1,0,0,COUNTA([2]quests!$A:$A),MATCH(D$1,[2]quests!$1:$1,0)-MATCH($B$1,[2]quests!$1:$1,0)+1),MATCH(D$1,[2]quests!$1:$1,0)-MATCH($B$1,[2]quests!$1:$1,0)+1,FALSE)</f>
        <v>童話シリーズ3本目</v>
      </c>
      <c r="E2" s="106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【中級】大鯨の呼び声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童話シリーズ3本目</v>
      </c>
      <c r="H2" s="85">
        <v>1</v>
      </c>
      <c r="I2" s="90">
        <f t="shared" ref="I2:I17" si="0">ROW()-1</f>
        <v>1</v>
      </c>
      <c r="J2" s="86" t="str">
        <f t="shared" ref="J2:J17" si="1">B2&amp;TEXT(I2,"00")</f>
        <v>3003501</v>
      </c>
      <c r="K2" s="84" t="s">
        <v>198</v>
      </c>
      <c r="L2" s="87" t="s">
        <v>199</v>
      </c>
      <c r="M2" s="107" t="s">
        <v>244</v>
      </c>
      <c r="N2" s="57" t="s">
        <v>200</v>
      </c>
    </row>
    <row r="3" spans="1:14" ht="56" x14ac:dyDescent="0.15">
      <c r="A3" s="81" t="s">
        <v>197</v>
      </c>
      <c r="B3" s="82">
        <f>floors!$C$2</f>
        <v>30035</v>
      </c>
      <c r="C3" s="83" t="str">
        <f ca="1">VLOOKUP($B3,OFFSET([2]quests!$A$1,0,0,COUNTA([2]quests!$A:$A),MATCH(C$1,[2]quests!$1:$1,0)-MATCH($B$1,[2]quests!$1:$1,0)+1),MATCH(C$1,[2]quests!$1:$1,0)-MATCH($B$1,[2]quests!$1:$1,0)+1,FALSE)</f>
        <v>大鯨の呼び声</v>
      </c>
      <c r="D3" s="83" t="str">
        <f ca="1">VLOOKUP($B3,OFFSET([2]quests!$A$1,0,0,COUNTA([2]quests!$A:$A),MATCH(D$1,[2]quests!$1:$1,0)-MATCH($B$1,[2]quests!$1:$1,0)+1),MATCH(D$1,[2]quests!$1:$1,0)-MATCH($B$1,[2]quests!$1:$1,0)+1,FALSE)</f>
        <v>童話シリーズ3本目</v>
      </c>
      <c r="E3" s="106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【中級】大鯨の呼び声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童話シリーズ3本目</v>
      </c>
      <c r="H3" s="85">
        <v>2</v>
      </c>
      <c r="I3" s="90">
        <f t="shared" si="0"/>
        <v>2</v>
      </c>
      <c r="J3" s="86" t="str">
        <f t="shared" si="1"/>
        <v>3003502</v>
      </c>
      <c r="K3" s="84" t="s">
        <v>198</v>
      </c>
      <c r="L3" s="87" t="s">
        <v>199</v>
      </c>
      <c r="M3" s="107" t="s">
        <v>266</v>
      </c>
      <c r="N3" s="57" t="s">
        <v>200</v>
      </c>
    </row>
    <row r="4" spans="1:14" ht="42" x14ac:dyDescent="0.15">
      <c r="A4" s="81" t="s">
        <v>197</v>
      </c>
      <c r="B4" s="82">
        <f>floors!$C$2</f>
        <v>30035</v>
      </c>
      <c r="C4" s="83" t="str">
        <f ca="1">VLOOKUP($B4,OFFSET([2]quests!$A$1,0,0,COUNTA([2]quests!$A:$A),MATCH(C$1,[2]quests!$1:$1,0)-MATCH($B$1,[2]quests!$1:$1,0)+1),MATCH(C$1,[2]quests!$1:$1,0)-MATCH($B$1,[2]quests!$1:$1,0)+1,FALSE)</f>
        <v>大鯨の呼び声</v>
      </c>
      <c r="D4" s="83" t="str">
        <f ca="1">VLOOKUP($B4,OFFSET([2]quests!$A$1,0,0,COUNTA([2]quests!$A:$A),MATCH(D$1,[2]quests!$1:$1,0)-MATCH($B$1,[2]quests!$1:$1,0)+1),MATCH(D$1,[2]quests!$1:$1,0)-MATCH($B$1,[2]quests!$1:$1,0)+1,FALSE)</f>
        <v>童話シリーズ3本目</v>
      </c>
      <c r="E4" s="106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【中級】大鯨の呼び声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童話シリーズ3本目</v>
      </c>
      <c r="H4" s="85">
        <v>2</v>
      </c>
      <c r="I4" s="90">
        <f t="shared" si="0"/>
        <v>3</v>
      </c>
      <c r="J4" s="86" t="str">
        <f t="shared" si="1"/>
        <v>3003503</v>
      </c>
      <c r="K4" s="84" t="s">
        <v>198</v>
      </c>
      <c r="L4" s="87" t="s">
        <v>199</v>
      </c>
      <c r="M4" s="107" t="s">
        <v>268</v>
      </c>
      <c r="N4" s="57" t="s">
        <v>200</v>
      </c>
    </row>
    <row r="5" spans="1:14" ht="42" x14ac:dyDescent="0.15">
      <c r="A5" s="81" t="s">
        <v>197</v>
      </c>
      <c r="B5" s="82">
        <f>floors!$C$2</f>
        <v>30035</v>
      </c>
      <c r="C5" s="83" t="str">
        <f ca="1">VLOOKUP($B5,OFFSET([2]quests!$A$1,0,0,COUNTA([2]quests!$A:$A),MATCH(C$1,[2]quests!$1:$1,0)-MATCH($B$1,[2]quests!$1:$1,0)+1),MATCH(C$1,[2]quests!$1:$1,0)-MATCH($B$1,[2]quests!$1:$1,0)+1,FALSE)</f>
        <v>大鯨の呼び声</v>
      </c>
      <c r="D5" s="83" t="str">
        <f ca="1">VLOOKUP($B5,OFFSET([2]quests!$A$1,0,0,COUNTA([2]quests!$A:$A),MATCH(D$1,[2]quests!$1:$1,0)-MATCH($B$1,[2]quests!$1:$1,0)+1),MATCH(D$1,[2]quests!$1:$1,0)-MATCH($B$1,[2]quests!$1:$1,0)+1,FALSE)</f>
        <v>童話シリーズ3本目</v>
      </c>
      <c r="E5" s="106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【中級】大鯨の呼び声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童話シリーズ3本目</v>
      </c>
      <c r="H5" s="85">
        <v>3</v>
      </c>
      <c r="I5" s="90">
        <f t="shared" si="0"/>
        <v>4</v>
      </c>
      <c r="J5" s="86" t="str">
        <f t="shared" si="1"/>
        <v>3003504</v>
      </c>
      <c r="K5" s="84" t="s">
        <v>198</v>
      </c>
      <c r="L5" s="87" t="s">
        <v>199</v>
      </c>
      <c r="M5" s="107" t="s">
        <v>270</v>
      </c>
      <c r="N5" s="57" t="s">
        <v>200</v>
      </c>
    </row>
    <row r="6" spans="1:14" ht="42" x14ac:dyDescent="0.15">
      <c r="A6" s="81" t="s">
        <v>197</v>
      </c>
      <c r="B6" s="82">
        <f>floors!$C$2</f>
        <v>30035</v>
      </c>
      <c r="C6" s="83" t="str">
        <f ca="1">VLOOKUP($B6,OFFSET([2]quests!$A$1,0,0,COUNTA([2]quests!$A:$A),MATCH(C$1,[2]quests!$1:$1,0)-MATCH($B$1,[2]quests!$1:$1,0)+1),MATCH(C$1,[2]quests!$1:$1,0)-MATCH($B$1,[2]quests!$1:$1,0)+1,FALSE)</f>
        <v>大鯨の呼び声</v>
      </c>
      <c r="D6" s="83" t="str">
        <f ca="1">VLOOKUP($B6,OFFSET([2]quests!$A$1,0,0,COUNTA([2]quests!$A:$A),MATCH(D$1,[2]quests!$1:$1,0)-MATCH($B$1,[2]quests!$1:$1,0)+1),MATCH(D$1,[2]quests!$1:$1,0)-MATCH($B$1,[2]quests!$1:$1,0)+1,FALSE)</f>
        <v>童話シリーズ3本目</v>
      </c>
      <c r="E6" s="106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【中級】大鯨の呼び声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童話シリーズ3本目</v>
      </c>
      <c r="H6" s="85">
        <v>3</v>
      </c>
      <c r="I6" s="90">
        <f t="shared" si="0"/>
        <v>5</v>
      </c>
      <c r="J6" s="86" t="str">
        <f t="shared" si="1"/>
        <v>3003505</v>
      </c>
      <c r="K6" s="84" t="s">
        <v>198</v>
      </c>
      <c r="L6" s="87" t="s">
        <v>199</v>
      </c>
      <c r="M6" s="107" t="s">
        <v>271</v>
      </c>
      <c r="N6" s="57" t="s">
        <v>200</v>
      </c>
    </row>
    <row r="7" spans="1:14" ht="28" x14ac:dyDescent="0.15">
      <c r="A7" s="81" t="s">
        <v>197</v>
      </c>
      <c r="B7" s="82">
        <f>floors!$C$2</f>
        <v>30035</v>
      </c>
      <c r="C7" s="83" t="str">
        <f ca="1">VLOOKUP($B7,OFFSET([2]quests!$A$1,0,0,COUNTA([2]quests!$A:$A),MATCH(C$1,[2]quests!$1:$1,0)-MATCH($B$1,[2]quests!$1:$1,0)+1),MATCH(C$1,[2]quests!$1:$1,0)-MATCH($B$1,[2]quests!$1:$1,0)+1,FALSE)</f>
        <v>大鯨の呼び声</v>
      </c>
      <c r="D7" s="83" t="str">
        <f ca="1">VLOOKUP($B7,OFFSET([2]quests!$A$1,0,0,COUNTA([2]quests!$A:$A),MATCH(D$1,[2]quests!$1:$1,0)-MATCH($B$1,[2]quests!$1:$1,0)+1),MATCH(D$1,[2]quests!$1:$1,0)-MATCH($B$1,[2]quests!$1:$1,0)+1,FALSE)</f>
        <v>童話シリーズ3本目</v>
      </c>
      <c r="E7" s="106">
        <v>2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【上級】大鯨の呼び声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童話シリーズ3本目</v>
      </c>
      <c r="H7" s="85">
        <v>1</v>
      </c>
      <c r="I7" s="90">
        <f t="shared" si="0"/>
        <v>6</v>
      </c>
      <c r="J7" s="86" t="str">
        <f t="shared" si="1"/>
        <v>3003506</v>
      </c>
      <c r="K7" s="84" t="s">
        <v>198</v>
      </c>
      <c r="L7" s="87" t="s">
        <v>199</v>
      </c>
      <c r="M7" s="107" t="s">
        <v>244</v>
      </c>
      <c r="N7" s="57" t="s">
        <v>200</v>
      </c>
    </row>
    <row r="8" spans="1:14" ht="56" x14ac:dyDescent="0.15">
      <c r="A8" s="81" t="s">
        <v>197</v>
      </c>
      <c r="B8" s="82">
        <f>floors!$C$2</f>
        <v>30035</v>
      </c>
      <c r="C8" s="83" t="str">
        <f ca="1">VLOOKUP($B8,OFFSET([2]quests!$A$1,0,0,COUNTA([2]quests!$A:$A),MATCH(C$1,[2]quests!$1:$1,0)-MATCH($B$1,[2]quests!$1:$1,0)+1),MATCH(C$1,[2]quests!$1:$1,0)-MATCH($B$1,[2]quests!$1:$1,0)+1,FALSE)</f>
        <v>大鯨の呼び声</v>
      </c>
      <c r="D8" s="83" t="str">
        <f ca="1">VLOOKUP($B8,OFFSET([2]quests!$A$1,0,0,COUNTA([2]quests!$A:$A),MATCH(D$1,[2]quests!$1:$1,0)-MATCH($B$1,[2]quests!$1:$1,0)+1),MATCH(D$1,[2]quests!$1:$1,0)-MATCH($B$1,[2]quests!$1:$1,0)+1,FALSE)</f>
        <v>童話シリーズ3本目</v>
      </c>
      <c r="E8" s="106">
        <v>2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【上級】大鯨の呼び声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童話シリーズ3本目</v>
      </c>
      <c r="H8" s="85">
        <v>2</v>
      </c>
      <c r="I8" s="90">
        <f t="shared" si="0"/>
        <v>7</v>
      </c>
      <c r="J8" s="86" t="str">
        <f t="shared" si="1"/>
        <v>3003507</v>
      </c>
      <c r="K8" s="84" t="s">
        <v>198</v>
      </c>
      <c r="L8" s="87" t="s">
        <v>199</v>
      </c>
      <c r="M8" s="107" t="s">
        <v>266</v>
      </c>
      <c r="N8" s="57" t="s">
        <v>200</v>
      </c>
    </row>
    <row r="9" spans="1:14" ht="42" x14ac:dyDescent="0.15">
      <c r="A9" s="81" t="s">
        <v>197</v>
      </c>
      <c r="B9" s="82">
        <f>floors!$C$2</f>
        <v>30035</v>
      </c>
      <c r="C9" s="83" t="str">
        <f ca="1">VLOOKUP($B9,OFFSET([2]quests!$A$1,0,0,COUNTA([2]quests!$A:$A),MATCH(C$1,[2]quests!$1:$1,0)-MATCH($B$1,[2]quests!$1:$1,0)+1),MATCH(C$1,[2]quests!$1:$1,0)-MATCH($B$1,[2]quests!$1:$1,0)+1,FALSE)</f>
        <v>大鯨の呼び声</v>
      </c>
      <c r="D9" s="83" t="str">
        <f ca="1">VLOOKUP($B9,OFFSET([2]quests!$A$1,0,0,COUNTA([2]quests!$A:$A),MATCH(D$1,[2]quests!$1:$1,0)-MATCH($B$1,[2]quests!$1:$1,0)+1),MATCH(D$1,[2]quests!$1:$1,0)-MATCH($B$1,[2]quests!$1:$1,0)+1,FALSE)</f>
        <v>童話シリーズ3本目</v>
      </c>
      <c r="E9" s="106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【上級】大鯨の呼び声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童話シリーズ3本目</v>
      </c>
      <c r="H9" s="85">
        <v>2</v>
      </c>
      <c r="I9" s="90">
        <f t="shared" si="0"/>
        <v>8</v>
      </c>
      <c r="J9" s="86" t="str">
        <f t="shared" si="1"/>
        <v>3003508</v>
      </c>
      <c r="K9" s="84" t="s">
        <v>198</v>
      </c>
      <c r="L9" s="87" t="s">
        <v>199</v>
      </c>
      <c r="M9" s="107" t="s">
        <v>268</v>
      </c>
      <c r="N9" s="57" t="s">
        <v>200</v>
      </c>
    </row>
    <row r="10" spans="1:14" ht="42" x14ac:dyDescent="0.15">
      <c r="A10" s="81" t="s">
        <v>197</v>
      </c>
      <c r="B10" s="82">
        <f>floors!$C$2</f>
        <v>30035</v>
      </c>
      <c r="C10" s="83" t="str">
        <f ca="1">VLOOKUP($B10,OFFSET([2]quests!$A$1,0,0,COUNTA([2]quests!$A:$A),MATCH(C$1,[2]quests!$1:$1,0)-MATCH($B$1,[2]quests!$1:$1,0)+1),MATCH(C$1,[2]quests!$1:$1,0)-MATCH($B$1,[2]quests!$1:$1,0)+1,FALSE)</f>
        <v>大鯨の呼び声</v>
      </c>
      <c r="D10" s="83" t="str">
        <f ca="1">VLOOKUP($B10,OFFSET([2]quests!$A$1,0,0,COUNTA([2]quests!$A:$A),MATCH(D$1,[2]quests!$1:$1,0)-MATCH($B$1,[2]quests!$1:$1,0)+1),MATCH(D$1,[2]quests!$1:$1,0)-MATCH($B$1,[2]quests!$1:$1,0)+1,FALSE)</f>
        <v>童話シリーズ3本目</v>
      </c>
      <c r="E10" s="106">
        <v>2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【上級】大鯨の呼び声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童話シリーズ3本目</v>
      </c>
      <c r="H10" s="85">
        <v>3</v>
      </c>
      <c r="I10" s="90">
        <f t="shared" si="0"/>
        <v>9</v>
      </c>
      <c r="J10" s="86" t="str">
        <f t="shared" si="1"/>
        <v>3003509</v>
      </c>
      <c r="K10" s="84" t="s">
        <v>198</v>
      </c>
      <c r="L10" s="87" t="s">
        <v>199</v>
      </c>
      <c r="M10" s="107" t="s">
        <v>270</v>
      </c>
      <c r="N10" s="57" t="s">
        <v>200</v>
      </c>
    </row>
    <row r="11" spans="1:14" ht="42" x14ac:dyDescent="0.15">
      <c r="A11" s="81" t="s">
        <v>197</v>
      </c>
      <c r="B11" s="82">
        <f>floors!$C$2</f>
        <v>30035</v>
      </c>
      <c r="C11" s="83" t="str">
        <f ca="1">VLOOKUP($B11,OFFSET([2]quests!$A$1,0,0,COUNTA([2]quests!$A:$A),MATCH(C$1,[2]quests!$1:$1,0)-MATCH($B$1,[2]quests!$1:$1,0)+1),MATCH(C$1,[2]quests!$1:$1,0)-MATCH($B$1,[2]quests!$1:$1,0)+1,FALSE)</f>
        <v>大鯨の呼び声</v>
      </c>
      <c r="D11" s="83" t="str">
        <f ca="1">VLOOKUP($B11,OFFSET([2]quests!$A$1,0,0,COUNTA([2]quests!$A:$A),MATCH(D$1,[2]quests!$1:$1,0)-MATCH($B$1,[2]quests!$1:$1,0)+1),MATCH(D$1,[2]quests!$1:$1,0)-MATCH($B$1,[2]quests!$1:$1,0)+1,FALSE)</f>
        <v>童話シリーズ3本目</v>
      </c>
      <c r="E11" s="106">
        <v>2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【上級】大鯨の呼び声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童話シリーズ3本目</v>
      </c>
      <c r="H11" s="85">
        <v>3</v>
      </c>
      <c r="I11" s="90">
        <f t="shared" si="0"/>
        <v>10</v>
      </c>
      <c r="J11" s="86" t="str">
        <f t="shared" si="1"/>
        <v>3003510</v>
      </c>
      <c r="K11" s="84" t="s">
        <v>198</v>
      </c>
      <c r="L11" s="87" t="s">
        <v>199</v>
      </c>
      <c r="M11" s="107" t="s">
        <v>271</v>
      </c>
      <c r="N11" s="57" t="s">
        <v>200</v>
      </c>
    </row>
    <row r="12" spans="1:14" ht="28" x14ac:dyDescent="0.15">
      <c r="A12" s="81" t="s">
        <v>197</v>
      </c>
      <c r="B12" s="82">
        <f>floors!$C$2</f>
        <v>30035</v>
      </c>
      <c r="C12" s="83" t="str">
        <f ca="1">VLOOKUP($B12,OFFSET([2]quests!$A$1,0,0,COUNTA([2]quests!$A:$A),MATCH(C$1,[2]quests!$1:$1,0)-MATCH($B$1,[2]quests!$1:$1,0)+1),MATCH(C$1,[2]quests!$1:$1,0)-MATCH($B$1,[2]quests!$1:$1,0)+1,FALSE)</f>
        <v>大鯨の呼び声</v>
      </c>
      <c r="D12" s="83" t="str">
        <f ca="1">VLOOKUP($B12,OFFSET([2]quests!$A$1,0,0,COUNTA([2]quests!$A:$A),MATCH(D$1,[2]quests!$1:$1,0)-MATCH($B$1,[2]quests!$1:$1,0)+1),MATCH(D$1,[2]quests!$1:$1,0)-MATCH($B$1,[2]quests!$1:$1,0)+1,FALSE)</f>
        <v>童話シリーズ3本目</v>
      </c>
      <c r="E12" s="106">
        <v>3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【超級】大鯨の呼び声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童話シリーズ3本目</v>
      </c>
      <c r="H12" s="85">
        <v>1</v>
      </c>
      <c r="I12" s="90">
        <f t="shared" si="0"/>
        <v>11</v>
      </c>
      <c r="J12" s="86" t="str">
        <f t="shared" si="1"/>
        <v>3003511</v>
      </c>
      <c r="K12" s="84" t="s">
        <v>198</v>
      </c>
      <c r="L12" s="87" t="s">
        <v>199</v>
      </c>
      <c r="M12" s="107" t="s">
        <v>244</v>
      </c>
      <c r="N12" s="57" t="s">
        <v>200</v>
      </c>
    </row>
    <row r="13" spans="1:14" ht="42" x14ac:dyDescent="0.15">
      <c r="A13" s="81" t="s">
        <v>197</v>
      </c>
      <c r="B13" s="82">
        <f>floors!$C$2</f>
        <v>30035</v>
      </c>
      <c r="C13" s="83" t="str">
        <f ca="1">VLOOKUP($B13,OFFSET([2]quests!$A$1,0,0,COUNTA([2]quests!$A:$A),MATCH(C$1,[2]quests!$1:$1,0)-MATCH($B$1,[2]quests!$1:$1,0)+1),MATCH(C$1,[2]quests!$1:$1,0)-MATCH($B$1,[2]quests!$1:$1,0)+1,FALSE)</f>
        <v>大鯨の呼び声</v>
      </c>
      <c r="D13" s="83" t="str">
        <f ca="1">VLOOKUP($B13,OFFSET([2]quests!$A$1,0,0,COUNTA([2]quests!$A:$A),MATCH(D$1,[2]quests!$1:$1,0)-MATCH($B$1,[2]quests!$1:$1,0)+1),MATCH(D$1,[2]quests!$1:$1,0)-MATCH($B$1,[2]quests!$1:$1,0)+1,FALSE)</f>
        <v>童話シリーズ3本目</v>
      </c>
      <c r="E13" s="106">
        <v>3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【超級】大鯨の呼び声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童話シリーズ3本目</v>
      </c>
      <c r="H13" s="85">
        <v>2</v>
      </c>
      <c r="I13" s="90">
        <f t="shared" si="0"/>
        <v>12</v>
      </c>
      <c r="J13" s="86" t="str">
        <f t="shared" si="1"/>
        <v>3003512</v>
      </c>
      <c r="K13" s="84" t="s">
        <v>198</v>
      </c>
      <c r="L13" s="87" t="s">
        <v>199</v>
      </c>
      <c r="M13" s="107" t="s">
        <v>267</v>
      </c>
      <c r="N13" s="57" t="s">
        <v>200</v>
      </c>
    </row>
    <row r="14" spans="1:14" ht="56" x14ac:dyDescent="0.15">
      <c r="A14" s="81" t="s">
        <v>197</v>
      </c>
      <c r="B14" s="82">
        <f>floors!$C$2</f>
        <v>30035</v>
      </c>
      <c r="C14" s="83" t="str">
        <f ca="1">VLOOKUP($B14,OFFSET([2]quests!$A$1,0,0,COUNTA([2]quests!$A:$A),MATCH(C$1,[2]quests!$1:$1,0)-MATCH($B$1,[2]quests!$1:$1,0)+1),MATCH(C$1,[2]quests!$1:$1,0)-MATCH($B$1,[2]quests!$1:$1,0)+1,FALSE)</f>
        <v>大鯨の呼び声</v>
      </c>
      <c r="D14" s="83" t="str">
        <f ca="1">VLOOKUP($B14,OFFSET([2]quests!$A$1,0,0,COUNTA([2]quests!$A:$A),MATCH(D$1,[2]quests!$1:$1,0)-MATCH($B$1,[2]quests!$1:$1,0)+1),MATCH(D$1,[2]quests!$1:$1,0)-MATCH($B$1,[2]quests!$1:$1,0)+1,FALSE)</f>
        <v>童話シリーズ3本目</v>
      </c>
      <c r="E14" s="106">
        <v>3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【超級】大鯨の呼び声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童話シリーズ3本目</v>
      </c>
      <c r="H14" s="85">
        <v>3</v>
      </c>
      <c r="I14" s="90">
        <f t="shared" si="0"/>
        <v>13</v>
      </c>
      <c r="J14" s="86" t="str">
        <f t="shared" si="1"/>
        <v>3003513</v>
      </c>
      <c r="K14" s="84" t="s">
        <v>198</v>
      </c>
      <c r="L14" s="87" t="s">
        <v>199</v>
      </c>
      <c r="M14" s="107" t="s">
        <v>266</v>
      </c>
      <c r="N14" s="57" t="s">
        <v>200</v>
      </c>
    </row>
    <row r="15" spans="1:14" ht="42" x14ac:dyDescent="0.15">
      <c r="A15" s="81" t="s">
        <v>197</v>
      </c>
      <c r="B15" s="82">
        <f>floors!$C$2</f>
        <v>30035</v>
      </c>
      <c r="C15" s="83" t="str">
        <f ca="1">VLOOKUP($B15,OFFSET([2]quests!$A$1,0,0,COUNTA([2]quests!$A:$A),MATCH(C$1,[2]quests!$1:$1,0)-MATCH($B$1,[2]quests!$1:$1,0)+1),MATCH(C$1,[2]quests!$1:$1,0)-MATCH($B$1,[2]quests!$1:$1,0)+1,FALSE)</f>
        <v>大鯨の呼び声</v>
      </c>
      <c r="D15" s="83" t="str">
        <f ca="1">VLOOKUP($B15,OFFSET([2]quests!$A$1,0,0,COUNTA([2]quests!$A:$A),MATCH(D$1,[2]quests!$1:$1,0)-MATCH($B$1,[2]quests!$1:$1,0)+1),MATCH(D$1,[2]quests!$1:$1,0)-MATCH($B$1,[2]quests!$1:$1,0)+1,FALSE)</f>
        <v>童話シリーズ3本目</v>
      </c>
      <c r="E15" s="106">
        <v>3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【超級】大鯨の呼び声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童話シリーズ3本目</v>
      </c>
      <c r="H15" s="85">
        <v>3</v>
      </c>
      <c r="I15" s="90">
        <f t="shared" si="0"/>
        <v>14</v>
      </c>
      <c r="J15" s="86" t="str">
        <f t="shared" si="1"/>
        <v>3003514</v>
      </c>
      <c r="K15" s="84" t="s">
        <v>198</v>
      </c>
      <c r="L15" s="87" t="s">
        <v>199</v>
      </c>
      <c r="M15" s="107" t="s">
        <v>268</v>
      </c>
      <c r="N15" s="57" t="s">
        <v>200</v>
      </c>
    </row>
    <row r="16" spans="1:14" ht="56" x14ac:dyDescent="0.15">
      <c r="A16" s="81" t="s">
        <v>197</v>
      </c>
      <c r="B16" s="82">
        <f>floors!$C$2</f>
        <v>30035</v>
      </c>
      <c r="C16" s="83" t="str">
        <f ca="1">VLOOKUP($B16,OFFSET([2]quests!$A$1,0,0,COUNTA([2]quests!$A:$A),MATCH(C$1,[2]quests!$1:$1,0)-MATCH($B$1,[2]quests!$1:$1,0)+1),MATCH(C$1,[2]quests!$1:$1,0)-MATCH($B$1,[2]quests!$1:$1,0)+1,FALSE)</f>
        <v>大鯨の呼び声</v>
      </c>
      <c r="D16" s="83" t="str">
        <f ca="1">VLOOKUP($B16,OFFSET([2]quests!$A$1,0,0,COUNTA([2]quests!$A:$A),MATCH(D$1,[2]quests!$1:$1,0)-MATCH($B$1,[2]quests!$1:$1,0)+1),MATCH(D$1,[2]quests!$1:$1,0)-MATCH($B$1,[2]quests!$1:$1,0)+1,FALSE)</f>
        <v>童話シリーズ3本目</v>
      </c>
      <c r="E16" s="106">
        <v>3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【超級】大鯨の呼び声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童話シリーズ3本目</v>
      </c>
      <c r="H16" s="85">
        <v>4</v>
      </c>
      <c r="I16" s="90">
        <f t="shared" si="0"/>
        <v>15</v>
      </c>
      <c r="J16" s="86" t="str">
        <f t="shared" si="1"/>
        <v>3003515</v>
      </c>
      <c r="K16" s="84" t="s">
        <v>198</v>
      </c>
      <c r="L16" s="87" t="s">
        <v>199</v>
      </c>
      <c r="M16" s="107" t="s">
        <v>269</v>
      </c>
      <c r="N16" s="57" t="s">
        <v>200</v>
      </c>
    </row>
    <row r="17" spans="1:14" ht="42" x14ac:dyDescent="0.15">
      <c r="A17" s="81" t="s">
        <v>197</v>
      </c>
      <c r="B17" s="82">
        <f>floors!$C$2</f>
        <v>30035</v>
      </c>
      <c r="C17" s="83" t="str">
        <f ca="1">VLOOKUP($B17,OFFSET([2]quests!$A$1,0,0,COUNTA([2]quests!$A:$A),MATCH(C$1,[2]quests!$1:$1,0)-MATCH($B$1,[2]quests!$1:$1,0)+1),MATCH(C$1,[2]quests!$1:$1,0)-MATCH($B$1,[2]quests!$1:$1,0)+1,FALSE)</f>
        <v>大鯨の呼び声</v>
      </c>
      <c r="D17" s="83" t="str">
        <f ca="1">VLOOKUP($B17,OFFSET([2]quests!$A$1,0,0,COUNTA([2]quests!$A:$A),MATCH(D$1,[2]quests!$1:$1,0)-MATCH($B$1,[2]quests!$1:$1,0)+1),MATCH(D$1,[2]quests!$1:$1,0)-MATCH($B$1,[2]quests!$1:$1,0)+1,FALSE)</f>
        <v>童話シリーズ3本目</v>
      </c>
      <c r="E17" s="106">
        <v>3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【超級】大鯨の呼び声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童話シリーズ3本目</v>
      </c>
      <c r="H17" s="85">
        <v>4</v>
      </c>
      <c r="I17" s="90">
        <f t="shared" si="0"/>
        <v>16</v>
      </c>
      <c r="J17" s="86" t="str">
        <f t="shared" si="1"/>
        <v>3003516</v>
      </c>
      <c r="K17" s="84" t="s">
        <v>198</v>
      </c>
      <c r="L17" s="87" t="s">
        <v>199</v>
      </c>
      <c r="M17" s="107" t="s">
        <v>284</v>
      </c>
      <c r="N17" s="57" t="s">
        <v>200</v>
      </c>
    </row>
  </sheetData>
  <phoneticPr fontId="5"/>
  <dataValidations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2017-03-08T06:35:27Z</dcterms:modified>
</cp:coreProperties>
</file>