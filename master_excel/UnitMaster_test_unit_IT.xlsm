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itani.k/BULL_data/master_excel/"/>
    </mc:Choice>
  </mc:AlternateContent>
  <bookViews>
    <workbookView xWindow="0" yWindow="460" windowWidth="28800" windowHeight="159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56" l="1"/>
  <c r="F12" i="57"/>
  <c r="E12" i="57"/>
  <c r="B12" i="57"/>
  <c r="F5" i="57"/>
  <c r="E5" i="57"/>
  <c r="B5" i="57"/>
  <c r="I5" i="56"/>
  <c r="F3" i="57"/>
  <c r="E3" i="57"/>
  <c r="B3" i="57"/>
  <c r="I3" i="56"/>
  <c r="I4" i="56"/>
  <c r="I2" i="56"/>
  <c r="F14" i="57"/>
  <c r="E14" i="57"/>
  <c r="B14" i="57"/>
  <c r="F13" i="57"/>
  <c r="E13" i="57"/>
  <c r="B13" i="57"/>
  <c r="F11" i="57"/>
  <c r="E11" i="57"/>
  <c r="B11" i="57"/>
  <c r="F10" i="57"/>
  <c r="E10" i="57"/>
  <c r="B10" i="57"/>
  <c r="F9" i="57"/>
  <c r="E9" i="57"/>
  <c r="B9" i="57"/>
  <c r="F8" i="57"/>
  <c r="E8" i="57"/>
  <c r="B8" i="57"/>
  <c r="F7" i="57"/>
  <c r="E7" i="57"/>
  <c r="B7" i="57"/>
  <c r="F6" i="57"/>
  <c r="E6" i="57"/>
  <c r="B6" i="57"/>
  <c r="F4" i="57"/>
  <c r="E4" i="57"/>
  <c r="B4" i="57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E10" i="54"/>
  <c r="D10" i="54"/>
  <c r="B10" i="54"/>
  <c r="E9" i="54"/>
  <c r="D9" i="54"/>
  <c r="B9" i="54"/>
  <c r="E8" i="54"/>
  <c r="D8" i="54"/>
  <c r="B8" i="54"/>
  <c r="E7" i="54"/>
  <c r="D7" i="54"/>
  <c r="B7" i="54"/>
  <c r="E6" i="54"/>
  <c r="D6" i="54"/>
  <c r="B6" i="54"/>
  <c r="H11" i="53"/>
  <c r="G11" i="53"/>
  <c r="E11" i="53"/>
  <c r="H10" i="53"/>
  <c r="G10" i="53"/>
  <c r="E10" i="53"/>
  <c r="H9" i="53"/>
  <c r="G9" i="53"/>
  <c r="E9" i="53"/>
  <c r="H8" i="53"/>
  <c r="G8" i="53"/>
  <c r="E8" i="53"/>
  <c r="H7" i="53"/>
  <c r="G7" i="53"/>
  <c r="E7" i="53"/>
  <c r="H6" i="53"/>
  <c r="G6" i="53"/>
  <c r="E6" i="53"/>
  <c r="H5" i="53"/>
  <c r="G5" i="53"/>
  <c r="E5" i="53"/>
  <c r="H4" i="53"/>
  <c r="G4" i="53"/>
  <c r="E4" i="53"/>
  <c r="K11" i="52"/>
  <c r="J11" i="52"/>
  <c r="H11" i="52"/>
  <c r="E11" i="52"/>
  <c r="K10" i="52"/>
  <c r="J10" i="52"/>
  <c r="H10" i="52"/>
  <c r="E10" i="52"/>
  <c r="K9" i="52"/>
  <c r="J9" i="52"/>
  <c r="H9" i="52"/>
  <c r="E9" i="52"/>
  <c r="K8" i="52"/>
  <c r="J8" i="52"/>
  <c r="H8" i="52"/>
  <c r="E8" i="52"/>
  <c r="K7" i="52"/>
  <c r="J7" i="52"/>
  <c r="H7" i="52"/>
  <c r="E7" i="52"/>
  <c r="K6" i="52"/>
  <c r="J6" i="52"/>
  <c r="H6" i="52"/>
  <c r="E6" i="52"/>
  <c r="K5" i="52"/>
  <c r="J5" i="52"/>
  <c r="H5" i="52"/>
  <c r="E5" i="52"/>
  <c r="K4" i="52"/>
  <c r="J4" i="52"/>
  <c r="H4" i="52"/>
  <c r="E4" i="52"/>
  <c r="H11" i="23"/>
  <c r="BR11" i="23"/>
  <c r="G11" i="23"/>
  <c r="BC11" i="23"/>
  <c r="BD11" i="23"/>
  <c r="Q11" i="23"/>
  <c r="V11" i="23"/>
  <c r="W11" i="23"/>
  <c r="AD11" i="23"/>
  <c r="I11" i="23"/>
  <c r="M11" i="23"/>
  <c r="U11" i="23"/>
  <c r="AC11" i="23"/>
  <c r="L11" i="23"/>
  <c r="T11" i="23"/>
  <c r="AB11" i="23"/>
  <c r="K11" i="23"/>
  <c r="S11" i="23"/>
  <c r="AA11" i="23"/>
  <c r="J11" i="23"/>
  <c r="H10" i="23"/>
  <c r="G10" i="23"/>
  <c r="BC10" i="23"/>
  <c r="BE11" i="23"/>
  <c r="I10" i="23"/>
  <c r="J10" i="23"/>
  <c r="BF11" i="23"/>
  <c r="AX11" i="23"/>
  <c r="AW11" i="23"/>
  <c r="AV11" i="23"/>
  <c r="AU11" i="23"/>
  <c r="AS11" i="23"/>
  <c r="AR11" i="23"/>
  <c r="AQ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G10" i="13"/>
  <c r="N11" i="23"/>
  <c r="F11" i="23"/>
  <c r="E11" i="23"/>
  <c r="D11" i="23"/>
  <c r="C11" i="23"/>
  <c r="B11" i="23"/>
  <c r="BR10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I2" i="23"/>
  <c r="J2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B10" i="23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BE9" i="23"/>
  <c r="BJ9" i="23"/>
  <c r="BI9" i="23"/>
  <c r="BH9" i="23"/>
  <c r="BG9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H8" i="23"/>
  <c r="BR8" i="23"/>
  <c r="G8" i="23"/>
  <c r="BC8" i="23"/>
  <c r="BD8" i="23"/>
  <c r="Q8" i="23"/>
  <c r="V8" i="23"/>
  <c r="W8" i="23"/>
  <c r="AD8" i="23"/>
  <c r="I8" i="23"/>
  <c r="M8" i="23"/>
  <c r="BN8" i="23"/>
  <c r="U8" i="23"/>
  <c r="AC8" i="23"/>
  <c r="L8" i="23"/>
  <c r="BM8" i="23"/>
  <c r="T8" i="23"/>
  <c r="AB8" i="23"/>
  <c r="K8" i="23"/>
  <c r="BL8" i="23"/>
  <c r="S8" i="23"/>
  <c r="AA8" i="23"/>
  <c r="J8" i="23"/>
  <c r="BK8" i="23"/>
  <c r="BE8" i="23"/>
  <c r="BJ8" i="23"/>
  <c r="BI8" i="23"/>
  <c r="BH8" i="23"/>
  <c r="BG8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BE7" i="23"/>
  <c r="BJ7" i="23"/>
  <c r="BI7" i="23"/>
  <c r="BH7" i="23"/>
  <c r="BG7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H6" i="23"/>
  <c r="BR6" i="23"/>
  <c r="G6" i="23"/>
  <c r="BC6" i="23"/>
  <c r="BD6" i="23"/>
  <c r="Q6" i="23"/>
  <c r="V6" i="23"/>
  <c r="W6" i="23"/>
  <c r="AD6" i="23"/>
  <c r="I6" i="23"/>
  <c r="M6" i="23"/>
  <c r="BN6" i="23"/>
  <c r="U6" i="23"/>
  <c r="AC6" i="23"/>
  <c r="L6" i="23"/>
  <c r="BM6" i="23"/>
  <c r="T6" i="23"/>
  <c r="AB6" i="23"/>
  <c r="K6" i="23"/>
  <c r="BL6" i="23"/>
  <c r="S6" i="23"/>
  <c r="AA6" i="23"/>
  <c r="J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H4" i="23"/>
  <c r="BR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H3" i="23"/>
  <c r="BR3" i="23"/>
  <c r="H2" i="23"/>
  <c r="BR2" i="23"/>
  <c r="E2" i="54"/>
  <c r="E5" i="54"/>
  <c r="E4" i="54"/>
  <c r="E3" i="54"/>
  <c r="D5" i="54"/>
  <c r="B5" i="54"/>
  <c r="D4" i="54"/>
  <c r="B4" i="54"/>
  <c r="D3" i="54"/>
  <c r="B3" i="54"/>
  <c r="G2" i="23"/>
  <c r="BC2" i="23"/>
  <c r="BD2" i="23"/>
  <c r="Q2" i="23"/>
  <c r="S2" i="23"/>
  <c r="W2" i="23"/>
  <c r="AA2" i="23"/>
  <c r="G3" i="23"/>
  <c r="BC3" i="23"/>
  <c r="BD3" i="23"/>
  <c r="Q3" i="23"/>
  <c r="S3" i="23"/>
  <c r="W3" i="23"/>
  <c r="AA3" i="23"/>
  <c r="I3" i="23"/>
  <c r="J3" i="23"/>
  <c r="BK3" i="23"/>
  <c r="F2" i="57"/>
  <c r="E2" i="57"/>
  <c r="B2" i="57"/>
  <c r="T3" i="23"/>
  <c r="AB3" i="23"/>
  <c r="K3" i="23"/>
  <c r="BL3" i="23"/>
  <c r="T2" i="23"/>
  <c r="AB2" i="23"/>
  <c r="K2" i="23"/>
  <c r="V3" i="23"/>
  <c r="AD3" i="23"/>
  <c r="M3" i="23"/>
  <c r="BN3" i="23"/>
  <c r="V2" i="23"/>
  <c r="AD2" i="23"/>
  <c r="M2" i="23"/>
  <c r="AL3" i="23"/>
  <c r="D2" i="54"/>
  <c r="B2" i="54"/>
  <c r="G2" i="53"/>
  <c r="AH3" i="23"/>
  <c r="AH2" i="2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K2" i="52"/>
  <c r="E3" i="49"/>
  <c r="E5" i="49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<sst xmlns="http://schemas.openxmlformats.org/spreadsheetml/2006/main" count="1070" uniqueCount="412">
  <si>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</si>
  <si>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</si>
  <si>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</si>
  <si>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</si>
  <si>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</si>
  <si>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</si>
  <si>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</si>
  <si>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</si>
  <si>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</si>
  <si>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</si>
  <si>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</si>
  <si>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</si>
  <si>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</si>
  <si>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</si>
  <si>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</si>
  <si>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</si>
  <si>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</si>
  <si>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</si>
  <si>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</si>
  <si>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</si>
  <si>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</si>
  <si>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</si>
  <si>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</si>
  <si>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</si>
  <si>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</si>
  <si>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</si>
  <si>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</si>
  <si>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</si>
  <si>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</si>
  <si>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</si>
  <si>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</si>
  <si>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</si>
  <si>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</si>
  <si>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</si>
  <si>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</si>
  <si>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</si>
  <si>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</si>
  <si>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</si>
  <si>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</si>
  <si>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</si>
  <si>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</si>
  <si>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</si>
  <si>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</si>
  <si>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</si>
  <si>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</si>
  <si>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</si>
  <si>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</si>
  <si>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</si>
  <si>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</si>
  <si>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</si>
  <si>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</si>
  <si>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</si>
  <si>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</si>
  <si>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</si>
  <si>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</si>
  <si>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</si>
  <si>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</si>
  <si>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</si>
  <si>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</si>
  <si>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</si>
  <si>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</si>
  <si>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</si>
  <si>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</si>
  <si>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</si>
  <si>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</si>
  <si>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</si>
  <si>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</si>
  <si>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</si>
  <si>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</si>
  <si>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</si>
  <si>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</si>
  <si>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</si>
  <si>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</si>
  <si>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</si>
  <si>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</si>
  <si>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</si>
  <si>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</si>
  <si>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</si>
  <si>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</si>
  <si>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</si>
  <si>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</si>
  <si>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</si>
  <si>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</si>
  <si>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</si>
  <si>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</si>
  <si>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</si>
  <si>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</si>
  <si>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</si>
  <si>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</si>
  <si>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</si>
  <si>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</si>
  <si>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</si>
  <si>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</si>
  <si>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</si>
  <si>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</si>
  <si>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</si>
  <si>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</si>
  <si>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</si>
  <si>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</si>
  <si>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</si>
  <si>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</si>
  <si>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</si>
  <si>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</si>
  <si>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</si>
  <si>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</si>
  <si>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</si>
  <si>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</si>
  <si>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</si>
  <si>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</si>
  <si>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</si>
  <si>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</si>
  <si>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</si>
  <si>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</si>
  <si>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</si>
  <si>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</si>
  <si>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</si>
  <si>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</si>
  <si>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</si>
  <si>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</si>
  <si>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</si>
  <si>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</si>
  <si>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</si>
  <si>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</si>
  <si>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</si>
  <si>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</si>
  <si>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</si>
  <si>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</si>
  <si>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</si>
  <si>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</si>
  <si>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</si>
  <si>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</si>
  <si>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</si>
  <si>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</si>
  <si>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</si>
  <si>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</si>
  <si>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</si>
  <si>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</si>
  <si>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</si>
  <si>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</si>
  <si>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</si>
  <si>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</si>
  <si>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</si>
  <si>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</si>
  <si>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</si>
  <si>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</si>
  <si>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</si>
  <si>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</si>
  <si>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</si>
  <si>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</si>
  <si>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</si>
  <si>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</si>
  <si>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</si>
  <si>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</si>
  <si>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</si>
  <si>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</si>
  <si>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</si>
  <si>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</si>
  <si>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</si>
  <si>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</si>
  <si>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</si>
  <si>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</si>
  <si>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</si>
  <si>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</si>
  <si>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</si>
  <si>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</si>
  <si>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</si>
  <si>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</si>
  <si>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</si>
  <si>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</si>
  <si>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</si>
  <si>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</si>
  <si>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</si>
  <si>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</si>
  <si>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</si>
  <si>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</si>
  <si>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</si>
  <si>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</si>
  <si>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</si>
  <si>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</si>
  <si>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</si>
  <si>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</si>
  <si>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</si>
  <si>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</si>
  <si>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</si>
  <si>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</si>
  <si>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</si>
  <si>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</si>
  <si>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</si>
  <si>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</si>
  <si>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</si>
  <si>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</si>
  <si>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</si>
  <si>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</si>
  <si>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</si>
  <si>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</si>
  <si>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</si>
  <si>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</si>
  <si>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</si>
  <si>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</si>
  <si>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</si>
  <si>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</si>
  <si>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</si>
  <si>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</si>
  <si>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</si>
  <si>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</si>
  <si>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</si>
  <si>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</si>
  <si>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</si>
  <si>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</si>
  <si>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</si>
  <si>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</si>
  <si>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</si>
  <si>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</si>
  <si>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</si>
  <si>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</si>
  <si>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</si>
  <si>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</si>
  <si>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</si>
  <si>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</si>
  <si>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</si>
  <si>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</si>
  <si>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</si>
  <si>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</si>
  <si>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</si>
  <si>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</si>
  <si>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</si>
  <si>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</si>
  <si>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</si>
  <si>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</si>
  <si>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</si>
  <si>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</si>
  <si>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</si>
  <si>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</si>
  <si>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</si>
  <si>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</si>
  <si>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</si>
  <si>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</si>
  <si>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</si>
  <si>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</si>
  <si>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</si>
  <si>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</si>
  <si>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</si>
  <si>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</si>
  <si>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</si>
  <si>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</si>
  <si>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</si>
  <si>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</si>
  <si>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</si>
  <si>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</si>
  <si>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</si>
  <si>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</si>
  <si>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</si>
  <si>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</si>
  <si>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</si>
  <si>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</si>
  <si>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</si>
  <si>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</si>
  <si>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</si>
  <si>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</si>
  <si>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</si>
  <si>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</si>
  <si>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</si>
  <si>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</si>
  <si>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</si>
  <si>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</si>
  <si>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</si>
  <si>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</si>
  <si>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</si>
  <si>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</si>
  <si>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</si>
  <si>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</si>
  <si>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</si>
  <si>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</si>
  <si>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</si>
  <si>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</si>
  <si>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</si>
  <si>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</si>
  <si>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</si>
  <si>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</si>
  <si>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</si>
  <si>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</si>
  <si>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</si>
  <si>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</si>
  <si>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</si>
  <si>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</si>
  <si>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</si>
  <si>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</si>
  <si>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</si>
  <si>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</si>
  <si>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</si>
  <si>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</si>
  <si>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</si>
  <si>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</si>
  <si>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</si>
  <si>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</si>
  <si>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</si>
  <si>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</si>
  <si>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</si>
  <si>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</si>
  <si>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</si>
  <si>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</si>
  <si>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</si>
  <si>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ver</t>
    <phoneticPr fontId="22"/>
  </si>
  <si>
    <t>effects</t>
    <phoneticPr fontId="22"/>
  </si>
  <si>
    <t>priority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</si>
  <si>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</si>
  <si>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</si>
  <si>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</si>
  <si>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</si>
  <si>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</si>
  <si>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Cスキル1</t>
    <phoneticPr fontId="22"/>
  </si>
  <si>
    <t>abilities_tmp_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</si>
  <si>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</si>
  <si>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</si>
  <si>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</si>
  <si>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</si>
  <si>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</si>
  <si>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</si>
  <si>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</si>
  <si>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</si>
  <si>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</si>
  <si>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</si>
  <si>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</si>
  <si>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</si>
  <si>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</si>
  <si>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</si>
  <si>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</si>
  <si>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</si>
  <si>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</si>
  <si>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</si>
  <si>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</si>
  <si>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</si>
  <si>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</si>
  <si>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</si>
  <si>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</si>
  <si>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testunitit</t>
    <phoneticPr fontId="22"/>
  </si>
  <si>
    <t>old</t>
  </si>
  <si>
    <t>部分変換</t>
    <rPh sb="0" eb="4">
      <t>ブブn</t>
    </rPh>
    <phoneticPr fontId="22"/>
  </si>
  <si>
    <t>テストユニット37スキル</t>
  </si>
  <si>
    <t>テストユニット38スキル</t>
  </si>
  <si>
    <t>テストユニット39スキル</t>
  </si>
  <si>
    <t>テストユニット31Cスキル</t>
    <phoneticPr fontId="22"/>
  </si>
  <si>
    <t>テストユニット32Cスキル</t>
  </si>
  <si>
    <t>テストユニット33Cスキル</t>
  </si>
  <si>
    <t>テストユニット34Cスキル</t>
  </si>
  <si>
    <t>テストユニット35Cスキル</t>
  </si>
  <si>
    <t>テストユニット36Cスキル</t>
  </si>
  <si>
    <t>テストユニット37Cスキル</t>
  </si>
  <si>
    <t>テストユニット38Cスキル</t>
  </si>
  <si>
    <t>テストユニット39Cスキル</t>
  </si>
  <si>
    <t>テストユニット40Cスキル</t>
  </si>
  <si>
    <t>1体に小ダメージ</t>
    <phoneticPr fontId="22"/>
  </si>
  <si>
    <t>[effect:damage, target:enemy_one, color:red, val:1.25, animation:damage_one_red01]</t>
    <phoneticPr fontId="22"/>
  </si>
  <si>
    <t>1</t>
    <phoneticPr fontId="22"/>
  </si>
  <si>
    <t>部分変換その2</t>
    <rPh sb="0" eb="4">
      <t>ブブn</t>
    </rPh>
    <phoneticPr fontId="22"/>
  </si>
  <si>
    <t>[effect:change_range_block, block_change:1, base_type:0, square_count:5, position01:12, value_h01:1.0, value_w01:1.0, new_block:crash, target:block_all, ignore01:crash, ignore02:crack_bomb, ignore03:color_break, ignore04:magnet, count:1, val:36, animation:change_range_block]</t>
    <phoneticPr fontId="22"/>
  </si>
  <si>
    <t>ランダムで盤面の中央に最大1つSCパネル(特大)に変換</t>
    <rPh sb="5" eb="7">
      <t>バンメn</t>
    </rPh>
    <rPh sb="8" eb="10">
      <t>チュ</t>
    </rPh>
    <rPh sb="11" eb="13">
      <t>サイダ</t>
    </rPh>
    <rPh sb="21" eb="23">
      <t>トクd</t>
    </rPh>
    <rPh sb="25" eb="27">
      <t>ヘn</t>
    </rPh>
    <phoneticPr fontId="22"/>
  </si>
  <si>
    <t>部分変換その3</t>
    <rPh sb="0" eb="4">
      <t>ブブn</t>
    </rPh>
    <phoneticPr fontId="22"/>
  </si>
  <si>
    <t>盤面の一部分(範囲特大)をハートパネルに、ランダムで最大1つSCパネル(大)に変換する</t>
    <rPh sb="0" eb="2">
      <t>バンメn</t>
    </rPh>
    <rPh sb="3" eb="6">
      <t>イチb</t>
    </rPh>
    <rPh sb="9" eb="10">
      <t>トク</t>
    </rPh>
    <rPh sb="26" eb="28">
      <t>サイダイ</t>
    </rPh>
    <rPh sb="36" eb="37">
      <t>ダ</t>
    </rPh>
    <phoneticPr fontId="22"/>
  </si>
  <si>
    <t>[effect:change_range_block, block_change:1, base_type:0, square_count:9, position01:3, position02:45, value_h01:5.0, value_h02:2.0, value_w01:3.0, value_w02:9.0, new_block:block_heart, target:block_all, ignore01:crash, ignore02:crack_bomb, ignore03:color_break, ignore04:magnet, count:0, val:0, animation:change_block],[effect:change_range_block, block_change:1, base_type:0, square_count:9, position01:66, value_h01:2.0, value_w01:3.0, new_block:crash, target:block_all, ignore01:crash, ignore02:crack_bomb, ignore03:color_break, ignore04:magnet, count:1, val:24, animation:change_block]</t>
    <phoneticPr fontId="22"/>
  </si>
  <si>
    <t>category</t>
    <phoneticPr fontId="22"/>
  </si>
  <si>
    <t>conditions</t>
    <phoneticPr fontId="22"/>
  </si>
  <si>
    <t>ability_param</t>
    <phoneticPr fontId="22"/>
  </si>
  <si>
    <t>1.7.0</t>
    <phoneticPr fontId="22"/>
  </si>
  <si>
    <t>0</t>
    <phoneticPr fontId="22"/>
  </si>
  <si>
    <t>その他</t>
    <rPh sb="2" eb="3">
      <t>ホカ</t>
    </rPh>
    <phoneticPr fontId="22"/>
  </si>
  <si>
    <t>[condition:save_every_turn,each:5,count_type:normal]</t>
    <phoneticPr fontId="22"/>
  </si>
  <si>
    <t>[effect:enhance_sp_boost, target:unit_all, count:1]</t>
    <phoneticPr fontId="22"/>
  </si>
  <si>
    <t>[condition:fever_gauge,lower:50]</t>
    <phoneticPr fontId="22"/>
  </si>
  <si>
    <t>フィーバー50 HP回復</t>
    <rPh sb="10" eb="12">
      <t>カイフk</t>
    </rPh>
    <phoneticPr fontId="22"/>
  </si>
  <si>
    <t>フィーバーゲージが50％以上の時、HP回復</t>
    <phoneticPr fontId="22"/>
  </si>
  <si>
    <t>[effect:regenerate, target:unit_all, turn:1, val:0.15, type:hp_ratio, animation:heal01]</t>
    <phoneticPr fontId="22"/>
  </si>
  <si>
    <t>5ターン毎にスキルゲージ1上昇</t>
    <phoneticPr fontId="22"/>
  </si>
  <si>
    <t>ターン5 スキルゲージ上昇</t>
    <rPh sb="11" eb="13">
      <t>ジョ</t>
    </rPh>
    <phoneticPr fontId="22"/>
  </si>
  <si>
    <t>[effect:change_range_block, block_change:1, base_type:1, square_count:3, position01:5, value_rad01:4.0, value_h01:1.0, value_w01:1.0, new_block:damage, target:block_all, ignore01:block_positive, ignore02:damage, color:block_green, count:10, val:0.07, animation:change_block],[effect:change_range_block, block_change:1, base_type:1, square_count:3, position01:5, value_rad01:2.0, value_h01:1.0, value_w01:1.0, new_block:crash, target:block_all, ignore01:magnet, ignore02:damage, count:1, val:24, animation:change_block],[effect:enhance_unit, target:unit_green, turn:1, status:action, val:2, calc:add, animation:enhance_unit_one_action02],[effect:counter_new, target:unit_all, invoke_condition:enemy_all, counter_target:attacker, turn:1, val:3, animation:counter_buff04]</t>
    <phoneticPr fontId="22"/>
  </si>
  <si>
    <t>特定エリアに最大10個緑ダメージパネルと最大1個SCP(大)を変換+1ターン緑属性のタップ回数を2増やし、全ユニット特大カウンター</t>
    <phoneticPr fontId="22"/>
  </si>
  <si>
    <t>[effect:damage, target:enemy_one, color:green, val:2.5, animation:damage_one_green04]</t>
    <phoneticPr fontId="22"/>
  </si>
  <si>
    <t>1体に超大ダメージ</t>
    <rPh sb="3" eb="5">
      <t>チョ</t>
    </rPh>
    <phoneticPr fontId="22"/>
  </si>
  <si>
    <t>ダメージパネルブレイク8 攻撃力UP</t>
    <phoneticPr fontId="22"/>
  </si>
  <si>
    <t>自身が先頭の時、1ターンの間に合計8個以上ダメージパネルを破壊した場合に攻撃力UP</t>
    <phoneticPr fontId="22"/>
  </si>
  <si>
    <t>[effect:enhance_unit, target:myself, turn:1, status:attack, val:0.35, calc:mul, animation:enhance_unit_all_attack03]</t>
    <phoneticPr fontId="22"/>
  </si>
  <si>
    <t>[condition:enclose,[condition:active_unit],[condition:panel_total,count:8,type:damage],logic:and]</t>
    <phoneticPr fontId="22"/>
  </si>
  <si>
    <t>[effect:change_range_block, block_change:1, base_type:0, square_count:9, position01:21, position02:29, position03:38, value_h01:1.0, value_h02:1.0, value_h03:1.0, value_w01:3.0, value_w02:5.0, value_w03:3.0, new_block:crack_bomb, target:block_all, color:red, count:0, val:12, animation:change_block],[effect:change_range_block, block_change:1, base_type:0, square_count:9, position01:41, position02:47, position03:57, value_h01:1.0, value_h02:1.0, value_h03:1.0, value_w01:2.0, value_w02:5.0, value_w03:3.0, new_block:crack_bomb, target:block_all, color:blue, count:0, val:12, animation:change_block]</t>
    <phoneticPr fontId="22"/>
  </si>
  <si>
    <t>部分変換韓国国旗テスト2</t>
    <rPh sb="0" eb="4">
      <t>ブブn</t>
    </rPh>
    <rPh sb="4" eb="8">
      <t>カンコk</t>
    </rPh>
    <phoneticPr fontId="22"/>
  </si>
  <si>
    <t>テストユニット34スキル</t>
  </si>
  <si>
    <t>テストユニット35スキル</t>
  </si>
  <si>
    <t>テストユニット36スキル</t>
  </si>
  <si>
    <t>[effect:change_range_block, block_change:1, base_type:0, square_count:2, position01:0, value_h01:1.0, value_w01:2.0, new_block:color_break, target:crash, color:block_red, count:0, val:0, animation:change_block],[effect:change_range_block, block_change:1, base_type:0, square_count:2, position01:0, value_h01:1.0, value_w01:2.0, new_block:color_break, target:crack_bomb, color:block_blue, count:0, val:0, animation:change_block]</t>
    <phoneticPr fontId="22"/>
  </si>
  <si>
    <t>[effect:change_range_block, block_change:1, base_type:0, square_count:2, position01:2, value_h01:1.0, value_w01:2.0, new_block:normal, target:crash, color:block_random, count:0, val:0, animation:change_block],[effect:change_range_block, block_change:1, base_type:0, square_count:2, position01:2, value_h01:1.0, value_w01:2.0, new_block:normal, target:color_break, color:block_random, count:0, val:0, animation:change_block],[effect:change_range_block, block_change:1, base_type:0, square_count:2, position01:0, value_h01:1.0, value_w01:2.0, new_block:normal, target:crack_bomb, color:block_random, count:0, val:0, animation:change_block],[effect:change_range_block, block_change:1, base_type:0, square_count:2, position01:0, value_h01:1.0, value_w01:2.0, new_block:normal, target:magnet, color:block_random, count:0, val:0, animation:change_block]</t>
    <phoneticPr fontId="22"/>
  </si>
  <si>
    <t>[effect:force_change_magnet, target:crash, color:block_green, count:1, red:0, green:1, blue:0, yellow:1, heart:1, reverse:0, generate:0, turn:3, animation:change_block],[effect:force_change_magnet, target:crack_bomb, color:block_green, count:1, red:0, green:1, blue:0, yellow:1, heart:1, reverse:0, generate:0, turn:3, animation:change_block]</t>
    <phoneticPr fontId="22"/>
  </si>
  <si>
    <t>CP→Mとボム→M (各1つずつ)</t>
    <phoneticPr fontId="22"/>
  </si>
  <si>
    <t>CP→CBPとボム→CBP 部分変換</t>
    <rPh sb="14" eb="16">
      <t>ブブn</t>
    </rPh>
    <rPh sb="16" eb="18">
      <t>ヘンカn</t>
    </rPh>
    <phoneticPr fontId="22"/>
  </si>
  <si>
    <t>C→通常 CB→通常を部分変換、ボム→通常 マグネット→通常を部分変換</t>
    <rPh sb="11" eb="15">
      <t>ブブn</t>
    </rPh>
    <rPh sb="31" eb="35">
      <t>ブブn</t>
    </rPh>
    <phoneticPr fontId="22"/>
  </si>
  <si>
    <t>ターン回復設定</t>
    <rPh sb="5" eb="7">
      <t>セッテ</t>
    </rPh>
    <phoneticPr fontId="22"/>
  </si>
  <si>
    <t>[effect:freq_sp_turn, target:myself, turn:2, count:3]</t>
    <phoneticPr fontId="22"/>
  </si>
  <si>
    <t>HP50%以下 フィーバードロップ変更</t>
    <rPh sb="5" eb="7">
      <t>イカ</t>
    </rPh>
    <phoneticPr fontId="22"/>
  </si>
  <si>
    <t>HPが50%以下の時、フィーバー時に回復パネルが高確率でドロップする</t>
    <rPh sb="6" eb="8">
      <t>イk</t>
    </rPh>
    <rPh sb="16" eb="17">
      <t>ジn</t>
    </rPh>
    <rPh sb="18" eb="20">
      <t>カイフk</t>
    </rPh>
    <rPh sb="24" eb="27">
      <t>コウカクリt</t>
    </rPh>
    <phoneticPr fontId="22"/>
  </si>
  <si>
    <t>[condition:hp_rate,upper:50]</t>
    <phoneticPr fontId="22"/>
  </si>
  <si>
    <t>[effect:fever_drop_block, target:unit_all, turn:-1, block_type:normal, rate:0.95],[effect:fever_drop_block, target:unit_all, turn:-1, block_type:heal, rate:1.55]</t>
    <phoneticPr fontId="22"/>
  </si>
  <si>
    <t>最終決定</t>
    <rPh sb="0" eb="4">
      <t>サイシュ</t>
    </rPh>
    <phoneticPr fontId="22"/>
  </si>
  <si>
    <t>残HP20%減少+C･CB･マグネット･黄･赤･緑以外を最大6個ずつC(大)･赤･緑変換+1ターン黄属性タップ1増加、ハート出現しない</t>
    <rPh sb="36" eb="37">
      <t>ダイ</t>
    </rPh>
    <phoneticPr fontId="22"/>
  </si>
  <si>
    <t>[effect:hp_spend, val:0.2, hpSpend_type:2, animation:spend_hp],[effect:force_change_block, new_block:crash, target:block_all, ignore01:crash, ignore02:color_break, ignore03:magnet, ignore04:block_yellow, ignore05:block_red, ignore06:block_green, count:6, val:10, animation:change_block],[effect:force_change_block, new_block:block_red, target:block_all, ignore01:crash, ignore02:color_break, ignore03:magnet, ignore04:block_yellow, ignore05:block_red, ignore06:block_green, count:6, val:0, animation:change_block],[effect:force_change_block, new_block:block_green, target:block_all, ignore01:crash, ignore02:color_break, ignore03:magnet, ignore04:block_yellow, ignore05:block_red, ignore06:block_green, count:6, val:0, animation:change_block],[effect:enhance_unit, target:unit_yellow, turn:1, status:action, val:1, calc:add, animation:enhance_unit_one_action01],[effect:change_panel_ratio, turn:1, block_type:heal, val:0]</t>
    <phoneticPr fontId="22"/>
  </si>
  <si>
    <t>1体に特大ダメージ</t>
    <phoneticPr fontId="22"/>
  </si>
  <si>
    <t>[effect:damage, target:enemy_one, color:yellow, val:2.25, animation:damage_one_yellow04]</t>
    <phoneticPr fontId="22"/>
  </si>
  <si>
    <t>[effect:force_change_block, new_block:block_blue, target:block_yellow, count:0, val:0, animation:change_block],[effect:force_change_block, new_block:block_blue, target:block_heart, count:0, val:0, animation:change_block],[effect:drop_block, block_type:crack_bomb, block_color:block_blue, color:block_all, val:12, rate:0.16, turn:2, animation:bomb_influence04]</t>
    <phoneticPr fontId="22"/>
  </si>
  <si>
    <t>黄・ハートパネルを青パネルに変換+2ターンの間確率で青ボムパネルをドロップ</t>
    <phoneticPr fontId="22"/>
  </si>
  <si>
    <t>[effect:damage, target:enemy_one, color:blue, val:1.5, animation:damage_one_blue04],[effect:heal_ratio, val:0.18, animation:heal02_unit01]</t>
    <phoneticPr fontId="22"/>
  </si>
  <si>
    <t>1体に特大ダメージ+HP回復</t>
    <phoneticPr fontId="22"/>
  </si>
  <si>
    <t>HP50%以下 回復力UP</t>
    <phoneticPr fontId="22"/>
  </si>
  <si>
    <t>[condition:hp_rate,upper:50]</t>
    <phoneticPr fontId="22"/>
  </si>
  <si>
    <t>残りHPが50%以下の時、全ユニットの回復力15%UP</t>
    <phoneticPr fontId="22"/>
  </si>
  <si>
    <t>[effect:enhance_unit, target:unit_all, turn:1, status:heal, val:0.15, calc:mul, animation:enhance_unit_all_heal02_unit01]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</si>
</sst>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4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3" fillId="26" borderId="4" xfId="0" applyFont="1" applyFill="1" applyBorder="1" applyAlignment="1">
      <alignment horizontal="center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16" fillId="0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vertical="center"/>
    </xf>
    <xf numFmtId="49" fontId="12" fillId="0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 wrapText="1"/>
    </xf>
    <xf numFmtId="0" fontId="25" fillId="14" borderId="7" xfId="0" applyFont="1" applyFill="1" applyBorder="1" applyAlignment="1">
      <alignment vertical="center" wrapText="1"/>
    </xf>
    <xf numFmtId="0" fontId="12" fillId="22" borderId="4" xfId="0" applyNumberFormat="1" applyFont="1" applyFill="1" applyBorder="1" applyAlignment="1">
      <alignment vertical="center"/>
    </xf>
    <xf numFmtId="0" fontId="29" fillId="14" borderId="4" xfId="0" applyFont="1" applyFill="1" applyBorder="1" applyAlignment="1">
      <alignment vertical="center"/>
    </xf>
    <xf numFmtId="0" fontId="16" fillId="14" borderId="4" xfId="0" applyFont="1" applyFill="1" applyBorder="1" applyAlignment="1">
      <alignment horizontal="right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4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  <cell r="N896" t="str">
            <v>ヒューマン</v>
          </cell>
          <cell r="O896" t="str">
            <v>none</v>
          </cell>
          <cell r="P896" t="str">
            <v>種族なし</v>
          </cell>
          <cell r="Q896" t="str">
            <v>アタッカー</v>
          </cell>
          <cell r="R896">
            <v>1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  <cell r="N899" t="str">
            <v>ヒューマン</v>
          </cell>
          <cell r="O899" t="str">
            <v>none</v>
          </cell>
          <cell r="P899" t="str">
            <v>種族なし</v>
          </cell>
          <cell r="Q899" t="str">
            <v>アタッカー</v>
          </cell>
          <cell r="R899">
            <v>1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  <cell r="N1343" t="str">
            <v>ヒューマン</v>
          </cell>
          <cell r="O1343" t="str">
            <v>none</v>
          </cell>
          <cell r="P1343" t="str">
            <v>種族なし</v>
          </cell>
          <cell r="R1343">
            <v>1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  <cell r="N1344" t="str">
            <v>ヒューマン</v>
          </cell>
          <cell r="O1344" t="str">
            <v>none</v>
          </cell>
          <cell r="P1344" t="str">
            <v>種族なし</v>
          </cell>
          <cell r="R1344">
            <v>1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</row>
        <row r="1347">
          <cell r="A1347">
            <v>1346</v>
          </cell>
          <cell r="B1347" t="str">
            <v>ja</v>
          </cell>
          <cell r="C1347" t="str">
            <v>セルシウスR5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1</v>
          </cell>
        </row>
        <row r="1348">
          <cell r="A1348">
            <v>1347</v>
          </cell>
          <cell r="B1348" t="str">
            <v>ja</v>
          </cell>
          <cell r="C1348" t="str">
            <v>セルシウスR6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1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none</v>
          </cell>
          <cell r="P1392" t="str">
            <v>種族なし</v>
          </cell>
          <cell r="R1392">
            <v>3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1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1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none</v>
          </cell>
          <cell r="P1434" t="str">
            <v>種族なし</v>
          </cell>
          <cell r="R1434">
            <v>3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none</v>
          </cell>
          <cell r="P1435" t="str">
            <v>種族なし</v>
          </cell>
          <cell r="R1435">
            <v>3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2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2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2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2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2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2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2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2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2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2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2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2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2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  <cell r="N1562" t="str">
            <v>アカデミア</v>
          </cell>
          <cell r="O1562" t="str">
            <v>none</v>
          </cell>
          <cell r="P1562" t="str">
            <v>種族なし</v>
          </cell>
          <cell r="Q1562" t="str">
            <v>アタッカー</v>
          </cell>
          <cell r="R1562">
            <v>1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  <cell r="N1563" t="str">
            <v>アカデミア</v>
          </cell>
          <cell r="O1563" t="str">
            <v>none</v>
          </cell>
          <cell r="P1563" t="str">
            <v>種族なし</v>
          </cell>
          <cell r="Q1563" t="str">
            <v>アタッカー</v>
          </cell>
          <cell r="R1563">
            <v>1</v>
          </cell>
        </row>
        <row r="1564">
          <cell r="A1564">
            <v>1687</v>
          </cell>
          <cell r="B1564" t="str">
            <v>ja</v>
          </cell>
          <cell r="C1564" t="str">
            <v>ファルネーゼ</v>
          </cell>
          <cell r="H1564" t="str">
            <v>green</v>
          </cell>
          <cell r="I1564">
            <v>5</v>
          </cell>
          <cell r="J1564" t="str">
            <v>DropWizS</v>
          </cell>
          <cell r="K1564" t="str">
            <v>balance</v>
          </cell>
          <cell r="L1564" t="str">
            <v>バランスタイプ</v>
          </cell>
          <cell r="M1564" t="str">
            <v>human</v>
          </cell>
          <cell r="N1564" t="str">
            <v>ヒューマン</v>
          </cell>
          <cell r="O1564" t="str">
            <v>none</v>
          </cell>
          <cell r="P1564" t="str">
            <v>種族なし</v>
          </cell>
          <cell r="R1564">
            <v>1</v>
          </cell>
        </row>
        <row r="1565">
          <cell r="A1565">
            <v>1688</v>
          </cell>
          <cell r="B1565" t="str">
            <v>ja</v>
          </cell>
          <cell r="C1565" t="str">
            <v>ファルネーゼ・ロッソ</v>
          </cell>
          <cell r="H1565" t="str">
            <v>red</v>
          </cell>
          <cell r="I1565">
            <v>6</v>
          </cell>
          <cell r="J1565" t="str">
            <v>DropWizS</v>
          </cell>
          <cell r="K1565" t="str">
            <v>balance</v>
          </cell>
          <cell r="L1565" t="str">
            <v>バランスタイプ</v>
          </cell>
          <cell r="M1565" t="str">
            <v>human</v>
          </cell>
          <cell r="N1565" t="str">
            <v>ヒューマン</v>
          </cell>
          <cell r="O1565" t="str">
            <v>none</v>
          </cell>
          <cell r="P1565" t="str">
            <v>種族なし</v>
          </cell>
          <cell r="R1565">
            <v>1</v>
          </cell>
        </row>
        <row r="1566">
          <cell r="A1566">
            <v>1689</v>
          </cell>
          <cell r="B1566" t="str">
            <v>ja</v>
          </cell>
          <cell r="C1566" t="str">
            <v>ファルネーゼ・ヴェルデ</v>
          </cell>
          <cell r="H1566" t="str">
            <v>green</v>
          </cell>
          <cell r="I1566">
            <v>6</v>
          </cell>
          <cell r="J1566" t="str">
            <v>DropWizS</v>
          </cell>
          <cell r="K1566" t="str">
            <v>balance</v>
          </cell>
          <cell r="L1566" t="str">
            <v>バランスタイプ</v>
          </cell>
          <cell r="M1566" t="str">
            <v>human</v>
          </cell>
          <cell r="N1566" t="str">
            <v>ヒューマン</v>
          </cell>
          <cell r="O1566" t="str">
            <v>none</v>
          </cell>
          <cell r="P1566" t="str">
            <v>種族なし</v>
          </cell>
          <cell r="R1566">
            <v>1</v>
          </cell>
        </row>
        <row r="1567">
          <cell r="A1567">
            <v>1690</v>
          </cell>
          <cell r="B1567" t="str">
            <v>ja</v>
          </cell>
          <cell r="C1567" t="str">
            <v>ファルネーゼ・アズロ</v>
          </cell>
          <cell r="H1567" t="str">
            <v>blue</v>
          </cell>
          <cell r="I1567">
            <v>6</v>
          </cell>
          <cell r="J1567" t="str">
            <v>DropWizS</v>
          </cell>
          <cell r="K1567" t="str">
            <v>balance</v>
          </cell>
          <cell r="L1567" t="str">
            <v>バランスタイプ</v>
          </cell>
          <cell r="M1567" t="str">
            <v>human</v>
          </cell>
          <cell r="N1567" t="str">
            <v>ヒューマン</v>
          </cell>
          <cell r="O1567" t="str">
            <v>none</v>
          </cell>
          <cell r="P1567" t="str">
            <v>種族なし</v>
          </cell>
          <cell r="R1567">
            <v>1</v>
          </cell>
        </row>
        <row r="1568">
          <cell r="A1568">
            <v>1691</v>
          </cell>
          <cell r="B1568" t="str">
            <v>ja</v>
          </cell>
          <cell r="C1568" t="str">
            <v>ファルネーゼ・ジャロ</v>
          </cell>
          <cell r="H1568" t="str">
            <v>yellow</v>
          </cell>
          <cell r="I1568">
            <v>6</v>
          </cell>
          <cell r="J1568" t="str">
            <v>DropWizS</v>
          </cell>
          <cell r="K1568" t="str">
            <v>balance</v>
          </cell>
          <cell r="L1568" t="str">
            <v>バランスタイプ</v>
          </cell>
          <cell r="M1568" t="str">
            <v>human</v>
          </cell>
          <cell r="N1568" t="str">
            <v>ヒューマン</v>
          </cell>
          <cell r="O1568" t="str">
            <v>none</v>
          </cell>
          <cell r="P1568" t="str">
            <v>種族なし</v>
          </cell>
          <cell r="R1568">
            <v>1</v>
          </cell>
        </row>
        <row r="1569">
          <cell r="A1569">
            <v>5001</v>
          </cell>
          <cell r="B1569" t="str">
            <v>ja</v>
          </cell>
          <cell r="C1569" t="str">
            <v>ガルーダ</v>
          </cell>
          <cell r="D1569" t="str">
            <v>ノーマルクエスト</v>
          </cell>
          <cell r="E1569" t="str">
            <v>QoH</v>
          </cell>
          <cell r="F1569" t="str">
            <v>世界観</v>
          </cell>
          <cell r="G1569" t="str">
            <v>不明</v>
          </cell>
          <cell r="H1569" t="str">
            <v>red</v>
          </cell>
          <cell r="I1569">
            <v>5</v>
          </cell>
          <cell r="J1569" t="str">
            <v>PremiumSSw</v>
          </cell>
          <cell r="K1569" t="str">
            <v>attack</v>
          </cell>
          <cell r="L1569" t="str">
            <v>攻撃タイプ</v>
          </cell>
          <cell r="M1569" t="str">
            <v>god</v>
          </cell>
          <cell r="N1569" t="str">
            <v>ゴッド</v>
          </cell>
          <cell r="O1569" t="str">
            <v>animal</v>
          </cell>
          <cell r="P1569" t="str">
            <v>アニマル</v>
          </cell>
          <cell r="Q1569" t="str">
            <v>アタッカー</v>
          </cell>
          <cell r="R1569">
            <v>3</v>
          </cell>
        </row>
        <row r="1570">
          <cell r="A1570">
            <v>5002</v>
          </cell>
          <cell r="B1570" t="str">
            <v>ja</v>
          </cell>
          <cell r="C1570" t="str">
            <v>光輝する美翼聖鳥 ガルーダ</v>
          </cell>
          <cell r="D1570" t="str">
            <v>ノーマルクエスト</v>
          </cell>
          <cell r="E1570" t="str">
            <v>アバター</v>
          </cell>
          <cell r="F1570" t="str">
            <v>世界観</v>
          </cell>
          <cell r="G1570" t="str">
            <v>男性</v>
          </cell>
          <cell r="H1570" t="str">
            <v>red</v>
          </cell>
          <cell r="I1570">
            <v>6</v>
          </cell>
          <cell r="J1570" t="str">
            <v>PremiumSSw</v>
          </cell>
          <cell r="K1570" t="str">
            <v>attack</v>
          </cell>
          <cell r="L1570" t="str">
            <v>攻撃タイプ</v>
          </cell>
          <cell r="M1570" t="str">
            <v>god</v>
          </cell>
          <cell r="N1570" t="str">
            <v>ゴッド</v>
          </cell>
          <cell r="O1570" t="str">
            <v>animal</v>
          </cell>
          <cell r="P1570" t="str">
            <v>アニマル</v>
          </cell>
          <cell r="Q1570" t="str">
            <v>アタッカー</v>
          </cell>
          <cell r="R1570">
            <v>3</v>
          </cell>
        </row>
        <row r="1571">
          <cell r="A1571">
            <v>5003</v>
          </cell>
          <cell r="B1571" t="str">
            <v>ja</v>
          </cell>
          <cell r="C1571" t="str">
            <v>ナーガ</v>
          </cell>
          <cell r="D1571" t="str">
            <v>リンクガチャ:4神</v>
          </cell>
          <cell r="E1571" t="str">
            <v>守護神</v>
          </cell>
          <cell r="F1571" t="str">
            <v>格好いい</v>
          </cell>
          <cell r="G1571" t="str">
            <v>不明</v>
          </cell>
          <cell r="H1571" t="str">
            <v>green</v>
          </cell>
          <cell r="I1571">
            <v>5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animal</v>
          </cell>
          <cell r="N1571" t="str">
            <v>アニマル</v>
          </cell>
          <cell r="O1571" t="str">
            <v>dragon</v>
          </cell>
          <cell r="P1571" t="str">
            <v>ドラゴン</v>
          </cell>
          <cell r="Q1571" t="str">
            <v>アタッカー</v>
          </cell>
          <cell r="R1571">
            <v>3</v>
          </cell>
        </row>
        <row r="1572">
          <cell r="A1572">
            <v>5004</v>
          </cell>
          <cell r="B1572" t="str">
            <v>ja</v>
          </cell>
          <cell r="C1572" t="str">
            <v>深淵翠緑 ナーガ</v>
          </cell>
          <cell r="D1572" t="str">
            <v>ノーマルクエスト</v>
          </cell>
          <cell r="E1572" t="str">
            <v>アバター</v>
          </cell>
          <cell r="F1572" t="str">
            <v>世界観</v>
          </cell>
          <cell r="G1572" t="str">
            <v>不明</v>
          </cell>
          <cell r="H1572" t="str">
            <v>green</v>
          </cell>
          <cell r="I1572">
            <v>6</v>
          </cell>
          <cell r="J1572" t="str">
            <v>DropWizS</v>
          </cell>
          <cell r="K1572" t="str">
            <v>technical</v>
          </cell>
          <cell r="L1572" t="str">
            <v>テクニカルタイプ</v>
          </cell>
          <cell r="M1572" t="str">
            <v>animal</v>
          </cell>
          <cell r="N1572" t="str">
            <v>アニマル</v>
          </cell>
          <cell r="O1572" t="str">
            <v>dragon</v>
          </cell>
          <cell r="P1572" t="str">
            <v>ドラゴン</v>
          </cell>
          <cell r="Q1572" t="str">
            <v>アタッカー</v>
          </cell>
          <cell r="R1572">
            <v>3</v>
          </cell>
        </row>
        <row r="1573">
          <cell r="A1573">
            <v>5005</v>
          </cell>
          <cell r="B1573" t="str">
            <v>ja</v>
          </cell>
          <cell r="C1573" t="str">
            <v>カーミラ</v>
          </cell>
          <cell r="D1573" t="str">
            <v>ノーマルクエスト</v>
          </cell>
          <cell r="E1573" t="str">
            <v>QoH</v>
          </cell>
          <cell r="F1573" t="str">
            <v>世界観</v>
          </cell>
          <cell r="G1573" t="str">
            <v>不明</v>
          </cell>
          <cell r="H1573" t="str">
            <v>green</v>
          </cell>
          <cell r="I1573">
            <v>5</v>
          </cell>
          <cell r="J1573" t="str">
            <v>PremiumSSw</v>
          </cell>
          <cell r="K1573" t="str">
            <v>balance</v>
          </cell>
          <cell r="L1573" t="str">
            <v>バランスタイプ</v>
          </cell>
          <cell r="M1573" t="str">
            <v>demon</v>
          </cell>
          <cell r="N1573" t="str">
            <v>デーモン</v>
          </cell>
          <cell r="O1573" t="str">
            <v>none</v>
          </cell>
          <cell r="P1573" t="str">
            <v>種族なし</v>
          </cell>
          <cell r="Q1573" t="str">
            <v>アタッカー</v>
          </cell>
          <cell r="R1573">
            <v>1</v>
          </cell>
        </row>
        <row r="1574">
          <cell r="A1574">
            <v>5006</v>
          </cell>
          <cell r="B1574" t="str">
            <v>ja</v>
          </cell>
          <cell r="C1574" t="str">
            <v>カーミラ★６</v>
          </cell>
          <cell r="D1574" t="str">
            <v>ノーマルクエスト</v>
          </cell>
          <cell r="E1574" t="str">
            <v>アバター</v>
          </cell>
          <cell r="F1574" t="str">
            <v>世界観</v>
          </cell>
          <cell r="G1574" t="str">
            <v>男性</v>
          </cell>
          <cell r="H1574" t="str">
            <v>green</v>
          </cell>
          <cell r="I1574">
            <v>6</v>
          </cell>
          <cell r="J1574" t="str">
            <v>PremiumSSw</v>
          </cell>
          <cell r="K1574" t="str">
            <v>balance</v>
          </cell>
          <cell r="L1574" t="str">
            <v>バランスタイプ</v>
          </cell>
          <cell r="M1574" t="str">
            <v>demon</v>
          </cell>
          <cell r="N1574" t="str">
            <v>デーモン</v>
          </cell>
          <cell r="O1574" t="str">
            <v>none</v>
          </cell>
          <cell r="P1574" t="str">
            <v>種族なし</v>
          </cell>
          <cell r="Q1574" t="str">
            <v>アタッカー</v>
          </cell>
          <cell r="R1574">
            <v>1</v>
          </cell>
        </row>
        <row r="1575">
          <cell r="A1575">
            <v>5007</v>
          </cell>
          <cell r="B1575" t="str">
            <v>ja</v>
          </cell>
          <cell r="C1575" t="str">
            <v>ヘルシング</v>
          </cell>
          <cell r="D1575" t="str">
            <v>リンクガチャ:4神</v>
          </cell>
          <cell r="E1575" t="str">
            <v>守護神</v>
          </cell>
          <cell r="F1575" t="str">
            <v>格好いい</v>
          </cell>
          <cell r="G1575" t="str">
            <v>不明</v>
          </cell>
          <cell r="H1575" t="str">
            <v>yellow</v>
          </cell>
          <cell r="I1575">
            <v>5</v>
          </cell>
          <cell r="J1575" t="str">
            <v>DropWizS</v>
          </cell>
          <cell r="K1575" t="str">
            <v>technical</v>
          </cell>
          <cell r="L1575" t="str">
            <v>テクニカルタイプ</v>
          </cell>
          <cell r="M1575" t="str">
            <v>human</v>
          </cell>
          <cell r="N1575" t="str">
            <v>ヒューマン</v>
          </cell>
          <cell r="O1575" t="str">
            <v>none</v>
          </cell>
          <cell r="P1575" t="str">
            <v>種族なし</v>
          </cell>
          <cell r="Q1575" t="str">
            <v>アタッカー</v>
          </cell>
          <cell r="R1575">
            <v>1</v>
          </cell>
        </row>
        <row r="1576">
          <cell r="A1576">
            <v>5008</v>
          </cell>
          <cell r="B1576" t="str">
            <v>ja</v>
          </cell>
          <cell r="C1576" t="str">
            <v>ヘルシング★６</v>
          </cell>
          <cell r="D1576" t="str">
            <v>ノーマルクエスト</v>
          </cell>
          <cell r="E1576" t="str">
            <v>アバター</v>
          </cell>
          <cell r="F1576" t="str">
            <v>世界観</v>
          </cell>
          <cell r="G1576" t="str">
            <v>不明</v>
          </cell>
          <cell r="H1576" t="str">
            <v>yellow</v>
          </cell>
          <cell r="I1576">
            <v>6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human</v>
          </cell>
          <cell r="N1576" t="str">
            <v>ヒューマン</v>
          </cell>
          <cell r="O1576" t="str">
            <v>none</v>
          </cell>
          <cell r="P1576" t="str">
            <v>種族なし</v>
          </cell>
          <cell r="Q1576" t="str">
            <v>アタッカー</v>
          </cell>
          <cell r="R1576">
            <v>1</v>
          </cell>
        </row>
        <row r="1577">
          <cell r="A1577">
            <v>6001</v>
          </cell>
          <cell r="B1577" t="str">
            <v>ja</v>
          </cell>
          <cell r="C1577" t="str">
            <v>ジェリー</v>
          </cell>
          <cell r="D1577" t="str">
            <v>ノーマルクエスト</v>
          </cell>
          <cell r="E1577" t="str">
            <v>QoH</v>
          </cell>
          <cell r="F1577" t="str">
            <v>世界観</v>
          </cell>
          <cell r="G1577" t="str">
            <v>不明</v>
          </cell>
          <cell r="H1577" t="str">
            <v>red</v>
          </cell>
          <cell r="I1577">
            <v>1</v>
          </cell>
          <cell r="J1577" t="str">
            <v>Drop1T</v>
          </cell>
          <cell r="K1577" t="str">
            <v>ra</v>
          </cell>
          <cell r="L1577" t="str">
            <v>ラグランジュチャレンジ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Q1577" t="str">
            <v>アタッカー</v>
          </cell>
          <cell r="R1577">
            <v>3</v>
          </cell>
        </row>
        <row r="1578">
          <cell r="A1578">
            <v>6002</v>
          </cell>
          <cell r="B1578" t="str">
            <v>ja</v>
          </cell>
          <cell r="C1578" t="str">
            <v>ヨシタカ</v>
          </cell>
          <cell r="D1578" t="str">
            <v>ノーマルクエスト</v>
          </cell>
          <cell r="E1578" t="str">
            <v>アバター</v>
          </cell>
          <cell r="F1578" t="str">
            <v>世界観</v>
          </cell>
          <cell r="G1578" t="str">
            <v>男性</v>
          </cell>
          <cell r="H1578" t="str">
            <v>red</v>
          </cell>
          <cell r="I1578">
            <v>2</v>
          </cell>
          <cell r="J1578" t="str">
            <v>Drop1N</v>
          </cell>
          <cell r="K1578" t="str">
            <v>ra</v>
          </cell>
          <cell r="L1578" t="str">
            <v>ラグランジュチャレンジ</v>
          </cell>
          <cell r="M1578" t="str">
            <v>human</v>
          </cell>
          <cell r="N1578" t="str">
            <v>ヒューマン</v>
          </cell>
          <cell r="O1578" t="str">
            <v>none</v>
          </cell>
          <cell r="P1578" t="str">
            <v>種族なし</v>
          </cell>
          <cell r="Q1578" t="str">
            <v>バッファー</v>
          </cell>
          <cell r="R1578">
            <v>3</v>
          </cell>
        </row>
        <row r="1579">
          <cell r="A1579">
            <v>6003</v>
          </cell>
          <cell r="B1579" t="str">
            <v>ja</v>
          </cell>
          <cell r="C1579" t="str">
            <v>朱雀</v>
          </cell>
          <cell r="D1579" t="str">
            <v>リンクガチャ:4神</v>
          </cell>
          <cell r="E1579" t="str">
            <v>守護神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3</v>
          </cell>
          <cell r="J1579" t="str">
            <v>Drop2N</v>
          </cell>
          <cell r="K1579" t="str">
            <v>ra</v>
          </cell>
          <cell r="L1579" t="str">
            <v>ラグランジュチャレンジ</v>
          </cell>
          <cell r="M1579" t="str">
            <v>animal</v>
          </cell>
          <cell r="N1579" t="str">
            <v>アニマル</v>
          </cell>
          <cell r="O1579" t="str">
            <v>god</v>
          </cell>
          <cell r="P1579" t="str">
            <v>ゴッド</v>
          </cell>
          <cell r="Q1579" t="str">
            <v>アタッカー</v>
          </cell>
          <cell r="R1579">
            <v>3</v>
          </cell>
        </row>
        <row r="1580">
          <cell r="A1580">
            <v>6004</v>
          </cell>
          <cell r="B1580" t="str">
            <v>ja</v>
          </cell>
          <cell r="C1580" t="str">
            <v>ブレット</v>
          </cell>
          <cell r="D1580" t="str">
            <v>ノーマルクエスト</v>
          </cell>
          <cell r="E1580" t="str">
            <v>アバター</v>
          </cell>
          <cell r="F1580" t="str">
            <v>世界観</v>
          </cell>
          <cell r="G1580" t="str">
            <v>不明</v>
          </cell>
          <cell r="H1580" t="str">
            <v>red</v>
          </cell>
          <cell r="I1580">
            <v>1</v>
          </cell>
          <cell r="J1580" t="str">
            <v>Drop1W</v>
          </cell>
          <cell r="K1580" t="str">
            <v>ra</v>
          </cell>
          <cell r="L1580" t="str">
            <v>ラグランジュチャレンジ</v>
          </cell>
          <cell r="M1580" t="str">
            <v>animal</v>
          </cell>
          <cell r="N1580" t="str">
            <v>アニマル</v>
          </cell>
          <cell r="O1580" t="str">
            <v>none</v>
          </cell>
          <cell r="P1580" t="str">
            <v>種族なし</v>
          </cell>
          <cell r="Q1580" t="str">
            <v>アタッカー</v>
          </cell>
          <cell r="R1580">
            <v>3</v>
          </cell>
        </row>
        <row r="1581">
          <cell r="A1581">
            <v>6005</v>
          </cell>
          <cell r="B1581" t="str">
            <v>ja</v>
          </cell>
          <cell r="C1581" t="str">
            <v>孤神 テティス</v>
          </cell>
          <cell r="D1581" t="str">
            <v>初期ガチャ</v>
          </cell>
          <cell r="E1581" t="str">
            <v>管理者</v>
          </cell>
          <cell r="F1581" t="str">
            <v>美しい</v>
          </cell>
          <cell r="G1581" t="str">
            <v>女性</v>
          </cell>
          <cell r="H1581" t="str">
            <v>blue</v>
          </cell>
          <cell r="I1581">
            <v>4</v>
          </cell>
          <cell r="J1581" t="str">
            <v>PremiumN</v>
          </cell>
          <cell r="K1581" t="str">
            <v>ra</v>
          </cell>
          <cell r="L1581" t="str">
            <v>ラグランジュチャレンジ</v>
          </cell>
          <cell r="M1581" t="str">
            <v>god</v>
          </cell>
          <cell r="N1581" t="str">
            <v>ゴッド</v>
          </cell>
          <cell r="O1581" t="str">
            <v>none</v>
          </cell>
          <cell r="P1581" t="str">
            <v>種族なし</v>
          </cell>
          <cell r="Q1581" t="str">
            <v>アタッカー</v>
          </cell>
          <cell r="R1581">
            <v>3</v>
          </cell>
        </row>
        <row r="1582">
          <cell r="A1582">
            <v>6006</v>
          </cell>
          <cell r="B1582" t="str">
            <v>ja</v>
          </cell>
          <cell r="C1582" t="str">
            <v>海底の孤高神 テティス</v>
          </cell>
          <cell r="D1582" t="str">
            <v>初期ガチャ</v>
          </cell>
          <cell r="E1582" t="str">
            <v>管理者</v>
          </cell>
          <cell r="F1582" t="str">
            <v>美しい</v>
          </cell>
          <cell r="G1582" t="str">
            <v>女性</v>
          </cell>
          <cell r="H1582" t="str">
            <v>blue</v>
          </cell>
          <cell r="I1582">
            <v>5</v>
          </cell>
          <cell r="J1582" t="str">
            <v>PremiumN</v>
          </cell>
          <cell r="K1582" t="str">
            <v>ra</v>
          </cell>
          <cell r="L1582" t="str">
            <v>ラグランジュチャレンジ</v>
          </cell>
          <cell r="M1582" t="str">
            <v>god</v>
          </cell>
          <cell r="N1582" t="str">
            <v>ゴッド</v>
          </cell>
          <cell r="O1582" t="str">
            <v>none</v>
          </cell>
          <cell r="P1582" t="str">
            <v>種族なし</v>
          </cell>
          <cell r="Q1582" t="str">
            <v>アタッカー</v>
          </cell>
          <cell r="R1582">
            <v>3</v>
          </cell>
        </row>
        <row r="1583">
          <cell r="A1583">
            <v>6007</v>
          </cell>
          <cell r="B1583" t="str">
            <v>ja</v>
          </cell>
          <cell r="C1583" t="str">
            <v>番犬 ケルベロス</v>
          </cell>
          <cell r="D1583" t="str">
            <v>初期ガチャ</v>
          </cell>
          <cell r="E1583" t="str">
            <v>破界者</v>
          </cell>
          <cell r="F1583" t="str">
            <v>可愛い</v>
          </cell>
          <cell r="G1583" t="str">
            <v>女性</v>
          </cell>
          <cell r="H1583" t="str">
            <v>red</v>
          </cell>
          <cell r="I1583">
            <v>4</v>
          </cell>
          <cell r="J1583" t="str">
            <v>PremiumN</v>
          </cell>
          <cell r="K1583" t="str">
            <v>ra</v>
          </cell>
          <cell r="L1583" t="str">
            <v>ラグランジュチャレンジ</v>
          </cell>
          <cell r="M1583" t="str">
            <v>animal</v>
          </cell>
          <cell r="N1583" t="str">
            <v>アニマル</v>
          </cell>
          <cell r="O1583" t="str">
            <v>none</v>
          </cell>
          <cell r="P1583" t="str">
            <v>種族なし</v>
          </cell>
          <cell r="Q1583" t="str">
            <v>バッファー</v>
          </cell>
          <cell r="R1583">
            <v>3</v>
          </cell>
        </row>
        <row r="1584">
          <cell r="A1584">
            <v>6008</v>
          </cell>
          <cell r="B1584" t="str">
            <v>ja</v>
          </cell>
          <cell r="C1584" t="str">
            <v>焔神 プロメテウス</v>
          </cell>
          <cell r="D1584" t="str">
            <v>初期ガチャ</v>
          </cell>
          <cell r="E1584" t="str">
            <v>管理者</v>
          </cell>
          <cell r="F1584" t="str">
            <v>格好いい</v>
          </cell>
          <cell r="G1584" t="str">
            <v>男性</v>
          </cell>
          <cell r="H1584" t="str">
            <v>red</v>
          </cell>
          <cell r="I1584">
            <v>4</v>
          </cell>
          <cell r="J1584" t="str">
            <v>PremiumN</v>
          </cell>
          <cell r="K1584" t="str">
            <v>ra</v>
          </cell>
          <cell r="L1584" t="str">
            <v>ラグランジュチャレンジ</v>
          </cell>
          <cell r="M1584" t="str">
            <v>god</v>
          </cell>
          <cell r="N1584" t="str">
            <v>ゴッド</v>
          </cell>
          <cell r="O1584" t="str">
            <v>none</v>
          </cell>
          <cell r="P1584" t="str">
            <v>種族なし</v>
          </cell>
          <cell r="Q1584" t="str">
            <v>アタッカー</v>
          </cell>
          <cell r="R1584">
            <v>3</v>
          </cell>
        </row>
        <row r="1585">
          <cell r="A1585">
            <v>6009</v>
          </cell>
          <cell r="B1585" t="str">
            <v>ja</v>
          </cell>
          <cell r="C1585" t="str">
            <v>超越自我 ラグランジュ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5</v>
          </cell>
          <cell r="J1585" t="str">
            <v>PremiumSSS</v>
          </cell>
          <cell r="K1585" t="str">
            <v>ra</v>
          </cell>
          <cell r="L1585" t="str">
            <v>ラグランジュチャレンジ</v>
          </cell>
          <cell r="M1585" t="str">
            <v>human</v>
          </cell>
          <cell r="N1585" t="str">
            <v>ヒューマン</v>
          </cell>
          <cell r="O1585" t="str">
            <v>none</v>
          </cell>
          <cell r="P1585" t="str">
            <v>種族なし</v>
          </cell>
          <cell r="Q1585" t="str">
            <v>アタッカー</v>
          </cell>
          <cell r="R1585">
            <v>3</v>
          </cell>
        </row>
        <row r="1586">
          <cell r="A1586">
            <v>6010</v>
          </cell>
          <cell r="B1586" t="str">
            <v>ja</v>
          </cell>
          <cell r="C1586" t="str">
            <v>超越凌駕 ラグランジュ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red</v>
          </cell>
          <cell r="I1586">
            <v>6</v>
          </cell>
          <cell r="J1586" t="str">
            <v>PremiumSSS</v>
          </cell>
          <cell r="K1586" t="str">
            <v>ra</v>
          </cell>
          <cell r="L1586" t="str">
            <v>ラグランジュチャレンジ</v>
          </cell>
          <cell r="M1586" t="str">
            <v>human</v>
          </cell>
          <cell r="N1586" t="str">
            <v>ヒューマン</v>
          </cell>
          <cell r="O1586" t="str">
            <v>none</v>
          </cell>
          <cell r="P1586" t="str">
            <v>種族なし</v>
          </cell>
          <cell r="Q1586" t="str">
            <v>アタッカー</v>
          </cell>
          <cell r="R1586">
            <v>3</v>
          </cell>
        </row>
        <row r="1587">
          <cell r="A1587">
            <v>6011</v>
          </cell>
          <cell r="B1587" t="str">
            <v>ja</v>
          </cell>
          <cell r="C1587" t="str">
            <v>パトドッグリーダー ポチ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2</v>
          </cell>
          <cell r="J1587" t="str">
            <v>Drop1T</v>
          </cell>
          <cell r="K1587" t="str">
            <v>ra002</v>
          </cell>
          <cell r="L1587" t="str">
            <v>ユークリッドチャレンジ</v>
          </cell>
          <cell r="M1587" t="str">
            <v>unknown</v>
          </cell>
          <cell r="N1587" t="str">
            <v>Unknown</v>
          </cell>
          <cell r="O1587" t="str">
            <v>none</v>
          </cell>
          <cell r="P1587" t="str">
            <v>種族なし</v>
          </cell>
          <cell r="Q1587" t="str">
            <v>アタッカー</v>
          </cell>
          <cell r="R1587">
            <v>3</v>
          </cell>
        </row>
        <row r="1588">
          <cell r="A1588">
            <v>6012</v>
          </cell>
          <cell r="B1588" t="str">
            <v>ja</v>
          </cell>
          <cell r="C1588" t="str">
            <v>ミミ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yellow</v>
          </cell>
          <cell r="I1588">
            <v>1</v>
          </cell>
          <cell r="J1588" t="str">
            <v>Drop1W</v>
          </cell>
          <cell r="K1588" t="str">
            <v>ra002</v>
          </cell>
          <cell r="L1588" t="str">
            <v>ユークリッドチャレンジ</v>
          </cell>
          <cell r="M1588" t="str">
            <v>animal</v>
          </cell>
          <cell r="N1588" t="str">
            <v>アニマル</v>
          </cell>
          <cell r="O1588" t="str">
            <v>none</v>
          </cell>
          <cell r="P1588" t="str">
            <v>種族なし</v>
          </cell>
          <cell r="Q1588" t="str">
            <v>アタッカー</v>
          </cell>
          <cell r="R1588">
            <v>3</v>
          </cell>
        </row>
        <row r="1589">
          <cell r="A1589">
            <v>6013</v>
          </cell>
          <cell r="B1589" t="str">
            <v>ja</v>
          </cell>
          <cell r="C1589" t="str">
            <v>護衛機人 スケアクロウ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blue</v>
          </cell>
          <cell r="I1589">
            <v>2</v>
          </cell>
          <cell r="J1589" t="str">
            <v>Drop1N</v>
          </cell>
          <cell r="K1589" t="str">
            <v>ra002</v>
          </cell>
          <cell r="L1589" t="str">
            <v>ユークリッドチャレンジ</v>
          </cell>
          <cell r="M1589" t="str">
            <v>machine</v>
          </cell>
          <cell r="N1589" t="str">
            <v>マシン</v>
          </cell>
          <cell r="O1589" t="str">
            <v>none</v>
          </cell>
          <cell r="P1589" t="str">
            <v>種族なし</v>
          </cell>
          <cell r="Q1589" t="str">
            <v>アタッカー</v>
          </cell>
          <cell r="R1589">
            <v>3</v>
          </cell>
        </row>
        <row r="1590">
          <cell r="A1590">
            <v>6014</v>
          </cell>
          <cell r="B1590" t="str">
            <v>ja</v>
          </cell>
          <cell r="C1590" t="str">
            <v>月下の人狼 ローレンス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blue</v>
          </cell>
          <cell r="I1590">
            <v>4</v>
          </cell>
          <cell r="J1590" t="str">
            <v>PremiumW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  <cell r="N1590" t="str">
            <v>アニマル</v>
          </cell>
          <cell r="O1590" t="str">
            <v>none</v>
          </cell>
          <cell r="P1590" t="str">
            <v>種族なし</v>
          </cell>
          <cell r="Q1590" t="str">
            <v>アタッカー</v>
          </cell>
          <cell r="R1590">
            <v>3</v>
          </cell>
        </row>
        <row r="1591">
          <cell r="A1591">
            <v>6015</v>
          </cell>
          <cell r="B1591" t="str">
            <v>ja</v>
          </cell>
          <cell r="C1591" t="str">
            <v>フレイヤ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PremiumSS</v>
          </cell>
          <cell r="K1591" t="str">
            <v>ra002</v>
          </cell>
          <cell r="L1591" t="str">
            <v>ユークリッドチャレンジ</v>
          </cell>
          <cell r="M1591" t="str">
            <v>animal</v>
          </cell>
          <cell r="N1591" t="str">
            <v>アニマル</v>
          </cell>
          <cell r="O1591" t="str">
            <v>none</v>
          </cell>
          <cell r="P1591" t="str">
            <v>種族なし</v>
          </cell>
          <cell r="Q1591" t="str">
            <v>アタッカー</v>
          </cell>
          <cell r="R1591">
            <v>3</v>
          </cell>
        </row>
        <row r="1592">
          <cell r="A1592">
            <v>6016</v>
          </cell>
          <cell r="B1592" t="str">
            <v>ja</v>
          </cell>
          <cell r="C1592" t="str">
            <v>根原論理 ユークリッド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blue</v>
          </cell>
          <cell r="I1592">
            <v>5</v>
          </cell>
          <cell r="J1592" t="str">
            <v>PremiumSSS</v>
          </cell>
          <cell r="K1592" t="str">
            <v>ra002</v>
          </cell>
          <cell r="L1592" t="str">
            <v>ユークリッドチャレンジ</v>
          </cell>
          <cell r="M1592" t="str">
            <v>human</v>
          </cell>
          <cell r="N1592" t="str">
            <v>ヒューマン</v>
          </cell>
          <cell r="O1592" t="str">
            <v>none</v>
          </cell>
          <cell r="P1592" t="str">
            <v>種族なし</v>
          </cell>
          <cell r="Q1592" t="str">
            <v>アタッカー</v>
          </cell>
          <cell r="R1592">
            <v>3</v>
          </cell>
        </row>
        <row r="1593">
          <cell r="A1593">
            <v>6017</v>
          </cell>
          <cell r="B1593" t="str">
            <v>ja</v>
          </cell>
          <cell r="C1593" t="str">
            <v>不朽の極論 ユークリッド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blue</v>
          </cell>
          <cell r="I1593">
            <v>6</v>
          </cell>
          <cell r="J1593" t="str">
            <v>PremiumSSS</v>
          </cell>
          <cell r="K1593" t="str">
            <v>ra002</v>
          </cell>
          <cell r="L1593" t="str">
            <v>ユークリッドチャレンジ</v>
          </cell>
          <cell r="M1593" t="str">
            <v>human</v>
          </cell>
          <cell r="N1593" t="str">
            <v>ヒューマン</v>
          </cell>
          <cell r="O1593" t="str">
            <v>none</v>
          </cell>
          <cell r="P1593" t="str">
            <v>種族なし</v>
          </cell>
          <cell r="Q1593" t="str">
            <v>アタッカー</v>
          </cell>
          <cell r="R1593">
            <v>3</v>
          </cell>
        </row>
        <row r="1594">
          <cell r="A1594">
            <v>6018</v>
          </cell>
          <cell r="B1594" t="str">
            <v>ja</v>
          </cell>
          <cell r="C1594" t="str">
            <v>ハヅル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red</v>
          </cell>
          <cell r="I1594">
            <v>4</v>
          </cell>
          <cell r="J1594" t="str">
            <v>PremiumSS</v>
          </cell>
          <cell r="K1594" t="str">
            <v>ra002</v>
          </cell>
          <cell r="L1594" t="str">
            <v>ユークリッドチャレンジ</v>
          </cell>
          <cell r="M1594" t="str">
            <v>animal</v>
          </cell>
          <cell r="N1594" t="str">
            <v>アニマル</v>
          </cell>
          <cell r="O1594" t="str">
            <v>none</v>
          </cell>
          <cell r="P1594" t="str">
            <v>種族なし</v>
          </cell>
          <cell r="Q1594" t="str">
            <v>アタッカー</v>
          </cell>
          <cell r="R1594">
            <v>3</v>
          </cell>
        </row>
        <row r="1595">
          <cell r="A1595">
            <v>6019</v>
          </cell>
          <cell r="B1595" t="str">
            <v>ja</v>
          </cell>
          <cell r="C1595" t="str">
            <v>天織羽鶴 ハヅル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red</v>
          </cell>
          <cell r="I1595">
            <v>5</v>
          </cell>
          <cell r="J1595" t="str">
            <v>PremiumSS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  <cell r="N1595" t="str">
            <v>アニマル</v>
          </cell>
          <cell r="O1595" t="str">
            <v>none</v>
          </cell>
          <cell r="P1595" t="str">
            <v>種族なし</v>
          </cell>
          <cell r="Q1595" t="str">
            <v>アタッカー</v>
          </cell>
          <cell r="R1595">
            <v>3</v>
          </cell>
        </row>
        <row r="1596">
          <cell r="A1596">
            <v>6020</v>
          </cell>
          <cell r="B1596" t="str">
            <v>ja</v>
          </cell>
          <cell r="C1596" t="str">
            <v>ミズチ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ra002</v>
          </cell>
          <cell r="L1596" t="str">
            <v>ユークリッドチャレンジ</v>
          </cell>
          <cell r="M1596" t="str">
            <v>dragon</v>
          </cell>
          <cell r="N1596" t="str">
            <v>ドラゴン</v>
          </cell>
          <cell r="O1596" t="str">
            <v>none</v>
          </cell>
          <cell r="P1596" t="str">
            <v>種族なし</v>
          </cell>
          <cell r="Q1596" t="str">
            <v>アタッカー</v>
          </cell>
          <cell r="R1596">
            <v>3</v>
          </cell>
        </row>
        <row r="1597">
          <cell r="A1597">
            <v>8001</v>
          </cell>
          <cell r="B1597" t="str">
            <v>ja</v>
          </cell>
          <cell r="C1597" t="str">
            <v>媽祖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yellow</v>
          </cell>
          <cell r="I1597">
            <v>5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god</v>
          </cell>
          <cell r="N1597" t="str">
            <v>ゴッド</v>
          </cell>
          <cell r="O1597" t="str">
            <v>none</v>
          </cell>
          <cell r="P1597" t="str">
            <v>種族なし</v>
          </cell>
          <cell r="Q1597" t="str">
            <v>アタッカー</v>
          </cell>
          <cell r="R1597">
            <v>3</v>
          </cell>
        </row>
        <row r="1598">
          <cell r="A1598">
            <v>8002</v>
          </cell>
          <cell r="B1598" t="str">
            <v>ja</v>
          </cell>
          <cell r="C1598" t="str">
            <v>宣導する天海妃 媽祖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6</v>
          </cell>
          <cell r="J1598" t="str">
            <v>PremiumSS</v>
          </cell>
          <cell r="K1598" t="str">
            <v>attack</v>
          </cell>
          <cell r="L1598" t="str">
            <v>攻撃タイプ</v>
          </cell>
          <cell r="M1598" t="str">
            <v>god</v>
          </cell>
          <cell r="N1598" t="str">
            <v>ゴッド</v>
          </cell>
          <cell r="O1598" t="str">
            <v>none</v>
          </cell>
          <cell r="P1598" t="str">
            <v>種族なし</v>
          </cell>
          <cell r="Q1598" t="str">
            <v>アタッカー</v>
          </cell>
          <cell r="R1598">
            <v>3</v>
          </cell>
        </row>
        <row r="1599">
          <cell r="A1599">
            <v>8003</v>
          </cell>
          <cell r="B1599" t="str">
            <v>ja</v>
          </cell>
          <cell r="C1599" t="str">
            <v>蛟龍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blue</v>
          </cell>
          <cell r="I1599">
            <v>5</v>
          </cell>
          <cell r="J1599" t="str">
            <v>DropWizS</v>
          </cell>
          <cell r="K1599" t="str">
            <v>hp</v>
          </cell>
          <cell r="L1599" t="str">
            <v>体力タイプ</v>
          </cell>
          <cell r="M1599" t="str">
            <v>dragon</v>
          </cell>
          <cell r="N1599" t="str">
            <v>ドラゴン</v>
          </cell>
          <cell r="O1599" t="str">
            <v>none</v>
          </cell>
          <cell r="P1599" t="str">
            <v>種族なし</v>
          </cell>
          <cell r="Q1599" t="str">
            <v>アタッカー</v>
          </cell>
          <cell r="R1599">
            <v>3</v>
          </cell>
        </row>
        <row r="1600">
          <cell r="A1600">
            <v>8004</v>
          </cell>
          <cell r="B1600" t="str">
            <v>ja</v>
          </cell>
          <cell r="C1600" t="str">
            <v>呼嵐の蒼棲龍 蛟龍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blue</v>
          </cell>
          <cell r="I1600">
            <v>6</v>
          </cell>
          <cell r="J1600" t="str">
            <v>DropWizS</v>
          </cell>
          <cell r="K1600" t="str">
            <v>hp</v>
          </cell>
          <cell r="L1600" t="str">
            <v>体力タイプ</v>
          </cell>
          <cell r="M1600" t="str">
            <v>dragon</v>
          </cell>
          <cell r="N1600" t="str">
            <v>ドラゴン</v>
          </cell>
          <cell r="O1600" t="str">
            <v>none</v>
          </cell>
          <cell r="P1600" t="str">
            <v>種族なし</v>
          </cell>
          <cell r="Q1600" t="str">
            <v>アタッカー</v>
          </cell>
          <cell r="R1600">
            <v>3</v>
          </cell>
        </row>
        <row r="1601">
          <cell r="A1601">
            <v>8005</v>
          </cell>
          <cell r="B1601" t="str">
            <v>ja</v>
          </cell>
          <cell r="C1601" t="str">
            <v>三蔵法師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blue</v>
          </cell>
          <cell r="I1601">
            <v>5</v>
          </cell>
          <cell r="J1601" t="str">
            <v>PremiumSS</v>
          </cell>
          <cell r="K1601" t="str">
            <v>balance</v>
          </cell>
          <cell r="L1601" t="str">
            <v>バランスタイプ</v>
          </cell>
          <cell r="M1601" t="str">
            <v>human</v>
          </cell>
          <cell r="N1601" t="str">
            <v>ヒューマン</v>
          </cell>
          <cell r="O1601" t="str">
            <v>animal</v>
          </cell>
          <cell r="P1601" t="str">
            <v>アニマル</v>
          </cell>
          <cell r="Q1601" t="str">
            <v>アタッカー</v>
          </cell>
          <cell r="R1601">
            <v>3</v>
          </cell>
        </row>
        <row r="1602">
          <cell r="A1602">
            <v>8006</v>
          </cell>
          <cell r="B1602" t="str">
            <v>ja</v>
          </cell>
          <cell r="C1602" t="str">
            <v>慈戒の呪封使 三蔵法師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不明</v>
          </cell>
          <cell r="H1602" t="str">
            <v>blue</v>
          </cell>
          <cell r="I1602">
            <v>6</v>
          </cell>
          <cell r="J1602" t="str">
            <v>PremiumSS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animal</v>
          </cell>
          <cell r="P1602" t="str">
            <v>アニマル</v>
          </cell>
          <cell r="Q1602" t="str">
            <v>アタッカー</v>
          </cell>
          <cell r="R1602">
            <v>3</v>
          </cell>
        </row>
        <row r="1603">
          <cell r="A1603">
            <v>8007</v>
          </cell>
          <cell r="B1603" t="str">
            <v>ja</v>
          </cell>
          <cell r="C1603" t="str">
            <v>孫悟空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不明</v>
          </cell>
          <cell r="H1603" t="str">
            <v>red</v>
          </cell>
          <cell r="I1603">
            <v>5</v>
          </cell>
          <cell r="J1603" t="str">
            <v>DropWizS</v>
          </cell>
          <cell r="K1603" t="str">
            <v>attack</v>
          </cell>
          <cell r="L1603" t="str">
            <v>攻撃タイプ</v>
          </cell>
          <cell r="M1603" t="str">
            <v>animal</v>
          </cell>
          <cell r="N1603" t="str">
            <v>アニマル</v>
          </cell>
          <cell r="O1603" t="str">
            <v>none</v>
          </cell>
          <cell r="P1603" t="str">
            <v>種族なし</v>
          </cell>
          <cell r="Q1603" t="str">
            <v>アタッカー</v>
          </cell>
          <cell r="R1603">
            <v>3</v>
          </cell>
        </row>
        <row r="1604">
          <cell r="A1604">
            <v>8008</v>
          </cell>
          <cell r="B1604" t="str">
            <v>ja</v>
          </cell>
          <cell r="C1604" t="str">
            <v>花果の天猿仙人 孫悟空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不明</v>
          </cell>
          <cell r="H1604" t="str">
            <v>red</v>
          </cell>
          <cell r="I1604">
            <v>6</v>
          </cell>
          <cell r="J1604" t="str">
            <v>DropWizS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none</v>
          </cell>
          <cell r="P1604" t="str">
            <v>種族なし</v>
          </cell>
          <cell r="Q1604" t="str">
            <v>アタッカー</v>
          </cell>
          <cell r="R1604">
            <v>3</v>
          </cell>
        </row>
        <row r="1605">
          <cell r="A1605">
            <v>8009</v>
          </cell>
          <cell r="B1605" t="str">
            <v>ja</v>
          </cell>
          <cell r="C1605" t="str">
            <v>西王娘娘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不明</v>
          </cell>
          <cell r="H1605" t="str">
            <v>green</v>
          </cell>
          <cell r="I1605">
            <v>5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god</v>
          </cell>
          <cell r="N1605" t="str">
            <v>ゴッド</v>
          </cell>
          <cell r="O1605" t="str">
            <v>machine</v>
          </cell>
          <cell r="P1605" t="str">
            <v>マシン</v>
          </cell>
          <cell r="Q1605" t="str">
            <v>アタッカー</v>
          </cell>
          <cell r="R1605">
            <v>3</v>
          </cell>
        </row>
        <row r="1606">
          <cell r="A1606">
            <v>8010</v>
          </cell>
          <cell r="B1606" t="str">
            <v>ja</v>
          </cell>
          <cell r="C1606" t="str">
            <v>極楽瑶池の聖母 西王娘娘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green</v>
          </cell>
          <cell r="I1606">
            <v>6</v>
          </cell>
          <cell r="J1606" t="str">
            <v>PremiumSS</v>
          </cell>
          <cell r="K1606" t="str">
            <v>attack</v>
          </cell>
          <cell r="L1606" t="str">
            <v>攻撃タイプ</v>
          </cell>
          <cell r="M1606" t="str">
            <v>god</v>
          </cell>
          <cell r="N1606" t="str">
            <v>ゴッド</v>
          </cell>
          <cell r="O1606" t="str">
            <v>machine</v>
          </cell>
          <cell r="P1606" t="str">
            <v>マシン</v>
          </cell>
          <cell r="Q1606" t="str">
            <v>アタッカー</v>
          </cell>
          <cell r="R1606">
            <v>3</v>
          </cell>
        </row>
        <row r="1607">
          <cell r="A1607">
            <v>8011</v>
          </cell>
          <cell r="B1607" t="str">
            <v>ja</v>
          </cell>
          <cell r="C1607" t="str">
            <v>月下老人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balance</v>
          </cell>
          <cell r="L1607" t="str">
            <v>バランスタイプ</v>
          </cell>
          <cell r="M1607" t="str">
            <v>god</v>
          </cell>
          <cell r="N1607" t="str">
            <v>ゴッド</v>
          </cell>
          <cell r="O1607" t="str">
            <v>none</v>
          </cell>
          <cell r="P1607" t="str">
            <v>種族なし</v>
          </cell>
          <cell r="Q1607" t="str">
            <v>アタッカー</v>
          </cell>
          <cell r="R1607">
            <v>3</v>
          </cell>
        </row>
        <row r="1608">
          <cell r="A1608">
            <v>8012</v>
          </cell>
          <cell r="B1608" t="str">
            <v>ja</v>
          </cell>
          <cell r="C1608" t="str">
            <v>破戀斬る縁剣 月下老人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balance</v>
          </cell>
          <cell r="L1608" t="str">
            <v>バランスタイプ</v>
          </cell>
          <cell r="M1608" t="str">
            <v>god</v>
          </cell>
          <cell r="N1608" t="str">
            <v>ゴッド</v>
          </cell>
          <cell r="O1608" t="str">
            <v>none</v>
          </cell>
          <cell r="P1608" t="str">
            <v>種族なし</v>
          </cell>
          <cell r="Q1608" t="str">
            <v>アタッカー</v>
          </cell>
          <cell r="R1608">
            <v>3</v>
          </cell>
        </row>
        <row r="1609">
          <cell r="A1609">
            <v>8013</v>
          </cell>
          <cell r="B1609" t="str">
            <v>ja</v>
          </cell>
          <cell r="C1609" t="str">
            <v>初音ミクV3</v>
          </cell>
          <cell r="D1609" t="str">
            <v>初音ミクV3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yellow</v>
          </cell>
          <cell r="I1609">
            <v>4</v>
          </cell>
          <cell r="J1609" t="str">
            <v>DropWizS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  <cell r="N1609" t="str">
            <v>Unknown</v>
          </cell>
          <cell r="O1609" t="str">
            <v>none</v>
          </cell>
          <cell r="P1609" t="str">
            <v>種族なし</v>
          </cell>
          <cell r="Q1609" t="str">
            <v>アタッカー</v>
          </cell>
          <cell r="R1609">
            <v>1</v>
          </cell>
        </row>
        <row r="1610">
          <cell r="A1610">
            <v>8014</v>
          </cell>
          <cell r="B1610" t="str">
            <v>ja</v>
          </cell>
          <cell r="C1610" t="str">
            <v>初音ミクV3</v>
          </cell>
          <cell r="D1610" t="str">
            <v>初音ミクV3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yellow</v>
          </cell>
          <cell r="I1610">
            <v>5</v>
          </cell>
          <cell r="J1610" t="str">
            <v>DropWizS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  <cell r="N1610" t="str">
            <v>Unknown</v>
          </cell>
          <cell r="O1610" t="str">
            <v>none</v>
          </cell>
          <cell r="P1610" t="str">
            <v>種族なし</v>
          </cell>
          <cell r="Q1610" t="str">
            <v>アタッカー</v>
          </cell>
          <cell r="R1610">
            <v>1</v>
          </cell>
        </row>
        <row r="1611">
          <cell r="A1611">
            <v>8015</v>
          </cell>
          <cell r="B1611" t="str">
            <v>ja</v>
          </cell>
          <cell r="C1611" t="str">
            <v>初音ミク・アペンド</v>
          </cell>
          <cell r="D1611" t="str">
            <v>初音ミク・アペンド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4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unknown</v>
          </cell>
          <cell r="N1611" t="str">
            <v>Unknown</v>
          </cell>
          <cell r="O1611" t="str">
            <v>none</v>
          </cell>
          <cell r="P1611" t="str">
            <v>種族なし</v>
          </cell>
          <cell r="Q1611" t="str">
            <v>アタッカー</v>
          </cell>
          <cell r="R1611">
            <v>1</v>
          </cell>
        </row>
        <row r="1612">
          <cell r="A1612">
            <v>8016</v>
          </cell>
          <cell r="B1612" t="str">
            <v>ja</v>
          </cell>
          <cell r="C1612" t="str">
            <v>初音ミク・アペンド</v>
          </cell>
          <cell r="D1612" t="str">
            <v>初音ミク・アペンド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green</v>
          </cell>
          <cell r="I1612">
            <v>5</v>
          </cell>
          <cell r="J1612" t="str">
            <v>PremiumSSS</v>
          </cell>
          <cell r="K1612" t="str">
            <v>technical</v>
          </cell>
          <cell r="L1612" t="str">
            <v>テクニカルタイプ</v>
          </cell>
          <cell r="M1612" t="str">
            <v>unknown</v>
          </cell>
          <cell r="N1612" t="str">
            <v>Unknown</v>
          </cell>
          <cell r="O1612" t="str">
            <v>none</v>
          </cell>
          <cell r="P1612" t="str">
            <v>種族なし</v>
          </cell>
          <cell r="Q1612" t="str">
            <v>アタッカー</v>
          </cell>
          <cell r="R1612">
            <v>1</v>
          </cell>
        </row>
        <row r="1613">
          <cell r="A1613">
            <v>8017</v>
          </cell>
          <cell r="B1613" t="str">
            <v>ja</v>
          </cell>
          <cell r="C1613" t="str">
            <v>初音ミク</v>
          </cell>
          <cell r="D1613" t="str">
            <v>初音ミク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green</v>
          </cell>
          <cell r="I1613">
            <v>4</v>
          </cell>
          <cell r="J1613" t="str">
            <v>PremiumSSS</v>
          </cell>
          <cell r="K1613" t="str">
            <v>balance</v>
          </cell>
          <cell r="L1613" t="str">
            <v>バランスタイプ</v>
          </cell>
          <cell r="M1613" t="str">
            <v>unknown</v>
          </cell>
          <cell r="N1613" t="str">
            <v>Unknown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</row>
        <row r="1614">
          <cell r="A1614">
            <v>8018</v>
          </cell>
          <cell r="B1614" t="str">
            <v>ja</v>
          </cell>
          <cell r="C1614" t="str">
            <v>初音ミク</v>
          </cell>
          <cell r="D1614" t="str">
            <v>初音ミク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green</v>
          </cell>
          <cell r="I1614">
            <v>5</v>
          </cell>
          <cell r="J1614" t="str">
            <v>PremiumSSS</v>
          </cell>
          <cell r="K1614" t="str">
            <v>balance</v>
          </cell>
          <cell r="L1614" t="str">
            <v>バランスタイプ</v>
          </cell>
          <cell r="M1614" t="str">
            <v>unknown</v>
          </cell>
          <cell r="N1614" t="str">
            <v>Unknown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</row>
        <row r="1615">
          <cell r="A1615">
            <v>8019</v>
          </cell>
          <cell r="B1615" t="str">
            <v>ja</v>
          </cell>
          <cell r="C1615" t="str">
            <v>鏡音リン</v>
          </cell>
          <cell r="D1615" t="str">
            <v>鏡音リン</v>
          </cell>
          <cell r="E1615" t="str">
            <v>執行者</v>
          </cell>
          <cell r="F1615" t="str">
            <v>格好いい</v>
          </cell>
          <cell r="G1615" t="str">
            <v>男性</v>
          </cell>
          <cell r="H1615" t="str">
            <v>yellow</v>
          </cell>
          <cell r="I1615">
            <v>4</v>
          </cell>
          <cell r="J1615" t="str">
            <v>PremiumSS</v>
          </cell>
          <cell r="K1615" t="str">
            <v>balance</v>
          </cell>
          <cell r="L1615" t="str">
            <v>バランスタイプ</v>
          </cell>
          <cell r="M1615" t="str">
            <v>unknown</v>
          </cell>
          <cell r="N1615" t="str">
            <v>Unknown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</row>
        <row r="1616">
          <cell r="A1616">
            <v>8020</v>
          </cell>
          <cell r="B1616" t="str">
            <v>ja</v>
          </cell>
          <cell r="C1616" t="str">
            <v>鏡音リン</v>
          </cell>
          <cell r="D1616" t="str">
            <v>鏡音リン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yellow</v>
          </cell>
          <cell r="I1616">
            <v>5</v>
          </cell>
          <cell r="J1616" t="str">
            <v>PremiumSS</v>
          </cell>
          <cell r="K1616" t="str">
            <v>balance</v>
          </cell>
          <cell r="L1616" t="str">
            <v>バランスタイプ</v>
          </cell>
          <cell r="M1616" t="str">
            <v>unknown</v>
          </cell>
          <cell r="N1616" t="str">
            <v>Unknown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</row>
        <row r="1617">
          <cell r="A1617">
            <v>8021</v>
          </cell>
          <cell r="B1617" t="str">
            <v>ja</v>
          </cell>
          <cell r="C1617" t="str">
            <v>鏡音レン</v>
          </cell>
          <cell r="D1617" t="str">
            <v>鏡音レン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PremiumSS</v>
          </cell>
          <cell r="K1617" t="str">
            <v>heal</v>
          </cell>
          <cell r="L1617" t="str">
            <v>回復タイプ</v>
          </cell>
          <cell r="M1617" t="str">
            <v>unknown</v>
          </cell>
          <cell r="N1617" t="str">
            <v>Unknown</v>
          </cell>
          <cell r="O1617" t="str">
            <v>none</v>
          </cell>
          <cell r="P1617" t="str">
            <v>種族なし</v>
          </cell>
          <cell r="Q1617" t="str">
            <v>アタッカー</v>
          </cell>
          <cell r="R1617">
            <v>1</v>
          </cell>
        </row>
        <row r="1618">
          <cell r="A1618">
            <v>8022</v>
          </cell>
          <cell r="B1618" t="str">
            <v>ja</v>
          </cell>
          <cell r="C1618" t="str">
            <v>鏡音レン</v>
          </cell>
          <cell r="D1618" t="str">
            <v>鏡音レン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PremiumSS</v>
          </cell>
          <cell r="K1618" t="str">
            <v>heal</v>
          </cell>
          <cell r="L1618" t="str">
            <v>回復タイプ</v>
          </cell>
          <cell r="M1618" t="str">
            <v>unknown</v>
          </cell>
          <cell r="N1618" t="str">
            <v>Unknown</v>
          </cell>
          <cell r="O1618" t="str">
            <v>none</v>
          </cell>
          <cell r="P1618" t="str">
            <v>種族なし</v>
          </cell>
          <cell r="Q1618" t="str">
            <v>アタッカー</v>
          </cell>
          <cell r="R1618">
            <v>1</v>
          </cell>
        </row>
        <row r="1619">
          <cell r="A1619">
            <v>8023</v>
          </cell>
          <cell r="B1619" t="str">
            <v>ja</v>
          </cell>
          <cell r="C1619" t="str">
            <v>巡音ルカ</v>
          </cell>
          <cell r="D1619" t="str">
            <v>巡音ルカ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3</v>
          </cell>
          <cell r="J1619" t="str">
            <v>PremiumS</v>
          </cell>
          <cell r="K1619" t="str">
            <v>attack</v>
          </cell>
          <cell r="L1619" t="str">
            <v>攻撃タイプ</v>
          </cell>
          <cell r="M1619" t="str">
            <v>unknown</v>
          </cell>
          <cell r="N1619" t="str">
            <v>Unknown</v>
          </cell>
          <cell r="O1619" t="str">
            <v>none</v>
          </cell>
          <cell r="P1619" t="str">
            <v>種族なし</v>
          </cell>
          <cell r="Q1619" t="str">
            <v>アタッカー</v>
          </cell>
          <cell r="R1619">
            <v>1</v>
          </cell>
        </row>
        <row r="1620">
          <cell r="A1620">
            <v>8024</v>
          </cell>
          <cell r="B1620" t="str">
            <v>ja</v>
          </cell>
          <cell r="C1620" t="str">
            <v>巡音ルカ</v>
          </cell>
          <cell r="D1620" t="str">
            <v>巡音ルカ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4</v>
          </cell>
          <cell r="J1620" t="str">
            <v>PremiumS</v>
          </cell>
          <cell r="K1620" t="str">
            <v>attack</v>
          </cell>
          <cell r="L1620" t="str">
            <v>攻撃タイプ</v>
          </cell>
          <cell r="M1620" t="str">
            <v>unknown</v>
          </cell>
          <cell r="N1620" t="str">
            <v>Unknown</v>
          </cell>
          <cell r="O1620" t="str">
            <v>none</v>
          </cell>
          <cell r="P1620" t="str">
            <v>種族なし</v>
          </cell>
          <cell r="Q1620" t="str">
            <v>アタッカー</v>
          </cell>
          <cell r="R1620">
            <v>1</v>
          </cell>
        </row>
        <row r="1621">
          <cell r="A1621">
            <v>8025</v>
          </cell>
          <cell r="B1621" t="str">
            <v>ja</v>
          </cell>
          <cell r="C1621" t="str">
            <v>MEIKO</v>
          </cell>
          <cell r="D1621" t="str">
            <v>MEIKO</v>
          </cell>
          <cell r="E1621" t="str">
            <v>執行者</v>
          </cell>
          <cell r="F1621" t="str">
            <v>格好いい</v>
          </cell>
          <cell r="G1621" t="str">
            <v>男性</v>
          </cell>
          <cell r="H1621" t="str">
            <v>red</v>
          </cell>
          <cell r="I1621">
            <v>3</v>
          </cell>
          <cell r="J1621" t="str">
            <v>PremiumS</v>
          </cell>
          <cell r="K1621" t="str">
            <v>hp</v>
          </cell>
          <cell r="L1621" t="str">
            <v>体力タイプ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1</v>
          </cell>
        </row>
        <row r="1622">
          <cell r="A1622">
            <v>8026</v>
          </cell>
          <cell r="B1622" t="str">
            <v>ja</v>
          </cell>
          <cell r="C1622" t="str">
            <v>MEIKO</v>
          </cell>
          <cell r="D1622" t="str">
            <v>MEIKO</v>
          </cell>
          <cell r="E1622" t="str">
            <v>執行者</v>
          </cell>
          <cell r="F1622" t="str">
            <v>格好いい</v>
          </cell>
          <cell r="G1622" t="str">
            <v>男性</v>
          </cell>
          <cell r="H1622" t="str">
            <v>red</v>
          </cell>
          <cell r="I1622">
            <v>4</v>
          </cell>
          <cell r="J1622" t="str">
            <v>PremiumS</v>
          </cell>
          <cell r="K1622" t="str">
            <v>hp</v>
          </cell>
          <cell r="L1622" t="str">
            <v>体力タイプ</v>
          </cell>
          <cell r="M1622" t="str">
            <v>unknown</v>
          </cell>
          <cell r="N1622" t="str">
            <v>Unknown</v>
          </cell>
          <cell r="O1622" t="str">
            <v>none</v>
          </cell>
          <cell r="P1622" t="str">
            <v>種族なし</v>
          </cell>
          <cell r="Q1622" t="str">
            <v>アタッカー</v>
          </cell>
          <cell r="R1622">
            <v>1</v>
          </cell>
        </row>
        <row r="1623">
          <cell r="A1623">
            <v>8027</v>
          </cell>
          <cell r="B1623" t="str">
            <v>ja</v>
          </cell>
          <cell r="C1623" t="str">
            <v>KAITO</v>
          </cell>
          <cell r="D1623" t="str">
            <v>KAITO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blue</v>
          </cell>
          <cell r="I1623">
            <v>3</v>
          </cell>
          <cell r="J1623" t="str">
            <v>PremiumS</v>
          </cell>
          <cell r="K1623" t="str">
            <v>technical</v>
          </cell>
          <cell r="L1623" t="str">
            <v>テクニカルタイプ</v>
          </cell>
          <cell r="M1623" t="str">
            <v>unknown</v>
          </cell>
          <cell r="N1623" t="str">
            <v>Unknown</v>
          </cell>
          <cell r="O1623" t="str">
            <v>none</v>
          </cell>
          <cell r="P1623" t="str">
            <v>種族なし</v>
          </cell>
          <cell r="Q1623" t="str">
            <v>アタッカー</v>
          </cell>
          <cell r="R1623">
            <v>1</v>
          </cell>
        </row>
        <row r="1624">
          <cell r="A1624">
            <v>8028</v>
          </cell>
          <cell r="B1624" t="str">
            <v>ja</v>
          </cell>
          <cell r="C1624" t="str">
            <v>KAITO</v>
          </cell>
          <cell r="D1624" t="str">
            <v>KAITO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blue</v>
          </cell>
          <cell r="I1624">
            <v>4</v>
          </cell>
          <cell r="J1624" t="str">
            <v>PremiumS</v>
          </cell>
          <cell r="K1624" t="str">
            <v>technical</v>
          </cell>
          <cell r="L1624" t="str">
            <v>テクニカルタイプ</v>
          </cell>
          <cell r="M1624" t="str">
            <v>unknown</v>
          </cell>
          <cell r="N1624" t="str">
            <v>Unknown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1</v>
          </cell>
        </row>
        <row r="1625">
          <cell r="A1625">
            <v>8029</v>
          </cell>
          <cell r="B1625" t="str">
            <v>ja</v>
          </cell>
          <cell r="C1625" t="str">
            <v>Expoミク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Drop2N</v>
          </cell>
          <cell r="K1625" t="str">
            <v>heal</v>
          </cell>
          <cell r="L1625" t="str">
            <v>回復タイプ</v>
          </cell>
          <cell r="M1625" t="str">
            <v>unknown</v>
          </cell>
          <cell r="N1625" t="str">
            <v>Unknown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1</v>
          </cell>
        </row>
        <row r="1626">
          <cell r="A1626">
            <v>8030</v>
          </cell>
          <cell r="B1626" t="str">
            <v>ja</v>
          </cell>
          <cell r="C1626" t="str">
            <v>Expoミク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Drop2N</v>
          </cell>
          <cell r="K1626" t="str">
            <v>heal</v>
          </cell>
          <cell r="L1626" t="str">
            <v>回復タイプ</v>
          </cell>
          <cell r="M1626" t="str">
            <v>unknown</v>
          </cell>
          <cell r="N1626" t="str">
            <v>Unknown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1</v>
          </cell>
        </row>
        <row r="1627">
          <cell r="A1627">
            <v>8031</v>
          </cell>
          <cell r="B1627" t="str">
            <v>ja</v>
          </cell>
          <cell r="C1627" t="str">
            <v>閻羅王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5</v>
          </cell>
          <cell r="J1627" t="str">
            <v>PremiumSS</v>
          </cell>
          <cell r="K1627" t="str">
            <v>balance</v>
          </cell>
          <cell r="L1627" t="str">
            <v>バランスタイプ</v>
          </cell>
          <cell r="M1627" t="str">
            <v>god</v>
          </cell>
          <cell r="N1627" t="str">
            <v>ゴッド</v>
          </cell>
          <cell r="O1627" t="str">
            <v>machine</v>
          </cell>
          <cell r="P1627" t="str">
            <v>マシン</v>
          </cell>
          <cell r="Q1627" t="str">
            <v>アタッカー</v>
          </cell>
          <cell r="R1627">
            <v>3</v>
          </cell>
        </row>
        <row r="1628">
          <cell r="A1628">
            <v>8032</v>
          </cell>
          <cell r="B1628" t="str">
            <v>ja</v>
          </cell>
          <cell r="C1628" t="str">
            <v>六道輪廻の絶獄 閻羅王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6</v>
          </cell>
          <cell r="J1628" t="str">
            <v>PremiumSS</v>
          </cell>
          <cell r="K1628" t="str">
            <v>balance</v>
          </cell>
          <cell r="L1628" t="str">
            <v>バランスタイプ</v>
          </cell>
          <cell r="M1628" t="str">
            <v>god</v>
          </cell>
          <cell r="N1628" t="str">
            <v>ゴッド</v>
          </cell>
          <cell r="O1628" t="str">
            <v>machine</v>
          </cell>
          <cell r="P1628" t="str">
            <v>マシン</v>
          </cell>
          <cell r="Q1628" t="str">
            <v>アタッカー</v>
          </cell>
          <cell r="R1628">
            <v>3</v>
          </cell>
        </row>
        <row r="1629">
          <cell r="A1629">
            <v>8033</v>
          </cell>
          <cell r="B1629" t="str">
            <v>ja</v>
          </cell>
          <cell r="C1629" t="str">
            <v>牛頭馬面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god</v>
          </cell>
          <cell r="N1629" t="str">
            <v>ゴッド</v>
          </cell>
          <cell r="O1629" t="str">
            <v>animal</v>
          </cell>
          <cell r="P1629" t="str">
            <v>アニマル</v>
          </cell>
          <cell r="Q1629" t="str">
            <v>アタッカー</v>
          </cell>
          <cell r="R1629">
            <v>3</v>
          </cell>
        </row>
        <row r="1630">
          <cell r="A1630">
            <v>8034</v>
          </cell>
          <cell r="B1630" t="str">
            <v>ja</v>
          </cell>
          <cell r="C1630" t="str">
            <v>冥府狩る魂使 牛頭馬面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6</v>
          </cell>
          <cell r="J1630" t="str">
            <v>DropWizS</v>
          </cell>
          <cell r="K1630" t="str">
            <v>attack</v>
          </cell>
          <cell r="L1630" t="str">
            <v>攻撃タイプ</v>
          </cell>
          <cell r="M1630" t="str">
            <v>god</v>
          </cell>
          <cell r="N1630" t="str">
            <v>ゴッド</v>
          </cell>
          <cell r="O1630" t="str">
            <v>animal</v>
          </cell>
          <cell r="P1630" t="str">
            <v>アニマル</v>
          </cell>
          <cell r="Q1630" t="str">
            <v>アタッカー</v>
          </cell>
          <cell r="R1630">
            <v>3</v>
          </cell>
        </row>
        <row r="1631">
          <cell r="A1631">
            <v>8035</v>
          </cell>
          <cell r="B1631" t="str">
            <v>ja</v>
          </cell>
          <cell r="C1631" t="str">
            <v>飛衛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5</v>
          </cell>
          <cell r="J1631" t="str">
            <v>PremiumSS</v>
          </cell>
          <cell r="K1631" t="str">
            <v>heal</v>
          </cell>
          <cell r="L1631" t="str">
            <v>回復タイプ</v>
          </cell>
          <cell r="M1631" t="str">
            <v>human</v>
          </cell>
          <cell r="N1631" t="str">
            <v>ヒューマン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1</v>
          </cell>
        </row>
        <row r="1632">
          <cell r="A1632">
            <v>8036</v>
          </cell>
          <cell r="B1632" t="str">
            <v>ja</v>
          </cell>
          <cell r="C1632" t="str">
            <v>レア６飛衛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6</v>
          </cell>
          <cell r="J1632" t="str">
            <v>PremiumSS</v>
          </cell>
          <cell r="K1632" t="str">
            <v>heal</v>
          </cell>
          <cell r="L1632" t="str">
            <v>回復タイプ</v>
          </cell>
          <cell r="M1632" t="str">
            <v>human</v>
          </cell>
          <cell r="N1632" t="str">
            <v>ヒューマン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1</v>
          </cell>
        </row>
        <row r="1633">
          <cell r="A1633">
            <v>8037</v>
          </cell>
          <cell r="B1633" t="str">
            <v>ja</v>
          </cell>
          <cell r="C1633" t="str">
            <v>紀昌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red</v>
          </cell>
          <cell r="I1633">
            <v>5</v>
          </cell>
          <cell r="J1633" t="str">
            <v>DropWizS</v>
          </cell>
          <cell r="K1633" t="str">
            <v>attack</v>
          </cell>
          <cell r="L1633" t="str">
            <v>攻撃タイプ</v>
          </cell>
          <cell r="M1633" t="str">
            <v>human</v>
          </cell>
          <cell r="N1633" t="str">
            <v>ヒューマン</v>
          </cell>
          <cell r="O1633" t="str">
            <v>machine</v>
          </cell>
          <cell r="P1633" t="str">
            <v>マシン</v>
          </cell>
          <cell r="Q1633" t="str">
            <v>アタッカー</v>
          </cell>
          <cell r="R1633">
            <v>1</v>
          </cell>
        </row>
        <row r="1634">
          <cell r="A1634">
            <v>8038</v>
          </cell>
          <cell r="B1634" t="str">
            <v>ja</v>
          </cell>
          <cell r="C1634" t="str">
            <v>レア６紀昌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red</v>
          </cell>
          <cell r="I1634">
            <v>6</v>
          </cell>
          <cell r="J1634" t="str">
            <v>DropWizS</v>
          </cell>
          <cell r="K1634" t="str">
            <v>attack</v>
          </cell>
          <cell r="L1634" t="str">
            <v>攻撃タイプ</v>
          </cell>
          <cell r="M1634" t="str">
            <v>human</v>
          </cell>
          <cell r="N1634" t="str">
            <v>ヒューマン</v>
          </cell>
          <cell r="O1634" t="str">
            <v>machine</v>
          </cell>
          <cell r="P1634" t="str">
            <v>マシン</v>
          </cell>
          <cell r="Q1634" t="str">
            <v>アタッカー</v>
          </cell>
          <cell r="R1634">
            <v>1</v>
          </cell>
        </row>
        <row r="1635">
          <cell r="A1635">
            <v>8039</v>
          </cell>
          <cell r="B1635" t="str">
            <v>ja</v>
          </cell>
          <cell r="C1635" t="str">
            <v>何仙姑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PremiumSSw</v>
          </cell>
          <cell r="K1635" t="str">
            <v>hp</v>
          </cell>
          <cell r="L1635" t="str">
            <v>体力タイプ</v>
          </cell>
          <cell r="M1635" t="str">
            <v>god</v>
          </cell>
          <cell r="N1635" t="str">
            <v>ゴッド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</row>
        <row r="1636">
          <cell r="A1636">
            <v>8040</v>
          </cell>
          <cell r="B1636" t="str">
            <v>ja</v>
          </cell>
          <cell r="C1636" t="str">
            <v>荷咲く九天 何仙姑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6</v>
          </cell>
          <cell r="J1636" t="str">
            <v>PremiumSSw</v>
          </cell>
          <cell r="K1636" t="str">
            <v>hp</v>
          </cell>
          <cell r="L1636" t="str">
            <v>体力タイプ</v>
          </cell>
          <cell r="M1636" t="str">
            <v>god</v>
          </cell>
          <cell r="N1636" t="str">
            <v>ゴッド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</row>
        <row r="1637">
          <cell r="A1637">
            <v>8041</v>
          </cell>
          <cell r="B1637" t="str">
            <v>ja</v>
          </cell>
          <cell r="C1637" t="str">
            <v>藍采和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5</v>
          </cell>
          <cell r="J1637" t="str">
            <v>DropWizS</v>
          </cell>
          <cell r="K1637" t="str">
            <v>balance</v>
          </cell>
          <cell r="L1637" t="str">
            <v>バランスタイプ</v>
          </cell>
          <cell r="M1637" t="str">
            <v>god</v>
          </cell>
          <cell r="N1637" t="str">
            <v>ゴッド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</row>
        <row r="1638">
          <cell r="A1638">
            <v>8042</v>
          </cell>
          <cell r="B1638" t="str">
            <v>ja</v>
          </cell>
          <cell r="C1638" t="str">
            <v>天真浪漫 藍采和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6</v>
          </cell>
          <cell r="J1638" t="str">
            <v>DropWizS</v>
          </cell>
          <cell r="K1638" t="str">
            <v>balance</v>
          </cell>
          <cell r="L1638" t="str">
            <v>バランスタイプ</v>
          </cell>
          <cell r="M1638" t="str">
            <v>god</v>
          </cell>
          <cell r="N1638" t="str">
            <v>ゴッド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</row>
        <row r="1639">
          <cell r="A1639">
            <v>8043</v>
          </cell>
          <cell r="B1639" t="str">
            <v>ja</v>
          </cell>
          <cell r="C1639" t="str">
            <v>サンリオキャラ大集合+アザゼル</v>
          </cell>
          <cell r="D1639" t="str">
            <v>サンリオキャラ大集合+アザゼル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green</v>
          </cell>
          <cell r="I1639">
            <v>5</v>
          </cell>
          <cell r="J1639" t="str">
            <v>DropWizS</v>
          </cell>
          <cell r="K1639" t="str">
            <v>technical</v>
          </cell>
          <cell r="L1639" t="str">
            <v>テクニカルタイプ</v>
          </cell>
          <cell r="M1639" t="str">
            <v>ss</v>
          </cell>
          <cell r="N1639" t="str">
            <v>サンリオキャラクターズ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1</v>
          </cell>
        </row>
        <row r="1640">
          <cell r="A1640">
            <v>8044</v>
          </cell>
          <cell r="B1640" t="str">
            <v>ja</v>
          </cell>
          <cell r="C1640" t="str">
            <v>サンリオキャラ大集合+アザゼル</v>
          </cell>
          <cell r="D1640" t="str">
            <v>サンリオキャラ大集合+アザゼル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green</v>
          </cell>
          <cell r="I1640">
            <v>6</v>
          </cell>
          <cell r="J1640" t="str">
            <v>DropWizS</v>
          </cell>
          <cell r="K1640" t="str">
            <v>technical</v>
          </cell>
          <cell r="L1640" t="str">
            <v>テクニカルタイプ</v>
          </cell>
          <cell r="M1640" t="str">
            <v>ss</v>
          </cell>
          <cell r="N1640" t="str">
            <v>サンリオキャラクターズ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1</v>
          </cell>
        </row>
        <row r="1641">
          <cell r="A1641">
            <v>8045</v>
          </cell>
          <cell r="B1641" t="str">
            <v>ja</v>
          </cell>
          <cell r="C1641" t="str">
            <v>ニムダ_サンリオキャラ混じり</v>
          </cell>
          <cell r="D1641" t="str">
            <v>ニムダ_サンリオキャラ混じり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Drop2N</v>
          </cell>
          <cell r="K1641" t="str">
            <v>technical</v>
          </cell>
          <cell r="L1641" t="str">
            <v>テクニカルタイプ</v>
          </cell>
          <cell r="M1641" t="str">
            <v>ss</v>
          </cell>
          <cell r="N1641" t="str">
            <v>サンリオキャラクターズ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1</v>
          </cell>
        </row>
        <row r="1642">
          <cell r="A1642">
            <v>8046</v>
          </cell>
          <cell r="B1642" t="str">
            <v>ja</v>
          </cell>
          <cell r="C1642" t="str">
            <v>ニムダ_サンリオキャラ混じり</v>
          </cell>
          <cell r="D1642" t="str">
            <v>ニムダ_サンリオキャラ混じり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Drop2N</v>
          </cell>
          <cell r="K1642" t="str">
            <v>technical</v>
          </cell>
          <cell r="L1642" t="str">
            <v>テクニカルタイプ</v>
          </cell>
          <cell r="M1642" t="str">
            <v>ss</v>
          </cell>
          <cell r="N1642" t="str">
            <v>サンリオキャラクターズ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1</v>
          </cell>
        </row>
        <row r="1643">
          <cell r="A1643">
            <v>8047</v>
          </cell>
          <cell r="B1643" t="str">
            <v>ja</v>
          </cell>
          <cell r="C1643" t="str">
            <v>ハローキティ</v>
          </cell>
          <cell r="D1643" t="str">
            <v>ハローキティ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balance</v>
          </cell>
          <cell r="L1643" t="str">
            <v>バランスタイプ</v>
          </cell>
          <cell r="M1643" t="str">
            <v>ss</v>
          </cell>
          <cell r="N1643" t="str">
            <v>サンリオキャラクターズ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1</v>
          </cell>
        </row>
        <row r="1644">
          <cell r="A1644">
            <v>8048</v>
          </cell>
          <cell r="B1644" t="str">
            <v>ja</v>
          </cell>
          <cell r="C1644" t="str">
            <v>ハローキティ</v>
          </cell>
          <cell r="D1644" t="str">
            <v>ハローキティ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Drop2N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  <cell r="N1644" t="str">
            <v>サンリオキャラクターズ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1</v>
          </cell>
        </row>
        <row r="1645">
          <cell r="A1645">
            <v>8049</v>
          </cell>
          <cell r="B1645" t="str">
            <v>ja</v>
          </cell>
          <cell r="C1645" t="str">
            <v>KIRIMIちゃん</v>
          </cell>
          <cell r="D1645" t="str">
            <v>KIRIMIちゃん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4</v>
          </cell>
          <cell r="J1645" t="str">
            <v>Drop2N</v>
          </cell>
          <cell r="K1645" t="str">
            <v>hp</v>
          </cell>
          <cell r="L1645" t="str">
            <v>体力タイプ</v>
          </cell>
          <cell r="M1645" t="str">
            <v>ss</v>
          </cell>
          <cell r="N1645" t="str">
            <v>サンリオキャラクターズ</v>
          </cell>
          <cell r="O1645" t="str">
            <v>none</v>
          </cell>
          <cell r="P1645" t="str">
            <v>種族なし</v>
          </cell>
          <cell r="Q1645" t="str">
            <v>アタッカー</v>
          </cell>
          <cell r="R1645">
            <v>1</v>
          </cell>
        </row>
        <row r="1646">
          <cell r="A1646">
            <v>8050</v>
          </cell>
          <cell r="B1646" t="str">
            <v>ja</v>
          </cell>
          <cell r="C1646" t="str">
            <v>KIRIMIちゃん</v>
          </cell>
          <cell r="D1646" t="str">
            <v>KIRIMIちゃん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5</v>
          </cell>
          <cell r="J1646" t="str">
            <v>Drop2N</v>
          </cell>
          <cell r="K1646" t="str">
            <v>hp</v>
          </cell>
          <cell r="L1646" t="str">
            <v>体力タイプ</v>
          </cell>
          <cell r="M1646" t="str">
            <v>ss</v>
          </cell>
          <cell r="N1646" t="str">
            <v>サンリオキャラクターズ</v>
          </cell>
          <cell r="O1646" t="str">
            <v>none</v>
          </cell>
          <cell r="P1646" t="str">
            <v>種族なし</v>
          </cell>
          <cell r="Q1646" t="str">
            <v>アタッカー</v>
          </cell>
          <cell r="R1646">
            <v>1</v>
          </cell>
        </row>
        <row r="1647">
          <cell r="A1647">
            <v>8051</v>
          </cell>
          <cell r="B1647" t="str">
            <v>ja</v>
          </cell>
          <cell r="C1647" t="str">
            <v>ハローキティのリボン</v>
          </cell>
          <cell r="D1647" t="str">
            <v>ハローキティのリボン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Drop2N</v>
          </cell>
          <cell r="K1647" t="str">
            <v>evolution</v>
          </cell>
          <cell r="L1647" t="str">
            <v>覚醒素材タイプ</v>
          </cell>
          <cell r="M1647" t="str">
            <v>ss</v>
          </cell>
          <cell r="N1647" t="str">
            <v>サンリオキャラクターズ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1</v>
          </cell>
        </row>
        <row r="1648">
          <cell r="A1648">
            <v>8052</v>
          </cell>
          <cell r="B1648" t="str">
            <v>ja</v>
          </cell>
          <cell r="C1648" t="str">
            <v>ママの作ったアップルパイ</v>
          </cell>
          <cell r="D1648" t="str">
            <v>ママの作ったアップルパイ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4</v>
          </cell>
          <cell r="J1648" t="str">
            <v>Drop2N</v>
          </cell>
          <cell r="K1648" t="str">
            <v>evolution</v>
          </cell>
          <cell r="L1648" t="str">
            <v>覚醒素材タイプ</v>
          </cell>
          <cell r="M1648" t="str">
            <v>ss</v>
          </cell>
          <cell r="N1648" t="str">
            <v>サンリオキャラクターズ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1</v>
          </cell>
        </row>
        <row r="1649">
          <cell r="A1649">
            <v>8053</v>
          </cell>
          <cell r="B1649" t="str">
            <v>ja</v>
          </cell>
          <cell r="C1649" t="str">
            <v>D.R.T.H__キティコスプレ</v>
          </cell>
          <cell r="D1649" t="str">
            <v>D.R.T.H__キティコスプレ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red</v>
          </cell>
          <cell r="I1649">
            <v>5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  <cell r="N1649" t="str">
            <v>サンリオキャラクターズ</v>
          </cell>
          <cell r="O1649" t="str">
            <v>none</v>
          </cell>
          <cell r="P1649" t="str">
            <v>種族なし</v>
          </cell>
          <cell r="Q1649" t="str">
            <v>アタッカー</v>
          </cell>
          <cell r="R1649">
            <v>1</v>
          </cell>
        </row>
        <row r="1650">
          <cell r="A1650">
            <v>8054</v>
          </cell>
          <cell r="B1650" t="str">
            <v>ja</v>
          </cell>
          <cell r="C1650" t="str">
            <v>D.R.T.H__キティコスプレ</v>
          </cell>
          <cell r="D1650" t="str">
            <v>D.R.T.H__キティコスプレ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ss</v>
          </cell>
          <cell r="N1650" t="str">
            <v>サンリオキャラクターズ</v>
          </cell>
          <cell r="O1650" t="str">
            <v>none</v>
          </cell>
          <cell r="P1650" t="str">
            <v>種族なし</v>
          </cell>
          <cell r="Q1650" t="str">
            <v>アタッカー</v>
          </cell>
          <cell r="R1650">
            <v>1</v>
          </cell>
        </row>
        <row r="1651">
          <cell r="A1651">
            <v>8055</v>
          </cell>
          <cell r="B1651" t="str">
            <v>ja</v>
          </cell>
          <cell r="C1651" t="str">
            <v>マイメロディ</v>
          </cell>
          <cell r="D1651" t="str">
            <v>マイメロディ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4</v>
          </cell>
          <cell r="J1651" t="str">
            <v>PremiumS</v>
          </cell>
          <cell r="K1651" t="str">
            <v>attack</v>
          </cell>
          <cell r="L1651" t="str">
            <v>攻撃タイプ</v>
          </cell>
          <cell r="M1651" t="str">
            <v>ss</v>
          </cell>
          <cell r="N1651" t="str">
            <v>サンリオキャラクターズ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1</v>
          </cell>
        </row>
        <row r="1652">
          <cell r="A1652">
            <v>8056</v>
          </cell>
          <cell r="B1652" t="str">
            <v>ja</v>
          </cell>
          <cell r="C1652" t="str">
            <v>マイメロディ</v>
          </cell>
          <cell r="D1652" t="str">
            <v>マイメロディ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5</v>
          </cell>
          <cell r="J1652" t="str">
            <v>PremiumS</v>
          </cell>
          <cell r="K1652" t="str">
            <v>attack</v>
          </cell>
          <cell r="L1652" t="str">
            <v>攻撃タイプ</v>
          </cell>
          <cell r="M1652" t="str">
            <v>ss</v>
          </cell>
          <cell r="N1652" t="str">
            <v>サンリオキャラクターズ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1</v>
          </cell>
        </row>
        <row r="1653">
          <cell r="A1653">
            <v>8057</v>
          </cell>
          <cell r="B1653" t="str">
            <v>ja</v>
          </cell>
          <cell r="C1653" t="str">
            <v>ニーベルゲン_シナモロールコスプレ</v>
          </cell>
          <cell r="D1653" t="str">
            <v>ニーベルゲン_シナモロールコスプレ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  <cell r="N1653" t="str">
            <v>サンリオキャラクターズ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</row>
        <row r="1654">
          <cell r="A1654">
            <v>8058</v>
          </cell>
          <cell r="B1654" t="str">
            <v>ja</v>
          </cell>
          <cell r="C1654" t="str">
            <v>ニーベルゲン_シナモロールコスプレ</v>
          </cell>
          <cell r="D1654" t="str">
            <v>ニーベルゲン_シナモロールコスプレ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green</v>
          </cell>
          <cell r="I1654">
            <v>5</v>
          </cell>
          <cell r="J1654" t="str">
            <v>PremiumS</v>
          </cell>
          <cell r="K1654" t="str">
            <v>balance</v>
          </cell>
          <cell r="L1654" t="str">
            <v>バランスタイプ</v>
          </cell>
          <cell r="M1654" t="str">
            <v>ss</v>
          </cell>
          <cell r="N1654" t="str">
            <v>サンリオキャラクターズ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</row>
        <row r="1655">
          <cell r="A1655">
            <v>8059</v>
          </cell>
          <cell r="B1655" t="str">
            <v>ja</v>
          </cell>
          <cell r="C1655" t="str">
            <v>カカシ_マイメロディコスプレ</v>
          </cell>
          <cell r="D1655" t="str">
            <v>カカシ_マイメロディコスプレ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</v>
          </cell>
          <cell r="K1655" t="str">
            <v>technical</v>
          </cell>
          <cell r="L1655" t="str">
            <v>テクニカルタイプ</v>
          </cell>
          <cell r="M1655" t="str">
            <v>ss</v>
          </cell>
          <cell r="N1655" t="str">
            <v>サンリオキャラクターズ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</row>
        <row r="1656">
          <cell r="A1656">
            <v>8060</v>
          </cell>
          <cell r="B1656" t="str">
            <v>ja</v>
          </cell>
          <cell r="C1656" t="str">
            <v>カカシ_マイメロディコスプレ</v>
          </cell>
          <cell r="D1656" t="str">
            <v>カカシ_マイメロディコスプレ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  <cell r="N1656" t="str">
            <v>サンリオキャラクターズ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</row>
        <row r="1657">
          <cell r="A1657">
            <v>8061</v>
          </cell>
          <cell r="B1657" t="str">
            <v>ja</v>
          </cell>
          <cell r="C1657" t="str">
            <v>ケロケロけろっぴ</v>
          </cell>
          <cell r="D1657" t="str">
            <v>ケロケロけろっぴ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3</v>
          </cell>
          <cell r="J1657" t="str">
            <v>PremiumS</v>
          </cell>
          <cell r="K1657" t="str">
            <v>balance</v>
          </cell>
          <cell r="L1657" t="str">
            <v>バランスタイプ</v>
          </cell>
          <cell r="M1657" t="str">
            <v>ss</v>
          </cell>
          <cell r="N1657" t="str">
            <v>サンリオキャラクターズ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</row>
        <row r="1658">
          <cell r="A1658">
            <v>8062</v>
          </cell>
          <cell r="B1658" t="str">
            <v>ja</v>
          </cell>
          <cell r="C1658" t="str">
            <v>ケロケロけろっぴ</v>
          </cell>
          <cell r="D1658" t="str">
            <v>ケロケロけろっぴ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4</v>
          </cell>
          <cell r="J1658" t="str">
            <v>PremiumS</v>
          </cell>
          <cell r="K1658" t="str">
            <v>balance</v>
          </cell>
          <cell r="L1658" t="str">
            <v>バランスタイプ</v>
          </cell>
          <cell r="M1658" t="str">
            <v>ss</v>
          </cell>
          <cell r="N1658" t="str">
            <v>サンリオキャラクターズ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</row>
        <row r="1659">
          <cell r="A1659">
            <v>8063</v>
          </cell>
          <cell r="B1659" t="str">
            <v>ja</v>
          </cell>
          <cell r="C1659" t="str">
            <v>モルドレッド_ポムポムプリンコスプレ</v>
          </cell>
          <cell r="D1659" t="str">
            <v>モルドレッド_ポムポムプリンコスプレ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5</v>
          </cell>
          <cell r="J1659" t="str">
            <v>PremiumSS</v>
          </cell>
          <cell r="K1659" t="str">
            <v>heal</v>
          </cell>
          <cell r="L1659" t="str">
            <v>回復タイプ</v>
          </cell>
          <cell r="M1659" t="str">
            <v>ss</v>
          </cell>
          <cell r="N1659" t="str">
            <v>サンリオキャラクターズ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</row>
        <row r="1660">
          <cell r="A1660">
            <v>8064</v>
          </cell>
          <cell r="B1660" t="str">
            <v>ja</v>
          </cell>
          <cell r="C1660" t="str">
            <v>モルドレッド_ポムポムプリンコスプレ</v>
          </cell>
          <cell r="D1660" t="str">
            <v>モルドレッド_ポムポムプリンコスプレ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blue</v>
          </cell>
          <cell r="I1660">
            <v>6</v>
          </cell>
          <cell r="J1660" t="str">
            <v>PremiumSS</v>
          </cell>
          <cell r="K1660" t="str">
            <v>heal</v>
          </cell>
          <cell r="L1660" t="str">
            <v>回復タイプ</v>
          </cell>
          <cell r="M1660" t="str">
            <v>ss</v>
          </cell>
          <cell r="N1660" t="str">
            <v>サンリオキャラクターズ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</row>
        <row r="1661">
          <cell r="A1661">
            <v>8065</v>
          </cell>
          <cell r="B1661" t="str">
            <v>ja</v>
          </cell>
          <cell r="C1661" t="str">
            <v>クロミ</v>
          </cell>
          <cell r="D1661" t="str">
            <v>クロミ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blue</v>
          </cell>
          <cell r="I1661">
            <v>3</v>
          </cell>
          <cell r="J1661" t="str">
            <v>PremiumS</v>
          </cell>
          <cell r="K1661" t="str">
            <v>technical</v>
          </cell>
          <cell r="L1661" t="str">
            <v>テクニカルタイプ</v>
          </cell>
          <cell r="M1661" t="str">
            <v>ss</v>
          </cell>
          <cell r="N1661" t="str">
            <v>サンリオキャラクターズ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</row>
        <row r="1662">
          <cell r="A1662">
            <v>8066</v>
          </cell>
          <cell r="B1662" t="str">
            <v>ja</v>
          </cell>
          <cell r="C1662" t="str">
            <v>クロミ</v>
          </cell>
          <cell r="D1662" t="str">
            <v>クロミ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blue</v>
          </cell>
          <cell r="I1662">
            <v>4</v>
          </cell>
          <cell r="J1662" t="str">
            <v>PremiumS</v>
          </cell>
          <cell r="K1662" t="str">
            <v>technical</v>
          </cell>
          <cell r="L1662" t="str">
            <v>テクニカルタイプ</v>
          </cell>
          <cell r="M1662" t="str">
            <v>ss</v>
          </cell>
          <cell r="N1662" t="str">
            <v>サンリオキャラクターズ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</row>
        <row r="1663">
          <cell r="A1663">
            <v>8067</v>
          </cell>
          <cell r="B1663" t="str">
            <v>ja</v>
          </cell>
          <cell r="C1663" t="str">
            <v>バッドばつ丸</v>
          </cell>
          <cell r="D1663" t="str">
            <v>バッドばつ丸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blue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ss</v>
          </cell>
          <cell r="N1663" t="str">
            <v>サンリオキャラクターズ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</row>
        <row r="1664">
          <cell r="A1664">
            <v>8068</v>
          </cell>
          <cell r="B1664" t="str">
            <v>ja</v>
          </cell>
          <cell r="C1664" t="str">
            <v>バッドばつ丸</v>
          </cell>
          <cell r="D1664" t="str">
            <v>バッドばつ丸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blue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ss</v>
          </cell>
          <cell r="N1664" t="str">
            <v>サンリオキャラクターズ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</row>
        <row r="1665">
          <cell r="A1665">
            <v>8069</v>
          </cell>
          <cell r="B1665" t="str">
            <v>ja</v>
          </cell>
          <cell r="C1665" t="str">
            <v>シナモロール</v>
          </cell>
          <cell r="D1665" t="str">
            <v>シナモロール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yellow</v>
          </cell>
          <cell r="I1665">
            <v>4</v>
          </cell>
          <cell r="J1665" t="str">
            <v>PremiumS</v>
          </cell>
          <cell r="K1665" t="str">
            <v>heal</v>
          </cell>
          <cell r="L1665" t="str">
            <v>回復タイプ</v>
          </cell>
          <cell r="M1665" t="str">
            <v>ss</v>
          </cell>
          <cell r="N1665" t="str">
            <v>サンリオキャラクターズ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</row>
        <row r="1666">
          <cell r="A1666">
            <v>8070</v>
          </cell>
          <cell r="B1666" t="str">
            <v>ja</v>
          </cell>
          <cell r="C1666" t="str">
            <v>シナモロール</v>
          </cell>
          <cell r="D1666" t="str">
            <v>シナモロール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5</v>
          </cell>
          <cell r="J1666" t="str">
            <v>PremiumS</v>
          </cell>
          <cell r="K1666" t="str">
            <v>heal</v>
          </cell>
          <cell r="L1666" t="str">
            <v>回復タイプ</v>
          </cell>
          <cell r="M1666" t="str">
            <v>ss</v>
          </cell>
          <cell r="N1666" t="str">
            <v>サンリオキャラクターズ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</row>
        <row r="1667">
          <cell r="A1667">
            <v>8071</v>
          </cell>
          <cell r="B1667" t="str">
            <v>ja</v>
          </cell>
          <cell r="C1667" t="str">
            <v>ポムポムプリン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yellow</v>
          </cell>
          <cell r="I1667">
            <v>3</v>
          </cell>
          <cell r="J1667" t="str">
            <v>PremiumS</v>
          </cell>
          <cell r="K1667" t="str">
            <v>hp</v>
          </cell>
          <cell r="L1667" t="str">
            <v>体力タイプ</v>
          </cell>
          <cell r="M1667" t="str">
            <v>ss</v>
          </cell>
          <cell r="N1667" t="str">
            <v>サンリオキャラクターズ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</row>
        <row r="1668">
          <cell r="A1668">
            <v>8072</v>
          </cell>
          <cell r="B1668" t="str">
            <v>ja</v>
          </cell>
          <cell r="C1668" t="str">
            <v>ポムポムプリン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yellow</v>
          </cell>
          <cell r="I1668">
            <v>4</v>
          </cell>
          <cell r="J1668" t="str">
            <v>PremiumS</v>
          </cell>
          <cell r="K1668" t="str">
            <v>hp</v>
          </cell>
          <cell r="L1668" t="str">
            <v>体力タイプ</v>
          </cell>
          <cell r="M1668" t="str">
            <v>ss</v>
          </cell>
          <cell r="N1668" t="str">
            <v>サンリオキャラクターズ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</row>
        <row r="1669">
          <cell r="A1669">
            <v>8073</v>
          </cell>
          <cell r="B1669" t="str">
            <v>ja</v>
          </cell>
          <cell r="C1669" t="str">
            <v>星海祈る天光妃 媽祖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  <cell r="N1669" t="str">
            <v>ヒューマン</v>
          </cell>
          <cell r="O1669" t="str">
            <v>machine</v>
          </cell>
          <cell r="P1669" t="str">
            <v>マシン</v>
          </cell>
          <cell r="Q1669" t="str">
            <v>アタッカー</v>
          </cell>
          <cell r="R1669">
            <v>3</v>
          </cell>
        </row>
        <row r="1670">
          <cell r="A1670">
            <v>8074</v>
          </cell>
          <cell r="B1670" t="str">
            <v>ja</v>
          </cell>
          <cell r="C1670" t="str">
            <v>海戀の絶龍姫 蛟龍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6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  <cell r="N1670" t="str">
            <v>ドラゴン</v>
          </cell>
          <cell r="O1670" t="str">
            <v>unknown</v>
          </cell>
          <cell r="P1670" t="str">
            <v>Unknown</v>
          </cell>
          <cell r="Q1670" t="str">
            <v>アタッカー</v>
          </cell>
          <cell r="R1670">
            <v>3</v>
          </cell>
        </row>
        <row r="1671">
          <cell r="A1671">
            <v>8075</v>
          </cell>
          <cell r="B1671" t="str">
            <v>ja</v>
          </cell>
          <cell r="C1671" t="str">
            <v>解脱天の知徳 三蔵法師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blue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animal</v>
          </cell>
          <cell r="P1671" t="str">
            <v>アニマル</v>
          </cell>
          <cell r="Q1671" t="str">
            <v>アタッカー</v>
          </cell>
          <cell r="R1671">
            <v>3</v>
          </cell>
        </row>
        <row r="1672">
          <cell r="A1672">
            <v>8076</v>
          </cell>
          <cell r="B1672" t="str">
            <v>ja</v>
          </cell>
          <cell r="C1672" t="str">
            <v>天暴の斉天大聖 孫悟空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DropWizS</v>
          </cell>
          <cell r="K1672" t="str">
            <v>attack</v>
          </cell>
          <cell r="L1672" t="str">
            <v>攻撃タイプ</v>
          </cell>
          <cell r="M1672" t="str">
            <v>unknown</v>
          </cell>
          <cell r="N1672" t="str">
            <v>Unknown</v>
          </cell>
          <cell r="O1672" t="str">
            <v>hero</v>
          </cell>
          <cell r="P1672" t="str">
            <v>ヒーロー</v>
          </cell>
          <cell r="Q1672" t="str">
            <v>アタッカー</v>
          </cell>
          <cell r="R1672">
            <v>3</v>
          </cell>
        </row>
        <row r="1673">
          <cell r="A1673">
            <v>8077</v>
          </cell>
          <cell r="B1673" t="str">
            <v>ja</v>
          </cell>
          <cell r="C1673" t="str">
            <v>鄭成功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blue</v>
          </cell>
          <cell r="I1673">
            <v>5</v>
          </cell>
          <cell r="J1673" t="str">
            <v>PremiumSS</v>
          </cell>
          <cell r="K1673" t="str">
            <v>attack</v>
          </cell>
          <cell r="L1673" t="str">
            <v>攻撃タイプ</v>
          </cell>
          <cell r="M1673" t="str">
            <v>human</v>
          </cell>
          <cell r="N1673" t="str">
            <v>ヒューマン</v>
          </cell>
          <cell r="O1673" t="str">
            <v>none</v>
          </cell>
          <cell r="P1673" t="str">
            <v>種族なし</v>
          </cell>
          <cell r="Q1673" t="str">
            <v>アタッカー</v>
          </cell>
          <cell r="R1673">
            <v>1</v>
          </cell>
        </row>
        <row r="1674">
          <cell r="A1674">
            <v>8078</v>
          </cell>
          <cell r="B1674" t="str">
            <v>ja</v>
          </cell>
          <cell r="C1674" t="str">
            <v>レア６鄭成功</v>
          </cell>
          <cell r="D1674" t="str">
            <v>ポムポムプリン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attack</v>
          </cell>
          <cell r="L1674" t="str">
            <v>攻撃タイプ</v>
          </cell>
          <cell r="M1674" t="str">
            <v>human</v>
          </cell>
          <cell r="N1674" t="str">
            <v>ヒューマン</v>
          </cell>
          <cell r="O1674" t="str">
            <v>hero</v>
          </cell>
          <cell r="P1674" t="str">
            <v>ヒーロー</v>
          </cell>
          <cell r="Q1674" t="str">
            <v>アタッカー</v>
          </cell>
          <cell r="R1674">
            <v>1</v>
          </cell>
        </row>
        <row r="1675">
          <cell r="A1675">
            <v>8079</v>
          </cell>
          <cell r="B1675" t="str">
            <v>ja</v>
          </cell>
          <cell r="C1675" t="str">
            <v>赤鬼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DropWizS</v>
          </cell>
          <cell r="K1675" t="str">
            <v>hp</v>
          </cell>
          <cell r="L1675" t="str">
            <v>体力タイプ</v>
          </cell>
          <cell r="M1675" t="str">
            <v>dragon</v>
          </cell>
          <cell r="N1675" t="str">
            <v>ドラゴン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</row>
        <row r="1676">
          <cell r="A1676">
            <v>8080</v>
          </cell>
          <cell r="B1676" t="str">
            <v>ja</v>
          </cell>
          <cell r="C1676" t="str">
            <v>レア６赤鬼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DropWizS</v>
          </cell>
          <cell r="K1676" t="str">
            <v>hp</v>
          </cell>
          <cell r="L1676" t="str">
            <v>体力タイプ</v>
          </cell>
          <cell r="M1676" t="str">
            <v>dragon</v>
          </cell>
          <cell r="N1676" t="str">
            <v>ドラゴン</v>
          </cell>
          <cell r="O1676" t="str">
            <v>unknown</v>
          </cell>
          <cell r="P1676" t="str">
            <v>Unknown</v>
          </cell>
          <cell r="Q1676" t="str">
            <v>アタッカー</v>
          </cell>
          <cell r="R1676">
            <v>1</v>
          </cell>
        </row>
        <row r="1677">
          <cell r="A1677">
            <v>8081</v>
          </cell>
          <cell r="B1677" t="str">
            <v>ja</v>
          </cell>
          <cell r="C1677" t="str">
            <v>関羽</v>
          </cell>
          <cell r="H1677" t="str">
            <v>green</v>
          </cell>
          <cell r="I1677">
            <v>5</v>
          </cell>
          <cell r="J1677" t="str">
            <v>PremiumSSS</v>
          </cell>
          <cell r="K1677" t="str">
            <v>balance</v>
          </cell>
          <cell r="L1677" t="str">
            <v>バランスタイプ</v>
          </cell>
          <cell r="M1677" t="str">
            <v>samurai</v>
          </cell>
          <cell r="N1677" t="str">
            <v>サムライ</v>
          </cell>
          <cell r="O1677" t="str">
            <v>human</v>
          </cell>
          <cell r="P1677" t="str">
            <v>ヒューマン</v>
          </cell>
          <cell r="Q1677" t="str">
            <v>アタッカー</v>
          </cell>
          <cell r="R1677">
            <v>1</v>
          </cell>
        </row>
        <row r="1678">
          <cell r="A1678">
            <v>8082</v>
          </cell>
          <cell r="B1678" t="str">
            <v>ja</v>
          </cell>
          <cell r="C1678" t="str">
            <v>★６関羽</v>
          </cell>
          <cell r="H1678" t="str">
            <v>green</v>
          </cell>
          <cell r="I1678">
            <v>6</v>
          </cell>
          <cell r="J1678" t="str">
            <v>PremiumSSS</v>
          </cell>
          <cell r="K1678" t="str">
            <v>balance</v>
          </cell>
          <cell r="L1678" t="str">
            <v>バランスタイプ</v>
          </cell>
          <cell r="M1678" t="str">
            <v>samurai</v>
          </cell>
          <cell r="N1678" t="str">
            <v>サムライ</v>
          </cell>
          <cell r="O1678" t="str">
            <v>human</v>
          </cell>
          <cell r="P1678" t="str">
            <v>ヒューマン</v>
          </cell>
          <cell r="Q1678" t="str">
            <v>アタッカー</v>
          </cell>
          <cell r="R1678">
            <v>1</v>
          </cell>
        </row>
        <row r="1679">
          <cell r="A1679">
            <v>8083</v>
          </cell>
          <cell r="B1679" t="str">
            <v>ja</v>
          </cell>
          <cell r="C1679" t="str">
            <v>曹操</v>
          </cell>
          <cell r="H1679" t="str">
            <v>yellow</v>
          </cell>
          <cell r="I1679">
            <v>5</v>
          </cell>
          <cell r="J1679" t="str">
            <v>DropWizSS</v>
          </cell>
          <cell r="K1679" t="str">
            <v>technical</v>
          </cell>
          <cell r="L1679" t="str">
            <v>テクニカルタイプ</v>
          </cell>
          <cell r="M1679" t="str">
            <v>samurai</v>
          </cell>
          <cell r="N1679" t="str">
            <v>サムライ</v>
          </cell>
          <cell r="O1679" t="str">
            <v>human</v>
          </cell>
          <cell r="P1679" t="str">
            <v>ヒューマン</v>
          </cell>
          <cell r="Q1679" t="str">
            <v>アタッカー</v>
          </cell>
          <cell r="R1679">
            <v>1</v>
          </cell>
        </row>
        <row r="1680">
          <cell r="A1680">
            <v>8084</v>
          </cell>
          <cell r="B1680" t="str">
            <v>ja</v>
          </cell>
          <cell r="C1680" t="str">
            <v>★６曹操</v>
          </cell>
          <cell r="H1680" t="str">
            <v>yellow</v>
          </cell>
          <cell r="I1680">
            <v>6</v>
          </cell>
          <cell r="J1680" t="str">
            <v>DropWizSS</v>
          </cell>
          <cell r="K1680" t="str">
            <v>technical</v>
          </cell>
          <cell r="L1680" t="str">
            <v>テクニカルタイプ</v>
          </cell>
          <cell r="M1680" t="str">
            <v>samurai</v>
          </cell>
          <cell r="N1680" t="str">
            <v>サムライ</v>
          </cell>
          <cell r="O1680" t="str">
            <v>human</v>
          </cell>
          <cell r="P1680" t="str">
            <v>ヒューマン</v>
          </cell>
          <cell r="Q1680" t="str">
            <v>アタッカー</v>
          </cell>
          <cell r="R1680">
            <v>1</v>
          </cell>
        </row>
        <row r="1681">
          <cell r="A1681">
            <v>8085</v>
          </cell>
          <cell r="B1681" t="str">
            <v>ja</v>
          </cell>
          <cell r="C1681" t="str">
            <v>九霊無上の聖母 西王娘娘</v>
          </cell>
          <cell r="H1681" t="str">
            <v>green</v>
          </cell>
          <cell r="I1681">
            <v>6</v>
          </cell>
          <cell r="J1681" t="str">
            <v>PremiumSS</v>
          </cell>
          <cell r="K1681" t="str">
            <v>attack</v>
          </cell>
          <cell r="L1681" t="str">
            <v>攻撃タイプ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</row>
        <row r="1682">
          <cell r="A1682">
            <v>8086</v>
          </cell>
          <cell r="B1682" t="str">
            <v>ja</v>
          </cell>
          <cell r="C1682" t="str">
            <v>砕縁の情滅剣 月下老人</v>
          </cell>
          <cell r="H1682" t="str">
            <v>yellow</v>
          </cell>
          <cell r="I1682">
            <v>6</v>
          </cell>
          <cell r="J1682" t="str">
            <v>DropWizS</v>
          </cell>
          <cell r="K1682" t="str">
            <v>attack</v>
          </cell>
          <cell r="L1682" t="str">
            <v>攻撃タイプ</v>
          </cell>
          <cell r="M1682" t="str">
            <v>god</v>
          </cell>
          <cell r="N1682" t="str">
            <v>ゴッド</v>
          </cell>
          <cell r="O1682" t="str">
            <v>animal</v>
          </cell>
          <cell r="P1682" t="str">
            <v>アニマル</v>
          </cell>
          <cell r="Q1682" t="str">
            <v>アタッカー</v>
          </cell>
          <cell r="R1682">
            <v>3</v>
          </cell>
        </row>
        <row r="1683">
          <cell r="A1683">
            <v>8087</v>
          </cell>
          <cell r="B1683" t="str">
            <v>ja</v>
          </cell>
          <cell r="C1683" t="str">
            <v>財神</v>
          </cell>
          <cell r="H1683" t="str">
            <v>red</v>
          </cell>
          <cell r="I1683">
            <v>5</v>
          </cell>
          <cell r="J1683" t="str">
            <v>PremiumSSS</v>
          </cell>
          <cell r="K1683" t="str">
            <v>technical</v>
          </cell>
          <cell r="L1683" t="str">
            <v>テクニカルタイプ</v>
          </cell>
          <cell r="M1683" t="str">
            <v>god</v>
          </cell>
          <cell r="N1683" t="str">
            <v>ゴッド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</row>
        <row r="1684">
          <cell r="A1684">
            <v>8088</v>
          </cell>
          <cell r="B1684" t="str">
            <v>ja</v>
          </cell>
          <cell r="C1684" t="str">
            <v>★６財神</v>
          </cell>
          <cell r="H1684" t="str">
            <v>red</v>
          </cell>
          <cell r="I1684">
            <v>6</v>
          </cell>
          <cell r="J1684" t="str">
            <v>PremiumSSS</v>
          </cell>
          <cell r="K1684" t="str">
            <v>technical</v>
          </cell>
          <cell r="L1684" t="str">
            <v>テクニカルタイプ</v>
          </cell>
          <cell r="M1684" t="str">
            <v>god</v>
          </cell>
          <cell r="N1684" t="str">
            <v>ゴッド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</row>
        <row r="1685">
          <cell r="A1685">
            <v>8089</v>
          </cell>
          <cell r="B1685" t="str">
            <v>ja</v>
          </cell>
          <cell r="C1685" t="str">
            <v>年獣</v>
          </cell>
          <cell r="H1685" t="str">
            <v>green</v>
          </cell>
          <cell r="I1685">
            <v>5</v>
          </cell>
          <cell r="J1685" t="str">
            <v>DropWizS</v>
          </cell>
          <cell r="K1685" t="str">
            <v>attack</v>
          </cell>
          <cell r="L1685" t="str">
            <v>攻撃タイプ</v>
          </cell>
          <cell r="M1685" t="str">
            <v>animal</v>
          </cell>
          <cell r="N1685" t="str">
            <v>アニマル</v>
          </cell>
          <cell r="O1685" t="str">
            <v>unknown</v>
          </cell>
          <cell r="P1685" t="str">
            <v>Unknown</v>
          </cell>
          <cell r="Q1685" t="str">
            <v>アタッカー</v>
          </cell>
          <cell r="R1685">
            <v>1</v>
          </cell>
        </row>
        <row r="1686">
          <cell r="A1686">
            <v>8090</v>
          </cell>
          <cell r="B1686" t="str">
            <v>ja</v>
          </cell>
          <cell r="C1686" t="str">
            <v>★６年獣</v>
          </cell>
          <cell r="H1686" t="str">
            <v>green</v>
          </cell>
          <cell r="I1686">
            <v>6</v>
          </cell>
          <cell r="J1686" t="str">
            <v>DropWizS</v>
          </cell>
          <cell r="K1686" t="str">
            <v>attack</v>
          </cell>
          <cell r="L1686" t="str">
            <v>攻撃タイプ</v>
          </cell>
          <cell r="M1686" t="str">
            <v>animal</v>
          </cell>
          <cell r="N1686" t="str">
            <v>アニマル</v>
          </cell>
          <cell r="O1686" t="str">
            <v>unknown</v>
          </cell>
          <cell r="P1686" t="str">
            <v>Unknown</v>
          </cell>
          <cell r="Q1686" t="str">
            <v>アタッカー</v>
          </cell>
          <cell r="R1686">
            <v>1</v>
          </cell>
        </row>
        <row r="1687">
          <cell r="A1687">
            <v>8095</v>
          </cell>
          <cell r="B1687" t="str">
            <v>ja</v>
          </cell>
          <cell r="C1687" t="str">
            <v>バハムートダック赤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6</v>
          </cell>
          <cell r="J1687" t="str">
            <v>Material</v>
          </cell>
          <cell r="K1687" t="str">
            <v>exp</v>
          </cell>
          <cell r="L1687" t="str">
            <v>強化素材タイプ</v>
          </cell>
          <cell r="M1687" t="str">
            <v>unknown</v>
          </cell>
          <cell r="N1687" t="str">
            <v>Unknown</v>
          </cell>
          <cell r="O1687" t="str">
            <v>none</v>
          </cell>
          <cell r="P1687" t="str">
            <v>種族なし</v>
          </cell>
          <cell r="Q1687" t="str">
            <v>強化素材</v>
          </cell>
          <cell r="R1687">
            <v>1</v>
          </cell>
        </row>
        <row r="1688">
          <cell r="A1688">
            <v>8096</v>
          </cell>
          <cell r="B1688" t="str">
            <v>ja</v>
          </cell>
          <cell r="C1688" t="str">
            <v>バハムートダック緑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green</v>
          </cell>
          <cell r="I1688">
            <v>6</v>
          </cell>
          <cell r="J1688" t="str">
            <v>Material</v>
          </cell>
          <cell r="K1688" t="str">
            <v>exp</v>
          </cell>
          <cell r="L1688" t="str">
            <v>強化素材タイプ</v>
          </cell>
          <cell r="M1688" t="str">
            <v>unknown</v>
          </cell>
          <cell r="N1688" t="str">
            <v>Unknown</v>
          </cell>
          <cell r="O1688" t="str">
            <v>none</v>
          </cell>
          <cell r="P1688" t="str">
            <v>種族なし</v>
          </cell>
          <cell r="Q1688" t="str">
            <v>強化素材</v>
          </cell>
          <cell r="R1688">
            <v>1</v>
          </cell>
        </row>
        <row r="1689">
          <cell r="A1689">
            <v>8097</v>
          </cell>
          <cell r="B1689" t="str">
            <v>ja</v>
          </cell>
          <cell r="C1689" t="str">
            <v>バハムートダック青</v>
          </cell>
          <cell r="D1689" t="str">
            <v>ポムポムプリン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blue</v>
          </cell>
          <cell r="I1689">
            <v>6</v>
          </cell>
          <cell r="J1689" t="str">
            <v>Material</v>
          </cell>
          <cell r="K1689" t="str">
            <v>exp</v>
          </cell>
          <cell r="L1689" t="str">
            <v>強化素材タイプ</v>
          </cell>
          <cell r="M1689" t="str">
            <v>unknown</v>
          </cell>
          <cell r="N1689" t="str">
            <v>Unknown</v>
          </cell>
          <cell r="O1689" t="str">
            <v>none</v>
          </cell>
          <cell r="P1689" t="str">
            <v>種族なし</v>
          </cell>
          <cell r="Q1689" t="str">
            <v>強化素材</v>
          </cell>
          <cell r="R1689">
            <v>1</v>
          </cell>
        </row>
        <row r="1690">
          <cell r="A1690">
            <v>8098</v>
          </cell>
          <cell r="B1690" t="str">
            <v>ja</v>
          </cell>
          <cell r="C1690" t="str">
            <v>バハムートダック黄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yellow</v>
          </cell>
          <cell r="I1690">
            <v>6</v>
          </cell>
          <cell r="J1690" t="str">
            <v>Material</v>
          </cell>
          <cell r="K1690" t="str">
            <v>exp</v>
          </cell>
          <cell r="L1690" t="str">
            <v>強化素材タイプ</v>
          </cell>
          <cell r="M1690" t="str">
            <v>unknown</v>
          </cell>
          <cell r="N1690" t="str">
            <v>Unknown</v>
          </cell>
          <cell r="O1690" t="str">
            <v>none</v>
          </cell>
          <cell r="P1690" t="str">
            <v>種族なし</v>
          </cell>
          <cell r="Q1690" t="str">
            <v>強化素材</v>
          </cell>
          <cell r="R1690">
            <v>1</v>
          </cell>
        </row>
        <row r="1691">
          <cell r="A1691">
            <v>8099</v>
          </cell>
          <cell r="B1691" t="str">
            <v>ja</v>
          </cell>
          <cell r="C1691" t="str">
            <v>韓湘子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green</v>
          </cell>
          <cell r="I1691">
            <v>5</v>
          </cell>
          <cell r="J1691" t="str">
            <v>PremiumSSw</v>
          </cell>
          <cell r="K1691" t="str">
            <v>balance</v>
          </cell>
          <cell r="L1691" t="str">
            <v>バランスタイプ</v>
          </cell>
          <cell r="M1691" t="str">
            <v>god</v>
          </cell>
          <cell r="N1691" t="str">
            <v>ゴッド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</row>
        <row r="1692">
          <cell r="A1692">
            <v>8100</v>
          </cell>
          <cell r="B1692" t="str">
            <v>ja</v>
          </cell>
          <cell r="C1692" t="str">
            <v>韓湘子★６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6</v>
          </cell>
          <cell r="J1692" t="str">
            <v>PremiumSSw</v>
          </cell>
          <cell r="K1692" t="str">
            <v>balance</v>
          </cell>
          <cell r="L1692" t="str">
            <v>バランスタイプ</v>
          </cell>
          <cell r="M1692" t="str">
            <v>god</v>
          </cell>
          <cell r="N1692" t="str">
            <v>ゴッド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</row>
        <row r="1693">
          <cell r="A1693">
            <v>8101</v>
          </cell>
          <cell r="B1693" t="str">
            <v>ja</v>
          </cell>
          <cell r="C1693" t="str">
            <v>張果老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yellow</v>
          </cell>
          <cell r="I1693">
            <v>5</v>
          </cell>
          <cell r="J1693" t="str">
            <v>DropWizS</v>
          </cell>
          <cell r="K1693" t="str">
            <v>attack</v>
          </cell>
          <cell r="L1693" t="str">
            <v>攻撃タイプ</v>
          </cell>
          <cell r="M1693" t="str">
            <v>god</v>
          </cell>
          <cell r="N1693" t="str">
            <v>ゴッド</v>
          </cell>
          <cell r="O1693" t="str">
            <v>machine</v>
          </cell>
          <cell r="P1693" t="str">
            <v>マシン</v>
          </cell>
          <cell r="Q1693" t="str">
            <v>アタッカー</v>
          </cell>
          <cell r="R1693">
            <v>1</v>
          </cell>
        </row>
        <row r="1694">
          <cell r="A1694">
            <v>8102</v>
          </cell>
          <cell r="B1694" t="str">
            <v>ja</v>
          </cell>
          <cell r="C1694" t="str">
            <v>張果老★６</v>
          </cell>
          <cell r="D1694" t="str">
            <v>各属性相性良3・黄・R455</v>
          </cell>
          <cell r="E1694" t="str">
            <v>執行者</v>
          </cell>
          <cell r="F1694" t="str">
            <v>格好いい</v>
          </cell>
          <cell r="G1694" t="str">
            <v>男性</v>
          </cell>
          <cell r="H1694" t="str">
            <v>yellow</v>
          </cell>
          <cell r="I1694">
            <v>6</v>
          </cell>
          <cell r="J1694" t="str">
            <v>DropWizS</v>
          </cell>
          <cell r="K1694" t="str">
            <v>attack</v>
          </cell>
          <cell r="L1694" t="str">
            <v>攻撃タイプ</v>
          </cell>
          <cell r="M1694" t="str">
            <v>god</v>
          </cell>
          <cell r="N1694" t="str">
            <v>ゴッド</v>
          </cell>
          <cell r="O1694" t="str">
            <v>machine</v>
          </cell>
          <cell r="P1694" t="str">
            <v>マシン</v>
          </cell>
          <cell r="Q1694" t="str">
            <v>アタッカー</v>
          </cell>
          <cell r="R1694">
            <v>1</v>
          </cell>
        </row>
        <row r="1695">
          <cell r="A1695">
            <v>8103</v>
          </cell>
          <cell r="B1695" t="str">
            <v>ja</v>
          </cell>
          <cell r="C1695" t="str">
            <v>李鐵拐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5</v>
          </cell>
          <cell r="J1695" t="str">
            <v>PremiumSSw</v>
          </cell>
          <cell r="K1695" t="str">
            <v>technical</v>
          </cell>
          <cell r="L1695" t="str">
            <v>テクニカルタイプ</v>
          </cell>
          <cell r="M1695" t="str">
            <v>god</v>
          </cell>
          <cell r="N1695" t="str">
            <v>ゴッド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</row>
        <row r="1696">
          <cell r="A1696">
            <v>8104</v>
          </cell>
          <cell r="B1696" t="str">
            <v>ja</v>
          </cell>
          <cell r="C1696" t="str">
            <v>李鐵拐★６</v>
          </cell>
          <cell r="D1696" t="str">
            <v>各属性相性良3・黄・R455</v>
          </cell>
          <cell r="E1696" t="str">
            <v>執行者</v>
          </cell>
          <cell r="F1696" t="str">
            <v>格好いい</v>
          </cell>
          <cell r="G1696" t="str">
            <v>男性</v>
          </cell>
          <cell r="H1696" t="str">
            <v>red</v>
          </cell>
          <cell r="I1696">
            <v>6</v>
          </cell>
          <cell r="J1696" t="str">
            <v>PremiumSSw</v>
          </cell>
          <cell r="K1696" t="str">
            <v>technical</v>
          </cell>
          <cell r="L1696" t="str">
            <v>テクニカルタイプ</v>
          </cell>
          <cell r="M1696" t="str">
            <v>god</v>
          </cell>
          <cell r="N1696" t="str">
            <v>ゴッド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</row>
        <row r="1697">
          <cell r="A1697">
            <v>8105</v>
          </cell>
          <cell r="B1697" t="str">
            <v>ja</v>
          </cell>
          <cell r="C1697" t="str">
            <v>曹國舅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hp</v>
          </cell>
          <cell r="L1697" t="str">
            <v>体力タイプ</v>
          </cell>
          <cell r="M1697" t="str">
            <v>god</v>
          </cell>
          <cell r="N1697" t="str">
            <v>ゴッド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</row>
        <row r="1698">
          <cell r="A1698">
            <v>8106</v>
          </cell>
          <cell r="B1698" t="str">
            <v>ja</v>
          </cell>
          <cell r="C1698" t="str">
            <v>曹國舅★６</v>
          </cell>
          <cell r="D1698" t="str">
            <v>各属性相性良3・黄・R455</v>
          </cell>
          <cell r="E1698" t="str">
            <v>執行者</v>
          </cell>
          <cell r="F1698" t="str">
            <v>格好いい</v>
          </cell>
          <cell r="G1698" t="str">
            <v>男性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hp</v>
          </cell>
          <cell r="L1698" t="str">
            <v>体力タイプ</v>
          </cell>
          <cell r="M1698" t="str">
            <v>god</v>
          </cell>
          <cell r="N1698" t="str">
            <v>ゴッド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</row>
        <row r="1699">
          <cell r="A1699">
            <v>8111</v>
          </cell>
          <cell r="B1699" t="str">
            <v>ja</v>
          </cell>
          <cell r="C1699" t="str">
            <v>福德正神</v>
          </cell>
          <cell r="H1699" t="str">
            <v>blue</v>
          </cell>
          <cell r="I1699">
            <v>5</v>
          </cell>
          <cell r="J1699" t="str">
            <v>Drop2N</v>
          </cell>
          <cell r="K1699" t="str">
            <v>heal</v>
          </cell>
          <cell r="L1699" t="str">
            <v>回復タイプ</v>
          </cell>
          <cell r="M1699" t="str">
            <v>god</v>
          </cell>
          <cell r="N1699" t="str">
            <v>ゴッド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</row>
        <row r="1700">
          <cell r="A1700">
            <v>8112</v>
          </cell>
          <cell r="B1700" t="str">
            <v>ja</v>
          </cell>
          <cell r="C1700" t="str">
            <v>福德正神★６</v>
          </cell>
          <cell r="H1700" t="str">
            <v>blue</v>
          </cell>
          <cell r="I1700">
            <v>6</v>
          </cell>
          <cell r="J1700" t="str">
            <v>Drop2N</v>
          </cell>
          <cell r="K1700" t="str">
            <v>heal</v>
          </cell>
          <cell r="L1700" t="str">
            <v>回復タイプ</v>
          </cell>
          <cell r="M1700" t="str">
            <v>god</v>
          </cell>
          <cell r="N1700" t="str">
            <v>ゴッド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</row>
        <row r="1701">
          <cell r="A1701">
            <v>8113</v>
          </cell>
          <cell r="B1701" t="str">
            <v>ja</v>
          </cell>
          <cell r="C1701" t="str">
            <v>孔子</v>
          </cell>
          <cell r="H1701" t="str">
            <v>yellow</v>
          </cell>
          <cell r="I1701">
            <v>5</v>
          </cell>
          <cell r="J1701" t="str">
            <v>PremiumSSS</v>
          </cell>
          <cell r="K1701" t="str">
            <v>attack</v>
          </cell>
          <cell r="L1701" t="str">
            <v>攻撃タイプ</v>
          </cell>
          <cell r="M1701" t="str">
            <v>academia</v>
          </cell>
          <cell r="N1701" t="str">
            <v>アカデミア</v>
          </cell>
          <cell r="O1701" t="str">
            <v>hero</v>
          </cell>
          <cell r="P1701" t="str">
            <v>ヒーロー</v>
          </cell>
          <cell r="Q1701" t="str">
            <v>アタッカー</v>
          </cell>
          <cell r="R1701">
            <v>1</v>
          </cell>
        </row>
        <row r="1702">
          <cell r="A1702">
            <v>8114</v>
          </cell>
          <cell r="B1702" t="str">
            <v>ja</v>
          </cell>
          <cell r="C1702" t="str">
            <v>孔子★６</v>
          </cell>
          <cell r="H1702" t="str">
            <v>yellow</v>
          </cell>
          <cell r="I1702">
            <v>6</v>
          </cell>
          <cell r="J1702" t="str">
            <v>PremiumSSS</v>
          </cell>
          <cell r="K1702" t="str">
            <v>attack</v>
          </cell>
          <cell r="L1702" t="str">
            <v>攻撃タイプ</v>
          </cell>
          <cell r="M1702" t="str">
            <v>academia</v>
          </cell>
          <cell r="N1702" t="str">
            <v>アカデミア</v>
          </cell>
          <cell r="O1702" t="str">
            <v>hero</v>
          </cell>
          <cell r="P1702" t="str">
            <v>ヒーロー</v>
          </cell>
          <cell r="Q1702" t="str">
            <v>アタッカー</v>
          </cell>
          <cell r="R1702">
            <v>1</v>
          </cell>
        </row>
        <row r="1703">
          <cell r="A1703">
            <v>8115</v>
          </cell>
          <cell r="B1703" t="str">
            <v>ja</v>
          </cell>
          <cell r="C1703" t="str">
            <v>贏政</v>
          </cell>
          <cell r="H1703" t="str">
            <v>blue</v>
          </cell>
          <cell r="I1703">
            <v>5</v>
          </cell>
          <cell r="J1703" t="str">
            <v>DropWizSS</v>
          </cell>
          <cell r="K1703" t="str">
            <v>attack</v>
          </cell>
          <cell r="L1703" t="str">
            <v>攻撃タイプ</v>
          </cell>
          <cell r="M1703" t="str">
            <v>human</v>
          </cell>
          <cell r="N1703" t="str">
            <v>ヒューマン</v>
          </cell>
          <cell r="O1703" t="str">
            <v>dragon</v>
          </cell>
          <cell r="P1703" t="str">
            <v>ドラゴン</v>
          </cell>
          <cell r="Q1703" t="str">
            <v>アタッカー</v>
          </cell>
          <cell r="R1703">
            <v>1</v>
          </cell>
        </row>
        <row r="1704">
          <cell r="A1704">
            <v>8116</v>
          </cell>
          <cell r="B1704" t="str">
            <v>ja</v>
          </cell>
          <cell r="C1704" t="str">
            <v>贏政★６</v>
          </cell>
          <cell r="H1704" t="str">
            <v>blue</v>
          </cell>
          <cell r="I1704">
            <v>6</v>
          </cell>
          <cell r="J1704" t="str">
            <v>DropWizSS</v>
          </cell>
          <cell r="K1704" t="str">
            <v>attack</v>
          </cell>
          <cell r="L1704" t="str">
            <v>攻撃タイプ</v>
          </cell>
          <cell r="M1704" t="str">
            <v>human</v>
          </cell>
          <cell r="N1704" t="str">
            <v>ヒューマン</v>
          </cell>
          <cell r="O1704" t="str">
            <v>dragon</v>
          </cell>
          <cell r="P1704" t="str">
            <v>ドラゴン</v>
          </cell>
          <cell r="Q1704" t="str">
            <v>アタッカー</v>
          </cell>
          <cell r="R1704">
            <v>1</v>
          </cell>
        </row>
        <row r="1705">
          <cell r="A1705">
            <v>8117</v>
          </cell>
          <cell r="B1705" t="str">
            <v>ja</v>
          </cell>
          <cell r="C1705" t="str">
            <v>白娘子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  <cell r="N1705" t="str">
            <v>ドラゴン</v>
          </cell>
          <cell r="O1705" t="str">
            <v>fantasy</v>
          </cell>
          <cell r="P1705" t="str">
            <v>ファンタジー</v>
          </cell>
          <cell r="Q1705" t="str">
            <v>アタッカー</v>
          </cell>
          <cell r="R1705">
            <v>1</v>
          </cell>
        </row>
        <row r="1706">
          <cell r="A1706">
            <v>8118</v>
          </cell>
          <cell r="B1706" t="str">
            <v>ja</v>
          </cell>
          <cell r="C1706" t="str">
            <v>白娘子★６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  <cell r="N1706" t="str">
            <v>ドラゴン</v>
          </cell>
          <cell r="O1706" t="str">
            <v>fantasy</v>
          </cell>
          <cell r="P1706" t="str">
            <v>ファンタジー</v>
          </cell>
          <cell r="Q1706" t="str">
            <v>アタッカー</v>
          </cell>
          <cell r="R1706">
            <v>1</v>
          </cell>
        </row>
        <row r="1707">
          <cell r="A1707">
            <v>8119</v>
          </cell>
          <cell r="B1707" t="str">
            <v>ja</v>
          </cell>
          <cell r="C1707" t="str">
            <v>小青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green</v>
          </cell>
          <cell r="I1707">
            <v>5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dragon</v>
          </cell>
          <cell r="N1707" t="str">
            <v>ドラゴン</v>
          </cell>
          <cell r="O1707" t="str">
            <v>fantasy</v>
          </cell>
          <cell r="P1707" t="str">
            <v>ファンタジー</v>
          </cell>
          <cell r="Q1707" t="str">
            <v>アタッカー</v>
          </cell>
          <cell r="R1707">
            <v>1</v>
          </cell>
        </row>
        <row r="1708">
          <cell r="A1708">
            <v>8120</v>
          </cell>
          <cell r="B1708" t="str">
            <v>ja</v>
          </cell>
          <cell r="C1708" t="str">
            <v>小青★６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6</v>
          </cell>
          <cell r="J1708" t="str">
            <v>PremiumSSw</v>
          </cell>
          <cell r="K1708" t="str">
            <v>attack</v>
          </cell>
          <cell r="L1708" t="str">
            <v>攻撃タイプ</v>
          </cell>
          <cell r="M1708" t="str">
            <v>dragon</v>
          </cell>
          <cell r="N1708" t="str">
            <v>ドラゴン</v>
          </cell>
          <cell r="O1708" t="str">
            <v>fantasy</v>
          </cell>
          <cell r="P1708" t="str">
            <v>ファンタジー</v>
          </cell>
          <cell r="Q1708" t="str">
            <v>アタッカー</v>
          </cell>
          <cell r="R1708">
            <v>1</v>
          </cell>
        </row>
        <row r="1709">
          <cell r="A1709">
            <v>8121</v>
          </cell>
          <cell r="B1709" t="str">
            <v>ja</v>
          </cell>
          <cell r="C1709" t="str">
            <v>法海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5</v>
          </cell>
          <cell r="J1709" t="str">
            <v>DropWizS</v>
          </cell>
          <cell r="K1709" t="str">
            <v>attack</v>
          </cell>
          <cell r="L1709" t="str">
            <v>攻撃タイプ</v>
          </cell>
          <cell r="M1709" t="str">
            <v>human</v>
          </cell>
          <cell r="N1709" t="str">
            <v>ヒューマン</v>
          </cell>
          <cell r="O1709" t="str">
            <v>machine</v>
          </cell>
          <cell r="P1709" t="str">
            <v>マシン</v>
          </cell>
          <cell r="Q1709" t="str">
            <v>アタッカー</v>
          </cell>
          <cell r="R1709">
            <v>1</v>
          </cell>
        </row>
        <row r="1710">
          <cell r="A1710">
            <v>8122</v>
          </cell>
          <cell r="B1710" t="str">
            <v>ja</v>
          </cell>
          <cell r="C1710" t="str">
            <v>法海★６</v>
          </cell>
          <cell r="D1710" t="str">
            <v>各属性相性良3・黄・R455</v>
          </cell>
          <cell r="E1710" t="str">
            <v>執行者</v>
          </cell>
          <cell r="F1710" t="str">
            <v>格好いい</v>
          </cell>
          <cell r="G1710" t="str">
            <v>男性</v>
          </cell>
          <cell r="H1710" t="str">
            <v>yellow</v>
          </cell>
          <cell r="I1710">
            <v>6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human</v>
          </cell>
          <cell r="N1710" t="str">
            <v>ヒューマン</v>
          </cell>
          <cell r="O1710" t="str">
            <v>machine</v>
          </cell>
          <cell r="P1710" t="str">
            <v>マシン</v>
          </cell>
          <cell r="Q1710" t="str">
            <v>アタッカー</v>
          </cell>
          <cell r="R1710">
            <v>1</v>
          </cell>
        </row>
        <row r="1711">
          <cell r="A1711">
            <v>8123</v>
          </cell>
          <cell r="B1711" t="str">
            <v>ja</v>
          </cell>
          <cell r="C1711" t="str">
            <v>哪吒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human</v>
          </cell>
          <cell r="N1711" t="str">
            <v>ヒューマン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</row>
        <row r="1712">
          <cell r="A1712">
            <v>8124</v>
          </cell>
          <cell r="B1712" t="str">
            <v>ja</v>
          </cell>
          <cell r="C1712" t="str">
            <v>★6哪吒</v>
          </cell>
          <cell r="D1712" t="str">
            <v>各属性相性良3・黄・R455</v>
          </cell>
          <cell r="E1712" t="str">
            <v>執行者</v>
          </cell>
          <cell r="F1712" t="str">
            <v>格好いい</v>
          </cell>
          <cell r="G1712" t="str">
            <v>男性</v>
          </cell>
          <cell r="H1712" t="str">
            <v>yellow</v>
          </cell>
          <cell r="I1712">
            <v>6</v>
          </cell>
          <cell r="J1712" t="str">
            <v>DropWizS</v>
          </cell>
          <cell r="K1712" t="str">
            <v>attack</v>
          </cell>
          <cell r="L1712" t="str">
            <v>攻撃タイプ</v>
          </cell>
          <cell r="M1712" t="str">
            <v>human</v>
          </cell>
          <cell r="N1712" t="str">
            <v>ヒューマン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</row>
        <row r="1713">
          <cell r="A1713">
            <v>8125</v>
          </cell>
          <cell r="B1713" t="str">
            <v>ja</v>
          </cell>
          <cell r="C1713" t="str">
            <v>東海龍王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yellow</v>
          </cell>
          <cell r="I1713">
            <v>6</v>
          </cell>
          <cell r="J1713" t="str">
            <v>DropWizS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none</v>
          </cell>
          <cell r="P1713" t="str">
            <v>種族なし</v>
          </cell>
          <cell r="Q1713" t="str">
            <v>アタッカー</v>
          </cell>
          <cell r="R1713">
            <v>1</v>
          </cell>
        </row>
        <row r="1714">
          <cell r="A1714">
            <v>8126</v>
          </cell>
          <cell r="B1714" t="str">
            <v>ja</v>
          </cell>
          <cell r="C1714" t="str">
            <v>★6東海龍王</v>
          </cell>
          <cell r="D1714" t="str">
            <v>各属性相性良3・黄・R455</v>
          </cell>
          <cell r="E1714" t="str">
            <v>執行者</v>
          </cell>
          <cell r="F1714" t="str">
            <v>格好いい</v>
          </cell>
          <cell r="G1714" t="str">
            <v>男性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attack</v>
          </cell>
          <cell r="L1714" t="str">
            <v>攻撃タイプ</v>
          </cell>
          <cell r="M1714" t="str">
            <v>human</v>
          </cell>
          <cell r="N1714" t="str">
            <v>ヒューマン</v>
          </cell>
          <cell r="O1714" t="str">
            <v>none</v>
          </cell>
          <cell r="P1714" t="str">
            <v>種族なし</v>
          </cell>
          <cell r="Q1714" t="str">
            <v>アタッカー</v>
          </cell>
          <cell r="R1714">
            <v>1</v>
          </cell>
        </row>
        <row r="1715">
          <cell r="A1715">
            <v>8127</v>
          </cell>
          <cell r="B1715" t="str">
            <v>ja</v>
          </cell>
          <cell r="C1715" t="str">
            <v>鐵扇公主 ‧ 羅剎女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PremiumSSS</v>
          </cell>
          <cell r="K1715" t="str">
            <v>technical</v>
          </cell>
          <cell r="L1715" t="str">
            <v>テクニカルタイプ</v>
          </cell>
          <cell r="M1715" t="str">
            <v>demon</v>
          </cell>
          <cell r="N1715" t="str">
            <v>デーモン</v>
          </cell>
          <cell r="O1715" t="str">
            <v>none</v>
          </cell>
          <cell r="P1715" t="str">
            <v>種族なし</v>
          </cell>
          <cell r="Q1715" t="str">
            <v>アタッカー</v>
          </cell>
          <cell r="R1715">
            <v>1</v>
          </cell>
        </row>
        <row r="1716">
          <cell r="A1716">
            <v>8128</v>
          </cell>
          <cell r="B1716" t="str">
            <v>ja</v>
          </cell>
          <cell r="C1716" t="str">
            <v>聖賢哲者 ‧ 唐三藏</v>
          </cell>
          <cell r="D1716" t="str">
            <v>各属性相性良3・黄・R455</v>
          </cell>
          <cell r="E1716" t="str">
            <v>執行者</v>
          </cell>
          <cell r="F1716" t="str">
            <v>格好いい</v>
          </cell>
          <cell r="G1716" t="str">
            <v>男性</v>
          </cell>
          <cell r="H1716" t="str">
            <v>green</v>
          </cell>
          <cell r="I1716">
            <v>6</v>
          </cell>
          <cell r="J1716" t="str">
            <v>PremiumSSS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  <cell r="N1716" t="str">
            <v>ゴッド</v>
          </cell>
          <cell r="O1716" t="str">
            <v>none</v>
          </cell>
          <cell r="P1716" t="str">
            <v>種族なし</v>
          </cell>
          <cell r="Q1716" t="str">
            <v>アタッカー</v>
          </cell>
          <cell r="R1716">
            <v>1</v>
          </cell>
        </row>
        <row r="1717">
          <cell r="A1717">
            <v>8129</v>
          </cell>
          <cell r="B1717" t="str">
            <v>ja</v>
          </cell>
          <cell r="C1717" t="str">
            <v>放任孽魔 ‧ 撒旦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blue</v>
          </cell>
          <cell r="I1717">
            <v>6</v>
          </cell>
          <cell r="J1717" t="str">
            <v>PremiumSS</v>
          </cell>
          <cell r="K1717" t="str">
            <v>technical</v>
          </cell>
          <cell r="L1717" t="str">
            <v>テクニカルタイプ</v>
          </cell>
          <cell r="M1717" t="str">
            <v>demon</v>
          </cell>
          <cell r="N1717" t="str">
            <v>デーモン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</row>
        <row r="1718">
          <cell r="A1718">
            <v>8130</v>
          </cell>
          <cell r="B1718" t="str">
            <v>ja</v>
          </cell>
          <cell r="C1718" t="str">
            <v>變臉火術 ‧ 切西亞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god</v>
          </cell>
          <cell r="N1718" t="str">
            <v>ゴッド</v>
          </cell>
          <cell r="O1718" t="str">
            <v>none</v>
          </cell>
          <cell r="P1718" t="str">
            <v>種族なし</v>
          </cell>
          <cell r="Q1718" t="str">
            <v>アタッカー</v>
          </cell>
          <cell r="R1718">
            <v>1</v>
          </cell>
        </row>
        <row r="1719">
          <cell r="A1719">
            <v>8131</v>
          </cell>
          <cell r="B1719" t="str">
            <v>ja</v>
          </cell>
          <cell r="C1719" t="str">
            <v>預知者之歷劫 ‧ 卡珊德拉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heal</v>
          </cell>
          <cell r="L1719" t="str">
            <v>回復タイプ</v>
          </cell>
          <cell r="M1719" t="str">
            <v>human</v>
          </cell>
          <cell r="N1719" t="str">
            <v>ヒューマン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</row>
        <row r="1720">
          <cell r="A1720">
            <v>8132</v>
          </cell>
          <cell r="B1720" t="str">
            <v>ja</v>
          </cell>
          <cell r="C1720" t="str">
            <v>罪與責之承諾 ‧ 美狄亞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red</v>
          </cell>
          <cell r="I1720">
            <v>6</v>
          </cell>
          <cell r="J1720" t="str">
            <v>PremiumSS</v>
          </cell>
          <cell r="K1720" t="str">
            <v>attack</v>
          </cell>
          <cell r="L1720" t="str">
            <v>攻撃タイプ</v>
          </cell>
          <cell r="M1720" t="str">
            <v>human</v>
          </cell>
          <cell r="N1720" t="str">
            <v>ヒューマン</v>
          </cell>
          <cell r="O1720" t="str">
            <v>none</v>
          </cell>
          <cell r="P1720" t="str">
            <v>種族なし</v>
          </cell>
          <cell r="Q1720" t="str">
            <v>アタッカー</v>
          </cell>
          <cell r="R1720">
            <v>1</v>
          </cell>
        </row>
        <row r="1721">
          <cell r="A1721">
            <v>8133</v>
          </cell>
          <cell r="B1721" t="str">
            <v>ja</v>
          </cell>
          <cell r="C1721" t="str">
            <v>大魔導士 ‧ 莫莉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blue</v>
          </cell>
          <cell r="I1721">
            <v>5</v>
          </cell>
          <cell r="J1721" t="str">
            <v>PremiumS</v>
          </cell>
          <cell r="K1721" t="str">
            <v>heal</v>
          </cell>
          <cell r="L1721" t="str">
            <v>回復タイプ</v>
          </cell>
          <cell r="M1721" t="str">
            <v>human</v>
          </cell>
          <cell r="N1721" t="str">
            <v>ヒューマン</v>
          </cell>
          <cell r="O1721" t="str">
            <v>hero</v>
          </cell>
          <cell r="P1721" t="str">
            <v>ヒーロー</v>
          </cell>
          <cell r="Q1721" t="str">
            <v>アタッカー</v>
          </cell>
          <cell r="R1721">
            <v>1</v>
          </cell>
        </row>
        <row r="1722">
          <cell r="A1722">
            <v>8134</v>
          </cell>
          <cell r="B1722" t="str">
            <v>ja</v>
          </cell>
          <cell r="C1722" t="str">
            <v>龍焰騎士 ‧ 肖恩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red</v>
          </cell>
          <cell r="I1722">
            <v>5</v>
          </cell>
          <cell r="J1722" t="str">
            <v>PremiumS</v>
          </cell>
          <cell r="K1722" t="str">
            <v>balance</v>
          </cell>
          <cell r="L1722" t="str">
            <v>バランスタイプ</v>
          </cell>
          <cell r="M1722" t="str">
            <v>human</v>
          </cell>
          <cell r="N1722" t="str">
            <v>ヒューマン</v>
          </cell>
          <cell r="O1722" t="str">
            <v>hero</v>
          </cell>
          <cell r="P1722" t="str">
            <v>ヒーロー</v>
          </cell>
          <cell r="Q1722" t="str">
            <v>アタッカー</v>
          </cell>
          <cell r="R1722">
            <v>1</v>
          </cell>
        </row>
        <row r="1723">
          <cell r="A1723">
            <v>8135</v>
          </cell>
          <cell r="B1723" t="str">
            <v>ja</v>
          </cell>
          <cell r="C1723" t="str">
            <v>混沌之翼 ‧ 路西法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attack</v>
          </cell>
          <cell r="L1723" t="str">
            <v>攻撃タイプ</v>
          </cell>
          <cell r="M1723" t="str">
            <v>god</v>
          </cell>
          <cell r="N1723" t="str">
            <v>ゴッド</v>
          </cell>
          <cell r="O1723" t="str">
            <v>demon</v>
          </cell>
          <cell r="P1723" t="str">
            <v>デーモン</v>
          </cell>
          <cell r="Q1723" t="str">
            <v>アタッカー</v>
          </cell>
          <cell r="R1723">
            <v>1</v>
          </cell>
        </row>
        <row r="1724">
          <cell r="A1724">
            <v>8136</v>
          </cell>
          <cell r="B1724" t="str">
            <v>ja</v>
          </cell>
          <cell r="C1724" t="str">
            <v>混沌之翼 ‧ 路西法★6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attack</v>
          </cell>
          <cell r="L1724" t="str">
            <v>攻撃タイプ</v>
          </cell>
          <cell r="M1724" t="str">
            <v>god</v>
          </cell>
          <cell r="N1724" t="str">
            <v>ゴッド</v>
          </cell>
          <cell r="O1724" t="str">
            <v>demon</v>
          </cell>
          <cell r="P1724" t="str">
            <v>デーモン</v>
          </cell>
          <cell r="Q1724" t="str">
            <v>アタッカー</v>
          </cell>
          <cell r="R1724">
            <v>1</v>
          </cell>
        </row>
        <row r="1725">
          <cell r="A1725">
            <v>8137</v>
          </cell>
          <cell r="B1725" t="str">
            <v>ja</v>
          </cell>
          <cell r="C1725" t="str">
            <v>黑巫術之疚惡 ‧ 喀耳刻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green</v>
          </cell>
          <cell r="I1725">
            <v>6</v>
          </cell>
          <cell r="J1725" t="str">
            <v>DropWizS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  <cell r="N1725" t="str">
            <v>ヒューマン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1</v>
          </cell>
        </row>
        <row r="1726">
          <cell r="A1726">
            <v>8138</v>
          </cell>
          <cell r="B1726" t="str">
            <v>ja</v>
          </cell>
          <cell r="C1726" t="str">
            <v>死靈魔導 ‧ 安多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red</v>
          </cell>
          <cell r="I1726">
            <v>5</v>
          </cell>
          <cell r="J1726" t="str">
            <v>Drop2N</v>
          </cell>
          <cell r="K1726" t="str">
            <v>attack</v>
          </cell>
          <cell r="L1726" t="str">
            <v>攻撃タイプ</v>
          </cell>
          <cell r="M1726" t="str">
            <v>human</v>
          </cell>
          <cell r="N1726" t="str">
            <v>ヒューマン</v>
          </cell>
          <cell r="O1726" t="str">
            <v>hero</v>
          </cell>
          <cell r="P1726" t="str">
            <v>ヒーロー</v>
          </cell>
          <cell r="Q1726" t="str">
            <v>アタッカー</v>
          </cell>
          <cell r="R1726">
            <v>1</v>
          </cell>
        </row>
        <row r="1727">
          <cell r="A1727">
            <v>9001</v>
          </cell>
          <cell r="B1727" t="str">
            <v>ja</v>
          </cell>
          <cell r="C1727" t="str">
            <v>春香</v>
          </cell>
          <cell r="D1727" t="str">
            <v>ポムポムプリン</v>
          </cell>
          <cell r="E1727" t="str">
            <v>執行者</v>
          </cell>
          <cell r="F1727" t="str">
            <v>格好いい</v>
          </cell>
          <cell r="G1727" t="str">
            <v>女性</v>
          </cell>
          <cell r="H1727" t="str">
            <v>red</v>
          </cell>
          <cell r="I1727">
            <v>5</v>
          </cell>
          <cell r="J1727" t="str">
            <v>PremiumSSw</v>
          </cell>
          <cell r="K1727" t="str">
            <v>attack</v>
          </cell>
          <cell r="L1727" t="str">
            <v>攻撃タイプ</v>
          </cell>
          <cell r="M1727" t="str">
            <v>human</v>
          </cell>
          <cell r="N1727" t="str">
            <v>ヒューマン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</row>
        <row r="1728">
          <cell r="A1728">
            <v>9002</v>
          </cell>
          <cell r="B1728" t="str">
            <v>ja</v>
          </cell>
          <cell r="C1728" t="str">
            <v>春香★６</v>
          </cell>
          <cell r="D1728" t="str">
            <v>ポムポムプリン</v>
          </cell>
          <cell r="E1728" t="str">
            <v>執行者</v>
          </cell>
          <cell r="F1728" t="str">
            <v>格好いい</v>
          </cell>
          <cell r="G1728" t="str">
            <v>女性</v>
          </cell>
          <cell r="H1728" t="str">
            <v>red</v>
          </cell>
          <cell r="I1728">
            <v>6</v>
          </cell>
          <cell r="J1728" t="str">
            <v>PremiumSSw</v>
          </cell>
          <cell r="K1728" t="str">
            <v>attack</v>
          </cell>
          <cell r="L1728" t="str">
            <v>攻撃タイプ</v>
          </cell>
          <cell r="M1728" t="str">
            <v>human</v>
          </cell>
          <cell r="N1728" t="str">
            <v>ヒューマン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</row>
        <row r="1729">
          <cell r="A1729">
            <v>9003</v>
          </cell>
          <cell r="B1729" t="str">
            <v>ja</v>
          </cell>
          <cell r="C1729" t="str">
            <v>夢龍</v>
          </cell>
          <cell r="D1729" t="str">
            <v>ポムポムプリン</v>
          </cell>
          <cell r="E1729" t="str">
            <v>執行者</v>
          </cell>
          <cell r="F1729" t="str">
            <v>格好いい</v>
          </cell>
          <cell r="G1729" t="str">
            <v>女性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dragon</v>
          </cell>
          <cell r="N1729" t="str">
            <v>ドラゴン</v>
          </cell>
          <cell r="O1729" t="str">
            <v>human</v>
          </cell>
          <cell r="P1729" t="str">
            <v>ヒューマン</v>
          </cell>
          <cell r="Q1729" t="str">
            <v>アタッカー</v>
          </cell>
          <cell r="R1729">
            <v>1</v>
          </cell>
        </row>
        <row r="1730">
          <cell r="A1730">
            <v>9004</v>
          </cell>
          <cell r="B1730" t="str">
            <v>ja</v>
          </cell>
          <cell r="C1730" t="str">
            <v>夢龍★６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heal</v>
          </cell>
          <cell r="L1730" t="str">
            <v>回復タイプ</v>
          </cell>
          <cell r="M1730" t="str">
            <v>dragon</v>
          </cell>
          <cell r="N1730" t="str">
            <v>ドラゴン</v>
          </cell>
          <cell r="O1730" t="str">
            <v>human</v>
          </cell>
          <cell r="P1730" t="str">
            <v>ヒューマン</v>
          </cell>
          <cell r="Q1730" t="str">
            <v>アタッカー</v>
          </cell>
          <cell r="R1730">
            <v>1</v>
          </cell>
        </row>
        <row r="1731">
          <cell r="A1731">
            <v>9005</v>
          </cell>
          <cell r="B1731" t="str">
            <v>ja</v>
          </cell>
          <cell r="C1731" t="str">
            <v>降臨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blue</v>
          </cell>
          <cell r="I1731">
            <v>5</v>
          </cell>
          <cell r="J1731" t="str">
            <v>PremiumSSw</v>
          </cell>
          <cell r="K1731" t="str">
            <v>hp</v>
          </cell>
          <cell r="L1731" t="str">
            <v>体力タイプ</v>
          </cell>
          <cell r="M1731" t="str">
            <v>demon</v>
          </cell>
          <cell r="N1731" t="str">
            <v>デーモン</v>
          </cell>
          <cell r="O1731" t="str">
            <v>none</v>
          </cell>
          <cell r="P1731" t="str">
            <v>種族なし</v>
          </cell>
          <cell r="Q1731" t="str">
            <v>アタッカー</v>
          </cell>
          <cell r="R1731">
            <v>1</v>
          </cell>
        </row>
        <row r="1732">
          <cell r="A1732">
            <v>9006</v>
          </cell>
          <cell r="B1732" t="str">
            <v>ja</v>
          </cell>
          <cell r="C1732" t="str">
            <v>降臨★６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blue</v>
          </cell>
          <cell r="I1732">
            <v>6</v>
          </cell>
          <cell r="J1732" t="str">
            <v>PremiumSSw</v>
          </cell>
          <cell r="K1732" t="str">
            <v>hp</v>
          </cell>
          <cell r="L1732" t="str">
            <v>体力タイプ</v>
          </cell>
          <cell r="M1732" t="str">
            <v>demon</v>
          </cell>
          <cell r="N1732" t="str">
            <v>デーモン</v>
          </cell>
          <cell r="O1732" t="str">
            <v>none</v>
          </cell>
          <cell r="P1732" t="str">
            <v>種族なし</v>
          </cell>
          <cell r="Q1732" t="str">
            <v>アタッカー</v>
          </cell>
          <cell r="R1732">
            <v>1</v>
          </cell>
        </row>
        <row r="1733">
          <cell r="A1733">
            <v>9007</v>
          </cell>
          <cell r="B1733" t="str">
            <v>ja</v>
          </cell>
          <cell r="C1733" t="str">
            <v>田禹治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red</v>
          </cell>
          <cell r="I1733">
            <v>5</v>
          </cell>
          <cell r="J1733" t="str">
            <v>DropWizS</v>
          </cell>
          <cell r="K1733" t="str">
            <v>technical</v>
          </cell>
          <cell r="L1733" t="str">
            <v>テクニカルタイプ</v>
          </cell>
          <cell r="M1733" t="str">
            <v>hero</v>
          </cell>
          <cell r="N1733" t="str">
            <v>ヒーロー</v>
          </cell>
          <cell r="O1733" t="str">
            <v>none</v>
          </cell>
          <cell r="P1733" t="str">
            <v>種族なし</v>
          </cell>
          <cell r="Q1733" t="str">
            <v>アタッカー</v>
          </cell>
          <cell r="R1733">
            <v>1</v>
          </cell>
        </row>
        <row r="1734">
          <cell r="A1734">
            <v>9008</v>
          </cell>
          <cell r="B1734" t="str">
            <v>ja</v>
          </cell>
          <cell r="C1734" t="str">
            <v>田禹治★６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red</v>
          </cell>
          <cell r="I1734">
            <v>6</v>
          </cell>
          <cell r="J1734" t="str">
            <v>DropWizS</v>
          </cell>
          <cell r="K1734" t="str">
            <v>technical</v>
          </cell>
          <cell r="L1734" t="str">
            <v>テクニカルタイプ</v>
          </cell>
          <cell r="M1734" t="str">
            <v>hero</v>
          </cell>
          <cell r="N1734" t="str">
            <v>ヒーロー</v>
          </cell>
          <cell r="O1734" t="str">
            <v>none</v>
          </cell>
          <cell r="P1734" t="str">
            <v>種族なし</v>
          </cell>
          <cell r="Q1734" t="str">
            <v>アタッカー</v>
          </cell>
          <cell r="R1734">
            <v>1</v>
          </cell>
        </row>
        <row r="1735">
          <cell r="A1735">
            <v>10001</v>
          </cell>
          <cell r="B1735" t="str">
            <v>ja</v>
          </cell>
          <cell r="C1735" t="str">
            <v>テストユニット01</v>
          </cell>
          <cell r="H1735" t="str">
            <v>yellow</v>
          </cell>
          <cell r="I1735">
            <v>6</v>
          </cell>
          <cell r="J1735" t="str">
            <v>DropWizS</v>
          </cell>
          <cell r="K1735" t="str">
            <v>heal</v>
          </cell>
          <cell r="L1735" t="str">
            <v>回復タイプ</v>
          </cell>
          <cell r="M1735" t="str">
            <v>human</v>
          </cell>
          <cell r="N1735" t="str">
            <v>ヒューマン</v>
          </cell>
          <cell r="O1735" t="str">
            <v>samurai</v>
          </cell>
          <cell r="P1735" t="str">
            <v>サムライ</v>
          </cell>
          <cell r="R1735">
            <v>1</v>
          </cell>
        </row>
        <row r="1736">
          <cell r="A1736">
            <v>10002</v>
          </cell>
          <cell r="B1736" t="str">
            <v>ja</v>
          </cell>
          <cell r="C1736" t="str">
            <v>テストユニット02</v>
          </cell>
          <cell r="H1736" t="str">
            <v>yellow</v>
          </cell>
          <cell r="I1736">
            <v>6</v>
          </cell>
          <cell r="J1736" t="str">
            <v>PremiumSS</v>
          </cell>
          <cell r="K1736" t="str">
            <v>technical</v>
          </cell>
          <cell r="L1736" t="str">
            <v>テクニカルタイプ</v>
          </cell>
          <cell r="M1736" t="str">
            <v>animal</v>
          </cell>
          <cell r="N1736" t="str">
            <v>アニマル</v>
          </cell>
          <cell r="O1736" t="str">
            <v>none</v>
          </cell>
          <cell r="P1736" t="str">
            <v>種族なし</v>
          </cell>
          <cell r="R1736">
            <v>1</v>
          </cell>
        </row>
        <row r="1737">
          <cell r="A1737">
            <v>10003</v>
          </cell>
          <cell r="B1737" t="str">
            <v>ja</v>
          </cell>
          <cell r="C1737" t="str">
            <v>テストユニット03</v>
          </cell>
          <cell r="H1737" t="str">
            <v>red</v>
          </cell>
          <cell r="I1737">
            <v>5</v>
          </cell>
          <cell r="J1737" t="str">
            <v>PremiumSSS</v>
          </cell>
          <cell r="K1737" t="str">
            <v>technical</v>
          </cell>
          <cell r="L1737" t="str">
            <v>テクニカルタイプ</v>
          </cell>
          <cell r="M1737" t="str">
            <v>academia</v>
          </cell>
          <cell r="N1737" t="str">
            <v>アカデミア</v>
          </cell>
          <cell r="O1737" t="str">
            <v>hero</v>
          </cell>
          <cell r="P1737" t="str">
            <v>ヒーロー</v>
          </cell>
          <cell r="R1737">
            <v>1</v>
          </cell>
        </row>
        <row r="1738">
          <cell r="A1738">
            <v>10004</v>
          </cell>
          <cell r="B1738" t="str">
            <v>ja</v>
          </cell>
          <cell r="C1738" t="str">
            <v>テストユニット04</v>
          </cell>
          <cell r="H1738" t="str">
            <v>red</v>
          </cell>
          <cell r="I1738">
            <v>6</v>
          </cell>
          <cell r="J1738" t="str">
            <v>PremiumSSS</v>
          </cell>
          <cell r="K1738" t="str">
            <v>technical</v>
          </cell>
          <cell r="L1738" t="str">
            <v>テクニカルタイプ</v>
          </cell>
          <cell r="M1738" t="str">
            <v>academia</v>
          </cell>
          <cell r="N1738" t="str">
            <v>アカデミア</v>
          </cell>
          <cell r="O1738" t="str">
            <v>hero</v>
          </cell>
          <cell r="P1738" t="str">
            <v>ヒーロー</v>
          </cell>
          <cell r="R1738">
            <v>1</v>
          </cell>
        </row>
        <row r="1739">
          <cell r="A1739">
            <v>10005</v>
          </cell>
          <cell r="B1739" t="str">
            <v>ja</v>
          </cell>
          <cell r="C1739" t="str">
            <v>テストユニット05</v>
          </cell>
          <cell r="H1739" t="str">
            <v>yellow</v>
          </cell>
          <cell r="I1739">
            <v>6</v>
          </cell>
          <cell r="J1739" t="str">
            <v>PremiumSS</v>
          </cell>
          <cell r="K1739" t="str">
            <v>technical</v>
          </cell>
          <cell r="L1739" t="str">
            <v>テクニカルタイプ</v>
          </cell>
          <cell r="M1739" t="str">
            <v>human</v>
          </cell>
          <cell r="N1739" t="str">
            <v>ヒューマン</v>
          </cell>
          <cell r="O1739" t="str">
            <v>samurai</v>
          </cell>
          <cell r="P1739" t="str">
            <v>サムライ</v>
          </cell>
          <cell r="R1739">
            <v>1</v>
          </cell>
        </row>
        <row r="1740">
          <cell r="A1740">
            <v>10006</v>
          </cell>
          <cell r="B1740" t="str">
            <v>ja</v>
          </cell>
          <cell r="C1740" t="str">
            <v>テストユニット06</v>
          </cell>
          <cell r="H1740" t="str">
            <v>yellow</v>
          </cell>
          <cell r="I1740">
            <v>6</v>
          </cell>
          <cell r="J1740" t="str">
            <v>PremiumSS</v>
          </cell>
          <cell r="K1740" t="str">
            <v>attack</v>
          </cell>
          <cell r="L1740" t="str">
            <v>攻撃タイプ</v>
          </cell>
          <cell r="M1740" t="str">
            <v>animal</v>
          </cell>
          <cell r="N1740" t="str">
            <v>アニマル</v>
          </cell>
          <cell r="O1740" t="str">
            <v>none</v>
          </cell>
          <cell r="P1740" t="str">
            <v>種族なし</v>
          </cell>
          <cell r="R1740">
            <v>1</v>
          </cell>
        </row>
        <row r="1741">
          <cell r="A1741">
            <v>10007</v>
          </cell>
          <cell r="B1741" t="str">
            <v>ja</v>
          </cell>
          <cell r="C1741" t="str">
            <v>テストユニット07</v>
          </cell>
          <cell r="H1741" t="str">
            <v>yellow</v>
          </cell>
          <cell r="I1741">
            <v>5</v>
          </cell>
          <cell r="J1741" t="str">
            <v>PremiumSSS</v>
          </cell>
          <cell r="K1741" t="str">
            <v>technical</v>
          </cell>
          <cell r="L1741" t="str">
            <v>テクニカルタイプ</v>
          </cell>
          <cell r="M1741" t="str">
            <v>machine</v>
          </cell>
          <cell r="N1741" t="str">
            <v>マシン</v>
          </cell>
          <cell r="O1741" t="str">
            <v>god</v>
          </cell>
          <cell r="P1741" t="str">
            <v>ゴッド</v>
          </cell>
          <cell r="R1741">
            <v>1</v>
          </cell>
        </row>
        <row r="1742">
          <cell r="A1742">
            <v>10008</v>
          </cell>
          <cell r="B1742" t="str">
            <v>ja</v>
          </cell>
          <cell r="C1742" t="str">
            <v>テストユニット08</v>
          </cell>
          <cell r="H1742" t="str">
            <v>yellow</v>
          </cell>
          <cell r="I1742">
            <v>6</v>
          </cell>
          <cell r="J1742" t="str">
            <v>PremiumSSS</v>
          </cell>
          <cell r="K1742" t="str">
            <v>technical</v>
          </cell>
          <cell r="L1742" t="str">
            <v>テクニカルタイプ</v>
          </cell>
          <cell r="M1742" t="str">
            <v>machine</v>
          </cell>
          <cell r="N1742" t="str">
            <v>マシン</v>
          </cell>
          <cell r="O1742" t="str">
            <v>god</v>
          </cell>
          <cell r="P1742" t="str">
            <v>ゴッド</v>
          </cell>
          <cell r="R1742">
            <v>1</v>
          </cell>
        </row>
        <row r="1743">
          <cell r="A1743">
            <v>10009</v>
          </cell>
          <cell r="B1743" t="str">
            <v>ja</v>
          </cell>
          <cell r="C1743" t="str">
            <v>青テスト01</v>
          </cell>
          <cell r="H1743" t="str">
            <v>blue</v>
          </cell>
          <cell r="I1743">
            <v>6</v>
          </cell>
          <cell r="J1743" t="str">
            <v>DropWizS</v>
          </cell>
          <cell r="K1743" t="str">
            <v>heal</v>
          </cell>
          <cell r="L1743" t="str">
            <v>回復タイプ</v>
          </cell>
          <cell r="M1743" t="str">
            <v>human</v>
          </cell>
          <cell r="N1743" t="str">
            <v>ヒューマン</v>
          </cell>
          <cell r="O1743" t="str">
            <v>none</v>
          </cell>
          <cell r="P1743" t="str">
            <v>種族なし</v>
          </cell>
          <cell r="R1743">
            <v>1</v>
          </cell>
        </row>
        <row r="1744">
          <cell r="A1744">
            <v>10010</v>
          </cell>
          <cell r="B1744" t="str">
            <v>ja</v>
          </cell>
          <cell r="C1744" t="str">
            <v>赤テスト01</v>
          </cell>
          <cell r="H1744" t="str">
            <v>red</v>
          </cell>
          <cell r="I1744">
            <v>6</v>
          </cell>
          <cell r="J1744" t="str">
            <v>PremiumSSS</v>
          </cell>
          <cell r="K1744" t="str">
            <v>technical</v>
          </cell>
          <cell r="L1744" t="str">
            <v>テクニカルタイプ</v>
          </cell>
          <cell r="M1744" t="str">
            <v>human</v>
          </cell>
          <cell r="N1744" t="str">
            <v>ヒューマン</v>
          </cell>
          <cell r="O1744" t="str">
            <v>queen</v>
          </cell>
          <cell r="P1744" t="str">
            <v>QUEEN</v>
          </cell>
          <cell r="R1744">
            <v>1</v>
          </cell>
        </row>
        <row r="1745">
          <cell r="A1745">
            <v>10011</v>
          </cell>
          <cell r="B1745" t="str">
            <v>ja</v>
          </cell>
          <cell r="C1745" t="str">
            <v>テストユニット11</v>
          </cell>
          <cell r="H1745" t="str">
            <v>yellow</v>
          </cell>
          <cell r="I1745">
            <v>5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human</v>
          </cell>
          <cell r="N1745" t="str">
            <v>ヒューマン</v>
          </cell>
          <cell r="O1745" t="str">
            <v>god</v>
          </cell>
          <cell r="P1745" t="str">
            <v>ゴッド</v>
          </cell>
          <cell r="R1745">
            <v>1</v>
          </cell>
        </row>
        <row r="1746">
          <cell r="A1746">
            <v>10012</v>
          </cell>
          <cell r="B1746" t="str">
            <v>ja</v>
          </cell>
          <cell r="C1746" t="str">
            <v>テストユニット12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human</v>
          </cell>
          <cell r="N1746" t="str">
            <v>ヒューマン</v>
          </cell>
          <cell r="O1746" t="str">
            <v>god</v>
          </cell>
          <cell r="P1746" t="str">
            <v>ゴッド</v>
          </cell>
          <cell r="R1746">
            <v>1</v>
          </cell>
        </row>
        <row r="1747">
          <cell r="A1747">
            <v>10013</v>
          </cell>
          <cell r="B1747" t="str">
            <v>ja</v>
          </cell>
          <cell r="C1747" t="str">
            <v>テストユニット13</v>
          </cell>
          <cell r="H1747" t="str">
            <v>yellow</v>
          </cell>
          <cell r="I1747">
            <v>5</v>
          </cell>
          <cell r="J1747" t="str">
            <v>PremiumSSw</v>
          </cell>
          <cell r="K1747" t="str">
            <v>hp</v>
          </cell>
          <cell r="L1747" t="str">
            <v>体力タイプ</v>
          </cell>
          <cell r="M1747" t="str">
            <v>dragon</v>
          </cell>
          <cell r="N1747" t="str">
            <v>ドラゴン</v>
          </cell>
          <cell r="O1747" t="str">
            <v>none</v>
          </cell>
          <cell r="P1747" t="str">
            <v>種族なし</v>
          </cell>
          <cell r="R1747">
            <v>1</v>
          </cell>
        </row>
        <row r="1748">
          <cell r="A1748">
            <v>10014</v>
          </cell>
          <cell r="B1748" t="str">
            <v>ja</v>
          </cell>
          <cell r="C1748" t="str">
            <v>テストユニット14</v>
          </cell>
          <cell r="H1748" t="str">
            <v>yellow</v>
          </cell>
          <cell r="I1748">
            <v>6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dragon</v>
          </cell>
          <cell r="N1748" t="str">
            <v>ドラゴン</v>
          </cell>
          <cell r="O1748" t="str">
            <v>none</v>
          </cell>
          <cell r="P1748" t="str">
            <v>種族なし</v>
          </cell>
          <cell r="R1748">
            <v>1</v>
          </cell>
        </row>
        <row r="1749">
          <cell r="A1749">
            <v>10015</v>
          </cell>
          <cell r="B1749" t="str">
            <v>ja</v>
          </cell>
          <cell r="C1749" t="str">
            <v>テストユニット15</v>
          </cell>
          <cell r="H1749" t="str">
            <v>green</v>
          </cell>
          <cell r="I1749">
            <v>5</v>
          </cell>
          <cell r="J1749" t="str">
            <v>DropWizS</v>
          </cell>
          <cell r="K1749" t="str">
            <v>heal</v>
          </cell>
          <cell r="L1749" t="str">
            <v>回復タイプ</v>
          </cell>
          <cell r="M1749" t="str">
            <v>human</v>
          </cell>
          <cell r="N1749" t="str">
            <v>ヒューマン</v>
          </cell>
          <cell r="O1749" t="str">
            <v>unknown</v>
          </cell>
          <cell r="P1749" t="str">
            <v>Unknown</v>
          </cell>
          <cell r="R1749">
            <v>1</v>
          </cell>
        </row>
        <row r="1750">
          <cell r="A1750">
            <v>10016</v>
          </cell>
          <cell r="B1750" t="str">
            <v>ja</v>
          </cell>
          <cell r="C1750" t="str">
            <v>テストユニット16</v>
          </cell>
          <cell r="H1750" t="str">
            <v>green</v>
          </cell>
          <cell r="I1750">
            <v>6</v>
          </cell>
          <cell r="J1750" t="str">
            <v>DropWizS</v>
          </cell>
          <cell r="K1750" t="str">
            <v>heal</v>
          </cell>
          <cell r="L1750" t="str">
            <v>回復タイプ</v>
          </cell>
          <cell r="M1750" t="str">
            <v>human</v>
          </cell>
          <cell r="N1750" t="str">
            <v>ヒューマン</v>
          </cell>
          <cell r="O1750" t="str">
            <v>unknown</v>
          </cell>
          <cell r="P1750" t="str">
            <v>Unknown</v>
          </cell>
          <cell r="R1750">
            <v>1</v>
          </cell>
        </row>
        <row r="1751">
          <cell r="A1751">
            <v>10017</v>
          </cell>
          <cell r="B1751" t="str">
            <v>ja</v>
          </cell>
          <cell r="C1751" t="str">
            <v>テストユニット17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  <cell r="N1751" t="str">
            <v>Unknown</v>
          </cell>
          <cell r="O1751" t="str">
            <v>none</v>
          </cell>
          <cell r="P1751" t="str">
            <v>種族なし</v>
          </cell>
          <cell r="R1751">
            <v>1</v>
          </cell>
        </row>
        <row r="1752">
          <cell r="A1752">
            <v>10018</v>
          </cell>
          <cell r="B1752" t="str">
            <v>ja</v>
          </cell>
          <cell r="C1752" t="str">
            <v>テストユニット18</v>
          </cell>
          <cell r="H1752" t="str">
            <v>blue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  <cell r="N1752" t="str">
            <v>Unknown</v>
          </cell>
          <cell r="O1752" t="str">
            <v>none</v>
          </cell>
          <cell r="P1752" t="str">
            <v>種族なし</v>
          </cell>
          <cell r="R1752">
            <v>1</v>
          </cell>
        </row>
        <row r="1753">
          <cell r="A1753">
            <v>10019</v>
          </cell>
          <cell r="B1753" t="str">
            <v>ja</v>
          </cell>
          <cell r="C1753" t="str">
            <v>テストユニット19</v>
          </cell>
          <cell r="H1753" t="str">
            <v>green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  <cell r="N1753" t="str">
            <v>Unknown</v>
          </cell>
          <cell r="O1753" t="str">
            <v>none</v>
          </cell>
          <cell r="P1753" t="str">
            <v>種族なし</v>
          </cell>
          <cell r="R1753">
            <v>1</v>
          </cell>
        </row>
        <row r="1754">
          <cell r="A1754">
            <v>10020</v>
          </cell>
          <cell r="B1754" t="str">
            <v>ja</v>
          </cell>
          <cell r="C1754" t="str">
            <v>テストユニット20</v>
          </cell>
          <cell r="H1754" t="str">
            <v>yellow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  <cell r="N1754" t="str">
            <v>Unknown</v>
          </cell>
          <cell r="O1754" t="str">
            <v>none</v>
          </cell>
          <cell r="P1754" t="str">
            <v>種族なし</v>
          </cell>
          <cell r="R1754">
            <v>1</v>
          </cell>
        </row>
        <row r="1755">
          <cell r="A1755">
            <v>10021</v>
          </cell>
          <cell r="B1755" t="str">
            <v>ja</v>
          </cell>
          <cell r="C1755" t="str">
            <v>テストユニット21</v>
          </cell>
          <cell r="H1755" t="str">
            <v>blue</v>
          </cell>
          <cell r="I1755">
            <v>5</v>
          </cell>
          <cell r="J1755" t="str">
            <v>PremiumSSw</v>
          </cell>
          <cell r="K1755" t="str">
            <v>hp</v>
          </cell>
          <cell r="L1755" t="str">
            <v>体力タイプ</v>
          </cell>
          <cell r="M1755" t="str">
            <v>demon</v>
          </cell>
          <cell r="N1755" t="str">
            <v>デーモン</v>
          </cell>
          <cell r="O1755" t="str">
            <v>none</v>
          </cell>
          <cell r="P1755" t="str">
            <v>種族なし</v>
          </cell>
          <cell r="R1755">
            <v>1</v>
          </cell>
        </row>
        <row r="1756">
          <cell r="A1756">
            <v>10022</v>
          </cell>
          <cell r="B1756" t="str">
            <v>ja</v>
          </cell>
          <cell r="C1756" t="str">
            <v>テストユニット22</v>
          </cell>
          <cell r="H1756" t="str">
            <v>blue</v>
          </cell>
          <cell r="I1756">
            <v>6</v>
          </cell>
          <cell r="J1756" t="str">
            <v>PremiumSSw</v>
          </cell>
          <cell r="K1756" t="str">
            <v>hp</v>
          </cell>
          <cell r="L1756" t="str">
            <v>体力タイプ</v>
          </cell>
          <cell r="M1756" t="str">
            <v>demon</v>
          </cell>
          <cell r="N1756" t="str">
            <v>デーモン</v>
          </cell>
          <cell r="O1756" t="str">
            <v>none</v>
          </cell>
          <cell r="P1756" t="str">
            <v>種族なし</v>
          </cell>
          <cell r="R1756">
            <v>1</v>
          </cell>
        </row>
        <row r="1757">
          <cell r="A1757">
            <v>10023</v>
          </cell>
          <cell r="B1757" t="str">
            <v>ja</v>
          </cell>
          <cell r="C1757" t="str">
            <v>テストユニット23</v>
          </cell>
          <cell r="H1757" t="str">
            <v>green</v>
          </cell>
          <cell r="I1757">
            <v>5</v>
          </cell>
          <cell r="J1757" t="str">
            <v>PremiumSSw</v>
          </cell>
          <cell r="K1757" t="str">
            <v>heal</v>
          </cell>
          <cell r="L1757" t="str">
            <v>回復タイプ</v>
          </cell>
          <cell r="M1757" t="str">
            <v>dragon</v>
          </cell>
          <cell r="N1757" t="str">
            <v>ドラゴン</v>
          </cell>
          <cell r="O1757" t="str">
            <v>samurai</v>
          </cell>
          <cell r="P1757" t="str">
            <v>サムライ</v>
          </cell>
          <cell r="R1757">
            <v>1</v>
          </cell>
        </row>
        <row r="1758">
          <cell r="A1758">
            <v>10024</v>
          </cell>
          <cell r="B1758" t="str">
            <v>ja</v>
          </cell>
          <cell r="C1758" t="str">
            <v>テストユニット24</v>
          </cell>
          <cell r="H1758" t="str">
            <v>green</v>
          </cell>
          <cell r="I1758">
            <v>6</v>
          </cell>
          <cell r="J1758" t="str">
            <v>PremiumSSw</v>
          </cell>
          <cell r="K1758" t="str">
            <v>hp</v>
          </cell>
          <cell r="L1758" t="str">
            <v>体力タイプ</v>
          </cell>
          <cell r="M1758" t="str">
            <v>dragon</v>
          </cell>
          <cell r="N1758" t="str">
            <v>ドラゴン</v>
          </cell>
          <cell r="O1758" t="str">
            <v>samurai</v>
          </cell>
          <cell r="P1758" t="str">
            <v>サムライ</v>
          </cell>
          <cell r="R1758">
            <v>1</v>
          </cell>
        </row>
        <row r="1759">
          <cell r="A1759">
            <v>10025</v>
          </cell>
          <cell r="B1759" t="str">
            <v>ja</v>
          </cell>
          <cell r="C1759" t="str">
            <v>テストユニット25</v>
          </cell>
          <cell r="H1759" t="str">
            <v>red</v>
          </cell>
          <cell r="I1759">
            <v>5</v>
          </cell>
          <cell r="J1759" t="str">
            <v>PremiumSSw</v>
          </cell>
          <cell r="K1759" t="str">
            <v>hp</v>
          </cell>
          <cell r="L1759" t="str">
            <v>体力タイプ</v>
          </cell>
          <cell r="M1759" t="str">
            <v>dragon</v>
          </cell>
          <cell r="N1759" t="str">
            <v>ドラゴン</v>
          </cell>
          <cell r="O1759" t="str">
            <v>machine</v>
          </cell>
          <cell r="P1759" t="str">
            <v>マシン</v>
          </cell>
          <cell r="R1759">
            <v>1</v>
          </cell>
        </row>
        <row r="1760">
          <cell r="A1760">
            <v>10026</v>
          </cell>
          <cell r="B1760" t="str">
            <v>ja</v>
          </cell>
          <cell r="C1760" t="str">
            <v>テストユニット26</v>
          </cell>
          <cell r="H1760" t="str">
            <v>red</v>
          </cell>
          <cell r="I1760">
            <v>6</v>
          </cell>
          <cell r="J1760" t="str">
            <v>PremiumSSw</v>
          </cell>
          <cell r="K1760" t="str">
            <v>hp</v>
          </cell>
          <cell r="L1760" t="str">
            <v>体力タイプ</v>
          </cell>
          <cell r="M1760" t="str">
            <v>dragon</v>
          </cell>
          <cell r="N1760" t="str">
            <v>ドラゴン</v>
          </cell>
          <cell r="O1760" t="str">
            <v>machine</v>
          </cell>
          <cell r="P1760" t="str">
            <v>マシン</v>
          </cell>
          <cell r="R1760">
            <v>1</v>
          </cell>
        </row>
        <row r="1761">
          <cell r="A1761">
            <v>10027</v>
          </cell>
          <cell r="B1761" t="str">
            <v>ja</v>
          </cell>
          <cell r="C1761" t="str">
            <v>テストユニット27</v>
          </cell>
          <cell r="H1761" t="str">
            <v>green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  <cell r="N1761" t="str">
            <v>Unknown</v>
          </cell>
          <cell r="O1761" t="str">
            <v>none</v>
          </cell>
          <cell r="P1761" t="str">
            <v>種族なし</v>
          </cell>
          <cell r="R1761">
            <v>1</v>
          </cell>
        </row>
        <row r="1762">
          <cell r="A1762">
            <v>10028</v>
          </cell>
          <cell r="B1762" t="str">
            <v>ja</v>
          </cell>
          <cell r="C1762" t="str">
            <v>テストユニット28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  <cell r="N1762" t="str">
            <v>Unknown</v>
          </cell>
          <cell r="O1762" t="str">
            <v>none</v>
          </cell>
          <cell r="P1762" t="str">
            <v>種族なし</v>
          </cell>
          <cell r="R1762">
            <v>1</v>
          </cell>
        </row>
        <row r="1763">
          <cell r="A1763">
            <v>10029</v>
          </cell>
          <cell r="B1763" t="str">
            <v>ja</v>
          </cell>
          <cell r="C1763" t="str">
            <v>テストユニット29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  <cell r="N1763" t="str">
            <v>Unknown</v>
          </cell>
          <cell r="O1763" t="str">
            <v>none</v>
          </cell>
          <cell r="P1763" t="str">
            <v>種族なし</v>
          </cell>
          <cell r="R1763">
            <v>1</v>
          </cell>
        </row>
        <row r="1764">
          <cell r="A1764">
            <v>10030</v>
          </cell>
          <cell r="B1764" t="str">
            <v>ja</v>
          </cell>
          <cell r="C1764" t="str">
            <v>テストユニット30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  <cell r="N1764" t="str">
            <v>Unknown</v>
          </cell>
          <cell r="O1764" t="str">
            <v>none</v>
          </cell>
          <cell r="P1764" t="str">
            <v>種族なし</v>
          </cell>
          <cell r="R1764">
            <v>1</v>
          </cell>
        </row>
        <row r="1765">
          <cell r="A1765">
            <v>10031</v>
          </cell>
          <cell r="B1765" t="str">
            <v>ja</v>
          </cell>
          <cell r="C1765" t="str">
            <v>テストユニット31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  <cell r="N1765" t="str">
            <v>Unknown</v>
          </cell>
          <cell r="O1765" t="str">
            <v>none</v>
          </cell>
          <cell r="P1765" t="str">
            <v>種族なし</v>
          </cell>
          <cell r="R1765">
            <v>1</v>
          </cell>
        </row>
        <row r="1766">
          <cell r="A1766">
            <v>10032</v>
          </cell>
          <cell r="B1766" t="str">
            <v>ja</v>
          </cell>
          <cell r="C1766" t="str">
            <v>テストユニット32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  <cell r="N1766" t="str">
            <v>Unknown</v>
          </cell>
          <cell r="O1766" t="str">
            <v>none</v>
          </cell>
          <cell r="P1766" t="str">
            <v>種族なし</v>
          </cell>
          <cell r="R1766">
            <v>1</v>
          </cell>
        </row>
        <row r="1767">
          <cell r="A1767">
            <v>10033</v>
          </cell>
          <cell r="B1767" t="str">
            <v>ja</v>
          </cell>
          <cell r="C1767" t="str">
            <v>テストユニット33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  <cell r="N1767" t="str">
            <v>Unknown</v>
          </cell>
          <cell r="O1767" t="str">
            <v>none</v>
          </cell>
          <cell r="P1767" t="str">
            <v>種族なし</v>
          </cell>
          <cell r="R1767">
            <v>1</v>
          </cell>
        </row>
        <row r="1768">
          <cell r="A1768">
            <v>10034</v>
          </cell>
          <cell r="B1768" t="str">
            <v>ja</v>
          </cell>
          <cell r="C1768" t="str">
            <v>テストユニット34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  <cell r="N1768" t="str">
            <v>Unknown</v>
          </cell>
          <cell r="O1768" t="str">
            <v>none</v>
          </cell>
          <cell r="P1768" t="str">
            <v>種族なし</v>
          </cell>
          <cell r="R1768">
            <v>1</v>
          </cell>
        </row>
        <row r="1769">
          <cell r="A1769">
            <v>10035</v>
          </cell>
          <cell r="B1769" t="str">
            <v>ja</v>
          </cell>
          <cell r="C1769" t="str">
            <v>テストユニット35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  <cell r="N1769" t="str">
            <v>Unknown</v>
          </cell>
          <cell r="O1769" t="str">
            <v>none</v>
          </cell>
          <cell r="P1769" t="str">
            <v>種族なし</v>
          </cell>
          <cell r="R1769">
            <v>1</v>
          </cell>
        </row>
        <row r="1770">
          <cell r="A1770">
            <v>10036</v>
          </cell>
          <cell r="B1770" t="str">
            <v>ja</v>
          </cell>
          <cell r="C1770" t="str">
            <v>テストユニット36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  <cell r="N1770" t="str">
            <v>Unknown</v>
          </cell>
          <cell r="O1770" t="str">
            <v>none</v>
          </cell>
          <cell r="P1770" t="str">
            <v>種族なし</v>
          </cell>
          <cell r="R1770">
            <v>1</v>
          </cell>
        </row>
        <row r="1771">
          <cell r="A1771">
            <v>10037</v>
          </cell>
          <cell r="B1771" t="str">
            <v>ja</v>
          </cell>
          <cell r="C1771" t="str">
            <v>テストユニット37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  <cell r="N1771" t="str">
            <v>Unknown</v>
          </cell>
          <cell r="O1771" t="str">
            <v>none</v>
          </cell>
          <cell r="P1771" t="str">
            <v>種族なし</v>
          </cell>
          <cell r="R1771">
            <v>1</v>
          </cell>
        </row>
        <row r="1772">
          <cell r="A1772">
            <v>10038</v>
          </cell>
          <cell r="B1772" t="str">
            <v>ja</v>
          </cell>
          <cell r="C1772" t="str">
            <v>テストユニット38</v>
          </cell>
          <cell r="H1772" t="str">
            <v>blue</v>
          </cell>
          <cell r="I1772">
            <v>6</v>
          </cell>
          <cell r="J1772" t="str">
            <v>DropWizS</v>
          </cell>
          <cell r="K1772" t="str">
            <v>balance</v>
          </cell>
          <cell r="L1772" t="str">
            <v>バランスタイプ</v>
          </cell>
          <cell r="M1772" t="str">
            <v>god</v>
          </cell>
          <cell r="N1772" t="str">
            <v>ゴッド</v>
          </cell>
          <cell r="O1772" t="str">
            <v>none</v>
          </cell>
          <cell r="P1772" t="str">
            <v>種族なし</v>
          </cell>
          <cell r="R1772">
            <v>1</v>
          </cell>
        </row>
        <row r="1773">
          <cell r="A1773">
            <v>10039</v>
          </cell>
          <cell r="B1773" t="str">
            <v>ja</v>
          </cell>
          <cell r="C1773" t="str">
            <v>テストユニット39</v>
          </cell>
          <cell r="H1773" t="str">
            <v>green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  <cell r="N1773" t="str">
            <v>Unknown</v>
          </cell>
          <cell r="O1773" t="str">
            <v>none</v>
          </cell>
          <cell r="P1773" t="str">
            <v>種族なし</v>
          </cell>
          <cell r="R1773">
            <v>1</v>
          </cell>
        </row>
        <row r="1774">
          <cell r="A1774">
            <v>10040</v>
          </cell>
          <cell r="B1774" t="str">
            <v>ja</v>
          </cell>
          <cell r="C1774" t="str">
            <v>テストユニット40</v>
          </cell>
          <cell r="H1774" t="str">
            <v>yellow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  <cell r="N1774" t="str">
            <v>Unknown</v>
          </cell>
          <cell r="O1774" t="str">
            <v>none</v>
          </cell>
          <cell r="P1774" t="str">
            <v>種族なし</v>
          </cell>
          <cell r="R1774">
            <v>1</v>
          </cell>
        </row>
        <row r="1775">
          <cell r="A1775">
            <v>10041</v>
          </cell>
          <cell r="B1775" t="str">
            <v>ja</v>
          </cell>
          <cell r="C1775" t="str">
            <v>テストユニット41</v>
          </cell>
          <cell r="H1775" t="str">
            <v>red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  <cell r="N1775" t="str">
            <v>Unknown</v>
          </cell>
          <cell r="O1775" t="str">
            <v>none</v>
          </cell>
          <cell r="P1775" t="str">
            <v>種族なし</v>
          </cell>
          <cell r="R1775">
            <v>1</v>
          </cell>
        </row>
        <row r="1776">
          <cell r="A1776">
            <v>10042</v>
          </cell>
          <cell r="B1776" t="str">
            <v>ja</v>
          </cell>
          <cell r="C1776" t="str">
            <v>テストユニット42</v>
          </cell>
          <cell r="H1776" t="str">
            <v>blue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  <cell r="N1776" t="str">
            <v>Unknown</v>
          </cell>
          <cell r="O1776" t="str">
            <v>none</v>
          </cell>
          <cell r="P1776" t="str">
            <v>種族なし</v>
          </cell>
          <cell r="R1776">
            <v>1</v>
          </cell>
        </row>
        <row r="1777">
          <cell r="A1777">
            <v>10043</v>
          </cell>
          <cell r="B1777" t="str">
            <v>ja</v>
          </cell>
          <cell r="C1777" t="str">
            <v>テストユニット43</v>
          </cell>
          <cell r="H1777" t="str">
            <v>green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  <cell r="N1777" t="str">
            <v>Unknown</v>
          </cell>
          <cell r="O1777" t="str">
            <v>none</v>
          </cell>
          <cell r="P1777" t="str">
            <v>種族なし</v>
          </cell>
          <cell r="R1777">
            <v>1</v>
          </cell>
        </row>
        <row r="1778">
          <cell r="A1778">
            <v>10044</v>
          </cell>
          <cell r="B1778" t="str">
            <v>ja</v>
          </cell>
          <cell r="C1778" t="str">
            <v>テストユニット44</v>
          </cell>
          <cell r="H1778" t="str">
            <v>yellow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  <cell r="N1778" t="str">
            <v>Unknown</v>
          </cell>
          <cell r="O1778" t="str">
            <v>none</v>
          </cell>
          <cell r="P1778" t="str">
            <v>種族なし</v>
          </cell>
          <cell r="R1778">
            <v>1</v>
          </cell>
        </row>
        <row r="1779">
          <cell r="A1779">
            <v>10045</v>
          </cell>
          <cell r="B1779" t="str">
            <v>ja</v>
          </cell>
          <cell r="C1779" t="str">
            <v>テストユニット45</v>
          </cell>
          <cell r="H1779" t="str">
            <v>red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  <cell r="N1779" t="str">
            <v>Unknown</v>
          </cell>
          <cell r="O1779" t="str">
            <v>none</v>
          </cell>
          <cell r="P1779" t="str">
            <v>種族なし</v>
          </cell>
          <cell r="R1779">
            <v>1</v>
          </cell>
        </row>
        <row r="1780">
          <cell r="A1780">
            <v>10046</v>
          </cell>
          <cell r="B1780" t="str">
            <v>ja</v>
          </cell>
          <cell r="C1780" t="str">
            <v>テストユニット46</v>
          </cell>
          <cell r="H1780" t="str">
            <v>blue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  <cell r="N1780" t="str">
            <v>Unknown</v>
          </cell>
          <cell r="O1780" t="str">
            <v>none</v>
          </cell>
          <cell r="P1780" t="str">
            <v>種族なし</v>
          </cell>
          <cell r="R1780">
            <v>1</v>
          </cell>
        </row>
        <row r="1781">
          <cell r="A1781">
            <v>10047</v>
          </cell>
          <cell r="B1781" t="str">
            <v>ja</v>
          </cell>
          <cell r="C1781" t="str">
            <v>テストユニット47</v>
          </cell>
          <cell r="H1781" t="str">
            <v>green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  <cell r="N1781" t="str">
            <v>Unknown</v>
          </cell>
          <cell r="O1781" t="str">
            <v>none</v>
          </cell>
          <cell r="P1781" t="str">
            <v>種族なし</v>
          </cell>
          <cell r="R1781">
            <v>1</v>
          </cell>
        </row>
        <row r="1782">
          <cell r="A1782">
            <v>10048</v>
          </cell>
          <cell r="B1782" t="str">
            <v>ja</v>
          </cell>
          <cell r="C1782" t="str">
            <v>テストユニット48</v>
          </cell>
          <cell r="H1782" t="str">
            <v>yellow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  <cell r="N1782" t="str">
            <v>Unknown</v>
          </cell>
          <cell r="O1782" t="str">
            <v>none</v>
          </cell>
          <cell r="P1782" t="str">
            <v>種族なし</v>
          </cell>
          <cell r="R1782">
            <v>1</v>
          </cell>
        </row>
        <row r="1783">
          <cell r="A1783">
            <v>10049</v>
          </cell>
          <cell r="B1783" t="str">
            <v>ja</v>
          </cell>
          <cell r="C1783" t="str">
            <v>テストユニット49</v>
          </cell>
          <cell r="H1783" t="str">
            <v>red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  <cell r="N1783" t="str">
            <v>Unknown</v>
          </cell>
          <cell r="O1783" t="str">
            <v>none</v>
          </cell>
          <cell r="P1783" t="str">
            <v>種族なし</v>
          </cell>
          <cell r="R1783">
            <v>1</v>
          </cell>
        </row>
        <row r="1784">
          <cell r="A1784">
            <v>10050</v>
          </cell>
          <cell r="B1784" t="str">
            <v>ja</v>
          </cell>
          <cell r="C1784" t="str">
            <v>テストユニット50</v>
          </cell>
          <cell r="H1784" t="str">
            <v>blue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  <cell r="N1784" t="str">
            <v>Unknown</v>
          </cell>
          <cell r="O1784" t="str">
            <v>none</v>
          </cell>
          <cell r="P1784" t="str">
            <v>種族なし</v>
          </cell>
          <cell r="R1784">
            <v>1</v>
          </cell>
        </row>
        <row r="1785">
          <cell r="A1785">
            <v>10051</v>
          </cell>
          <cell r="B1785" t="str">
            <v>ja</v>
          </cell>
          <cell r="C1785" t="str">
            <v>テストユニット51</v>
          </cell>
          <cell r="H1785" t="str">
            <v>green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  <cell r="N1785" t="str">
            <v>Unknown</v>
          </cell>
          <cell r="O1785" t="str">
            <v>none</v>
          </cell>
          <cell r="P1785" t="str">
            <v>種族なし</v>
          </cell>
          <cell r="R1785">
            <v>1</v>
          </cell>
        </row>
        <row r="1786">
          <cell r="A1786">
            <v>10052</v>
          </cell>
          <cell r="B1786" t="str">
            <v>ja</v>
          </cell>
          <cell r="C1786" t="str">
            <v>テストユニット52</v>
          </cell>
          <cell r="H1786" t="str">
            <v>yellow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  <cell r="N1786" t="str">
            <v>Unknown</v>
          </cell>
          <cell r="O1786" t="str">
            <v>none</v>
          </cell>
          <cell r="P1786" t="str">
            <v>種族なし</v>
          </cell>
          <cell r="R1786">
            <v>1</v>
          </cell>
        </row>
        <row r="1787">
          <cell r="A1787">
            <v>10053</v>
          </cell>
          <cell r="B1787" t="str">
            <v>ja</v>
          </cell>
          <cell r="C1787" t="str">
            <v>テストユニット53</v>
          </cell>
          <cell r="H1787" t="str">
            <v>red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  <cell r="N1787" t="str">
            <v>Unknown</v>
          </cell>
          <cell r="O1787" t="str">
            <v>none</v>
          </cell>
          <cell r="P1787" t="str">
            <v>種族なし</v>
          </cell>
          <cell r="R1787">
            <v>1</v>
          </cell>
        </row>
        <row r="1788">
          <cell r="A1788">
            <v>10054</v>
          </cell>
          <cell r="B1788" t="str">
            <v>ja</v>
          </cell>
          <cell r="C1788" t="str">
            <v>テストユニット54</v>
          </cell>
          <cell r="H1788" t="str">
            <v>blue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  <cell r="N1788" t="str">
            <v>Unknown</v>
          </cell>
          <cell r="O1788" t="str">
            <v>none</v>
          </cell>
          <cell r="P1788" t="str">
            <v>種族なし</v>
          </cell>
          <cell r="R1788">
            <v>1</v>
          </cell>
        </row>
        <row r="1789">
          <cell r="A1789">
            <v>10055</v>
          </cell>
          <cell r="B1789" t="str">
            <v>ja</v>
          </cell>
          <cell r="C1789" t="str">
            <v>テストユニット55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  <cell r="N1789" t="str">
            <v>Unknown</v>
          </cell>
          <cell r="O1789" t="str">
            <v>none</v>
          </cell>
          <cell r="P1789" t="str">
            <v>種族なし</v>
          </cell>
          <cell r="R1789">
            <v>1</v>
          </cell>
        </row>
        <row r="1790">
          <cell r="A1790">
            <v>10056</v>
          </cell>
          <cell r="B1790" t="str">
            <v>ja</v>
          </cell>
          <cell r="C1790" t="str">
            <v>テストユニット56</v>
          </cell>
          <cell r="H1790" t="str">
            <v>yellow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  <cell r="N1790" t="str">
            <v>Unknown</v>
          </cell>
          <cell r="O1790" t="str">
            <v>none</v>
          </cell>
          <cell r="P1790" t="str">
            <v>種族なし</v>
          </cell>
          <cell r="R1790">
            <v>1</v>
          </cell>
        </row>
        <row r="1791">
          <cell r="A1791">
            <v>10057</v>
          </cell>
          <cell r="B1791" t="str">
            <v>ja</v>
          </cell>
          <cell r="C1791" t="str">
            <v>テストユニット57</v>
          </cell>
          <cell r="H1791" t="str">
            <v>red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  <cell r="N1791" t="str">
            <v>Unknown</v>
          </cell>
          <cell r="O1791" t="str">
            <v>none</v>
          </cell>
          <cell r="P1791" t="str">
            <v>種族なし</v>
          </cell>
          <cell r="R1791">
            <v>1</v>
          </cell>
        </row>
        <row r="1792">
          <cell r="A1792">
            <v>10058</v>
          </cell>
          <cell r="B1792" t="str">
            <v>ja</v>
          </cell>
          <cell r="C1792" t="str">
            <v>テストユニット58</v>
          </cell>
          <cell r="H1792" t="str">
            <v>blue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  <cell r="N1792" t="str">
            <v>Unknown</v>
          </cell>
          <cell r="O1792" t="str">
            <v>none</v>
          </cell>
          <cell r="P1792" t="str">
            <v>種族なし</v>
          </cell>
          <cell r="R1792">
            <v>1</v>
          </cell>
        </row>
        <row r="1793">
          <cell r="A1793">
            <v>10059</v>
          </cell>
          <cell r="B1793" t="str">
            <v>ja</v>
          </cell>
          <cell r="C1793" t="str">
            <v>テストユニット59</v>
          </cell>
          <cell r="H1793" t="str">
            <v>green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  <cell r="N1793" t="str">
            <v>Unknown</v>
          </cell>
          <cell r="O1793" t="str">
            <v>none</v>
          </cell>
          <cell r="P1793" t="str">
            <v>種族なし</v>
          </cell>
          <cell r="R1793">
            <v>1</v>
          </cell>
        </row>
        <row r="1794">
          <cell r="A1794">
            <v>10060</v>
          </cell>
          <cell r="B1794" t="str">
            <v>ja</v>
          </cell>
          <cell r="C1794" t="str">
            <v>テストユニット60</v>
          </cell>
          <cell r="H1794" t="str">
            <v>yellow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  <cell r="N1794" t="str">
            <v>Unknown</v>
          </cell>
          <cell r="O1794" t="str">
            <v>none</v>
          </cell>
          <cell r="P1794" t="str">
            <v>種族なし</v>
          </cell>
          <cell r="R1794">
            <v>1</v>
          </cell>
        </row>
        <row r="1795">
          <cell r="A1795">
            <v>10061</v>
          </cell>
          <cell r="B1795" t="str">
            <v>ja</v>
          </cell>
          <cell r="C1795" t="str">
            <v>テストユニット61</v>
          </cell>
          <cell r="H1795" t="str">
            <v>red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  <cell r="N1795" t="str">
            <v>Unknown</v>
          </cell>
          <cell r="O1795" t="str">
            <v>none</v>
          </cell>
          <cell r="P1795" t="str">
            <v>種族なし</v>
          </cell>
          <cell r="R1795">
            <v>1</v>
          </cell>
        </row>
        <row r="1796">
          <cell r="A1796">
            <v>10062</v>
          </cell>
          <cell r="B1796" t="str">
            <v>ja</v>
          </cell>
          <cell r="C1796" t="str">
            <v>テストユニット62</v>
          </cell>
          <cell r="H1796" t="str">
            <v>blue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  <cell r="N1796" t="str">
            <v>Unknown</v>
          </cell>
          <cell r="O1796" t="str">
            <v>none</v>
          </cell>
          <cell r="P1796" t="str">
            <v>種族なし</v>
          </cell>
          <cell r="R1796">
            <v>1</v>
          </cell>
        </row>
        <row r="1797">
          <cell r="A1797">
            <v>10063</v>
          </cell>
          <cell r="B1797" t="str">
            <v>ja</v>
          </cell>
          <cell r="C1797" t="str">
            <v>テストユニット63</v>
          </cell>
          <cell r="H1797" t="str">
            <v>green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  <cell r="N1797" t="str">
            <v>Unknown</v>
          </cell>
          <cell r="O1797" t="str">
            <v>none</v>
          </cell>
          <cell r="P1797" t="str">
            <v>種族なし</v>
          </cell>
          <cell r="R1797">
            <v>1</v>
          </cell>
        </row>
        <row r="1798">
          <cell r="A1798">
            <v>10064</v>
          </cell>
          <cell r="B1798" t="str">
            <v>ja</v>
          </cell>
          <cell r="C1798" t="str">
            <v>テストユニット64</v>
          </cell>
          <cell r="H1798" t="str">
            <v>yellow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  <cell r="N1798" t="str">
            <v>Unknown</v>
          </cell>
          <cell r="O1798" t="str">
            <v>none</v>
          </cell>
          <cell r="P1798" t="str">
            <v>種族なし</v>
          </cell>
          <cell r="R1798">
            <v>1</v>
          </cell>
        </row>
        <row r="1799">
          <cell r="A1799">
            <v>10065</v>
          </cell>
          <cell r="B1799" t="str">
            <v>ja</v>
          </cell>
          <cell r="C1799" t="str">
            <v>テストユニット65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</row>
        <row r="1800">
          <cell r="A1800">
            <v>10066</v>
          </cell>
          <cell r="B1800" t="str">
            <v>ja</v>
          </cell>
          <cell r="C1800" t="str">
            <v>テストユニット66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</row>
        <row r="1801">
          <cell r="A1801">
            <v>10067</v>
          </cell>
          <cell r="B1801" t="str">
            <v>ja</v>
          </cell>
          <cell r="C1801" t="str">
            <v>テストユニット67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</row>
        <row r="1802">
          <cell r="A1802">
            <v>10068</v>
          </cell>
          <cell r="B1802" t="str">
            <v>ja</v>
          </cell>
          <cell r="C1802" t="str">
            <v>テストユニット68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</row>
        <row r="1803">
          <cell r="A1803">
            <v>10069</v>
          </cell>
          <cell r="B1803" t="str">
            <v>ja</v>
          </cell>
          <cell r="C1803" t="str">
            <v>テストユニット69</v>
          </cell>
          <cell r="H1803" t="str">
            <v>red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  <cell r="N1803" t="str">
            <v>Unknown</v>
          </cell>
          <cell r="O1803" t="str">
            <v>none</v>
          </cell>
          <cell r="P1803" t="str">
            <v>種族なし</v>
          </cell>
          <cell r="R1803">
            <v>1</v>
          </cell>
        </row>
        <row r="1804">
          <cell r="A1804">
            <v>10070</v>
          </cell>
          <cell r="B1804" t="str">
            <v>ja</v>
          </cell>
          <cell r="C1804" t="str">
            <v>テストユニット70</v>
          </cell>
          <cell r="H1804" t="str">
            <v>blue</v>
          </cell>
          <cell r="I1804">
            <v>6</v>
          </cell>
          <cell r="J1804" t="str">
            <v>PremiumSSS</v>
          </cell>
          <cell r="K1804" t="str">
            <v>heal</v>
          </cell>
          <cell r="L1804" t="str">
            <v>回復タイプ</v>
          </cell>
          <cell r="M1804" t="str">
            <v>academia</v>
          </cell>
          <cell r="N1804" t="str">
            <v>アカデミア</v>
          </cell>
          <cell r="O1804" t="str">
            <v>fantasy</v>
          </cell>
          <cell r="P1804" t="str">
            <v>ファンタジー</v>
          </cell>
          <cell r="R1804">
            <v>1</v>
          </cell>
        </row>
        <row r="1805">
          <cell r="A1805">
            <v>10071</v>
          </cell>
          <cell r="B1805" t="str">
            <v>ja</v>
          </cell>
          <cell r="C1805" t="str">
            <v>テストユニット71</v>
          </cell>
          <cell r="H1805" t="str">
            <v>red</v>
          </cell>
          <cell r="I1805">
            <v>6</v>
          </cell>
          <cell r="J1805" t="str">
            <v>PremiumSSS</v>
          </cell>
          <cell r="K1805" t="str">
            <v>hp</v>
          </cell>
          <cell r="L1805" t="str">
            <v>体力タイプ</v>
          </cell>
          <cell r="M1805" t="str">
            <v>demon</v>
          </cell>
          <cell r="N1805" t="str">
            <v>デーモン</v>
          </cell>
          <cell r="O1805" t="str">
            <v>none</v>
          </cell>
          <cell r="P1805" t="str">
            <v>種族なし</v>
          </cell>
          <cell r="R1805">
            <v>1</v>
          </cell>
        </row>
        <row r="1806">
          <cell r="A1806">
            <v>10072</v>
          </cell>
          <cell r="B1806" t="str">
            <v>ja</v>
          </cell>
          <cell r="C1806" t="str">
            <v>テストユニット72</v>
          </cell>
          <cell r="H1806" t="str">
            <v>green</v>
          </cell>
          <cell r="I1806">
            <v>6</v>
          </cell>
          <cell r="J1806" t="str">
            <v>PremiumSSS</v>
          </cell>
          <cell r="K1806" t="str">
            <v>heal</v>
          </cell>
          <cell r="L1806" t="str">
            <v>回復タイプ</v>
          </cell>
          <cell r="M1806" t="str">
            <v>unknown</v>
          </cell>
          <cell r="N1806" t="str">
            <v>Unknown</v>
          </cell>
          <cell r="O1806" t="str">
            <v>none</v>
          </cell>
          <cell r="P1806" t="str">
            <v>種族なし</v>
          </cell>
          <cell r="R1806">
            <v>1</v>
          </cell>
        </row>
        <row r="1807">
          <cell r="A1807">
            <v>10073</v>
          </cell>
          <cell r="B1807" t="str">
            <v>ja</v>
          </cell>
          <cell r="C1807" t="str">
            <v>テストユニット73</v>
          </cell>
          <cell r="H1807" t="str">
            <v>green</v>
          </cell>
          <cell r="I1807">
            <v>6</v>
          </cell>
          <cell r="J1807" t="str">
            <v>PremiumSSS</v>
          </cell>
          <cell r="K1807" t="str">
            <v>attack</v>
          </cell>
          <cell r="L1807" t="str">
            <v>攻撃タイプ</v>
          </cell>
          <cell r="M1807" t="str">
            <v>samurai</v>
          </cell>
          <cell r="N1807" t="str">
            <v>サムライ</v>
          </cell>
          <cell r="O1807" t="str">
            <v>none</v>
          </cell>
          <cell r="P1807" t="str">
            <v>種族なし</v>
          </cell>
          <cell r="R1807">
            <v>1</v>
          </cell>
        </row>
        <row r="1808">
          <cell r="A1808">
            <v>10074</v>
          </cell>
          <cell r="B1808" t="str">
            <v>ja</v>
          </cell>
          <cell r="C1808" t="str">
            <v>テストユニット74</v>
          </cell>
          <cell r="H1808" t="str">
            <v>blue</v>
          </cell>
          <cell r="I1808">
            <v>6</v>
          </cell>
          <cell r="J1808" t="str">
            <v>PremiumSSS</v>
          </cell>
          <cell r="K1808" t="str">
            <v>balance</v>
          </cell>
          <cell r="L1808" t="str">
            <v>バランスタイプ</v>
          </cell>
          <cell r="M1808" t="str">
            <v>fantasy</v>
          </cell>
          <cell r="N1808" t="str">
            <v>ファンタジー</v>
          </cell>
          <cell r="O1808" t="str">
            <v>human</v>
          </cell>
          <cell r="P1808" t="str">
            <v>ヒューマン</v>
          </cell>
          <cell r="R1808">
            <v>1</v>
          </cell>
        </row>
        <row r="1809">
          <cell r="A1809">
            <v>10075</v>
          </cell>
          <cell r="B1809" t="str">
            <v>ja</v>
          </cell>
          <cell r="C1809" t="str">
            <v>テストユニット75</v>
          </cell>
          <cell r="H1809" t="str">
            <v>yellow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</row>
        <row r="1810">
          <cell r="A1810">
            <v>10076</v>
          </cell>
          <cell r="B1810" t="str">
            <v>ja</v>
          </cell>
          <cell r="C1810" t="str">
            <v>テストユニット76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</row>
        <row r="1811">
          <cell r="A1811">
            <v>10077</v>
          </cell>
          <cell r="B1811" t="str">
            <v>ja</v>
          </cell>
          <cell r="C1811" t="str">
            <v>テストユニット77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</row>
        <row r="1812">
          <cell r="A1812">
            <v>10078</v>
          </cell>
          <cell r="B1812" t="str">
            <v>ja</v>
          </cell>
          <cell r="C1812" t="str">
            <v>テストユニット78</v>
          </cell>
          <cell r="H1812" t="str">
            <v>red</v>
          </cell>
          <cell r="I1812">
            <v>6</v>
          </cell>
          <cell r="J1812" t="str">
            <v>PremiumSSS</v>
          </cell>
          <cell r="K1812" t="str">
            <v>attack</v>
          </cell>
          <cell r="L1812" t="str">
            <v>攻撃タイプ</v>
          </cell>
          <cell r="M1812" t="str">
            <v>human</v>
          </cell>
          <cell r="N1812" t="str">
            <v>ヒューマン</v>
          </cell>
          <cell r="O1812" t="str">
            <v>hero</v>
          </cell>
          <cell r="P1812" t="str">
            <v>ヒーロー</v>
          </cell>
          <cell r="R1812">
            <v>1</v>
          </cell>
        </row>
        <row r="1813">
          <cell r="A1813">
            <v>10079</v>
          </cell>
          <cell r="B1813" t="str">
            <v>ja</v>
          </cell>
          <cell r="C1813" t="str">
            <v>テストユニット79</v>
          </cell>
          <cell r="H1813" t="str">
            <v>red</v>
          </cell>
          <cell r="I1813">
            <v>6</v>
          </cell>
          <cell r="J1813" t="str">
            <v>DropWizSS</v>
          </cell>
          <cell r="K1813" t="str">
            <v>hp</v>
          </cell>
          <cell r="L1813" t="str">
            <v>体力タイプ</v>
          </cell>
          <cell r="M1813" t="str">
            <v>hero</v>
          </cell>
          <cell r="N1813" t="str">
            <v>ヒーロー</v>
          </cell>
          <cell r="O1813" t="str">
            <v>none</v>
          </cell>
          <cell r="P1813" t="str">
            <v>種族なし</v>
          </cell>
          <cell r="R1813">
            <v>1</v>
          </cell>
        </row>
        <row r="1814">
          <cell r="A1814">
            <v>10080</v>
          </cell>
          <cell r="B1814" t="str">
            <v>ja</v>
          </cell>
          <cell r="C1814" t="str">
            <v>テストユニット80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</row>
        <row r="1815">
          <cell r="A1815">
            <v>10081</v>
          </cell>
          <cell r="B1815" t="str">
            <v>ja</v>
          </cell>
          <cell r="C1815" t="str">
            <v>テストユニット81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</row>
        <row r="1816">
          <cell r="A1816">
            <v>10082</v>
          </cell>
          <cell r="B1816" t="str">
            <v>ja</v>
          </cell>
          <cell r="C1816" t="str">
            <v>テストユニット82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</row>
        <row r="1817">
          <cell r="A1817">
            <v>10083</v>
          </cell>
          <cell r="B1817" t="str">
            <v>ja</v>
          </cell>
          <cell r="C1817" t="str">
            <v>テストユニット83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</row>
        <row r="1818">
          <cell r="A1818">
            <v>10084</v>
          </cell>
          <cell r="B1818" t="str">
            <v>ja</v>
          </cell>
          <cell r="C1818" t="str">
            <v>テストユニット84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</row>
        <row r="1819">
          <cell r="A1819">
            <v>10085</v>
          </cell>
          <cell r="B1819" t="str">
            <v>ja</v>
          </cell>
          <cell r="C1819" t="str">
            <v>テストユニット85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</row>
        <row r="1820">
          <cell r="A1820">
            <v>10086</v>
          </cell>
          <cell r="B1820" t="str">
            <v>ja</v>
          </cell>
          <cell r="C1820" t="str">
            <v>テストユニット86</v>
          </cell>
          <cell r="H1820" t="str">
            <v>blue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  <cell r="N1820" t="str">
            <v>Unknown</v>
          </cell>
          <cell r="O1820" t="str">
            <v>none</v>
          </cell>
          <cell r="P1820" t="str">
            <v>種族なし</v>
          </cell>
          <cell r="R1820">
            <v>1</v>
          </cell>
        </row>
        <row r="1821">
          <cell r="A1821">
            <v>10087</v>
          </cell>
          <cell r="B1821" t="str">
            <v>ja</v>
          </cell>
          <cell r="C1821" t="str">
            <v>テストユニット87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</row>
        <row r="1822">
          <cell r="A1822">
            <v>10088</v>
          </cell>
          <cell r="B1822" t="str">
            <v>ja</v>
          </cell>
          <cell r="C1822" t="str">
            <v>テストユニット88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</row>
        <row r="1823">
          <cell r="A1823">
            <v>10089</v>
          </cell>
          <cell r="B1823" t="str">
            <v>ja</v>
          </cell>
          <cell r="C1823" t="str">
            <v>テストユニット89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</row>
        <row r="1824">
          <cell r="A1824">
            <v>10090</v>
          </cell>
          <cell r="B1824" t="str">
            <v>ja</v>
          </cell>
          <cell r="C1824" t="str">
            <v>テストユニット90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</row>
        <row r="1825">
          <cell r="A1825">
            <v>10101</v>
          </cell>
          <cell r="B1825" t="str">
            <v>ja</v>
          </cell>
          <cell r="C1825" t="str">
            <v>Usagi-kun</v>
          </cell>
          <cell r="H1825" t="str">
            <v>blue</v>
          </cell>
          <cell r="I1825">
            <v>6</v>
          </cell>
          <cell r="J1825" t="str">
            <v>DropWizS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3</v>
          </cell>
        </row>
        <row r="1826">
          <cell r="A1826">
            <v>10102</v>
          </cell>
          <cell r="B1826" t="str">
            <v>ja</v>
          </cell>
          <cell r="C1826" t="str">
            <v>ローズ</v>
          </cell>
          <cell r="D1826" t="str">
            <v>未定</v>
          </cell>
          <cell r="E1826" t="str">
            <v>執行者</v>
          </cell>
          <cell r="F1826" t="str">
            <v>格好いい</v>
          </cell>
          <cell r="G1826" t="str">
            <v>不明</v>
          </cell>
          <cell r="H1826" t="str">
            <v>red</v>
          </cell>
          <cell r="I1826">
            <v>3</v>
          </cell>
          <cell r="J1826" t="str">
            <v>DropWizSSS</v>
          </cell>
          <cell r="K1826" t="str">
            <v>attack</v>
          </cell>
          <cell r="L1826" t="str">
            <v>攻撃タイプ</v>
          </cell>
          <cell r="M1826" t="str">
            <v>queen</v>
          </cell>
          <cell r="N1826" t="str">
            <v>QUEEN</v>
          </cell>
          <cell r="O1826" t="str">
            <v>demon</v>
          </cell>
          <cell r="P1826" t="str">
            <v>デーモン</v>
          </cell>
          <cell r="Q1826" t="str">
            <v>アタッカー</v>
          </cell>
          <cell r="R1826">
            <v>3</v>
          </cell>
        </row>
        <row r="1827">
          <cell r="A1827">
            <v>10103</v>
          </cell>
          <cell r="B1827" t="str">
            <v>ja</v>
          </cell>
          <cell r="C1827" t="str">
            <v>ローズ</v>
          </cell>
          <cell r="D1827" t="str">
            <v>未定</v>
          </cell>
          <cell r="E1827" t="str">
            <v>執行者</v>
          </cell>
          <cell r="F1827" t="str">
            <v>格好いい</v>
          </cell>
          <cell r="G1827" t="str">
            <v>不明</v>
          </cell>
          <cell r="H1827" t="str">
            <v>red</v>
          </cell>
          <cell r="I1827">
            <v>4</v>
          </cell>
          <cell r="J1827" t="str">
            <v>DropWizSSS</v>
          </cell>
          <cell r="K1827" t="str">
            <v>attack</v>
          </cell>
          <cell r="L1827" t="str">
            <v>攻撃タイプ</v>
          </cell>
          <cell r="M1827" t="str">
            <v>queen</v>
          </cell>
          <cell r="N1827" t="str">
            <v>QUEEN</v>
          </cell>
          <cell r="O1827" t="str">
            <v>demon</v>
          </cell>
          <cell r="P1827" t="str">
            <v>デーモン</v>
          </cell>
          <cell r="Q1827" t="str">
            <v>アタッカー</v>
          </cell>
          <cell r="R1827">
            <v>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1601</v>
          </cell>
          <cell r="B201" t="str">
            <v>ja</v>
          </cell>
          <cell r="C201" t="str">
            <v>隣接ユニット 回復力UP</v>
          </cell>
          <cell r="D201" t="str">
            <v>右隣のユニットの回復力を1000UPする</v>
          </cell>
        </row>
        <row r="202">
          <cell r="A202">
            <v>1700</v>
          </cell>
          <cell r="B202" t="str">
            <v>ja</v>
          </cell>
          <cell r="C202" t="str">
            <v>パネルブレイク30 ターンHP小回復</v>
          </cell>
          <cell r="D202" t="str">
            <v>自身が先頭の時、1ターンの間に合計30個以上パネルを破壊した場合に1ターン HP小回復</v>
          </cell>
        </row>
        <row r="203">
          <cell r="A203">
            <v>1701</v>
          </cell>
          <cell r="B203" t="str">
            <v>ja</v>
          </cell>
          <cell r="C203" t="str">
            <v>ターン終了時HP回復</v>
          </cell>
          <cell r="D203" t="str">
            <v>最初の1ターン目と、その後5ターン毎のターン終了時、HPを2500回復する</v>
          </cell>
        </row>
        <row r="204">
          <cell r="A204">
            <v>1702</v>
          </cell>
          <cell r="B204" t="str">
            <v>ja</v>
          </cell>
          <cell r="C204" t="str">
            <v>ターン経過攻撃力UP</v>
          </cell>
          <cell r="D204" t="str">
            <v>最初の1ターン目と、その後6ターン毎に1ターン種族ドラゴン・ファンタジー・アニマルの攻撃力を1000UP</v>
          </cell>
        </row>
        <row r="205">
          <cell r="A205">
            <v>1703</v>
          </cell>
          <cell r="B205" t="str">
            <v>ja</v>
          </cell>
          <cell r="C205" t="str">
            <v>隣接ユニット スキルゲージ増加(8ターン)</v>
          </cell>
          <cell r="D205" t="str">
            <v>最初の1ターン目と、その後8ターン毎に両隣のユニットのスキルゲージを1上昇させる</v>
          </cell>
        </row>
        <row r="206">
          <cell r="A206">
            <v>1704</v>
          </cell>
          <cell r="B206" t="str">
            <v>ja</v>
          </cell>
          <cell r="C206" t="str">
            <v>ターン経過回復力UP</v>
          </cell>
          <cell r="D206" t="str">
            <v>最初の1ターン目と、その後6ターン毎に1ターン自身と右隣のユニットの回復力を1500UP</v>
          </cell>
        </row>
        <row r="207">
          <cell r="A207">
            <v>1800</v>
          </cell>
          <cell r="B207" t="str">
            <v>ja</v>
          </cell>
          <cell r="C207" t="str">
            <v>フィーバー強化</v>
          </cell>
          <cell r="D207" t="str">
            <v>フィーバー時自身の攻撃力、回復力を特大UP</v>
          </cell>
        </row>
        <row r="208">
          <cell r="A208">
            <v>1900</v>
          </cell>
          <cell r="B208" t="str">
            <v>ja</v>
          </cell>
          <cell r="C208" t="str">
            <v>ハート出現率UP</v>
          </cell>
          <cell r="D208" t="str">
            <v>自身が先頭の時、ハートパネルの出現率UP</v>
          </cell>
        </row>
        <row r="209">
          <cell r="A209">
            <v>2000</v>
          </cell>
          <cell r="B209" t="str">
            <v>ja</v>
          </cell>
          <cell r="C209" t="str">
            <v>赤パネル出現率UP</v>
          </cell>
          <cell r="D209" t="str">
            <v>自身が先頭の時、赤パネルの出現率UP</v>
          </cell>
        </row>
        <row r="210">
          <cell r="A210">
            <v>2100</v>
          </cell>
          <cell r="B210" t="str">
            <v>ja</v>
          </cell>
          <cell r="C210" t="str">
            <v>緑パネル出現率UP</v>
          </cell>
          <cell r="D210" t="str">
            <v>自身が先頭の時、緑パネルの出現率UP</v>
          </cell>
        </row>
        <row r="211">
          <cell r="A211">
            <v>2101</v>
          </cell>
          <cell r="B211" t="str">
            <v>ja</v>
          </cell>
          <cell r="C211" t="str">
            <v>緑パネル出現率UP</v>
          </cell>
          <cell r="D211" t="str">
            <v>自身が先頭の時、緑パネルの出現率UP</v>
          </cell>
        </row>
        <row r="212">
          <cell r="A212">
            <v>2200</v>
          </cell>
          <cell r="B212" t="str">
            <v>ja</v>
          </cell>
          <cell r="C212" t="str">
            <v>青パネル出現率UP</v>
          </cell>
          <cell r="D212" t="str">
            <v>自身が先頭の時、青パネルの出現率UP</v>
          </cell>
        </row>
        <row r="213">
          <cell r="A213">
            <v>2201</v>
          </cell>
          <cell r="B213" t="str">
            <v>ja</v>
          </cell>
          <cell r="C213" t="str">
            <v>青パネル出現率UP</v>
          </cell>
          <cell r="D213" t="str">
            <v>自身が先頭の時、青パネルの出現率UP</v>
          </cell>
        </row>
        <row r="214">
          <cell r="A214">
            <v>2300</v>
          </cell>
          <cell r="B214" t="str">
            <v>ja</v>
          </cell>
          <cell r="C214" t="str">
            <v>黄パネル出現率UP</v>
          </cell>
          <cell r="D214" t="str">
            <v>自身が先頭の時、黄パネルの出現率UP</v>
          </cell>
        </row>
        <row r="215">
          <cell r="A215">
            <v>2400</v>
          </cell>
          <cell r="B215" t="str">
            <v>ja</v>
          </cell>
          <cell r="C215" t="str">
            <v>ハートボムパネルドロップ</v>
          </cell>
          <cell r="D215" t="str">
            <v>自身が先頭の時、ハートパネルを確率でハートボムパネルに変換しドロップ</v>
          </cell>
        </row>
        <row r="216">
          <cell r="A216">
            <v>2401</v>
          </cell>
          <cell r="B216" t="str">
            <v>ja</v>
          </cell>
          <cell r="C216" t="str">
            <v>赤ボムパネルドロップ</v>
          </cell>
          <cell r="D216" t="str">
            <v>自身が先頭の時、赤パネルを低確率で赤ボムパネルに変換しドロップ</v>
          </cell>
        </row>
        <row r="217">
          <cell r="A217">
            <v>2402</v>
          </cell>
          <cell r="B217" t="str">
            <v>ja</v>
          </cell>
          <cell r="C217" t="str">
            <v>緑ボムパネルドロップ</v>
          </cell>
          <cell r="D217" t="str">
            <v>自身が先頭の時、緑パネルを低確率で緑ボムパネルに変換しドロップ</v>
          </cell>
        </row>
        <row r="218">
          <cell r="A218">
            <v>2403</v>
          </cell>
          <cell r="B218" t="str">
            <v>ja</v>
          </cell>
          <cell r="C218" t="str">
            <v>青ボムパネルドロップ</v>
          </cell>
          <cell r="D218" t="str">
            <v>自身が先頭の時、青パネルを確率で青ボムパネルに変換しドロップ</v>
          </cell>
        </row>
        <row r="219">
          <cell r="A219">
            <v>2500</v>
          </cell>
          <cell r="B219" t="str">
            <v>ja</v>
          </cell>
          <cell r="C219" t="str">
            <v>青パネルドロップ</v>
          </cell>
          <cell r="D219" t="str">
            <v>自身が先頭の時、緑パネルを確率で青パネルに変換しドロップ</v>
          </cell>
        </row>
        <row r="220">
          <cell r="A220">
            <v>2501</v>
          </cell>
          <cell r="B220" t="str">
            <v>ja</v>
          </cell>
          <cell r="C220" t="str">
            <v>黄パネルドロップ</v>
          </cell>
          <cell r="D220" t="str">
            <v>自身が先頭の時、青パネルを確率で黄パネルに変換しドロップ</v>
          </cell>
        </row>
        <row r="221">
          <cell r="A221">
            <v>2502</v>
          </cell>
          <cell r="B221" t="str">
            <v>ja</v>
          </cell>
          <cell r="C221" t="str">
            <v>赤パネルドロップ</v>
          </cell>
          <cell r="D221" t="str">
            <v>自身が先頭の時、黄パネルを確率で赤パネルに変換しドロップ</v>
          </cell>
        </row>
        <row r="222">
          <cell r="A222">
            <v>2503</v>
          </cell>
          <cell r="B222" t="str">
            <v>ja</v>
          </cell>
          <cell r="C222" t="str">
            <v>黄パネルドロップ</v>
          </cell>
          <cell r="D222" t="str">
            <v>自身が先頭の時、赤パネルを確率で黄パネルに変換しドロップ</v>
          </cell>
        </row>
        <row r="223">
          <cell r="A223">
            <v>2504</v>
          </cell>
          <cell r="B223" t="str">
            <v>ja</v>
          </cell>
          <cell r="C223" t="str">
            <v>SCパネルドロップ</v>
          </cell>
          <cell r="D223" t="str">
            <v>自身が先頭の時、緑パネルを確率でSCパネルに変換しドロップ</v>
          </cell>
        </row>
        <row r="224">
          <cell r="A224">
            <v>2505</v>
          </cell>
          <cell r="B224" t="str">
            <v>ja</v>
          </cell>
          <cell r="C224" t="str">
            <v>緑ボムパネル(大)ドロップ</v>
          </cell>
          <cell r="D224" t="str">
            <v>自身が先頭の時、低確率で緑ボムパネル(大)をドロップ</v>
          </cell>
        </row>
        <row r="225">
          <cell r="A225">
            <v>2506</v>
          </cell>
          <cell r="B225" t="str">
            <v>ja</v>
          </cell>
          <cell r="C225" t="str">
            <v>ハートボムパネル(大)ドロップ</v>
          </cell>
          <cell r="D225" t="str">
            <v>自身が先頭の時、低確率でハートボムパネル(大)をドロップ</v>
          </cell>
        </row>
        <row r="226">
          <cell r="A226">
            <v>2507</v>
          </cell>
          <cell r="B226" t="str">
            <v>ja</v>
          </cell>
          <cell r="C226" t="str">
            <v>Cパネルドロップ</v>
          </cell>
          <cell r="D226" t="str">
            <v>自身が先頭の時、低確率でCパネルをドロップ</v>
          </cell>
        </row>
        <row r="227">
          <cell r="A227">
            <v>2508</v>
          </cell>
          <cell r="B227" t="str">
            <v>ja</v>
          </cell>
          <cell r="C227" t="str">
            <v>黄パネルドロップ</v>
          </cell>
          <cell r="D227" t="str">
            <v>自身が先頭の時、緑パネルを確率で黄パネルに変換しドロップ</v>
          </cell>
        </row>
        <row r="228">
          <cell r="A228">
            <v>2509</v>
          </cell>
          <cell r="B228" t="str">
            <v>ja</v>
          </cell>
          <cell r="C228" t="str">
            <v>赤ボムパネル(大)ドロップ</v>
          </cell>
          <cell r="D228" t="str">
            <v>自身が先頭の時、低確率で赤ボムパネル(大)をドロップ</v>
          </cell>
        </row>
        <row r="229">
          <cell r="A229">
            <v>2510</v>
          </cell>
          <cell r="B229" t="str">
            <v>ja</v>
          </cell>
          <cell r="C229" t="str">
            <v>青ボムパネル(大)ドロップ</v>
          </cell>
          <cell r="D229" t="str">
            <v>自身が先頭の時、低確率で青ボムパネル(大)をドロップ</v>
          </cell>
        </row>
        <row r="230">
          <cell r="A230">
            <v>2511</v>
          </cell>
          <cell r="B230" t="str">
            <v>ja</v>
          </cell>
          <cell r="C230" t="str">
            <v>緑ボムパネルドロップ</v>
          </cell>
          <cell r="D230" t="str">
            <v>自身が先頭の時、ハートパネルを確率で緑ボムパネルに変換しドロップ</v>
          </cell>
        </row>
        <row r="231">
          <cell r="A231">
            <v>2512</v>
          </cell>
          <cell r="B231" t="str">
            <v>ja</v>
          </cell>
          <cell r="C231" t="str">
            <v>ハートボムパネル(大)ドロップ</v>
          </cell>
          <cell r="D231" t="str">
            <v>自身が先頭の時、低確率でハートボムパネル(大)をドロップ</v>
          </cell>
        </row>
        <row r="232">
          <cell r="A232">
            <v>2513</v>
          </cell>
          <cell r="B232" t="str">
            <v>ja</v>
          </cell>
          <cell r="C232" t="str">
            <v>緑ボムパネル(大)ドロップ</v>
          </cell>
          <cell r="D232" t="str">
            <v>自身が先頭の時、低確率で緑ボムパネル(大)をドロップ</v>
          </cell>
        </row>
        <row r="233">
          <cell r="A233">
            <v>2514</v>
          </cell>
          <cell r="B233" t="str">
            <v>ja</v>
          </cell>
          <cell r="C233" t="str">
            <v>赤ボムパネルドロップ</v>
          </cell>
          <cell r="D233" t="str">
            <v>自身が先頭の時、青パネルを低確率で赤ボムパネルに変換しドロップ</v>
          </cell>
        </row>
        <row r="234">
          <cell r="A234">
            <v>2600</v>
          </cell>
          <cell r="B234" t="str">
            <v>ja</v>
          </cell>
          <cell r="C234" t="str">
            <v>回復力400UP</v>
          </cell>
          <cell r="D234" t="str">
            <v>自身の回復力を400UP</v>
          </cell>
        </row>
        <row r="235">
          <cell r="A235">
            <v>2601</v>
          </cell>
          <cell r="B235" t="str">
            <v>ja</v>
          </cell>
          <cell r="C235" t="str">
            <v>回復力300UP</v>
          </cell>
          <cell r="D235" t="str">
            <v>自身の回復力を300UP</v>
          </cell>
        </row>
        <row r="236">
          <cell r="A236">
            <v>2700</v>
          </cell>
          <cell r="B236" t="str">
            <v>ja</v>
          </cell>
          <cell r="C236" t="str">
            <v>攻撃力UP</v>
          </cell>
          <cell r="D236" t="str">
            <v>自身の攻撃力を300UP</v>
          </cell>
        </row>
        <row r="237">
          <cell r="A237">
            <v>2701</v>
          </cell>
          <cell r="B237" t="str">
            <v>ja</v>
          </cell>
          <cell r="C237" t="str">
            <v>攻撃力UP</v>
          </cell>
          <cell r="D237" t="str">
            <v>自身の攻撃力を500UP</v>
          </cell>
        </row>
        <row r="238">
          <cell r="A238">
            <v>2800</v>
          </cell>
          <cell r="B238" t="str">
            <v>ja</v>
          </cell>
          <cell r="C238" t="str">
            <v>防御力UP</v>
          </cell>
          <cell r="D238" t="str">
            <v>自身の防御力を250UP</v>
          </cell>
        </row>
        <row r="239">
          <cell r="A239">
            <v>2801</v>
          </cell>
          <cell r="B239" t="str">
            <v>ja</v>
          </cell>
          <cell r="C239" t="str">
            <v>防御力UP</v>
          </cell>
          <cell r="D239" t="str">
            <v>自身の防御力を350UP</v>
          </cell>
        </row>
        <row r="240">
          <cell r="A240">
            <v>2802</v>
          </cell>
          <cell r="B240" t="str">
            <v>ja</v>
          </cell>
          <cell r="C240" t="str">
            <v>防御力UP</v>
          </cell>
          <cell r="D240" t="str">
            <v>自身の防御力を300UP</v>
          </cell>
        </row>
        <row r="241">
          <cell r="A241">
            <v>2803</v>
          </cell>
          <cell r="B241" t="str">
            <v>ja</v>
          </cell>
          <cell r="C241" t="str">
            <v>防御力UP</v>
          </cell>
          <cell r="D241" t="str">
            <v>自身の防御力を400UP</v>
          </cell>
        </row>
        <row r="242">
          <cell r="A242">
            <v>2804</v>
          </cell>
          <cell r="B242" t="str">
            <v>ja</v>
          </cell>
          <cell r="C242" t="str">
            <v>防御力UP</v>
          </cell>
          <cell r="D242" t="str">
            <v>自身の防御力を280UP</v>
          </cell>
        </row>
        <row r="243">
          <cell r="A243">
            <v>2805</v>
          </cell>
          <cell r="B243" t="str">
            <v>ja</v>
          </cell>
          <cell r="C243" t="str">
            <v>ターン防御力UP</v>
          </cell>
          <cell r="D243" t="str">
            <v>最初の1ターン目と、その後3ターン毎に1ターン緑属性ユニットの防御力を500UP</v>
          </cell>
        </row>
        <row r="244">
          <cell r="A244">
            <v>2900</v>
          </cell>
          <cell r="B244" t="str">
            <v>ja</v>
          </cell>
          <cell r="C244" t="str">
            <v>フィーバー50 攻撃力小UP</v>
          </cell>
          <cell r="D244" t="str">
            <v>フィーバーゲージが50％以上の時、自身の攻撃力小UP</v>
          </cell>
        </row>
        <row r="245">
          <cell r="A245">
            <v>2901</v>
          </cell>
          <cell r="B245" t="str">
            <v>ja</v>
          </cell>
          <cell r="C245" t="str">
            <v>フィーバー40 攻撃力UP</v>
          </cell>
          <cell r="D245" t="str">
            <v>フィーバーゲージが40％以上の時、自身の攻撃力UP</v>
          </cell>
        </row>
        <row r="246">
          <cell r="A246">
            <v>2902</v>
          </cell>
          <cell r="B246" t="str">
            <v>ja</v>
          </cell>
          <cell r="C246" t="str">
            <v>フィーバー80 攻撃力大UP</v>
          </cell>
          <cell r="D246" t="str">
            <v>フィーバーゲージが80％以上の時、自身の攻撃力大UP</v>
          </cell>
        </row>
        <row r="247">
          <cell r="A247">
            <v>2903</v>
          </cell>
          <cell r="B247" t="str">
            <v>ja</v>
          </cell>
          <cell r="C247" t="str">
            <v>フィーバー100 攻撃参加</v>
          </cell>
          <cell r="D247" t="str">
            <v>フィーバーゲージが100％の時、自身が先頭以外でも通常攻撃に参加する</v>
          </cell>
        </row>
        <row r="248">
          <cell r="A248">
            <v>2904</v>
          </cell>
          <cell r="B248" t="str">
            <v>ja</v>
          </cell>
          <cell r="C248" t="str">
            <v>フィーバー70 HP回復</v>
          </cell>
          <cell r="D248" t="str">
            <v>フィーバーゲージが70%以上の時、毎ターン終了時、HPを1500回復する</v>
          </cell>
        </row>
        <row r="249">
          <cell r="A249">
            <v>3000</v>
          </cell>
          <cell r="B249" t="str">
            <v>ja</v>
          </cell>
          <cell r="C249" t="str">
            <v>攻撃参加</v>
          </cell>
          <cell r="D249" t="str">
            <v>最初の1ターン目と、その後7ターン毎に自身が先頭以外でも通常攻撃に参加する</v>
          </cell>
        </row>
        <row r="250">
          <cell r="A250">
            <v>3001</v>
          </cell>
          <cell r="B250" t="str">
            <v>ja</v>
          </cell>
          <cell r="C250" t="str">
            <v>攻撃参加</v>
          </cell>
          <cell r="D250" t="str">
            <v>最初の1ターン目と、その後6ターン毎に自身が先頭以外でも通常攻撃に参加する</v>
          </cell>
        </row>
        <row r="251">
          <cell r="A251">
            <v>3002</v>
          </cell>
          <cell r="B251" t="str">
            <v>ja</v>
          </cell>
          <cell r="C251" t="str">
            <v>攻撃参加</v>
          </cell>
          <cell r="D251" t="str">
            <v>最初の1ターン目と、その後9ターン毎に自身が先頭以外でも通常攻撃に参加する</v>
          </cell>
        </row>
        <row r="252">
          <cell r="A252">
            <v>3100</v>
          </cell>
          <cell r="B252" t="str">
            <v>ja</v>
          </cell>
          <cell r="C252" t="str">
            <v>最終フロア Cパネル生成短縮(特大)</v>
          </cell>
          <cell r="D252" t="str">
            <v>最終フロア内で自身が先頭の時、Cパネル生成に必要なチェイン数を4短縮する</v>
          </cell>
        </row>
        <row r="253">
          <cell r="A253">
            <v>3101</v>
          </cell>
          <cell r="B253" t="str">
            <v>ja</v>
          </cell>
          <cell r="C253" t="str">
            <v>ボスフロア時 バリア3000</v>
          </cell>
          <cell r="D253" t="str">
            <v>ボスフロア到達時に自身への直接ダメージを3000まで防ぐバリアを一度だけ展開(バリアは破壊されると復活しない)</v>
          </cell>
        </row>
        <row r="254">
          <cell r="A254">
            <v>3102</v>
          </cell>
          <cell r="B254" t="str">
            <v>ja</v>
          </cell>
          <cell r="C254" t="str">
            <v>最終フロア時 Cスキル威力UP</v>
          </cell>
          <cell r="D254" t="str">
            <v>最終フロアの1ターン目終了時に自身のCスキルの威力をUP</v>
          </cell>
        </row>
        <row r="255">
          <cell r="A255">
            <v>3103</v>
          </cell>
          <cell r="B255" t="str">
            <v>ja</v>
          </cell>
          <cell r="C255" t="str">
            <v>最終フロア 攻撃力UP</v>
          </cell>
          <cell r="D255" t="str">
            <v>最終フロア内で自身の攻撃力を700UP</v>
          </cell>
        </row>
        <row r="256">
          <cell r="A256">
            <v>3104</v>
          </cell>
          <cell r="B256" t="str">
            <v>ja</v>
          </cell>
          <cell r="C256" t="str">
            <v>最終フロア時 バリア5000</v>
          </cell>
          <cell r="D256" t="str">
            <v>最終フロア到達時に自身への直接ダメージを5000まで防ぐバリアを一度だけ展開(バリアは破壊されると復活しない)</v>
          </cell>
        </row>
        <row r="257">
          <cell r="A257">
            <v>3105</v>
          </cell>
          <cell r="B257" t="str">
            <v>ja</v>
          </cell>
          <cell r="C257" t="str">
            <v>最終フロア時 バリア7000</v>
          </cell>
          <cell r="D257" t="str">
            <v>最終フロア到達時に自身への直接ダメージを7000まで防ぐバリアを一度だけ展開(バリアは破壊されると復活しない)</v>
          </cell>
        </row>
        <row r="258">
          <cell r="A258">
            <v>3200</v>
          </cell>
          <cell r="B258" t="str">
            <v>ja</v>
          </cell>
          <cell r="C258" t="str">
            <v>HP33%以下 攻撃力UP</v>
          </cell>
          <cell r="D258" t="str">
            <v>自身が先頭の時、残りHPが33%以下で攻撃力特大UP</v>
          </cell>
        </row>
        <row r="259">
          <cell r="A259">
            <v>3201</v>
          </cell>
          <cell r="B259" t="str">
            <v>ja</v>
          </cell>
          <cell r="C259" t="str">
            <v>HP35%以下 回復力UP</v>
          </cell>
          <cell r="D259" t="str">
            <v>自身が先頭の時、残りHPが35%以下で回復力40%UP</v>
          </cell>
        </row>
        <row r="260">
          <cell r="A260">
            <v>3202</v>
          </cell>
          <cell r="B260" t="str">
            <v>ja</v>
          </cell>
          <cell r="C260" t="str">
            <v>HP90%以上 全属性耐性15</v>
          </cell>
          <cell r="D260" t="str">
            <v>自身が先頭の時、残りHPが90%以上で全ユニットに対する全属性の敵からの攻撃を15％軽減</v>
          </cell>
        </row>
        <row r="261">
          <cell r="A261">
            <v>3203</v>
          </cell>
          <cell r="B261" t="str">
            <v>ja</v>
          </cell>
          <cell r="C261" t="str">
            <v>HP50%以下 防御力UP</v>
          </cell>
          <cell r="D261" t="str">
            <v>自身が先頭の時、残りHPが50%以下で防御力398UP</v>
          </cell>
        </row>
        <row r="262">
          <cell r="A262">
            <v>3204</v>
          </cell>
          <cell r="B262" t="str">
            <v>ja</v>
          </cell>
          <cell r="C262" t="str">
            <v>HP30%以下 攻撃力大UP</v>
          </cell>
          <cell r="D262" t="str">
            <v>自身が先頭の時、残りHPが30%以下で攻撃力大UP</v>
          </cell>
        </row>
        <row r="263">
          <cell r="A263">
            <v>3205</v>
          </cell>
          <cell r="B263" t="str">
            <v>ja</v>
          </cell>
          <cell r="C263" t="str">
            <v>HP90%以上 ダメージ軽減</v>
          </cell>
          <cell r="D263" t="str">
            <v>残りHPが90%以上の時、全ユニットが敵からの攻撃を15％軽減</v>
          </cell>
        </row>
        <row r="264">
          <cell r="A264">
            <v>3206</v>
          </cell>
          <cell r="B264" t="str">
            <v>ja</v>
          </cell>
          <cell r="C264" t="str">
            <v>HP30%以下 回復力UP</v>
          </cell>
          <cell r="D264" t="str">
            <v>残りHPが30%以下の時、全ユニットの回復力20%UP</v>
          </cell>
        </row>
        <row r="265">
          <cell r="A265">
            <v>4000</v>
          </cell>
          <cell r="B265" t="str">
            <v>ja</v>
          </cell>
          <cell r="C265" t="str">
            <v>被ダメージ時 HP回復</v>
          </cell>
          <cell r="D265" t="str">
            <v>自身が攻撃を受けた場合、次のターンの開始時にHP500回復する</v>
          </cell>
        </row>
        <row r="266">
          <cell r="A266">
            <v>5000</v>
          </cell>
          <cell r="B266" t="str">
            <v>ja</v>
          </cell>
          <cell r="C266" t="str">
            <v>パーティー内ゴッド 攻撃力UP</v>
          </cell>
          <cell r="D266" t="str">
            <v>パーティー内に種族ゴッドがいる時、全ユニットの攻撃力を500UP</v>
          </cell>
        </row>
        <row r="267">
          <cell r="A267">
            <v>5001</v>
          </cell>
          <cell r="B267" t="str">
            <v>ja</v>
          </cell>
          <cell r="C267" t="str">
            <v>パーティー内バランス 回復力UP</v>
          </cell>
          <cell r="D267" t="str">
            <v>パーティー内にバランスタイプがいる時、全ユニットの回復力を500UP</v>
          </cell>
        </row>
        <row r="268">
          <cell r="A268">
            <v>5002</v>
          </cell>
          <cell r="B268" t="str">
            <v>ja</v>
          </cell>
          <cell r="C268" t="str">
            <v>パーティー内青属性 攻撃力UP</v>
          </cell>
          <cell r="D268" t="str">
            <v>パーティー内に青属性ユニットがいる時、全ユニットの攻撃力を700UP</v>
          </cell>
        </row>
        <row r="269">
          <cell r="A269">
            <v>5003</v>
          </cell>
          <cell r="B269" t="str">
            <v>ja</v>
          </cell>
          <cell r="C269" t="str">
            <v>パーティー内赤属性 自身攻撃力UP</v>
          </cell>
          <cell r="D269" t="str">
            <v>パーティー内に赤属性ユニットがいる時、自身の攻撃力を1500UP</v>
          </cell>
        </row>
        <row r="270">
          <cell r="A270">
            <v>8000</v>
          </cell>
          <cell r="B270" t="str">
            <v>ja</v>
          </cell>
          <cell r="C270" t="str">
            <v>ユニットが一番右にいるとき 攻撃力UP</v>
          </cell>
          <cell r="D270" t="str">
            <v>自身が一番右にいる場合、全ユニットの攻撃力UP</v>
          </cell>
        </row>
        <row r="271">
          <cell r="A271">
            <v>8001</v>
          </cell>
          <cell r="B271" t="str">
            <v>ja</v>
          </cell>
          <cell r="C271" t="str">
            <v>敵に青属性がいる場合 小カウンター</v>
          </cell>
          <cell r="D271" t="str">
            <v>敵に青属性がいる場合、小カウンター</v>
          </cell>
        </row>
        <row r="272">
          <cell r="A272">
            <v>8002</v>
          </cell>
          <cell r="B272" t="str">
            <v>ja</v>
          </cell>
          <cell r="C272" t="str">
            <v>テスト</v>
          </cell>
          <cell r="D272" t="str">
            <v>フロアスタート時、1ターン全ユニットの攻撃力UP</v>
          </cell>
        </row>
        <row r="273">
          <cell r="A273">
            <v>8003</v>
          </cell>
          <cell r="B273" t="str">
            <v>ja</v>
          </cell>
          <cell r="C273" t="str">
            <v>HP70%以上 ウィルス無効</v>
          </cell>
          <cell r="D273" t="str">
            <v>残りHPが70%以上で自身にかかるウィルスを無効化する</v>
          </cell>
        </row>
        <row r="274">
          <cell r="A274">
            <v>8004</v>
          </cell>
          <cell r="B274" t="str">
            <v>ja</v>
          </cell>
          <cell r="C274" t="str">
            <v>フロアスタート時 スキルブースト</v>
          </cell>
          <cell r="D274" t="str">
            <v>フロアスタート時、1ターンスキルブースト</v>
          </cell>
        </row>
        <row r="275">
          <cell r="A275">
            <v>8005</v>
          </cell>
          <cell r="B275" t="str">
            <v>ja</v>
          </cell>
          <cell r="C275" t="str">
            <v>ハートがハートボム大</v>
          </cell>
          <cell r="D275" t="str">
            <v>ハートがハートボム大</v>
          </cell>
        </row>
        <row r="276">
          <cell r="A276">
            <v>8006</v>
          </cell>
          <cell r="B276" t="str">
            <v>ja</v>
          </cell>
          <cell r="C276" t="str">
            <v>攻撃、回復、体力のCP短縮1</v>
          </cell>
          <cell r="D276" t="str">
            <v>攻撃、回復、体力のCP短縮1</v>
          </cell>
        </row>
        <row r="277">
          <cell r="A277">
            <v>8007</v>
          </cell>
          <cell r="B277" t="str">
            <v>ja</v>
          </cell>
          <cell r="C277" t="str">
            <v>自身の左ユニットが攻撃参加</v>
          </cell>
          <cell r="D277" t="str">
            <v>自身の左ユニットが攻撃参加</v>
          </cell>
        </row>
        <row r="278">
          <cell r="A278">
            <v>9000</v>
          </cell>
          <cell r="B278" t="str">
            <v>ja</v>
          </cell>
          <cell r="C278" t="str">
            <v>ハップルチャレンジ ダメージUP</v>
          </cell>
          <cell r="D278" t="str">
            <v>ハップルチャレンジ内で自身の全ての攻撃の威力をUP</v>
          </cell>
        </row>
        <row r="279">
          <cell r="A279">
            <v>9001</v>
          </cell>
          <cell r="B279" t="str">
            <v>ja</v>
          </cell>
          <cell r="C279" t="str">
            <v>クロネッカーチャレンジ ダメージUP</v>
          </cell>
          <cell r="D279" t="str">
            <v>クロネッカーチャレンジ内で自身の全ての攻撃の威力をUP</v>
          </cell>
        </row>
        <row r="280">
          <cell r="A280">
            <v>9002</v>
          </cell>
          <cell r="B280" t="str">
            <v>ja</v>
          </cell>
          <cell r="C280" t="str">
            <v>クロネッカーチャレンジ ダメージUP</v>
          </cell>
          <cell r="D280" t="str">
            <v>クロネッカーチャレンジ内で自身の全ての攻撃+カウンターの威力をUP</v>
          </cell>
        </row>
        <row r="281">
          <cell r="A281">
            <v>9003</v>
          </cell>
          <cell r="B281" t="str">
            <v>ja</v>
          </cell>
          <cell r="C281" t="str">
            <v>オイラーチャレンジ ダメージUP</v>
          </cell>
          <cell r="D281" t="str">
            <v>オイラーチャレンジ内で自身の全ての攻撃の威力をUP</v>
          </cell>
        </row>
        <row r="282">
          <cell r="A282">
            <v>9004</v>
          </cell>
          <cell r="B282" t="str">
            <v>ja</v>
          </cell>
          <cell r="C282" t="str">
            <v>オイラーチャレンジ ダメージ究極UP</v>
          </cell>
          <cell r="D282" t="str">
            <v>オイラーチャレンジ内で自身の全ての攻撃の威力を究極UP</v>
          </cell>
        </row>
        <row r="283">
          <cell r="A283">
            <v>9005</v>
          </cell>
          <cell r="B283" t="str">
            <v>ja</v>
          </cell>
          <cell r="C283" t="str">
            <v>ヘンペルチャレンジ ダメージUP</v>
          </cell>
          <cell r="D283" t="str">
            <v>ヘンペルチャレンジ内で自身の全ての攻撃の威力をUP</v>
          </cell>
        </row>
        <row r="284">
          <cell r="A284">
            <v>9006</v>
          </cell>
          <cell r="B284" t="str">
            <v>ja</v>
          </cell>
          <cell r="C284" t="str">
            <v>ヘンペルチャレンジ ダメージUP</v>
          </cell>
          <cell r="D284" t="str">
            <v>ヘンペルチャレンジ内で自身の全ての攻撃+カウンターの威力をUP</v>
          </cell>
        </row>
        <row r="285">
          <cell r="A285">
            <v>9007</v>
          </cell>
          <cell r="B285" t="str">
            <v>ja</v>
          </cell>
          <cell r="C285" t="str">
            <v>フロイトチャレンジ ダメージ究極UP</v>
          </cell>
          <cell r="D285" t="str">
            <v>フロイトチャレンジ内で自身の全ての攻撃の威力を究極UP</v>
          </cell>
        </row>
        <row r="286">
          <cell r="A286">
            <v>9008</v>
          </cell>
          <cell r="B286" t="str">
            <v>ja</v>
          </cell>
          <cell r="C286" t="str">
            <v>フロイトチャレンジ ダメージUP</v>
          </cell>
          <cell r="D286" t="str">
            <v>フロイトチャレンジ内で自身の全ての攻撃の威力をUP</v>
          </cell>
        </row>
        <row r="287">
          <cell r="A287">
            <v>9009</v>
          </cell>
          <cell r="B287" t="str">
            <v>ja</v>
          </cell>
          <cell r="C287" t="str">
            <v>フロイトチャレンジ ダメージUP</v>
          </cell>
          <cell r="D287" t="str">
            <v>フロイトチャレンジ内で自身の全ての攻撃+カウンターの威力をUP</v>
          </cell>
        </row>
        <row r="288">
          <cell r="A288">
            <v>119402</v>
          </cell>
          <cell r="B288" t="str">
            <v>ja</v>
          </cell>
          <cell r="C288" t="str">
            <v>ハロウィンナイトパニック！ 威力UP</v>
          </cell>
          <cell r="D288" t="str">
            <v>ハロウィンナイトパニック！内で自身の全ての攻撃の威力を究極UP</v>
          </cell>
        </row>
        <row r="289">
          <cell r="A289">
            <v>500801</v>
          </cell>
          <cell r="B289" t="str">
            <v>ja</v>
          </cell>
          <cell r="C289" t="str">
            <v>パネルブレイク35 攻撃力小UP</v>
          </cell>
          <cell r="D289" t="str">
            <v>自身が先頭の時、1ターンの間に合計35個以上パネルを破壊した場合に攻撃力小UP</v>
          </cell>
        </row>
        <row r="290">
          <cell r="A290">
            <v>808082</v>
          </cell>
          <cell r="B290" t="str">
            <v>ja</v>
          </cell>
          <cell r="C290" t="str">
            <v>Cパネルドロップ</v>
          </cell>
          <cell r="D290" t="str">
            <v>自身が先頭の時、低確率でCパネルをドロップ</v>
          </cell>
        </row>
        <row r="291">
          <cell r="A291">
            <v>900000</v>
          </cell>
          <cell r="B291" t="str">
            <v>ja</v>
          </cell>
          <cell r="C291" t="str">
            <v>フィーバー100 プロテクトブレイク</v>
          </cell>
          <cell r="D291" t="str">
            <v>フィーバーゲージが100％以上の時、1ターンプロテクトブレイク</v>
          </cell>
        </row>
        <row r="292">
          <cell r="A292">
            <v>900001</v>
          </cell>
          <cell r="B292" t="str">
            <v>ja</v>
          </cell>
          <cell r="C292" t="str">
            <v>フィーバー100 お邪魔ブレイク</v>
          </cell>
          <cell r="D292" t="str">
            <v>フィーバーゲージが100％以上の時、1ターンお邪魔ブレイク</v>
          </cell>
        </row>
        <row r="293">
          <cell r="A293">
            <v>900402</v>
          </cell>
          <cell r="B293" t="str">
            <v>ja</v>
          </cell>
          <cell r="C293" t="str">
            <v>バリア3500</v>
          </cell>
          <cell r="D293" t="str">
            <v>戦闘開始時に、自身への直接ダメージを3500まで防ぐバリアを一度だけ展開(バリアは破壊されると復活しない)</v>
          </cell>
        </row>
        <row r="294">
          <cell r="A294">
            <v>810202</v>
          </cell>
          <cell r="B294" t="str">
            <v>ja</v>
          </cell>
          <cell r="C294" t="str">
            <v>パネルブレイク50 ダメージ軽減</v>
          </cell>
          <cell r="D294" t="str">
            <v>自身が先頭の時、1ターンの間に合計50個以上パネルを破壊した場合敵からのダメージを15%軽減（1ターンに1度だけ発動）</v>
          </cell>
        </row>
        <row r="295">
          <cell r="A295">
            <v>811802</v>
          </cell>
          <cell r="B295" t="str">
            <v>ja</v>
          </cell>
          <cell r="C295" t="str">
            <v>ターン攻撃力UP</v>
          </cell>
          <cell r="D295" t="str">
            <v>最初の1ターン目と、その後6ターン毎に1ターン種族ドラゴン・ファンタジー・アニマルの攻撃力1000UP</v>
          </cell>
        </row>
        <row r="296">
          <cell r="A296">
            <v>812002</v>
          </cell>
          <cell r="B296" t="str">
            <v>ja</v>
          </cell>
          <cell r="C296" t="str">
            <v>ターンタップ増加</v>
          </cell>
          <cell r="D296" t="str">
            <v>最初の1ターン目と、その後6ターン毎に1ターン種族ドラゴン・ファンタジー・アニマルのタップ数1増加</v>
          </cell>
        </row>
        <row r="297">
          <cell r="A297">
            <v>811803</v>
          </cell>
          <cell r="B297" t="str">
            <v>ja</v>
          </cell>
          <cell r="C297" t="str">
            <v>端午クエスト ダメージUP</v>
          </cell>
          <cell r="D297" t="str">
            <v>端午クエスト内で自身の全ての攻撃の威力をUP</v>
          </cell>
        </row>
        <row r="298">
          <cell r="A298">
            <v>900802</v>
          </cell>
          <cell r="B298" t="str">
            <v>ja</v>
          </cell>
          <cell r="C298" t="str">
            <v>ターン攻撃力UP</v>
          </cell>
          <cell r="D298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K14" sqref="K14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336</v>
      </c>
      <c r="B2" s="105" t="s">
        <v>129</v>
      </c>
      <c r="C2" s="162" t="s">
        <v>335</v>
      </c>
      <c r="D2" s="105" t="s">
        <v>128</v>
      </c>
      <c r="E2" s="104" t="str">
        <f>B2&amp;C2&amp;D2</f>
        <v>units_testunitit.tmp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313</v>
      </c>
      <c r="S2" s="105"/>
      <c r="T2" s="105"/>
      <c r="U2" s="105"/>
      <c r="V2" s="105"/>
      <c r="W2" s="105"/>
    </row>
    <row r="3" spans="1:29" x14ac:dyDescent="0.15">
      <c r="A3" s="105" t="s">
        <v>336</v>
      </c>
      <c r="B3" s="105" t="s">
        <v>292</v>
      </c>
      <c r="C3" s="162" t="s">
        <v>335</v>
      </c>
      <c r="D3" s="105" t="s">
        <v>128</v>
      </c>
      <c r="E3" s="104" t="str">
        <f>B3&amp;C3&amp;D3</f>
        <v>fork_awake_units_testunitit.tmp</v>
      </c>
      <c r="F3" s="105" t="s">
        <v>293</v>
      </c>
      <c r="G3" s="59" t="s">
        <v>17</v>
      </c>
      <c r="H3" s="60" t="s">
        <v>294</v>
      </c>
      <c r="I3" s="60" t="s">
        <v>295</v>
      </c>
      <c r="J3" s="60" t="s">
        <v>296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336</v>
      </c>
      <c r="B4" s="105" t="s">
        <v>130</v>
      </c>
      <c r="C4" s="162" t="s">
        <v>335</v>
      </c>
      <c r="D4" s="105" t="s">
        <v>128</v>
      </c>
      <c r="E4" s="104" t="str">
        <f>B4&amp;C4&amp;D4</f>
        <v>awake_materials_testunitit.tmp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336</v>
      </c>
      <c r="B5" s="105" t="s">
        <v>291</v>
      </c>
      <c r="C5" s="162" t="s">
        <v>335</v>
      </c>
      <c r="D5" s="105" t="s">
        <v>128</v>
      </c>
      <c r="E5" s="104" t="str">
        <f>B5&amp;C5&amp;D5</f>
        <v>fork_awake_materials_testunitit.tmp</v>
      </c>
      <c r="F5" s="105" t="s">
        <v>123</v>
      </c>
      <c r="G5" s="178" t="s">
        <v>297</v>
      </c>
      <c r="H5" s="178" t="s">
        <v>298</v>
      </c>
      <c r="I5" s="178" t="s">
        <v>36</v>
      </c>
      <c r="J5" s="178" t="s">
        <v>37</v>
      </c>
      <c r="K5" s="178" t="s">
        <v>299</v>
      </c>
      <c r="L5" s="178" t="s">
        <v>300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336</v>
      </c>
      <c r="B6" s="105" t="s">
        <v>131</v>
      </c>
      <c r="C6" s="162" t="s">
        <v>335</v>
      </c>
      <c r="D6" s="105" t="s">
        <v>132</v>
      </c>
      <c r="E6" s="104" t="str">
        <f t="shared" ref="E6" si="0">B6&amp;C6&amp;D6</f>
        <v>unit_levels_calc_testunitit.tmp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336</v>
      </c>
      <c r="B7" s="105" t="s">
        <v>143</v>
      </c>
      <c r="C7" s="162" t="s">
        <v>335</v>
      </c>
      <c r="D7" s="105" t="s">
        <v>144</v>
      </c>
      <c r="E7" s="104" t="str">
        <f>B7&amp;C7&amp;D7</f>
        <v>unit_skills_data_testunitit.tmp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336</v>
      </c>
      <c r="B8" s="105" t="s">
        <v>149</v>
      </c>
      <c r="C8" s="162" t="s">
        <v>335</v>
      </c>
      <c r="D8" s="105" t="s">
        <v>128</v>
      </c>
      <c r="E8" s="104" t="str">
        <f>B8&amp;C8&amp;D8</f>
        <v>unit_skills_i18n_testunitit.tmp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336</v>
      </c>
      <c r="B9" s="105" t="s">
        <v>153</v>
      </c>
      <c r="C9" s="162" t="s">
        <v>335</v>
      </c>
      <c r="D9" s="105" t="s">
        <v>154</v>
      </c>
      <c r="E9" s="104" t="str">
        <f>B9&amp;C9&amp;D9</f>
        <v>crash_skills_data_testunitit.tmp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336</v>
      </c>
      <c r="B10" s="105" t="s">
        <v>157</v>
      </c>
      <c r="C10" s="162" t="s">
        <v>335</v>
      </c>
      <c r="D10" s="105" t="s">
        <v>158</v>
      </c>
      <c r="E10" s="104" t="str">
        <f t="shared" ref="E10" si="1">B10&amp;C10&amp;D10</f>
        <v>crash_skills_i18n_testunitit.tmp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336</v>
      </c>
      <c r="B11" s="108" t="s">
        <v>135</v>
      </c>
      <c r="C11" s="162" t="s">
        <v>335</v>
      </c>
      <c r="D11" s="105" t="s">
        <v>158</v>
      </c>
      <c r="E11" s="104" t="str">
        <f t="shared" ref="E11:E12" si="2">B11&amp;C11&amp;D11</f>
        <v>unit_serifs_data_testunitit.tmp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336</v>
      </c>
      <c r="B12" s="108" t="s">
        <v>136</v>
      </c>
      <c r="C12" s="162" t="s">
        <v>335</v>
      </c>
      <c r="D12" s="105" t="s">
        <v>158</v>
      </c>
      <c r="E12" s="104" t="str">
        <f t="shared" si="2"/>
        <v>unit_serifs_i18n_testunitit.tmp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336</v>
      </c>
      <c r="B13" s="105" t="s">
        <v>311</v>
      </c>
      <c r="C13" s="162" t="s">
        <v>335</v>
      </c>
      <c r="D13" s="105" t="s">
        <v>253</v>
      </c>
      <c r="E13" s="104" t="str">
        <f>B13&amp;C13&amp;D13</f>
        <v>abilities_tmp_testunitit.tmp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336</v>
      </c>
      <c r="B14" s="105" t="s">
        <v>258</v>
      </c>
      <c r="C14" s="162" t="s">
        <v>335</v>
      </c>
      <c r="D14" s="105" t="s">
        <v>128</v>
      </c>
      <c r="E14" s="104" t="str">
        <f>B14&amp;C14&amp;D14</f>
        <v>abilities_i18n_testunitit.tmp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90" t="s">
        <v>360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336</v>
      </c>
      <c r="B15" s="105" t="s">
        <v>261</v>
      </c>
      <c r="C15" s="162" t="s">
        <v>335</v>
      </c>
      <c r="D15" s="105" t="s">
        <v>128</v>
      </c>
      <c r="E15" s="104" t="str">
        <f>B15&amp;C15&amp;D15</f>
        <v>unit_abilities_testunitit.tmp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workbookViewId="0">
      <pane xSplit="9" ySplit="1" topLeftCell="BE2" activePane="bottomRight" state="frozen"/>
      <selection pane="topRight" activeCell="J1" sqref="J1"/>
      <selection pane="bottomLeft" activeCell="A3" sqref="A3"/>
      <selection pane="bottomRight" activeCell="BB9" sqref="BB9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314</v>
      </c>
    </row>
    <row r="2" spans="1:70" ht="26" customHeight="1" x14ac:dyDescent="0.15">
      <c r="A2" s="183">
        <v>10031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テストユニット31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50</v>
      </c>
      <c r="O2" s="10">
        <f ca="1">INDEX(レベル!$A$1:$I$22,MATCH(H2,レベル!$A$1:$A$22,FALSE),MATCH(G2,レベル!$A$1:$I$1,FALSE))</f>
        <v>99</v>
      </c>
      <c r="P2" s="44">
        <f t="shared" ref="P2:P3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4" t="s">
        <v>183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3">
        <v>10031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テストユニット31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183">
        <v>10031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部分変換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特定エリアに最大10個緑ダメージパネルと最大1個SCP(大)を変換+1ターン緑属性のタップ回数を2増やし、全ユニット特大カウンター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3">
        <v>10031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テストユニット31Cスキル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1体に超大ダメージ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1.2</v>
      </c>
      <c r="AZ2" s="64">
        <v>1</v>
      </c>
      <c r="BA2" s="64">
        <v>0</v>
      </c>
      <c r="BB2" s="64">
        <v>1</v>
      </c>
      <c r="BC2" s="10">
        <f ca="1">INDEX('RC6SV'!$A$1:$G$21,MATCH(H2,'RC6SV'!$A$1:$A$21,FALSE),MATCH(G2,'RC6SV'!$A$1:$G$1,FALSE))</f>
        <v>13000</v>
      </c>
      <c r="BD2" s="44">
        <f t="shared" ref="BD2" ca="1" si="2">ROUND(BC2*IF(AJ2=1,0.95,IF(AJ2=2,1,IF(AJ2,1.05,0))),0)</f>
        <v>13000</v>
      </c>
      <c r="BE2" s="10">
        <f t="shared" ref="BE2:BE11" ca="1" si="3">ROUND(IFERROR(INDIRECT(ADDRESS(MATCH($A2,$AE:$AE,0),MATCH($BC$1,$1:$1,0))),0),0)</f>
        <v>0</v>
      </c>
      <c r="BF2" s="10">
        <f t="shared" ref="BF2:BF11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2951</v>
      </c>
      <c r="BH2" s="15">
        <f ca="1">IF($BE2&lt;=0,ROUND(BL2*0.5,0), ROUND($BE2*T2*AB2*K2*AZ2*0.8*[1]ステータス!$C$2,0))</f>
        <v>2371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1006</v>
      </c>
      <c r="BK2" s="198">
        <v>5902</v>
      </c>
      <c r="BL2" s="198">
        <v>4741</v>
      </c>
      <c r="BM2" s="10">
        <f ca="1">ROUND(BD2*U2*AC2*L2*BA2*[1]ステータス!$D$2,0)</f>
        <v>0</v>
      </c>
      <c r="BN2" s="198">
        <v>2012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5500</v>
      </c>
    </row>
    <row r="3" spans="1:70" ht="26" customHeight="1" x14ac:dyDescent="0.15">
      <c r="A3" s="183">
        <v>10032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テストユニット32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50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4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3">
        <v>10032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テストユニット32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183">
        <v>10032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部分変換その2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ターン回復設定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3">
        <v>10032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テストユニット32Cスキル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1体に小ダメージ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1.2</v>
      </c>
      <c r="AZ3" s="64">
        <v>1</v>
      </c>
      <c r="BA3" s="64">
        <v>0</v>
      </c>
      <c r="BB3" s="64">
        <v>1</v>
      </c>
      <c r="BC3" s="10">
        <f ca="1">INDEX('RC6SV'!$A$1:$G$21,MATCH(H3,'RC6SV'!$A$1:$A$21,FALSE),MATCH(G3,'RC6SV'!$A$1:$G$1,FALSE))</f>
        <v>13000</v>
      </c>
      <c r="BD3" s="44">
        <f t="shared" ref="BD3:BD4" ca="1" si="6">ROUND(BC3*IF(AJ3=1,0.95,IF(AJ3=2,1,IF(AJ3,1.05,0))),0)</f>
        <v>13000</v>
      </c>
      <c r="BE3" s="10">
        <f t="shared" ca="1" si="3"/>
        <v>0</v>
      </c>
      <c r="BF3" s="10">
        <f t="shared" ca="1" si="4"/>
        <v>1</v>
      </c>
      <c r="BG3" s="15">
        <f ca="1">IF($BE3&lt;=0,ROUND(BK3*0.5,0), ROUND($BE3*S3*AA3*J3*AY3*0.8*[1]ステータス!$B$2,0))</f>
        <v>3822</v>
      </c>
      <c r="BH3" s="15">
        <f ca="1">IF($BE3&lt;=0,ROUND(BL3*0.5,0), ROUND($BE3*T3*AB3*K3*AZ3*0.8*[1]ステータス!$C$2,0))</f>
        <v>1970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1642</v>
      </c>
      <c r="BK3" s="10">
        <f ca="1">ROUND(BD3*S3*AA3*J3*AY3*[1]ステータス!$B$2,0)</f>
        <v>7644</v>
      </c>
      <c r="BL3" s="10">
        <f ca="1">ROUND(BD3*T3*AB3*K3*AZ3*[1]ステータス!$C$2,0)</f>
        <v>3939</v>
      </c>
      <c r="BM3" s="10">
        <f ca="1">ROUND(BD3*U3*AC3*L3*BA3*[1]ステータス!$D$2,0)</f>
        <v>0</v>
      </c>
      <c r="BN3" s="10">
        <f ca="1">ROUND(BD3*V3*AD3*M3*BB3*[1]ステータス!$E$2,0)</f>
        <v>3283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5500</v>
      </c>
    </row>
    <row r="4" spans="1:70" ht="26" customHeight="1" x14ac:dyDescent="0.15">
      <c r="A4" s="183">
        <v>10033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テストユニット33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0">
        <f ca="1">VLOOKUP(I4,[1]属性!$A:$E,2,FALSE)</f>
        <v>1</v>
      </c>
      <c r="K4" s="10">
        <f ca="1">VLOOKUP(I4,[1]属性!$A:$E,3,FALSE)</f>
        <v>1.02</v>
      </c>
      <c r="L4" s="10">
        <f ca="1">VLOOKUP(I4,[1]属性!$A:$E,4,FALSE)</f>
        <v>1</v>
      </c>
      <c r="M4" s="10">
        <f ca="1">VLOOKUP(I4,[1]属性!$A:$E,5,FALSE)</f>
        <v>0.98</v>
      </c>
      <c r="N4" s="10">
        <f ca="1">INDEX(コスト!$A$1:$I$21,MATCH(H4,コスト!$A$1:$A$21,FALSE),MATCH(G4,コスト!$A$1:$I$1,FALSE))</f>
        <v>50</v>
      </c>
      <c r="O4" s="10">
        <f ca="1">INDEX(レベル!$A$1:$I$22,MATCH(H4,レベル!$A$1:$A$22,FALSE),MATCH(G4,レベル!$A$1:$I$1,FALSE))</f>
        <v>99</v>
      </c>
      <c r="P4" s="44">
        <f t="shared" ref="P4:P11" ca="1" si="7">IF(G4 &gt;= 6, 99,G4*15)</f>
        <v>99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0">
        <f ca="1">VLOOKUP(Q4,[1]character_type_i18n!$A:$H,4,FALSE)</f>
        <v>1</v>
      </c>
      <c r="T4" s="10">
        <f ca="1">VLOOKUP(Q4,[1]character_type_i18n!$A:$H,5,FALSE)</f>
        <v>1</v>
      </c>
      <c r="U4" s="10">
        <f ca="1">VLOOKUP(Q4,[1]character_type_i18n!$A:$H,6,FALSE)</f>
        <v>1</v>
      </c>
      <c r="V4" s="10">
        <f ca="1">VLOOKUP(Q4,[1]character_type_i18n!$A:$H,7,FALSE)</f>
        <v>1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4" t="s">
        <v>183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3">
        <v>10033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テストユニット33</v>
      </c>
      <c r="AI4" s="10" t="str">
        <f>IF(AE4="NULL","NULL",VLOOKUP(G4,ビット!$A$2:$B$7,2))</f>
        <v>NULL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183">
        <v>10033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部分変換その3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ランダムで盤面の中央に最大1つSCパネル(特大)に変換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183">
        <v>10033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テストユニット33Cスキル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1体に小ダメージ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1.2</v>
      </c>
      <c r="AZ4" s="64">
        <v>1</v>
      </c>
      <c r="BA4" s="64">
        <v>0</v>
      </c>
      <c r="BB4" s="64">
        <v>1</v>
      </c>
      <c r="BC4" s="10">
        <f ca="1">INDEX('RC6SV'!$A$1:$G$21,MATCH(H4,'RC6SV'!$A$1:$A$21,FALSE),MATCH(G4,'RC6SV'!$A$1:$G$1,FALSE))</f>
        <v>13000</v>
      </c>
      <c r="BD4" s="44">
        <f t="shared" ca="1" si="6"/>
        <v>13000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3900</v>
      </c>
      <c r="BH4" s="15">
        <f ca="1">IF($BE4&lt;=0,ROUND(BL4*0.5,0), ROUND($BE4*T4*AB4*K4*AZ4*0.8*[1]ステータス!$C$2,0))</f>
        <v>1989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1593</v>
      </c>
      <c r="BK4" s="10">
        <f ca="1">ROUND(BD4*S4*AA4*J4*AY4*[1]ステータス!$B$2,0)</f>
        <v>7800</v>
      </c>
      <c r="BL4" s="10">
        <f ca="1">ROUND(BD4*T4*AB4*K4*AZ4*[1]ステータス!$C$2,0)</f>
        <v>3978</v>
      </c>
      <c r="BM4" s="10">
        <f ca="1">ROUND(BD4*U4*AC4*L4*BA4*[1]ステータス!$D$2,0)</f>
        <v>0</v>
      </c>
      <c r="BN4" s="10">
        <f ca="1">ROUND(BD4*V4*AD4*M4*BB4*[1]ステータス!$E$2,0)</f>
        <v>3185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5500</v>
      </c>
    </row>
    <row r="5" spans="1:70" ht="26" customHeight="1" x14ac:dyDescent="0.15">
      <c r="A5" s="183">
        <v>10034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テストユニット34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0">
        <f ca="1">VLOOKUP(I5,[1]属性!$A:$E,2,FALSE)</f>
        <v>1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1.02</v>
      </c>
      <c r="N5" s="10">
        <f ca="1">INDEX(コスト!$A$1:$I$21,MATCH(H5,コスト!$A$1:$A$21,FALSE),MATCH(G5,コスト!$A$1:$I$1,FALSE))</f>
        <v>50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0">
        <f ca="1">VLOOKUP(Q5,[1]character_type_i18n!$A:$H,4,FALSE)</f>
        <v>1</v>
      </c>
      <c r="T5" s="10">
        <f ca="1">VLOOKUP(Q5,[1]character_type_i18n!$A:$H,5,FALSE)</f>
        <v>1</v>
      </c>
      <c r="U5" s="10">
        <f ca="1">VLOOKUP(Q5,[1]character_type_i18n!$A:$H,6,FALSE)</f>
        <v>1</v>
      </c>
      <c r="V5" s="10">
        <f ca="1">VLOOKUP(Q5,[1]character_type_i18n!$A:$H,7,FALSE)</f>
        <v>1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4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3">
        <v>10034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テストユニット34</v>
      </c>
      <c r="AI5" s="10" t="str">
        <f>IF(AE5="NULL","NULL",VLOOKUP(G5,ビット!$A$2:$B$7,2))</f>
        <v>NULL</v>
      </c>
      <c r="AJ5" s="6">
        <v>2</v>
      </c>
      <c r="AK5" s="7" t="str">
        <f t="shared" ref="AK5:AK11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183">
        <v>10034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テストユニット34スキル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CP→CBPとボム→CBP 部分変換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183">
        <v>10034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テストユニット34Cスキル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1体に小ダメージ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1.2</v>
      </c>
      <c r="AZ5" s="64">
        <v>1</v>
      </c>
      <c r="BA5" s="64">
        <v>0</v>
      </c>
      <c r="BB5" s="64">
        <v>1</v>
      </c>
      <c r="BC5" s="10">
        <f ca="1">INDEX('RC6SV'!$A$1:$G$21,MATCH(H5,'RC6SV'!$A$1:$A$21,FALSE),MATCH(G5,'RC6SV'!$A$1:$G$1,FALSE))</f>
        <v>13000</v>
      </c>
      <c r="BD5" s="44">
        <f t="shared" ref="BD5:BD11" ca="1" si="9">ROUND(BC5*IF(AJ5=1,0.95,IF(AJ5=2,1,IF(AJ5,1.05,0))),0)</f>
        <v>13000</v>
      </c>
      <c r="BE5" s="10">
        <f t="shared" ca="1" si="3"/>
        <v>0</v>
      </c>
      <c r="BF5" s="10">
        <f t="shared" ca="1" si="4"/>
        <v>1</v>
      </c>
      <c r="BG5" s="15">
        <f ca="1">IF($BE5&lt;=0,ROUND(BK5*0.5,0), ROUND($BE5*S5*AA5*J5*AY5*0.8*[1]ステータス!$B$2,0))</f>
        <v>3900</v>
      </c>
      <c r="BH5" s="15">
        <f ca="1">IF($BE5&lt;=0,ROUND(BL5*0.5,0), ROUND($BE5*T5*AB5*K5*AZ5*0.8*[1]ステータス!$C$2,0))</f>
        <v>1911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1658</v>
      </c>
      <c r="BK5" s="10">
        <f ca="1">ROUND(BD5*S5*AA5*J5*AY5*[1]ステータス!$B$2,0)</f>
        <v>7800</v>
      </c>
      <c r="BL5" s="10">
        <f ca="1">ROUND(BD5*T5*AB5*K5*AZ5*[1]ステータス!$C$2,0)</f>
        <v>3822</v>
      </c>
      <c r="BM5" s="10">
        <f ca="1">ROUND(BD5*U5*AC5*L5*BA5*[1]ステータス!$D$2,0)</f>
        <v>0</v>
      </c>
      <c r="BN5" s="10">
        <f ca="1">ROUND(BD5*V5*AD5*M5*BB5*[1]ステータス!$E$2,0)</f>
        <v>3315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5500</v>
      </c>
    </row>
    <row r="6" spans="1:70" ht="26" customHeight="1" x14ac:dyDescent="0.15">
      <c r="A6" s="183">
        <v>10035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テストユニット35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0">
        <f ca="1">VLOOKUP(I6,[1]属性!$A:$E,2,FALSE)</f>
        <v>1.02</v>
      </c>
      <c r="K6" s="10">
        <f ca="1">VLOOKUP(I6,[1]属性!$A:$E,3,FALSE)</f>
        <v>0.98</v>
      </c>
      <c r="L6" s="10">
        <f ca="1">VLOOKUP(I6,[1]属性!$A:$E,4,FALSE)</f>
        <v>1</v>
      </c>
      <c r="M6" s="10">
        <f ca="1">VLOOKUP(I6,[1]属性!$A:$E,5,FALSE)</f>
        <v>1</v>
      </c>
      <c r="N6" s="10">
        <f ca="1">INDEX(コスト!$A$1:$I$21,MATCH(H6,コスト!$A$1:$A$21,FALSE),MATCH(G6,コスト!$A$1:$I$1,FALSE))</f>
        <v>50</v>
      </c>
      <c r="O6" s="10">
        <f ca="1">INDEX(レベル!$A$1:$I$22,MATCH(H6,レベル!$A$1:$A$22,FALSE),MATCH(G6,レベル!$A$1:$I$1,FALSE))</f>
        <v>99</v>
      </c>
      <c r="P6" s="44">
        <f t="shared" ca="1" si="7"/>
        <v>99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0">
        <f ca="1">VLOOKUP(Q6,[1]character_type_i18n!$A:$H,4,FALSE)</f>
        <v>1</v>
      </c>
      <c r="T6" s="10">
        <f ca="1">VLOOKUP(Q6,[1]character_type_i18n!$A:$H,5,FALSE)</f>
        <v>1</v>
      </c>
      <c r="U6" s="10">
        <f ca="1">VLOOKUP(Q6,[1]character_type_i18n!$A:$H,6,FALSE)</f>
        <v>1</v>
      </c>
      <c r="V6" s="10">
        <f ca="1">VLOOKUP(Q6,[1]character_type_i18n!$A:$H,7,FALSE)</f>
        <v>1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0">
        <f ca="1">VLOOKUP(W6,[1]character_tribe_i18n!$A:$H,4,FALSE)</f>
        <v>1</v>
      </c>
      <c r="AB6" s="10">
        <f ca="1">VLOOKUP(W6,[1]character_tribe_i18n!$A:$H,5,FALSE)</f>
        <v>1</v>
      </c>
      <c r="AC6" s="10">
        <f ca="1">VLOOKUP(W6,[1]character_tribe_i18n!$A:$H,6,FALSE)</f>
        <v>1</v>
      </c>
      <c r="AD6" s="10">
        <f ca="1">VLOOKUP(W6,[1]character_tribe_i18n!$A:$H,7,FALSE)</f>
        <v>1</v>
      </c>
      <c r="AE6" s="184" t="s">
        <v>183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183">
        <v>10035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テストユニット35</v>
      </c>
      <c r="AI6" s="10" t="str">
        <f>IF(AE6="NULL","NULL",VLOOKUP(G6,ビット!$A$2:$B$7,2))</f>
        <v>NULL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required_exp_250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183">
        <v>10035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テストユニット35スキル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CP→Mとボム→M (各1つずつ)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183">
        <v>10035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テストユニット35Cスキル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1体に小ダメージ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4">
        <v>1.2</v>
      </c>
      <c r="AZ6" s="64">
        <v>1</v>
      </c>
      <c r="BA6" s="64">
        <v>0</v>
      </c>
      <c r="BB6" s="64">
        <v>1</v>
      </c>
      <c r="BC6" s="10">
        <f ca="1">INDEX('RC6SV'!$A$1:$G$21,MATCH(H6,'RC6SV'!$A$1:$A$21,FALSE),MATCH(G6,'RC6SV'!$A$1:$G$1,FALSE))</f>
        <v>13000</v>
      </c>
      <c r="BD6" s="44">
        <f t="shared" ca="1" si="9"/>
        <v>13000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3978</v>
      </c>
      <c r="BH6" s="15">
        <f ca="1">IF($BE6&lt;=0,ROUND(BL6*0.5,0), ROUND($BE6*T6*AB6*K6*AZ6*0.8*[1]ステータス!$C$2,0))</f>
        <v>1911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1625</v>
      </c>
      <c r="BK6" s="10">
        <f ca="1">ROUND(BD6*S6*AA6*J6*AY6*[1]ステータス!$B$2,0)</f>
        <v>7956</v>
      </c>
      <c r="BL6" s="10">
        <f ca="1">ROUND(BD6*T6*AB6*K6*AZ6*[1]ステータス!$C$2,0)</f>
        <v>3822</v>
      </c>
      <c r="BM6" s="10">
        <f ca="1">ROUND(BD6*U6*AC6*L6*BA6*[1]ステータス!$D$2,0)</f>
        <v>0</v>
      </c>
      <c r="BN6" s="10">
        <f ca="1">ROUND(BD6*V6*AD6*M6*BB6*[1]ステータス!$E$2,0)</f>
        <v>3250</v>
      </c>
      <c r="BO6" s="9">
        <v>0</v>
      </c>
      <c r="BP6" s="9">
        <v>1</v>
      </c>
      <c r="BQ6" s="36" t="s">
        <v>47</v>
      </c>
      <c r="BR6" s="9">
        <f ca="1">VLOOKUP(H6,[2]ghosts_label!$A$2:$B$19,2,FALSE)</f>
        <v>5500</v>
      </c>
    </row>
    <row r="7" spans="1:70" ht="26" customHeight="1" x14ac:dyDescent="0.15">
      <c r="A7" s="183">
        <v>10036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テストユニット36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0">
        <f ca="1">VLOOKUP(I7,[1]属性!$A:$E,2,FALSE)</f>
        <v>0.98</v>
      </c>
      <c r="K7" s="10">
        <f ca="1">VLOOKUP(I7,[1]属性!$A:$E,3,FALSE)</f>
        <v>1.01</v>
      </c>
      <c r="L7" s="10">
        <f ca="1">VLOOKUP(I7,[1]属性!$A:$E,4,FALSE)</f>
        <v>1</v>
      </c>
      <c r="M7" s="10">
        <f ca="1">VLOOKUP(I7,[1]属性!$A:$E,5,FALSE)</f>
        <v>1.01</v>
      </c>
      <c r="N7" s="10">
        <f ca="1">INDEX(コスト!$A$1:$I$21,MATCH(H7,コスト!$A$1:$A$21,FALSE),MATCH(G7,コスト!$A$1:$I$1,FALSE))</f>
        <v>50</v>
      </c>
      <c r="O7" s="10">
        <f ca="1">INDEX(レベル!$A$1:$I$22,MATCH(H7,レベル!$A$1:$A$22,FALSE),MATCH(G7,レベル!$A$1:$I$1,FALSE))</f>
        <v>99</v>
      </c>
      <c r="P7" s="44">
        <f t="shared" ca="1" si="7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0">
        <f ca="1">VLOOKUP(Q7,[1]character_type_i18n!$A:$H,4,FALSE)</f>
        <v>1</v>
      </c>
      <c r="T7" s="10">
        <f ca="1">VLOOKUP(Q7,[1]character_type_i18n!$A:$H,5,FALSE)</f>
        <v>1</v>
      </c>
      <c r="U7" s="10">
        <f ca="1">VLOOKUP(Q7,[1]character_type_i18n!$A:$H,6,FALSE)</f>
        <v>1</v>
      </c>
      <c r="V7" s="10">
        <f ca="1">VLOOKUP(Q7,[1]character_type_i18n!$A:$H,7,FALSE)</f>
        <v>1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0">
        <f ca="1">VLOOKUP(W7,[1]character_tribe_i18n!$A:$H,4,FALSE)</f>
        <v>1</v>
      </c>
      <c r="AB7" s="10">
        <f ca="1">VLOOKUP(W7,[1]character_tribe_i18n!$A:$H,5,FALSE)</f>
        <v>1</v>
      </c>
      <c r="AC7" s="10">
        <f ca="1">VLOOKUP(W7,[1]character_tribe_i18n!$A:$H,6,FALSE)</f>
        <v>1</v>
      </c>
      <c r="AD7" s="10">
        <f ca="1">VLOOKUP(W7,[1]character_tribe_i18n!$A:$H,7,FALSE)</f>
        <v>1</v>
      </c>
      <c r="AE7" s="184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3">
        <v>10036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テストユニット36</v>
      </c>
      <c r="AI7" s="10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0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183">
        <v>10036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テストユニット36スキル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盤面の一部分(範囲特大)をハートパネルに、ランダムで最大1つSCパネル(大)に変換する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183">
        <v>10036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テストユニット36Cスキル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1体に小ダメージ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4">
        <v>1.2</v>
      </c>
      <c r="AZ7" s="64">
        <v>1</v>
      </c>
      <c r="BA7" s="64">
        <v>0</v>
      </c>
      <c r="BB7" s="64">
        <v>1</v>
      </c>
      <c r="BC7" s="10">
        <f ca="1">INDEX('RC6SV'!$A$1:$G$21,MATCH(H7,'RC6SV'!$A$1:$A$21,FALSE),MATCH(G7,'RC6SV'!$A$1:$G$1,FALSE))</f>
        <v>13000</v>
      </c>
      <c r="BD7" s="44">
        <f t="shared" ca="1" si="9"/>
        <v>13000</v>
      </c>
      <c r="BE7" s="10">
        <f t="shared" ca="1" si="3"/>
        <v>0</v>
      </c>
      <c r="BF7" s="10">
        <f t="shared" ca="1" si="4"/>
        <v>1</v>
      </c>
      <c r="BG7" s="15">
        <f ca="1">IF($BE7&lt;=0,ROUND(BK7*0.5,0), ROUND($BE7*S7*AA7*J7*AY7*0.8*[1]ステータス!$B$2,0))</f>
        <v>3822</v>
      </c>
      <c r="BH7" s="15">
        <f ca="1">IF($BE7&lt;=0,ROUND(BL7*0.5,0), ROUND($BE7*T7*AB7*K7*AZ7*0.8*[1]ステータス!$C$2,0))</f>
        <v>1970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1642</v>
      </c>
      <c r="BK7" s="10">
        <f ca="1">ROUND(BD7*S7*AA7*J7*AY7*[1]ステータス!$B$2,0)</f>
        <v>7644</v>
      </c>
      <c r="BL7" s="10">
        <f ca="1">ROUND(BD7*T7*AB7*K7*AZ7*[1]ステータス!$C$2,0)</f>
        <v>3939</v>
      </c>
      <c r="BM7" s="10">
        <f ca="1">ROUND(BD7*U7*AC7*L7*BA7*[1]ステータス!$D$2,0)</f>
        <v>0</v>
      </c>
      <c r="BN7" s="10">
        <f ca="1">ROUND(BD7*V7*AD7*M7*BB7*[1]ステータス!$E$2,0)</f>
        <v>3283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5500</v>
      </c>
    </row>
    <row r="8" spans="1:70" ht="26" customHeight="1" x14ac:dyDescent="0.15">
      <c r="A8" s="183">
        <v>10037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テストユニット37</v>
      </c>
      <c r="C8" s="53">
        <f ca="1">VLOOKUP($A8,OFFSET([1]characters!$A$1,0,0,COUNTA([1]characters!$A:$A),MATCH(C$1,[1]characters!$1:$1,0)-MATCH($A$1,[1]characters!$1:$1,0)+1),MATCH(C$1,[1]characters!$1:$1,0)-MATCH($A$1,[1]characters!$1:$1,0)+1,FALSE)</f>
        <v>0</v>
      </c>
      <c r="D8" s="53">
        <f ca="1">VLOOKUP($A8,OFFSET([1]characters!$A$1,0,0,COUNTA([1]characters!$A:$A),MATCH(D$1,[1]characters!$1:$1,0)-MATCH($A$1,[1]characters!$1:$1,0)+1),MATCH(D$1,[1]characters!$1:$1,0)-MATCH($A$1,[1]characters!$1:$1,0)+1,FALSE)</f>
        <v>0</v>
      </c>
      <c r="E8" s="53">
        <f ca="1">VLOOKUP($A8,OFFSET([1]characters!$A$1,0,0,COUNTA([1]characters!$A:$A),MATCH(E$1,[1]characters!$1:$1,0)-MATCH($A$1,[1]characters!$1:$1,0)+1),MATCH(E$1,[1]characters!$1:$1,0)-MATCH($A$1,[1]characters!$1:$1,0)+1,FALSE)</f>
        <v>0</v>
      </c>
      <c r="F8" s="53">
        <f ca="1">VLOOKUP($A8,OFFSET([1]characters!$A$1,0,0,COUNTA([1]characters!$A:$A),MATCH(F$1,[1]characters!$1:$1,0)-MATCH($A$1,[1]characters!$1:$1,0)+1),MATCH(F$1,[1]characters!$1:$1,0)-MATCH($A$1,[1]characters!$1:$1,0)+1,FALSE)</f>
        <v>0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6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0">
        <f ca="1">VLOOKUP(I8,[1]属性!$A:$E,2,FALSE)</f>
        <v>1</v>
      </c>
      <c r="K8" s="10">
        <f ca="1">VLOOKUP(I8,[1]属性!$A:$E,3,FALSE)</f>
        <v>1.02</v>
      </c>
      <c r="L8" s="10">
        <f ca="1">VLOOKUP(I8,[1]属性!$A:$E,4,FALSE)</f>
        <v>1</v>
      </c>
      <c r="M8" s="10">
        <f ca="1">VLOOKUP(I8,[1]属性!$A:$E,5,FALSE)</f>
        <v>0.98</v>
      </c>
      <c r="N8" s="10">
        <f ca="1">INDEX(コスト!$A$1:$I$21,MATCH(H8,コスト!$A$1:$A$21,FALSE),MATCH(G8,コスト!$A$1:$I$1,FALSE))</f>
        <v>50</v>
      </c>
      <c r="O8" s="10">
        <f ca="1">INDEX(レベル!$A$1:$I$22,MATCH(H8,レベル!$A$1:$A$22,FALSE),MATCH(G8,レベル!$A$1:$I$1,FALSE))</f>
        <v>99</v>
      </c>
      <c r="P8" s="44">
        <f t="shared" ca="1" si="7"/>
        <v>99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0">
        <f ca="1">VLOOKUP(Q8,[1]character_type_i18n!$A:$H,4,FALSE)</f>
        <v>1</v>
      </c>
      <c r="T8" s="10">
        <f ca="1">VLOOKUP(Q8,[1]character_type_i18n!$A:$H,5,FALSE)</f>
        <v>1</v>
      </c>
      <c r="U8" s="10">
        <f ca="1">VLOOKUP(Q8,[1]character_type_i18n!$A:$H,6,FALSE)</f>
        <v>1</v>
      </c>
      <c r="V8" s="10">
        <f ca="1">VLOOKUP(Q8,[1]character_type_i18n!$A:$H,7,FALSE)</f>
        <v>1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0">
        <f ca="1">VLOOKUP(W8,[1]character_tribe_i18n!$A:$H,4,FALSE)</f>
        <v>1</v>
      </c>
      <c r="AB8" s="10">
        <f ca="1">VLOOKUP(W8,[1]character_tribe_i18n!$A:$H,5,FALSE)</f>
        <v>1</v>
      </c>
      <c r="AC8" s="10">
        <f ca="1">VLOOKUP(W8,[1]character_tribe_i18n!$A:$H,6,FALSE)</f>
        <v>1</v>
      </c>
      <c r="AD8" s="10">
        <f ca="1">VLOOKUP(W8,[1]character_tribe_i18n!$A:$H,7,FALSE)</f>
        <v>1</v>
      </c>
      <c r="AE8" s="184" t="s">
        <v>183</v>
      </c>
      <c r="AF8" s="58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183">
        <v>10037</v>
      </c>
      <c r="AH8" s="58" t="str">
        <f ca="1">VLOOKUP($AG8,OFFSET([1]characters!$A$1,0,0,COUNTA([1]characters!$A:$A),MATCH(AH$1,[1]characters!$1:$1,0)-MATCH($A$1,[1]characters!$1:$1,0)+1),MATCH(AH$1,[1]characters!$1:$1,0)-MATCH($A$1,[1]characters!$1:$1,0)+1,FALSE)</f>
        <v>テストユニット37</v>
      </c>
      <c r="AI8" s="10" t="str">
        <f>IF(AE8="NULL","NULL",VLOOKUP(G8,ビット!$A$2:$B$7,2))</f>
        <v>NULL</v>
      </c>
      <c r="AJ8" s="6">
        <v>2</v>
      </c>
      <c r="AK8" s="7" t="str">
        <f t="shared" si="8"/>
        <v>普通</v>
      </c>
      <c r="AL8" s="10" t="str">
        <f ca="1">INDEX(経験値!$A$1:$I$21,MATCH(H8,経験値!$A$1:$A$21,FALSE),MATCH(G8,経験値!$A$1:$I$1,FALSE))</f>
        <v>required_exp_250</v>
      </c>
      <c r="AM8" s="8">
        <f ca="1">VLOOKUP(G8,経験値!$A$28:$B$32,2)</f>
        <v>6400</v>
      </c>
      <c r="AN8" s="16">
        <f ca="1">VLOOKUP(G8,ビット!$G$2:$H$7,2)</f>
        <v>900</v>
      </c>
      <c r="AO8" s="41"/>
      <c r="AP8" s="183">
        <v>10037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テストユニット37スキル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部分変換韓国国旗テスト2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183">
        <v>10037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テストユニット37Cスキル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1体に小ダメージ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1</v>
      </c>
      <c r="AY8" s="64">
        <v>1.2</v>
      </c>
      <c r="AZ8" s="64">
        <v>1</v>
      </c>
      <c r="BA8" s="64">
        <v>0</v>
      </c>
      <c r="BB8" s="64">
        <v>1</v>
      </c>
      <c r="BC8" s="10">
        <f ca="1">INDEX('RC6SV'!$A$1:$G$21,MATCH(H8,'RC6SV'!$A$1:$A$21,FALSE),MATCH(G8,'RC6SV'!$A$1:$G$1,FALSE))</f>
        <v>13000</v>
      </c>
      <c r="BD8" s="44">
        <f t="shared" ca="1" si="9"/>
        <v>13000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3900</v>
      </c>
      <c r="BH8" s="15">
        <f ca="1">IF($BE8&lt;=0,ROUND(BL8*0.5,0), ROUND($BE8*T8*AB8*K8*AZ8*0.8*[1]ステータス!$C$2,0))</f>
        <v>1989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1593</v>
      </c>
      <c r="BK8" s="10">
        <f ca="1">ROUND(BD8*S8*AA8*J8*AY8*[1]ステータス!$B$2,0)</f>
        <v>7800</v>
      </c>
      <c r="BL8" s="10">
        <f ca="1">ROUND(BD8*T8*AB8*K8*AZ8*[1]ステータス!$C$2,0)</f>
        <v>3978</v>
      </c>
      <c r="BM8" s="10">
        <f ca="1">ROUND(BD8*U8*AC8*L8*BA8*[1]ステータス!$D$2,0)</f>
        <v>0</v>
      </c>
      <c r="BN8" s="10">
        <f ca="1">ROUND(BD8*V8*AD8*M8*BB8*[1]ステータス!$E$2,0)</f>
        <v>3185</v>
      </c>
      <c r="BO8" s="9">
        <v>0</v>
      </c>
      <c r="BP8" s="9">
        <v>1</v>
      </c>
      <c r="BQ8" s="36" t="s">
        <v>47</v>
      </c>
      <c r="BR8" s="9">
        <f ca="1">VLOOKUP(H8,[2]ghosts_label!$A$2:$B$19,2,FALSE)</f>
        <v>5500</v>
      </c>
    </row>
    <row r="9" spans="1:70" ht="26" customHeight="1" x14ac:dyDescent="0.15">
      <c r="A9" s="183">
        <v>10038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テストユニット38</v>
      </c>
      <c r="C9" s="53">
        <f ca="1">VLOOKUP($A9,OFFSET([1]characters!$A$1,0,0,COUNTA([1]characters!$A:$A),MATCH(C$1,[1]characters!$1:$1,0)-MATCH($A$1,[1]characters!$1:$1,0)+1),MATCH(C$1,[1]characters!$1:$1,0)-MATCH($A$1,[1]characters!$1:$1,0)+1,FALSE)</f>
        <v>0</v>
      </c>
      <c r="D9" s="53">
        <f ca="1">VLOOKUP($A9,OFFSET([1]characters!$A$1,0,0,COUNTA([1]characters!$A:$A),MATCH(D$1,[1]characters!$1:$1,0)-MATCH($A$1,[1]characters!$1:$1,0)+1),MATCH(D$1,[1]characters!$1:$1,0)-MATCH($A$1,[1]characters!$1:$1,0)+1,FALSE)</f>
        <v>0</v>
      </c>
      <c r="E9" s="53">
        <f ca="1">VLOOKUP($A9,OFFSET([1]characters!$A$1,0,0,COUNTA([1]characters!$A:$A),MATCH(E$1,[1]characters!$1:$1,0)-MATCH($A$1,[1]characters!$1:$1,0)+1),MATCH(E$1,[1]characters!$1:$1,0)-MATCH($A$1,[1]characters!$1:$1,0)+1,FALSE)</f>
        <v>0</v>
      </c>
      <c r="F9" s="53">
        <f ca="1">VLOOKUP($A9,OFFSET([1]characters!$A$1,0,0,COUNTA([1]characters!$A:$A),MATCH(F$1,[1]characters!$1:$1,0)-MATCH($A$1,[1]characters!$1:$1,0)+1),MATCH(F$1,[1]characters!$1:$1,0)-MATCH($A$1,[1]characters!$1:$1,0)+1,FALSE)</f>
        <v>0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0">
        <f ca="1">VLOOKUP(I9,[1]属性!$A:$E,2,FALSE)</f>
        <v>1</v>
      </c>
      <c r="K9" s="10">
        <f ca="1">VLOOKUP(I9,[1]属性!$A:$E,3,FALSE)</f>
        <v>0.98</v>
      </c>
      <c r="L9" s="10">
        <f ca="1">VLOOKUP(I9,[1]属性!$A:$E,4,FALSE)</f>
        <v>1</v>
      </c>
      <c r="M9" s="10">
        <f ca="1">VLOOKUP(I9,[1]属性!$A:$E,5,FALSE)</f>
        <v>1.02</v>
      </c>
      <c r="N9" s="10">
        <f ca="1">INDEX(コスト!$A$1:$I$21,MATCH(H9,コスト!$A$1:$A$21,FALSE),MATCH(G9,コスト!$A$1:$I$1,FALSE))</f>
        <v>45</v>
      </c>
      <c r="O9" s="10">
        <f ca="1">INDEX(レベル!$A$1:$I$22,MATCH(H9,レベル!$A$1:$A$22,FALSE),MATCH(G9,レベル!$A$1:$I$1,FALSE))</f>
        <v>99</v>
      </c>
      <c r="P9" s="44">
        <f t="shared" ca="1" si="7"/>
        <v>99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0">
        <f ca="1">VLOOKUP(Q9,[1]character_type_i18n!$A:$H,4,FALSE)</f>
        <v>1</v>
      </c>
      <c r="T9" s="10">
        <f ca="1">VLOOKUP(Q9,[1]character_type_i18n!$A:$H,5,FALSE)</f>
        <v>1</v>
      </c>
      <c r="U9" s="10">
        <f ca="1">VLOOKUP(Q9,[1]character_type_i18n!$A:$H,6,FALSE)</f>
        <v>1</v>
      </c>
      <c r="V9" s="10">
        <f ca="1">VLOOKUP(Q9,[1]character_type_i18n!$A:$H,7,FALSE)</f>
        <v>1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0">
        <f ca="1">VLOOKUP(W9,[1]character_tribe_i18n!$A:$H,4,FALSE)</f>
        <v>0.96</v>
      </c>
      <c r="AB9" s="10">
        <f ca="1">VLOOKUP(W9,[1]character_tribe_i18n!$A:$H,5,FALSE)</f>
        <v>1.02</v>
      </c>
      <c r="AC9" s="10">
        <f ca="1">VLOOKUP(W9,[1]character_tribe_i18n!$A:$H,6,FALSE)</f>
        <v>1</v>
      </c>
      <c r="AD9" s="10">
        <f ca="1">VLOOKUP(W9,[1]character_tribe_i18n!$A:$H,7,FALSE)</f>
        <v>1.02</v>
      </c>
      <c r="AE9" s="184" t="s">
        <v>183</v>
      </c>
      <c r="AF9" s="58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3">
        <v>10038</v>
      </c>
      <c r="AH9" s="58" t="str">
        <f ca="1">VLOOKUP($AG9,OFFSET([1]characters!$A$1,0,0,COUNTA([1]characters!$A:$A),MATCH(AH$1,[1]characters!$1:$1,0)-MATCH($A$1,[1]characters!$1:$1,0)+1),MATCH(AH$1,[1]characters!$1:$1,0)-MATCH($A$1,[1]characters!$1:$1,0)+1,FALSE)</f>
        <v>テストユニット38</v>
      </c>
      <c r="AI9" s="10" t="str">
        <f>IF(AE9="NULL","NULL",VLOOKUP(G9,ビット!$A$2:$B$7,2))</f>
        <v>NULL</v>
      </c>
      <c r="AJ9" s="6">
        <v>2</v>
      </c>
      <c r="AK9" s="7" t="str">
        <f t="shared" si="8"/>
        <v>普通</v>
      </c>
      <c r="AL9" s="10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183">
        <v>10038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テストユニット38スキル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黄・ハートパネルを青パネルに変換+2ターンの間確率で青ボムパネルをドロップ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183">
        <v>10038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テストユニット38Cスキル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1体に特大ダメージ+HP回復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1</v>
      </c>
      <c r="AY9" s="64">
        <v>1</v>
      </c>
      <c r="AZ9" s="64">
        <v>0.97</v>
      </c>
      <c r="BA9" s="64">
        <v>0</v>
      </c>
      <c r="BB9" s="64">
        <v>1.07</v>
      </c>
      <c r="BC9" s="10">
        <f ca="1">INDEX('RC6SV'!$A$1:$G$21,MATCH(H9,'RC6SV'!$A$1:$A$21,FALSE),MATCH(G9,'RC6SV'!$A$1:$G$1,FALSE))</f>
        <v>12000</v>
      </c>
      <c r="BD9" s="44">
        <f t="shared" ca="1" si="9"/>
        <v>12000</v>
      </c>
      <c r="BE9" s="10">
        <f t="shared" ca="1" si="3"/>
        <v>0</v>
      </c>
      <c r="BF9" s="10">
        <f t="shared" ca="1" si="4"/>
        <v>1</v>
      </c>
      <c r="BG9" s="15">
        <f ca="1">IF($BE9&lt;=0,ROUND(BK9*0.5,0), ROUND($BE9*S9*AA9*J9*AY9*0.8*[1]ステータス!$B$2,0))</f>
        <v>2880</v>
      </c>
      <c r="BH9" s="15">
        <f ca="1">IF($BE9&lt;=0,ROUND(BL9*0.5,0), ROUND($BE9*T9*AB9*K9*AZ9*0.8*[1]ステータス!$C$2,0))</f>
        <v>1746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1670</v>
      </c>
      <c r="BK9" s="10">
        <f ca="1">ROUND(BD9*S9*AA9*J9*AY9*[1]ステータス!$B$2,0)</f>
        <v>5760</v>
      </c>
      <c r="BL9" s="10">
        <f ca="1">ROUND(BD9*T9*AB9*K9*AZ9*[1]ステータス!$C$2,0)</f>
        <v>3491</v>
      </c>
      <c r="BM9" s="10">
        <f ca="1">ROUND(BD9*U9*AC9*L9*BA9*[1]ステータス!$D$2,0)</f>
        <v>0</v>
      </c>
      <c r="BN9" s="10">
        <f ca="1">ROUND(BD9*V9*AD9*M9*BB9*[1]ステータス!$E$2,0)</f>
        <v>3340</v>
      </c>
      <c r="BO9" s="9">
        <v>0</v>
      </c>
      <c r="BP9" s="9">
        <v>1</v>
      </c>
      <c r="BQ9" s="9" t="s">
        <v>47</v>
      </c>
      <c r="BR9" s="9">
        <f ca="1">VLOOKUP(H9,[2]ghosts_label!$A$2:$B$19,2,FALSE)</f>
        <v>1</v>
      </c>
    </row>
    <row r="10" spans="1:70" ht="26" customHeight="1" x14ac:dyDescent="0.15">
      <c r="A10" s="183">
        <v>10039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テストユニット39</v>
      </c>
      <c r="C10" s="53">
        <f ca="1">VLOOKUP($A10,OFFSET([1]characters!$A$1,0,0,COUNTA([1]characters!$A:$A),MATCH(C$1,[1]characters!$1:$1,0)-MATCH($A$1,[1]characters!$1:$1,0)+1),MATCH(C$1,[1]characters!$1:$1,0)-MATCH($A$1,[1]characters!$1:$1,0)+1,FALSE)</f>
        <v>0</v>
      </c>
      <c r="D10" s="53">
        <f ca="1">VLOOKUP($A10,OFFSET([1]characters!$A$1,0,0,COUNTA([1]characters!$A:$A),MATCH(D$1,[1]characters!$1:$1,0)-MATCH($A$1,[1]characters!$1:$1,0)+1),MATCH(D$1,[1]characters!$1:$1,0)-MATCH($A$1,[1]characters!$1:$1,0)+1,FALSE)</f>
        <v>0</v>
      </c>
      <c r="E10" s="53">
        <f ca="1">VLOOKUP($A10,OFFSET([1]characters!$A$1,0,0,COUNTA([1]characters!$A:$A),MATCH(E$1,[1]characters!$1:$1,0)-MATCH($A$1,[1]characters!$1:$1,0)+1),MATCH(E$1,[1]characters!$1:$1,0)-MATCH($A$1,[1]characters!$1:$1,0)+1,FALSE)</f>
        <v>0</v>
      </c>
      <c r="F10" s="53">
        <f ca="1">VLOOKUP($A10,OFFSET([1]characters!$A$1,0,0,COUNTA([1]characters!$A:$A),MATCH(F$1,[1]characters!$1:$1,0)-MATCH($A$1,[1]characters!$1:$1,0)+1),MATCH(F$1,[1]characters!$1:$1,0)-MATCH($A$1,[1]characters!$1:$1,0)+1,FALSE)</f>
        <v>0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PremiumSS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0">
        <f ca="1">VLOOKUP(I10,[1]属性!$A:$E,2,FALSE)</f>
        <v>1.02</v>
      </c>
      <c r="K10" s="10">
        <f ca="1">VLOOKUP(I10,[1]属性!$A:$E,3,FALSE)</f>
        <v>0.98</v>
      </c>
      <c r="L10" s="10">
        <f ca="1">VLOOKUP(I10,[1]属性!$A:$E,4,FALSE)</f>
        <v>1</v>
      </c>
      <c r="M10" s="10">
        <f ca="1">VLOOKUP(I10,[1]属性!$A:$E,5,FALSE)</f>
        <v>1</v>
      </c>
      <c r="N10" s="10">
        <f ca="1">INDEX(コスト!$A$1:$I$21,MATCH(H10,コスト!$A$1:$A$21,FALSE),MATCH(G10,コスト!$A$1:$I$1,FALSE))</f>
        <v>50</v>
      </c>
      <c r="O10" s="10">
        <f ca="1">INDEX(レベル!$A$1:$I$22,MATCH(H10,レベル!$A$1:$A$22,FALSE),MATCH(G10,レベル!$A$1:$I$1,FALSE))</f>
        <v>99</v>
      </c>
      <c r="P10" s="44">
        <f t="shared" ca="1" si="7"/>
        <v>99</v>
      </c>
      <c r="Q10" s="53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0">
        <f ca="1">VLOOKUP(Q10,[1]character_type_i18n!$A:$H,4,FALSE)</f>
        <v>1</v>
      </c>
      <c r="T10" s="10">
        <f ca="1">VLOOKUP(Q10,[1]character_type_i18n!$A:$H,5,FALSE)</f>
        <v>1</v>
      </c>
      <c r="U10" s="10">
        <f ca="1">VLOOKUP(Q10,[1]character_type_i18n!$A:$H,6,FALSE)</f>
        <v>1</v>
      </c>
      <c r="V10" s="10">
        <f ca="1">VLOOKUP(Q10,[1]character_type_i18n!$A:$H,7,FALSE)</f>
        <v>1</v>
      </c>
      <c r="W10" s="53" t="str">
        <f ca="1">VLOOKUP($A10,OFFSET([1]characters!$A$1,0,0,COUNTA([1]characters!$A:$A),MATCH(W$1,[1]characters!$1:$1,0)-MATCH($A$1,[1]characters!$1:$1,0)+1),MATCH(W$1,[1]characters!$1:$1,0)-MATCH($A$1,[1]characters!$1:$1,0)+1,FALSE)</f>
        <v>unknown</v>
      </c>
      <c r="X10" s="5" t="str">
        <f ca="1">VLOOKUP(W10,[1]character_tribe_i18n!$A:$H,3,FALSE)</f>
        <v>Unknown</v>
      </c>
      <c r="Y10" s="53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0">
        <f ca="1">VLOOKUP(W10,[1]character_tribe_i18n!$A:$H,4,FALSE)</f>
        <v>1</v>
      </c>
      <c r="AB10" s="10">
        <f ca="1">VLOOKUP(W10,[1]character_tribe_i18n!$A:$H,5,FALSE)</f>
        <v>1</v>
      </c>
      <c r="AC10" s="10">
        <f ca="1">VLOOKUP(W10,[1]character_tribe_i18n!$A:$H,6,FALSE)</f>
        <v>1</v>
      </c>
      <c r="AD10" s="10">
        <f ca="1">VLOOKUP(W10,[1]character_tribe_i18n!$A:$H,7,FALSE)</f>
        <v>1</v>
      </c>
      <c r="AE10" s="184" t="s">
        <v>183</v>
      </c>
      <c r="AF10" s="58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183">
        <v>10039</v>
      </c>
      <c r="AH10" s="58" t="str">
        <f ca="1">VLOOKUP($AG10,OFFSET([1]characters!$A$1,0,0,COUNTA([1]characters!$A:$A),MATCH(AH$1,[1]characters!$1:$1,0)-MATCH($A$1,[1]characters!$1:$1,0)+1),MATCH(AH$1,[1]characters!$1:$1,0)-MATCH($A$1,[1]characters!$1:$1,0)+1,FALSE)</f>
        <v>テストユニット39</v>
      </c>
      <c r="AI10" s="10" t="str">
        <f>IF(AE10="NULL","NULL",VLOOKUP(G10,ビット!$A$2:$B$7,2))</f>
        <v>NULL</v>
      </c>
      <c r="AJ10" s="6">
        <v>2</v>
      </c>
      <c r="AK10" s="7" t="str">
        <f t="shared" si="8"/>
        <v>普通</v>
      </c>
      <c r="AL10" s="10" t="str">
        <f ca="1">INDEX(経験値!$A$1:$I$21,MATCH(H10,経験値!$A$1:$A$21,FALSE),MATCH(G10,経験値!$A$1:$I$1,FALSE))</f>
        <v>required_exp_250</v>
      </c>
      <c r="AM10" s="8">
        <f ca="1">VLOOKUP(G10,経験値!$A$28:$B$32,2)</f>
        <v>6400</v>
      </c>
      <c r="AN10" s="16">
        <f ca="1">VLOOKUP(G10,ビット!$G$2:$H$7,2)</f>
        <v>900</v>
      </c>
      <c r="AO10" s="41"/>
      <c r="AP10" s="183">
        <v>10039</v>
      </c>
      <c r="AQ10" s="53" t="str">
        <f ca="1">VLOOKUP($AP10,OFFSET(unit_skills!$A$1,0,0,COUNTA(unit_skills!$A:$A),MATCH(AQ$1,unit_skills!$1:$1,0)-MATCH($AP$1,unit_skills!$1:$1,0)+1),MATCH(AQ$1,unit_skills!$1:$1,0)-MATCH($AP$1,unit_skills!$1:$1,0)+1,FALSE)</f>
        <v>テストユニット39スキル</v>
      </c>
      <c r="AR10" s="53" t="str">
        <f ca="1">VLOOKUP($AP10,OFFSET(unit_skills!$A$1,0,0,COUNTA(unit_skills!$A:$A),MATCH(AR$1,unit_skills!$1:$1,0)-MATCH($AP$1,unit_skills!$1:$1,0)+1),MATCH(AR$1,unit_skills!$1:$1,0)-MATCH($AP$1,unit_skills!$1:$1,0)+1,FALSE)</f>
        <v>C→通常 CB→通常を部分変換、ボム→通常 マグネット→通常を部分変換</v>
      </c>
      <c r="AS10" s="53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183">
        <v>10039</v>
      </c>
      <c r="AU10" s="53" t="str">
        <f ca="1">VLOOKUP($AT10,OFFSET(crash_skills!$A$1,0,0,COUNTA(crash_skills!$A:$A),MATCH(AU$1,crash_skills!$1:$1,0)-MATCH($AT$1,crash_skills!$1:$1,0)+1),MATCH(AU$1,crash_skills!$1:$1,0)-MATCH($AT$1,crash_skills!$1:$1,0)+1,FALSE)</f>
        <v>テストユニット39Cスキル</v>
      </c>
      <c r="AV10" s="53" t="str">
        <f ca="1">VLOOKUP($AT10,OFFSET(crash_skills!$A$1,0,0,COUNTA(crash_skills!$A:$A),MATCH(AV$1,crash_skills!$1:$1,0)-MATCH($AT$1,crash_skills!$1:$1,0)+1),MATCH(AV$1,crash_skills!$1:$1,0)-MATCH($AT$1,crash_skills!$1:$1,0)+1,FALSE)</f>
        <v>1体に小ダメージ</v>
      </c>
      <c r="AW10" s="53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4">
        <f ca="1">VLOOKUP($A10,OFFSET([1]characters!$A$1,0,0,COUNTA([1]characters!$A:$A),MATCH(AX$1,[1]characters!$1:$1,0)-MATCH($A$1,[1]characters!$1:$1,0)+1),MATCH(AX$1,[1]characters!$1:$1,0)-MATCH($A$1,[1]characters!$1:$1,0)+1,FALSE)</f>
        <v>1</v>
      </c>
      <c r="AY10" s="64">
        <v>1.2</v>
      </c>
      <c r="AZ10" s="64">
        <v>1</v>
      </c>
      <c r="BA10" s="64">
        <v>0</v>
      </c>
      <c r="BB10" s="64">
        <v>1</v>
      </c>
      <c r="BC10" s="10">
        <f ca="1">INDEX('RC6SV'!$A$1:$G$21,MATCH(H10,'RC6SV'!$A$1:$A$21,FALSE),MATCH(G10,'RC6SV'!$A$1:$G$1,FALSE))</f>
        <v>13000</v>
      </c>
      <c r="BD10" s="44">
        <f t="shared" ca="1" si="9"/>
        <v>13000</v>
      </c>
      <c r="BE10" s="10">
        <f t="shared" ca="1" si="3"/>
        <v>0</v>
      </c>
      <c r="BF10" s="10">
        <f t="shared" ca="1" si="4"/>
        <v>1</v>
      </c>
      <c r="BG10" s="15">
        <f ca="1">IF($BE10&lt;=0,ROUND(BK10*0.5,0), ROUND($BE10*S10*AA10*J10*AY10*0.8*[1]ステータス!$B$2,0))</f>
        <v>3978</v>
      </c>
      <c r="BH10" s="15">
        <f ca="1">IF($BE10&lt;=0,ROUND(BL10*0.5,0), ROUND($BE10*T10*AB10*K10*AZ10*0.8*[1]ステータス!$C$2,0))</f>
        <v>1911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1625</v>
      </c>
      <c r="BK10" s="10">
        <f ca="1">ROUND(BD10*S10*AA10*J10*AY10*[1]ステータス!$B$2,0)</f>
        <v>7956</v>
      </c>
      <c r="BL10" s="10">
        <f ca="1">ROUND(BD10*T10*AB10*K10*AZ10*[1]ステータス!$C$2,0)</f>
        <v>3822</v>
      </c>
      <c r="BM10" s="10">
        <f ca="1">ROUND(BD10*U10*AC10*L10*BA10*[1]ステータス!$D$2,0)</f>
        <v>0</v>
      </c>
      <c r="BN10" s="10">
        <f ca="1">ROUND(BD10*V10*AD10*M10*BB10*[1]ステータス!$E$2,0)</f>
        <v>3250</v>
      </c>
      <c r="BO10" s="9">
        <v>0</v>
      </c>
      <c r="BP10" s="9">
        <v>1</v>
      </c>
      <c r="BQ10" s="36" t="s">
        <v>47</v>
      </c>
      <c r="BR10" s="9">
        <f ca="1">VLOOKUP(H10,[2]ghosts_label!$A$2:$B$19,2,FALSE)</f>
        <v>5500</v>
      </c>
    </row>
    <row r="11" spans="1:70" ht="26" customHeight="1" x14ac:dyDescent="0.15">
      <c r="A11" s="183">
        <v>10040</v>
      </c>
      <c r="B11" s="53" t="str">
        <f ca="1">VLOOKUP($A11,OFFSET([1]characters!$A$1,0,0,COUNTA([1]characters!$A:$A),MATCH(B$1,[1]characters!$1:$1,0)-MATCH($A$1,[1]characters!$1:$1,0)+1),MATCH(B$1,[1]characters!$1:$1,0)-MATCH($A$1,[1]characters!$1:$1,0)+1,FALSE)</f>
        <v>テストユニット40</v>
      </c>
      <c r="C11" s="53">
        <f ca="1">VLOOKUP($A11,OFFSET([1]characters!$A$1,0,0,COUNTA([1]characters!$A:$A),MATCH(C$1,[1]characters!$1:$1,0)-MATCH($A$1,[1]characters!$1:$1,0)+1),MATCH(C$1,[1]characters!$1:$1,0)-MATCH($A$1,[1]characters!$1:$1,0)+1,FALSE)</f>
        <v>0</v>
      </c>
      <c r="D11" s="53">
        <f ca="1">VLOOKUP($A11,OFFSET([1]characters!$A$1,0,0,COUNTA([1]characters!$A:$A),MATCH(D$1,[1]characters!$1:$1,0)-MATCH($A$1,[1]characters!$1:$1,0)+1),MATCH(D$1,[1]characters!$1:$1,0)-MATCH($A$1,[1]characters!$1:$1,0)+1,FALSE)</f>
        <v>0</v>
      </c>
      <c r="E11" s="53">
        <f ca="1">VLOOKUP($A11,OFFSET([1]characters!$A$1,0,0,COUNTA([1]characters!$A:$A),MATCH(E$1,[1]characters!$1:$1,0)-MATCH($A$1,[1]characters!$1:$1,0)+1),MATCH(E$1,[1]characters!$1:$1,0)-MATCH($A$1,[1]characters!$1:$1,0)+1,FALSE)</f>
        <v>0</v>
      </c>
      <c r="F11" s="53">
        <f ca="1">VLOOKUP($A11,OFFSET([1]characters!$A$1,0,0,COUNTA([1]characters!$A:$A),MATCH(F$1,[1]characters!$1:$1,0)-MATCH($A$1,[1]characters!$1:$1,0)+1),MATCH(F$1,[1]characters!$1:$1,0)-MATCH($A$1,[1]characters!$1:$1,0)+1,FALSE)</f>
        <v>0</v>
      </c>
      <c r="G11" s="53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3" t="str">
        <f ca="1">VLOOKUP($A11,OFFSET([1]characters!$A$1,0,0,COUNTA([1]characters!$A:$A),MATCH(H$1,[1]characters!$1:$1,0)-MATCH($A$1,[1]characters!$1:$1,0)+1),MATCH(H$1,[1]characters!$1:$1,0)-MATCH($A$1,[1]characters!$1:$1,0)+1,FALSE)</f>
        <v>PremiumSS</v>
      </c>
      <c r="I11" s="53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0">
        <f ca="1">VLOOKUP(I11,[1]属性!$A:$E,2,FALSE)</f>
        <v>0.98</v>
      </c>
      <c r="K11" s="10">
        <f ca="1">VLOOKUP(I11,[1]属性!$A:$E,3,FALSE)</f>
        <v>1.01</v>
      </c>
      <c r="L11" s="10">
        <f ca="1">VLOOKUP(I11,[1]属性!$A:$E,4,FALSE)</f>
        <v>1</v>
      </c>
      <c r="M11" s="10">
        <f ca="1">VLOOKUP(I11,[1]属性!$A:$E,5,FALSE)</f>
        <v>1.01</v>
      </c>
      <c r="N11" s="10">
        <f ca="1">INDEX(コスト!$A$1:$I$21,MATCH(H11,コスト!$A$1:$A$21,FALSE),MATCH(G11,コスト!$A$1:$I$1,FALSE))</f>
        <v>50</v>
      </c>
      <c r="O11" s="10">
        <f ca="1">INDEX(レベル!$A$1:$I$22,MATCH(H11,レベル!$A$1:$A$22,FALSE),MATCH(G11,レベル!$A$1:$I$1,FALSE))</f>
        <v>99</v>
      </c>
      <c r="P11" s="44">
        <f t="shared" ca="1" si="7"/>
        <v>99</v>
      </c>
      <c r="Q11" s="53" t="str">
        <f ca="1">VLOOKUP($A11,OFFSET([1]characters!$A$1,0,0,COUNTA([1]characters!$A:$A),MATCH(Q$1,[1]characters!$1:$1,0)-MATCH($A$1,[1]characters!$1:$1,0)+1),MATCH(Q$1,[1]characters!$1:$1,0)-MATCH($A$1,[1]characters!$1:$1,0)+1,FALSE)</f>
        <v>balance</v>
      </c>
      <c r="R11" s="5" t="str">
        <f ca="1">VLOOKUP(Q11,[1]character_type_i18n!$A:$H,3,FALSE)</f>
        <v>バランスタイプ</v>
      </c>
      <c r="S11" s="10">
        <f ca="1">VLOOKUP(Q11,[1]character_type_i18n!$A:$H,4,FALSE)</f>
        <v>1</v>
      </c>
      <c r="T11" s="10">
        <f ca="1">VLOOKUP(Q11,[1]character_type_i18n!$A:$H,5,FALSE)</f>
        <v>1</v>
      </c>
      <c r="U11" s="10">
        <f ca="1">VLOOKUP(Q11,[1]character_type_i18n!$A:$H,6,FALSE)</f>
        <v>1</v>
      </c>
      <c r="V11" s="10">
        <f ca="1">VLOOKUP(Q11,[1]character_type_i18n!$A:$H,7,FALSE)</f>
        <v>1</v>
      </c>
      <c r="W11" s="53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3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0">
        <f ca="1">VLOOKUP(W11,[1]character_tribe_i18n!$A:$H,4,FALSE)</f>
        <v>1</v>
      </c>
      <c r="AB11" s="10">
        <f ca="1">VLOOKUP(W11,[1]character_tribe_i18n!$A:$H,5,FALSE)</f>
        <v>1</v>
      </c>
      <c r="AC11" s="10">
        <f ca="1">VLOOKUP(W11,[1]character_tribe_i18n!$A:$H,6,FALSE)</f>
        <v>1</v>
      </c>
      <c r="AD11" s="10">
        <f ca="1">VLOOKUP(W11,[1]character_tribe_i18n!$A:$H,7,FALSE)</f>
        <v>1</v>
      </c>
      <c r="AE11" s="184" t="s">
        <v>183</v>
      </c>
      <c r="AF11" s="58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183">
        <v>10040</v>
      </c>
      <c r="AH11" s="58" t="str">
        <f ca="1">VLOOKUP($AG11,OFFSET([1]characters!$A$1,0,0,COUNTA([1]characters!$A:$A),MATCH(AH$1,[1]characters!$1:$1,0)-MATCH($A$1,[1]characters!$1:$1,0)+1),MATCH(AH$1,[1]characters!$1:$1,0)-MATCH($A$1,[1]characters!$1:$1,0)+1,FALSE)</f>
        <v>テストユニット40</v>
      </c>
      <c r="AI11" s="10" t="str">
        <f>IF(AE11="NULL","NULL",VLOOKUP(G11,ビット!$A$2:$B$7,2))</f>
        <v>NULL</v>
      </c>
      <c r="AJ11" s="6">
        <v>2</v>
      </c>
      <c r="AK11" s="7" t="str">
        <f t="shared" si="8"/>
        <v>普通</v>
      </c>
      <c r="AL11" s="10" t="str">
        <f ca="1">INDEX(経験値!$A$1:$I$21,MATCH(H11,経験値!$A$1:$A$21,FALSE),MATCH(G11,経験値!$A$1:$I$1,FALSE))</f>
        <v>required_exp_250</v>
      </c>
      <c r="AM11" s="8">
        <f ca="1">VLOOKUP(G11,経験値!$A$28:$B$32,2)</f>
        <v>6400</v>
      </c>
      <c r="AN11" s="16">
        <f ca="1">VLOOKUP(G11,ビット!$G$2:$H$7,2)</f>
        <v>900</v>
      </c>
      <c r="AO11" s="41"/>
      <c r="AP11" s="183">
        <v>10040</v>
      </c>
      <c r="AQ11" s="53" t="str">
        <f ca="1">VLOOKUP($AP11,OFFSET(unit_skills!$A$1,0,0,COUNTA(unit_skills!$A:$A),MATCH(AQ$1,unit_skills!$1:$1,0)-MATCH($AP$1,unit_skills!$1:$1,0)+1),MATCH(AQ$1,unit_skills!$1:$1,0)-MATCH($AP$1,unit_skills!$1:$1,0)+1,FALSE)</f>
        <v>最終決定</v>
      </c>
      <c r="AR11" s="53" t="str">
        <f ca="1">VLOOKUP($AP11,OFFSET(unit_skills!$A$1,0,0,COUNTA(unit_skills!$A:$A),MATCH(AR$1,unit_skills!$1:$1,0)-MATCH($AP$1,unit_skills!$1:$1,0)+1),MATCH(AR$1,unit_skills!$1:$1,0)-MATCH($AP$1,unit_skills!$1:$1,0)+1,FALSE)</f>
        <v>残HP20%減少+C･CB･マグネット･黄･赤･緑以外を最大6個ずつC(大)･赤･緑変換+1ターン黄属性タップ1増加、ハート出現しない</v>
      </c>
      <c r="AS11" s="53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183">
        <v>10040</v>
      </c>
      <c r="AU11" s="53" t="str">
        <f ca="1">VLOOKUP($AT11,OFFSET(crash_skills!$A$1,0,0,COUNTA(crash_skills!$A:$A),MATCH(AU$1,crash_skills!$1:$1,0)-MATCH($AT$1,crash_skills!$1:$1,0)+1),MATCH(AU$1,crash_skills!$1:$1,0)-MATCH($AT$1,crash_skills!$1:$1,0)+1,FALSE)</f>
        <v>テストユニット40Cスキル</v>
      </c>
      <c r="AV11" s="53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</v>
      </c>
      <c r="AW11" s="53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4">
        <f ca="1">VLOOKUP($A11,OFFSET([1]characters!$A$1,0,0,COUNTA([1]characters!$A:$A),MATCH(AX$1,[1]characters!$1:$1,0)-MATCH($A$1,[1]characters!$1:$1,0)+1),MATCH(AX$1,[1]characters!$1:$1,0)-MATCH($A$1,[1]characters!$1:$1,0)+1,FALSE)</f>
        <v>1</v>
      </c>
      <c r="AY11" s="64">
        <v>1.2</v>
      </c>
      <c r="AZ11" s="64">
        <v>1</v>
      </c>
      <c r="BA11" s="64">
        <v>0</v>
      </c>
      <c r="BB11" s="64">
        <v>1</v>
      </c>
      <c r="BC11" s="10">
        <f ca="1">INDEX('RC6SV'!$A$1:$G$21,MATCH(H11,'RC6SV'!$A$1:$A$21,FALSE),MATCH(G11,'RC6SV'!$A$1:$G$1,FALSE))</f>
        <v>13000</v>
      </c>
      <c r="BD11" s="44">
        <f t="shared" ca="1" si="9"/>
        <v>13000</v>
      </c>
      <c r="BE11" s="10">
        <f t="shared" ca="1" si="3"/>
        <v>0</v>
      </c>
      <c r="BF11" s="10">
        <f t="shared" ca="1" si="4"/>
        <v>1</v>
      </c>
      <c r="BG11" s="15">
        <v>3731</v>
      </c>
      <c r="BH11" s="15">
        <v>2924</v>
      </c>
      <c r="BI11" s="15">
        <v>0</v>
      </c>
      <c r="BJ11" s="15">
        <v>1610</v>
      </c>
      <c r="BK11" s="10">
        <v>6382</v>
      </c>
      <c r="BL11" s="10">
        <v>5001</v>
      </c>
      <c r="BM11" s="10">
        <v>0</v>
      </c>
      <c r="BN11" s="10">
        <v>2753</v>
      </c>
      <c r="BO11" s="9">
        <v>0</v>
      </c>
      <c r="BP11" s="9">
        <v>1</v>
      </c>
      <c r="BQ11" s="9" t="s">
        <v>47</v>
      </c>
      <c r="BR11" s="9">
        <f ca="1">VLOOKUP(H11,[2]ghosts_label!$A$2:$B$19,2,FALSE)</f>
        <v>5500</v>
      </c>
    </row>
  </sheetData>
  <autoFilter ref="A1:BQ1"/>
  <phoneticPr fontId="10"/>
  <conditionalFormatting sqref="BO1">
    <cfRule type="cellIs" dxfId="47" priority="120" stopIfTrue="1" operator="equal">
      <formula>1</formula>
    </cfRule>
  </conditionalFormatting>
  <conditionalFormatting sqref="BQ1">
    <cfRule type="cellIs" dxfId="4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1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3">
        <v>10031</v>
      </c>
      <c r="B2" s="129" t="s">
        <v>185</v>
      </c>
      <c r="C2" s="185" t="s">
        <v>337</v>
      </c>
      <c r="D2" s="185" t="s">
        <v>375</v>
      </c>
      <c r="E2" s="131">
        <f t="shared" ref="E2" si="0">LEN(D2)</f>
        <v>65</v>
      </c>
      <c r="F2" s="63">
        <v>11</v>
      </c>
      <c r="G2" s="113">
        <v>5</v>
      </c>
      <c r="H2" s="132">
        <f>2001</f>
        <v>2001</v>
      </c>
      <c r="I2" s="186" t="s">
        <v>374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テストユニット31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3">
        <v>10032</v>
      </c>
      <c r="B3" s="129" t="s">
        <v>185</v>
      </c>
      <c r="C3" s="185" t="s">
        <v>354</v>
      </c>
      <c r="D3" s="185" t="s">
        <v>393</v>
      </c>
      <c r="E3" s="131">
        <f t="shared" ref="E3:E4" si="1">LEN(D3)</f>
        <v>7</v>
      </c>
      <c r="F3" s="63">
        <v>10</v>
      </c>
      <c r="G3" s="113">
        <v>5</v>
      </c>
      <c r="H3" s="132">
        <f>2001</f>
        <v>2001</v>
      </c>
      <c r="I3" s="186" t="s">
        <v>394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テストユニット32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3">
        <v>10033</v>
      </c>
      <c r="B4" s="129" t="s">
        <v>185</v>
      </c>
      <c r="C4" s="185" t="s">
        <v>357</v>
      </c>
      <c r="D4" s="185" t="s">
        <v>356</v>
      </c>
      <c r="E4" s="131">
        <f t="shared" si="1"/>
        <v>27</v>
      </c>
      <c r="F4" s="63">
        <v>10</v>
      </c>
      <c r="G4" s="113">
        <v>5</v>
      </c>
      <c r="H4" s="132">
        <f>2001</f>
        <v>2001</v>
      </c>
      <c r="I4" s="186" t="s">
        <v>355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テストユニット33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3">
        <v>10034</v>
      </c>
      <c r="B5" s="129" t="s">
        <v>185</v>
      </c>
      <c r="C5" s="185" t="s">
        <v>384</v>
      </c>
      <c r="D5" s="185" t="s">
        <v>391</v>
      </c>
      <c r="E5" s="131">
        <f t="shared" ref="E5:E11" si="2">LEN(D5)</f>
        <v>18</v>
      </c>
      <c r="F5" s="63">
        <v>10</v>
      </c>
      <c r="G5" s="113">
        <v>5</v>
      </c>
      <c r="H5" s="132">
        <f>2001</f>
        <v>2001</v>
      </c>
      <c r="I5" s="186" t="s">
        <v>387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テストユニット34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3">
        <v>10035</v>
      </c>
      <c r="B6" s="129" t="s">
        <v>185</v>
      </c>
      <c r="C6" s="185" t="s">
        <v>385</v>
      </c>
      <c r="D6" s="185" t="s">
        <v>390</v>
      </c>
      <c r="E6" s="131">
        <f t="shared" si="2"/>
        <v>17</v>
      </c>
      <c r="F6" s="63">
        <v>10</v>
      </c>
      <c r="G6" s="113">
        <v>5</v>
      </c>
      <c r="H6" s="132">
        <f>2001</f>
        <v>2001</v>
      </c>
      <c r="I6" s="186" t="s">
        <v>389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テストユニット35</v>
      </c>
      <c r="K6" s="133">
        <f>IFERROR(VLOOKUP(A6,[1]characters!$A:$R,18),0)</f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3">
        <v>10036</v>
      </c>
      <c r="B7" s="129" t="s">
        <v>185</v>
      </c>
      <c r="C7" s="185" t="s">
        <v>386</v>
      </c>
      <c r="D7" s="185" t="s">
        <v>358</v>
      </c>
      <c r="E7" s="131">
        <f t="shared" si="2"/>
        <v>43</v>
      </c>
      <c r="F7" s="63">
        <v>10</v>
      </c>
      <c r="G7" s="113">
        <v>5</v>
      </c>
      <c r="H7" s="132">
        <f>2001</f>
        <v>2001</v>
      </c>
      <c r="I7" s="186" t="s">
        <v>359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テストユニット36</v>
      </c>
      <c r="K7" s="133">
        <f>IFERROR(VLOOKUP(A7,[1]characters!$A:$R,18),0)</f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3">
        <v>10037</v>
      </c>
      <c r="B8" s="129" t="s">
        <v>185</v>
      </c>
      <c r="C8" s="185" t="s">
        <v>338</v>
      </c>
      <c r="D8" s="185" t="s">
        <v>383</v>
      </c>
      <c r="E8" s="131">
        <f t="shared" si="2"/>
        <v>12</v>
      </c>
      <c r="F8" s="63">
        <v>10</v>
      </c>
      <c r="G8" s="113">
        <v>5</v>
      </c>
      <c r="H8" s="132">
        <f>2001</f>
        <v>2001</v>
      </c>
      <c r="I8" s="186" t="s">
        <v>382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テストユニット37</v>
      </c>
      <c r="K8" s="133">
        <f>IFERROR(VLOOKUP(A8,[1]characters!$A:$R,18),0)</f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3">
        <v>10038</v>
      </c>
      <c r="B9" s="129" t="s">
        <v>185</v>
      </c>
      <c r="C9" s="185" t="s">
        <v>339</v>
      </c>
      <c r="D9" s="185" t="s">
        <v>405</v>
      </c>
      <c r="E9" s="131">
        <f t="shared" si="2"/>
        <v>37</v>
      </c>
      <c r="F9" s="63">
        <v>10</v>
      </c>
      <c r="G9" s="113">
        <v>5</v>
      </c>
      <c r="H9" s="132">
        <f>2001</f>
        <v>2001</v>
      </c>
      <c r="I9" s="186" t="s">
        <v>404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テストユニット38</v>
      </c>
      <c r="K9" s="133">
        <f>IFERROR(VLOOKUP(A9,[1]characters!$A:$R,18),0)</f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3">
        <v>10039</v>
      </c>
      <c r="B10" s="129" t="s">
        <v>185</v>
      </c>
      <c r="C10" s="185" t="s">
        <v>340</v>
      </c>
      <c r="D10" s="185" t="s">
        <v>392</v>
      </c>
      <c r="E10" s="131">
        <f t="shared" si="2"/>
        <v>35</v>
      </c>
      <c r="F10" s="63">
        <v>10</v>
      </c>
      <c r="G10" s="113">
        <v>5</v>
      </c>
      <c r="H10" s="132">
        <f>2001</f>
        <v>2001</v>
      </c>
      <c r="I10" s="186" t="s">
        <v>388</v>
      </c>
      <c r="J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テストユニット39</v>
      </c>
      <c r="K10" s="133">
        <f>IFERROR(VLOOKUP(A10,[1]characters!$A:$R,18),0)</f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3">
        <v>10040</v>
      </c>
      <c r="B11" s="129" t="s">
        <v>185</v>
      </c>
      <c r="C11" s="185" t="s">
        <v>399</v>
      </c>
      <c r="D11" s="185" t="s">
        <v>400</v>
      </c>
      <c r="E11" s="131">
        <f t="shared" si="2"/>
        <v>67</v>
      </c>
      <c r="F11" s="63">
        <v>10</v>
      </c>
      <c r="G11" s="113">
        <v>5</v>
      </c>
      <c r="H11" s="132">
        <f>2001</f>
        <v>2001</v>
      </c>
      <c r="I11" s="186" t="s">
        <v>401</v>
      </c>
      <c r="J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テストユニット40</v>
      </c>
      <c r="K11" s="133">
        <f>IFERROR(VLOOKUP(A11,[1]characters!$A:$R,18),0)</f>
        <v>1</v>
      </c>
      <c r="L11" s="134"/>
      <c r="M11" s="135"/>
      <c r="N11" s="135"/>
      <c r="O11" s="135"/>
      <c r="P11" s="135"/>
      <c r="Q11" s="135"/>
      <c r="R11" s="130"/>
      <c r="S11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2:E1048576">
    <cfRule type="cellIs" dxfId="45" priority="34" operator="greaterThan">
      <formula>41</formula>
    </cfRule>
  </conditionalFormatting>
  <conditionalFormatting sqref="E2">
    <cfRule type="cellIs" dxfId="44" priority="28" operator="greaterThan">
      <formula>57</formula>
    </cfRule>
  </conditionalFormatting>
  <conditionalFormatting sqref="E3">
    <cfRule type="cellIs" dxfId="43" priority="27" operator="greaterThan">
      <formula>57</formula>
    </cfRule>
  </conditionalFormatting>
  <conditionalFormatting sqref="E10">
    <cfRule type="cellIs" dxfId="42" priority="2" operator="greaterThan">
      <formula>57</formula>
    </cfRule>
  </conditionalFormatting>
  <conditionalFormatting sqref="E11">
    <cfRule type="cellIs" dxfId="41" priority="1" operator="greaterThan">
      <formula>57</formula>
    </cfRule>
  </conditionalFormatting>
  <conditionalFormatting sqref="E4">
    <cfRule type="cellIs" dxfId="40" priority="8" operator="greaterThan">
      <formula>57</formula>
    </cfRule>
  </conditionalFormatting>
  <conditionalFormatting sqref="E5">
    <cfRule type="cellIs" dxfId="39" priority="7" operator="greaterThan">
      <formula>57</formula>
    </cfRule>
  </conditionalFormatting>
  <conditionalFormatting sqref="E6">
    <cfRule type="cellIs" dxfId="38" priority="6" operator="greaterThan">
      <formula>57</formula>
    </cfRule>
  </conditionalFormatting>
  <conditionalFormatting sqref="E7">
    <cfRule type="cellIs" dxfId="37" priority="5" operator="greaterThan">
      <formula>57</formula>
    </cfRule>
  </conditionalFormatting>
  <conditionalFormatting sqref="E8">
    <cfRule type="cellIs" dxfId="36" priority="4" operator="greaterThan">
      <formula>57</formula>
    </cfRule>
  </conditionalFormatting>
  <conditionalFormatting sqref="E9">
    <cfRule type="cellIs" dxfId="35" priority="3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9" sqref="F9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3">
        <v>10031</v>
      </c>
      <c r="B2" s="129" t="s">
        <v>186</v>
      </c>
      <c r="C2" s="185" t="s">
        <v>341</v>
      </c>
      <c r="D2" s="185" t="s">
        <v>377</v>
      </c>
      <c r="E2" s="131">
        <f t="shared" ref="E2" si="0">LEN(D2)</f>
        <v>9</v>
      </c>
      <c r="F2" s="187" t="s">
        <v>376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テストユニット31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3">
        <v>10032</v>
      </c>
      <c r="B3" s="129" t="s">
        <v>186</v>
      </c>
      <c r="C3" s="185" t="s">
        <v>342</v>
      </c>
      <c r="D3" s="185" t="s">
        <v>351</v>
      </c>
      <c r="E3" s="131">
        <f t="shared" ref="E3:E4" si="1">LEN(D3)</f>
        <v>8</v>
      </c>
      <c r="F3" s="187" t="s">
        <v>352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テストユニット32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3">
        <v>10033</v>
      </c>
      <c r="B4" s="129" t="s">
        <v>185</v>
      </c>
      <c r="C4" s="185" t="s">
        <v>343</v>
      </c>
      <c r="D4" s="185" t="s">
        <v>351</v>
      </c>
      <c r="E4" s="131">
        <f t="shared" si="1"/>
        <v>8</v>
      </c>
      <c r="F4" s="187" t="s">
        <v>352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テストユニット33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3">
        <v>10034</v>
      </c>
      <c r="B5" s="129" t="s">
        <v>185</v>
      </c>
      <c r="C5" s="185" t="s">
        <v>344</v>
      </c>
      <c r="D5" s="185" t="s">
        <v>351</v>
      </c>
      <c r="E5" s="131">
        <f t="shared" ref="E5:E11" si="2">LEN(D5)</f>
        <v>8</v>
      </c>
      <c r="F5" s="187" t="s">
        <v>352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テストユニット34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3">
        <v>10035</v>
      </c>
      <c r="B6" s="129" t="s">
        <v>185</v>
      </c>
      <c r="C6" s="185" t="s">
        <v>345</v>
      </c>
      <c r="D6" s="185" t="s">
        <v>351</v>
      </c>
      <c r="E6" s="131">
        <f t="shared" si="2"/>
        <v>8</v>
      </c>
      <c r="F6" s="187" t="s">
        <v>352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テストユニット35</v>
      </c>
      <c r="H6" s="132">
        <f>IFERROR(VLOOKUP(A6,[1]characters!$A:$R,18),0)</f>
        <v>1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3">
        <v>10036</v>
      </c>
      <c r="B7" s="129" t="s">
        <v>185</v>
      </c>
      <c r="C7" s="185" t="s">
        <v>346</v>
      </c>
      <c r="D7" s="185" t="s">
        <v>351</v>
      </c>
      <c r="E7" s="131">
        <f t="shared" si="2"/>
        <v>8</v>
      </c>
      <c r="F7" s="187" t="s">
        <v>352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テストユニット36</v>
      </c>
      <c r="H7" s="132">
        <f>IFERROR(VLOOKUP(A7,[1]characters!$A:$R,18),0)</f>
        <v>1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3">
        <v>10037</v>
      </c>
      <c r="B8" s="129" t="s">
        <v>185</v>
      </c>
      <c r="C8" s="185" t="s">
        <v>347</v>
      </c>
      <c r="D8" s="185" t="s">
        <v>351</v>
      </c>
      <c r="E8" s="131">
        <f t="shared" si="2"/>
        <v>8</v>
      </c>
      <c r="F8" s="187" t="s">
        <v>352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テストユニット37</v>
      </c>
      <c r="H8" s="132">
        <f>IFERROR(VLOOKUP(A8,[1]characters!$A:$R,18),0)</f>
        <v>1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3">
        <v>10038</v>
      </c>
      <c r="B9" s="129" t="s">
        <v>185</v>
      </c>
      <c r="C9" s="185" t="s">
        <v>348</v>
      </c>
      <c r="D9" s="185" t="s">
        <v>407</v>
      </c>
      <c r="E9" s="131">
        <f t="shared" si="2"/>
        <v>14</v>
      </c>
      <c r="F9" s="187" t="s">
        <v>406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テストユニット38</v>
      </c>
      <c r="H9" s="132">
        <f>IFERROR(VLOOKUP(A9,[1]characters!$A:$R,18),0)</f>
        <v>1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3">
        <v>10039</v>
      </c>
      <c r="B10" s="129" t="s">
        <v>185</v>
      </c>
      <c r="C10" s="185" t="s">
        <v>349</v>
      </c>
      <c r="D10" s="185" t="s">
        <v>351</v>
      </c>
      <c r="E10" s="131">
        <f t="shared" si="2"/>
        <v>8</v>
      </c>
      <c r="F10" s="187" t="s">
        <v>352</v>
      </c>
      <c r="G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テストユニット39</v>
      </c>
      <c r="H10" s="132">
        <f>IFERROR(VLOOKUP(A10,[1]characters!$A:$R,18),0)</f>
        <v>1</v>
      </c>
      <c r="I10" s="132"/>
      <c r="J10" s="137"/>
      <c r="K10" s="133"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3">
        <v>10040</v>
      </c>
      <c r="B11" s="129" t="s">
        <v>185</v>
      </c>
      <c r="C11" s="185" t="s">
        <v>350</v>
      </c>
      <c r="D11" s="185" t="s">
        <v>402</v>
      </c>
      <c r="E11" s="131">
        <f t="shared" si="2"/>
        <v>9</v>
      </c>
      <c r="F11" s="187" t="s">
        <v>403</v>
      </c>
      <c r="G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テストユニット40</v>
      </c>
      <c r="H11" s="132">
        <f>IFERROR(VLOOKUP(A11,[1]characters!$A:$R,18),0)</f>
        <v>1</v>
      </c>
      <c r="I11" s="132"/>
      <c r="J11" s="137"/>
      <c r="K11" s="133">
        <v>1</v>
      </c>
      <c r="L11" s="134"/>
      <c r="M11" s="135"/>
      <c r="N11" s="135"/>
      <c r="O11" s="135"/>
      <c r="P11" s="135"/>
      <c r="Q11" s="135"/>
      <c r="R11" s="130"/>
      <c r="S11" s="136"/>
    </row>
  </sheetData>
  <sheetProtection selectLockedCells="1" selectUnlockedCells="1"/>
  <autoFilter ref="A1:J1"/>
  <phoneticPr fontId="22"/>
  <conditionalFormatting sqref="E2">
    <cfRule type="cellIs" dxfId="34" priority="26" operator="greaterThan">
      <formula>57</formula>
    </cfRule>
  </conditionalFormatting>
  <conditionalFormatting sqref="E3">
    <cfRule type="cellIs" dxfId="33" priority="25" operator="greaterThan">
      <formula>57</formula>
    </cfRule>
  </conditionalFormatting>
  <conditionalFormatting sqref="E4">
    <cfRule type="cellIs" dxfId="32" priority="8" operator="greaterThan">
      <formula>57</formula>
    </cfRule>
  </conditionalFormatting>
  <conditionalFormatting sqref="E5">
    <cfRule type="cellIs" dxfId="31" priority="7" operator="greaterThan">
      <formula>57</formula>
    </cfRule>
  </conditionalFormatting>
  <conditionalFormatting sqref="E6">
    <cfRule type="cellIs" dxfId="30" priority="6" operator="greaterThan">
      <formula>57</formula>
    </cfRule>
  </conditionalFormatting>
  <conditionalFormatting sqref="E7">
    <cfRule type="cellIs" dxfId="29" priority="5" operator="greaterThan">
      <formula>57</formula>
    </cfRule>
  </conditionalFormatting>
  <conditionalFormatting sqref="E8">
    <cfRule type="cellIs" dxfId="28" priority="4" operator="greaterThan">
      <formula>57</formula>
    </cfRule>
  </conditionalFormatting>
  <conditionalFormatting sqref="E9">
    <cfRule type="cellIs" dxfId="27" priority="3" operator="greaterThan">
      <formula>57</formula>
    </cfRule>
  </conditionalFormatting>
  <conditionalFormatting sqref="E10">
    <cfRule type="cellIs" dxfId="26" priority="2" operator="greaterThan">
      <formula>57</formula>
    </cfRule>
  </conditionalFormatting>
  <conditionalFormatting sqref="E11">
    <cfRule type="cellIs" dxfId="25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1"/>
  <sheetViews>
    <sheetView zoomScale="110" workbookViewId="0">
      <selection activeCell="G17" sqref="G17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10031</v>
      </c>
      <c r="B2" s="138" t="str">
        <f>VLOOKUP(A2,[1]characters!$A:$C,3,FALSE)</f>
        <v>テストユニット31</v>
      </c>
      <c r="C2" s="105" t="s">
        <v>195</v>
      </c>
      <c r="D2" s="138" t="str">
        <f t="shared" ref="D2" si="0">A2&amp;C2</f>
        <v>10031skill</v>
      </c>
      <c r="E2" s="138" t="str">
        <f>A2&amp;+(COUNTIF(A2:A$95,A2)-1)</f>
        <v>100311</v>
      </c>
      <c r="F2" s="105" t="s">
        <v>197</v>
      </c>
      <c r="G2" s="162" t="s">
        <v>309</v>
      </c>
      <c r="H2" s="162" t="s">
        <v>312</v>
      </c>
    </row>
    <row r="3" spans="1:8" x14ac:dyDescent="0.15">
      <c r="A3" s="105">
        <v>10031</v>
      </c>
      <c r="B3" s="138" t="str">
        <f>VLOOKUP(A3,[1]characters!$A:$C,3,FALSE)</f>
        <v>テストユニット31</v>
      </c>
      <c r="C3" s="105" t="s">
        <v>198</v>
      </c>
      <c r="D3" s="138" t="str">
        <f>A3&amp;C3</f>
        <v>10031cskill</v>
      </c>
      <c r="E3" s="138" t="str">
        <f>A3&amp;+(COUNTIF(A3:A$95,A3)-1)</f>
        <v>100310</v>
      </c>
      <c r="F3" s="105" t="s">
        <v>186</v>
      </c>
      <c r="G3" s="162" t="s">
        <v>196</v>
      </c>
      <c r="H3" s="162" t="s">
        <v>310</v>
      </c>
    </row>
    <row r="4" spans="1:8" x14ac:dyDescent="0.15">
      <c r="A4" s="105">
        <v>10032</v>
      </c>
      <c r="B4" s="138" t="str">
        <f>VLOOKUP(A4,[1]characters!$A:$C,3,FALSE)</f>
        <v>テストユニット32</v>
      </c>
      <c r="C4" s="105" t="s">
        <v>195</v>
      </c>
      <c r="D4" s="138" t="str">
        <f t="shared" ref="D4" si="1">A4&amp;C4</f>
        <v>10032skill</v>
      </c>
      <c r="E4" s="138" t="str">
        <f>A4&amp;+(COUNTIF(A4:A$95,A4)-1)</f>
        <v>100321</v>
      </c>
      <c r="F4" s="105" t="s">
        <v>186</v>
      </c>
      <c r="G4" s="162" t="s">
        <v>309</v>
      </c>
      <c r="H4" s="162" t="s">
        <v>312</v>
      </c>
    </row>
    <row r="5" spans="1:8" x14ac:dyDescent="0.15">
      <c r="A5" s="105">
        <v>10032</v>
      </c>
      <c r="B5" s="138" t="str">
        <f>VLOOKUP(A5,[1]characters!$A:$C,3,FALSE)</f>
        <v>テストユニット32</v>
      </c>
      <c r="C5" s="105" t="s">
        <v>198</v>
      </c>
      <c r="D5" s="138" t="str">
        <f>A5&amp;C5</f>
        <v>10032cskill</v>
      </c>
      <c r="E5" s="138" t="str">
        <f>A5&amp;+(COUNTIF(A5:A$95,A5)-1)</f>
        <v>100320</v>
      </c>
      <c r="F5" s="105" t="s">
        <v>186</v>
      </c>
      <c r="G5" s="162" t="s">
        <v>196</v>
      </c>
      <c r="H5" s="162" t="s">
        <v>310</v>
      </c>
    </row>
    <row r="6" spans="1:8" x14ac:dyDescent="0.15">
      <c r="A6" s="105">
        <v>10033</v>
      </c>
      <c r="B6" s="138" t="str">
        <f>VLOOKUP(A6,[1]characters!$A:$C,3,FALSE)</f>
        <v>テストユニット33</v>
      </c>
      <c r="C6" s="105" t="s">
        <v>195</v>
      </c>
      <c r="D6" s="138" t="str">
        <f t="shared" ref="D6" si="2">A6&amp;C6</f>
        <v>10033skill</v>
      </c>
      <c r="E6" s="138" t="str">
        <f>A6&amp;+(COUNTIF(A6:A$95,A6)-1)</f>
        <v>100331</v>
      </c>
      <c r="F6" s="105" t="s">
        <v>185</v>
      </c>
      <c r="G6" s="162" t="s">
        <v>309</v>
      </c>
      <c r="H6" s="162" t="s">
        <v>312</v>
      </c>
    </row>
    <row r="7" spans="1:8" x14ac:dyDescent="0.15">
      <c r="A7" s="105">
        <v>10033</v>
      </c>
      <c r="B7" s="138" t="str">
        <f>VLOOKUP(A7,[1]characters!$A:$C,3,FALSE)</f>
        <v>テストユニット33</v>
      </c>
      <c r="C7" s="105" t="s">
        <v>198</v>
      </c>
      <c r="D7" s="138" t="str">
        <f>A7&amp;C7</f>
        <v>10033cskill</v>
      </c>
      <c r="E7" s="138" t="str">
        <f>A7&amp;+(COUNTIF(A7:A$95,A7)-1)</f>
        <v>100330</v>
      </c>
      <c r="F7" s="105" t="s">
        <v>185</v>
      </c>
      <c r="G7" s="162" t="s">
        <v>196</v>
      </c>
      <c r="H7" s="162" t="s">
        <v>310</v>
      </c>
    </row>
    <row r="8" spans="1:8" x14ac:dyDescent="0.15">
      <c r="A8" s="105">
        <v>10034</v>
      </c>
      <c r="B8" s="138" t="str">
        <f>VLOOKUP(A8,[1]characters!$A:$C,3,FALSE)</f>
        <v>テストユニット34</v>
      </c>
      <c r="C8" s="105" t="s">
        <v>195</v>
      </c>
      <c r="D8" s="138" t="str">
        <f t="shared" ref="D8" si="3">A8&amp;C8</f>
        <v>10034skill</v>
      </c>
      <c r="E8" s="138" t="str">
        <f>A8&amp;+(COUNTIF(A8:A$95,A8)-1)</f>
        <v>100341</v>
      </c>
      <c r="F8" s="105" t="s">
        <v>185</v>
      </c>
      <c r="G8" s="162" t="s">
        <v>309</v>
      </c>
      <c r="H8" s="162" t="s">
        <v>312</v>
      </c>
    </row>
    <row r="9" spans="1:8" x14ac:dyDescent="0.15">
      <c r="A9" s="105">
        <v>10034</v>
      </c>
      <c r="B9" s="138" t="str">
        <f>VLOOKUP(A9,[1]characters!$A:$C,3,FALSE)</f>
        <v>テストユニット34</v>
      </c>
      <c r="C9" s="105" t="s">
        <v>198</v>
      </c>
      <c r="D9" s="138" t="str">
        <f>A9&amp;C9</f>
        <v>10034cskill</v>
      </c>
      <c r="E9" s="138" t="str">
        <f>A9&amp;+(COUNTIF(A9:A$95,A9)-1)</f>
        <v>100340</v>
      </c>
      <c r="F9" s="105" t="s">
        <v>185</v>
      </c>
      <c r="G9" s="162" t="s">
        <v>196</v>
      </c>
      <c r="H9" s="162" t="s">
        <v>310</v>
      </c>
    </row>
    <row r="10" spans="1:8" x14ac:dyDescent="0.15">
      <c r="A10" s="105">
        <v>10035</v>
      </c>
      <c r="B10" s="138" t="str">
        <f>VLOOKUP(A10,[1]characters!$A:$C,3,FALSE)</f>
        <v>テストユニット35</v>
      </c>
      <c r="C10" s="105" t="s">
        <v>195</v>
      </c>
      <c r="D10" s="138" t="str">
        <f t="shared" ref="D10" si="4">A10&amp;C10</f>
        <v>10035skill</v>
      </c>
      <c r="E10" s="138" t="str">
        <f>A10&amp;+(COUNTIF(A10:A$95,A10)-1)</f>
        <v>100351</v>
      </c>
      <c r="F10" s="105" t="s">
        <v>185</v>
      </c>
      <c r="G10" s="162" t="s">
        <v>309</v>
      </c>
      <c r="H10" s="162" t="s">
        <v>312</v>
      </c>
    </row>
    <row r="11" spans="1:8" x14ac:dyDescent="0.15">
      <c r="A11" s="105">
        <v>10035</v>
      </c>
      <c r="B11" s="138" t="str">
        <f>VLOOKUP(A11,[1]characters!$A:$C,3,FALSE)</f>
        <v>テストユニット35</v>
      </c>
      <c r="C11" s="105" t="s">
        <v>198</v>
      </c>
      <c r="D11" s="138" t="str">
        <f>A11&amp;C11</f>
        <v>10035cskill</v>
      </c>
      <c r="E11" s="138" t="str">
        <f>A11&amp;+(COUNTIF(A11:A$95,A11)-1)</f>
        <v>100350</v>
      </c>
      <c r="F11" s="105" t="s">
        <v>185</v>
      </c>
      <c r="G11" s="162" t="s">
        <v>196</v>
      </c>
      <c r="H11" s="162" t="s">
        <v>310</v>
      </c>
    </row>
    <row r="12" spans="1:8" x14ac:dyDescent="0.15">
      <c r="A12" s="105">
        <v>10036</v>
      </c>
      <c r="B12" s="138" t="str">
        <f>VLOOKUP(A12,[1]characters!$A:$C,3,FALSE)</f>
        <v>テストユニット36</v>
      </c>
      <c r="C12" s="105" t="s">
        <v>195</v>
      </c>
      <c r="D12" s="138" t="str">
        <f t="shared" ref="D12" si="5">A12&amp;C12</f>
        <v>10036skill</v>
      </c>
      <c r="E12" s="138" t="str">
        <f>A12&amp;+(COUNTIF(A12:A$95,A12)-1)</f>
        <v>100361</v>
      </c>
      <c r="F12" s="105" t="s">
        <v>185</v>
      </c>
      <c r="G12" s="162" t="s">
        <v>309</v>
      </c>
      <c r="H12" s="162" t="s">
        <v>312</v>
      </c>
    </row>
    <row r="13" spans="1:8" x14ac:dyDescent="0.15">
      <c r="A13" s="105">
        <v>10036</v>
      </c>
      <c r="B13" s="138" t="str">
        <f>VLOOKUP(A13,[1]characters!$A:$C,3,FALSE)</f>
        <v>テストユニット36</v>
      </c>
      <c r="C13" s="105" t="s">
        <v>198</v>
      </c>
      <c r="D13" s="138" t="str">
        <f>A13&amp;C13</f>
        <v>10036cskill</v>
      </c>
      <c r="E13" s="138" t="str">
        <f>A13&amp;+(COUNTIF(A13:A$95,A13)-1)</f>
        <v>100360</v>
      </c>
      <c r="F13" s="105" t="s">
        <v>185</v>
      </c>
      <c r="G13" s="162" t="s">
        <v>196</v>
      </c>
      <c r="H13" s="162" t="s">
        <v>310</v>
      </c>
    </row>
    <row r="14" spans="1:8" x14ac:dyDescent="0.15">
      <c r="A14" s="105">
        <v>10037</v>
      </c>
      <c r="B14" s="138" t="str">
        <f>VLOOKUP(A14,[1]characters!$A:$C,3,FALSE)</f>
        <v>テストユニット37</v>
      </c>
      <c r="C14" s="105" t="s">
        <v>195</v>
      </c>
      <c r="D14" s="138" t="str">
        <f t="shared" ref="D14" si="6">A14&amp;C14</f>
        <v>10037skill</v>
      </c>
      <c r="E14" s="138" t="str">
        <f>A14&amp;+(COUNTIF(A14:A$95,A14)-1)</f>
        <v>100371</v>
      </c>
      <c r="F14" s="105" t="s">
        <v>185</v>
      </c>
      <c r="G14" s="162" t="s">
        <v>309</v>
      </c>
      <c r="H14" s="162" t="s">
        <v>312</v>
      </c>
    </row>
    <row r="15" spans="1:8" x14ac:dyDescent="0.15">
      <c r="A15" s="105">
        <v>10037</v>
      </c>
      <c r="B15" s="138" t="str">
        <f>VLOOKUP(A15,[1]characters!$A:$C,3,FALSE)</f>
        <v>テストユニット37</v>
      </c>
      <c r="C15" s="105" t="s">
        <v>198</v>
      </c>
      <c r="D15" s="138" t="str">
        <f>A15&amp;C15</f>
        <v>10037cskill</v>
      </c>
      <c r="E15" s="138" t="str">
        <f>A15&amp;+(COUNTIF(A15:A$95,A15)-1)</f>
        <v>100370</v>
      </c>
      <c r="F15" s="105" t="s">
        <v>185</v>
      </c>
      <c r="G15" s="162" t="s">
        <v>196</v>
      </c>
      <c r="H15" s="162" t="s">
        <v>310</v>
      </c>
    </row>
    <row r="16" spans="1:8" x14ac:dyDescent="0.15">
      <c r="A16" s="105">
        <v>10038</v>
      </c>
      <c r="B16" s="138" t="str">
        <f>VLOOKUP(A16,[1]characters!$A:$C,3,FALSE)</f>
        <v>テストユニット38</v>
      </c>
      <c r="C16" s="105" t="s">
        <v>195</v>
      </c>
      <c r="D16" s="138" t="str">
        <f t="shared" ref="D16" si="7">A16&amp;C16</f>
        <v>10038skill</v>
      </c>
      <c r="E16" s="138" t="str">
        <f>A16&amp;+(COUNTIF(A16:A$95,A16)-1)</f>
        <v>100381</v>
      </c>
      <c r="F16" s="105" t="s">
        <v>185</v>
      </c>
      <c r="G16" s="162" t="s">
        <v>309</v>
      </c>
      <c r="H16" s="162" t="s">
        <v>312</v>
      </c>
    </row>
    <row r="17" spans="1:8" x14ac:dyDescent="0.15">
      <c r="A17" s="105">
        <v>10038</v>
      </c>
      <c r="B17" s="138" t="str">
        <f>VLOOKUP(A17,[1]characters!$A:$C,3,FALSE)</f>
        <v>テストユニット38</v>
      </c>
      <c r="C17" s="105" t="s">
        <v>198</v>
      </c>
      <c r="D17" s="138" t="str">
        <f>A17&amp;C17</f>
        <v>10038cskill</v>
      </c>
      <c r="E17" s="138" t="str">
        <f>A17&amp;+(COUNTIF(A17:A$95,A17)-1)</f>
        <v>100380</v>
      </c>
      <c r="F17" s="105" t="s">
        <v>185</v>
      </c>
      <c r="G17" s="162" t="s">
        <v>196</v>
      </c>
      <c r="H17" s="162" t="s">
        <v>310</v>
      </c>
    </row>
    <row r="18" spans="1:8" x14ac:dyDescent="0.15">
      <c r="A18" s="105">
        <v>10039</v>
      </c>
      <c r="B18" s="138" t="str">
        <f>VLOOKUP(A18,[1]characters!$A:$C,3,FALSE)</f>
        <v>テストユニット39</v>
      </c>
      <c r="C18" s="105" t="s">
        <v>195</v>
      </c>
      <c r="D18" s="138" t="str">
        <f t="shared" ref="D18" si="8">A18&amp;C18</f>
        <v>10039skill</v>
      </c>
      <c r="E18" s="138" t="str">
        <f>A18&amp;+(COUNTIF(A18:A$95,A18)-1)</f>
        <v>100391</v>
      </c>
      <c r="F18" s="105" t="s">
        <v>185</v>
      </c>
      <c r="G18" s="162" t="s">
        <v>309</v>
      </c>
      <c r="H18" s="162" t="s">
        <v>312</v>
      </c>
    </row>
    <row r="19" spans="1:8" x14ac:dyDescent="0.15">
      <c r="A19" s="105">
        <v>10039</v>
      </c>
      <c r="B19" s="138" t="str">
        <f>VLOOKUP(A19,[1]characters!$A:$C,3,FALSE)</f>
        <v>テストユニット39</v>
      </c>
      <c r="C19" s="105" t="s">
        <v>198</v>
      </c>
      <c r="D19" s="138" t="str">
        <f>A19&amp;C19</f>
        <v>10039cskill</v>
      </c>
      <c r="E19" s="138" t="str">
        <f>A19&amp;+(COUNTIF(A19:A$95,A19)-1)</f>
        <v>100390</v>
      </c>
      <c r="F19" s="105" t="s">
        <v>185</v>
      </c>
      <c r="G19" s="162" t="s">
        <v>196</v>
      </c>
      <c r="H19" s="162" t="s">
        <v>310</v>
      </c>
    </row>
    <row r="20" spans="1:8" x14ac:dyDescent="0.15">
      <c r="A20" s="105">
        <v>10040</v>
      </c>
      <c r="B20" s="138" t="str">
        <f>VLOOKUP(A20,[1]characters!$A:$C,3,FALSE)</f>
        <v>テストユニット40</v>
      </c>
      <c r="C20" s="105" t="s">
        <v>195</v>
      </c>
      <c r="D20" s="138" t="str">
        <f t="shared" ref="D20" si="9">A20&amp;C20</f>
        <v>10040skill</v>
      </c>
      <c r="E20" s="138" t="str">
        <f>A20&amp;+(COUNTIF(A20:A$95,A20)-1)</f>
        <v>100401</v>
      </c>
      <c r="F20" s="105" t="s">
        <v>185</v>
      </c>
      <c r="G20" s="162" t="s">
        <v>309</v>
      </c>
      <c r="H20" s="162" t="s">
        <v>312</v>
      </c>
    </row>
    <row r="21" spans="1:8" x14ac:dyDescent="0.15">
      <c r="A21" s="105">
        <v>10040</v>
      </c>
      <c r="B21" s="138" t="str">
        <f>VLOOKUP(A21,[1]characters!$A:$C,3,FALSE)</f>
        <v>テストユニット40</v>
      </c>
      <c r="C21" s="105" t="s">
        <v>198</v>
      </c>
      <c r="D21" s="138" t="str">
        <f>A21&amp;C21</f>
        <v>10040cskill</v>
      </c>
      <c r="E21" s="138" t="str">
        <f>A21&amp;+(COUNTIF(A21:A$95,A21)-1)</f>
        <v>100400</v>
      </c>
      <c r="F21" s="105" t="s">
        <v>185</v>
      </c>
      <c r="G21" s="162" t="s">
        <v>196</v>
      </c>
      <c r="H21" s="162" t="s">
        <v>310</v>
      </c>
    </row>
  </sheetData>
  <phoneticPr fontId="22"/>
  <dataValidations count="2">
    <dataValidation type="list" allowBlank="1" showInputMessage="1" showErrorMessage="1" sqref="G2:G21">
      <formula1>"maru,giza,kumo"</formula1>
    </dataValidation>
    <dataValidation type="list" allowBlank="1" showInputMessage="1" showErrorMessage="1" sqref="C2:C2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1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2" sqref="A2:XFD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4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</sheetData>
  <autoFilter ref="A1:U1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1"/>
  <sheetViews>
    <sheetView showGridLines="0" topLeftCell="H1" workbookViewId="0">
      <pane ySplit="1" topLeftCell="A2" activePane="bottomLeft" state="frozen"/>
      <selection pane="bottomLeft" activeCell="H5" sqref="A2:XFD5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3" ht="21" customHeight="1" x14ac:dyDescent="0.15">
      <c r="A1" s="61" t="s">
        <v>99</v>
      </c>
      <c r="B1" s="39" t="s">
        <v>38</v>
      </c>
      <c r="C1" s="175" t="s">
        <v>288</v>
      </c>
      <c r="D1" s="18" t="s">
        <v>40</v>
      </c>
      <c r="E1" s="18" t="s">
        <v>42</v>
      </c>
      <c r="F1" s="18" t="s">
        <v>43</v>
      </c>
      <c r="G1" s="175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6" t="s">
        <v>127</v>
      </c>
      <c r="M1" s="177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6"/>
  <sheetViews>
    <sheetView zoomScale="110" zoomScaleNormal="110" zoomScalePageLayoutView="110" workbookViewId="0">
      <selection activeCell="A6" sqref="A6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66" bestFit="1" customWidth="1"/>
    <col min="7" max="7" width="78" bestFit="1" customWidth="1"/>
    <col min="8" max="8" width="11.6640625" customWidth="1"/>
    <col min="9" max="9" width="116.5" hidden="1" customWidth="1"/>
  </cols>
  <sheetData>
    <row r="1" spans="1:11" s="21" customFormat="1" ht="21" customHeight="1" x14ac:dyDescent="0.15">
      <c r="A1" s="167" t="s">
        <v>301</v>
      </c>
      <c r="B1" s="115" t="s">
        <v>134</v>
      </c>
      <c r="C1" s="116" t="s">
        <v>40</v>
      </c>
      <c r="D1" s="117" t="s">
        <v>163</v>
      </c>
      <c r="E1" s="117" t="s">
        <v>302</v>
      </c>
      <c r="F1" s="117" t="s">
        <v>361</v>
      </c>
      <c r="G1" s="117" t="s">
        <v>303</v>
      </c>
      <c r="H1" s="117" t="s">
        <v>304</v>
      </c>
      <c r="I1" s="172" t="s">
        <v>362</v>
      </c>
      <c r="J1" s="117" t="s">
        <v>360</v>
      </c>
      <c r="K1" s="168" t="s">
        <v>305</v>
      </c>
    </row>
    <row r="2" spans="1:11" ht="17" x14ac:dyDescent="0.15">
      <c r="A2" s="183">
        <v>1003101</v>
      </c>
      <c r="B2" s="191" t="s">
        <v>185</v>
      </c>
      <c r="C2" s="192" t="s">
        <v>373</v>
      </c>
      <c r="D2" s="192" t="s">
        <v>372</v>
      </c>
      <c r="E2" s="193" t="s">
        <v>363</v>
      </c>
      <c r="F2" s="194" t="s">
        <v>366</v>
      </c>
      <c r="G2" s="195" t="s">
        <v>367</v>
      </c>
      <c r="H2" s="193" t="s">
        <v>364</v>
      </c>
      <c r="I2" s="196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{"ver":"1.7.0","type":"ability","effects":"[effect:enhance_sp_boost, target:unit_all, count:1]","conditions":"[condition:save_every_turn,each:5,count_type:normal]","priority":0}</v>
      </c>
      <c r="J2" s="192" t="s">
        <v>365</v>
      </c>
      <c r="K2" s="197">
        <v>1</v>
      </c>
    </row>
    <row r="3" spans="1:11" ht="17" x14ac:dyDescent="0.15">
      <c r="A3" s="183">
        <v>1003102</v>
      </c>
      <c r="B3" s="191" t="s">
        <v>185</v>
      </c>
      <c r="C3" s="192" t="s">
        <v>378</v>
      </c>
      <c r="D3" s="192" t="s">
        <v>379</v>
      </c>
      <c r="E3" s="193" t="s">
        <v>363</v>
      </c>
      <c r="F3" s="194" t="s">
        <v>381</v>
      </c>
      <c r="G3" s="195" t="s">
        <v>380</v>
      </c>
      <c r="H3" s="193" t="s">
        <v>364</v>
      </c>
      <c r="I3" s="196" t="str">
        <f>"{"&amp;""""&amp;$E$1&amp;""""&amp;":"&amp;""""&amp;E3&amp;""""&amp;","&amp;""""&amp;"type"&amp;""""&amp;":"&amp;""""&amp;"ability"&amp;""""&amp;","&amp;""""&amp;$G$1&amp;""""&amp;":"&amp;""""&amp;G3&amp;""""&amp;","&amp;""""&amp;$F$1&amp;""""&amp;":"&amp;""""&amp;F3&amp;""""&amp;","&amp;""""&amp;$H$1&amp;""""&amp;":"&amp;H3&amp;"}"</f>
        <v>{"ver":"1.7.0","type":"ability","effects":"[effect:enhance_unit, target:myself, turn:1, status:attack, val:0.35, calc:mul, animation:enhance_unit_all_attack03]","conditions":"[condition:enclose,[condition:active_unit],[condition:panel_total,count:8,type:damage],logic:and]","priority":0}</v>
      </c>
      <c r="J3" s="192" t="s">
        <v>365</v>
      </c>
      <c r="K3" s="197">
        <v>1</v>
      </c>
    </row>
    <row r="4" spans="1:11" ht="17" x14ac:dyDescent="0.15">
      <c r="A4" s="183">
        <v>1003201</v>
      </c>
      <c r="B4" s="191" t="s">
        <v>185</v>
      </c>
      <c r="C4" s="192" t="s">
        <v>369</v>
      </c>
      <c r="D4" s="192" t="s">
        <v>370</v>
      </c>
      <c r="E4" s="193" t="s">
        <v>363</v>
      </c>
      <c r="F4" s="194" t="s">
        <v>368</v>
      </c>
      <c r="G4" s="195" t="s">
        <v>371</v>
      </c>
      <c r="H4" s="193" t="s">
        <v>364</v>
      </c>
      <c r="I4" s="196" t="str">
        <f>"{"&amp;""""&amp;$E$1&amp;""""&amp;":"&amp;""""&amp;E4&amp;""""&amp;","&amp;""""&amp;"type"&amp;""""&amp;":"&amp;""""&amp;"ability"&amp;""""&amp;","&amp;""""&amp;$G$1&amp;""""&amp;":"&amp;""""&amp;G4&amp;""""&amp;","&amp;""""&amp;$F$1&amp;""""&amp;":"&amp;""""&amp;F4&amp;""""&amp;","&amp;""""&amp;$H$1&amp;""""&amp;":"&amp;H4&amp;"}"</f>
        <v>{"ver":"1.7.0","type":"ability","effects":"[effect:regenerate, target:unit_all, turn:1, val:0.15, type:hp_ratio, animation:heal01]","conditions":"[condition:fever_gauge,lower:50]","priority":0}</v>
      </c>
      <c r="J4" s="192" t="s">
        <v>365</v>
      </c>
      <c r="K4" s="197">
        <v>1</v>
      </c>
    </row>
    <row r="5" spans="1:11" ht="28" x14ac:dyDescent="0.15">
      <c r="A5" s="183">
        <v>1003202</v>
      </c>
      <c r="B5" s="191" t="s">
        <v>185</v>
      </c>
      <c r="C5" s="192" t="s">
        <v>395</v>
      </c>
      <c r="D5" s="192" t="s">
        <v>396</v>
      </c>
      <c r="E5" s="193" t="s">
        <v>363</v>
      </c>
      <c r="F5" s="194" t="s">
        <v>397</v>
      </c>
      <c r="G5" s="195" t="s">
        <v>398</v>
      </c>
      <c r="H5" s="193" t="s">
        <v>364</v>
      </c>
      <c r="I5" s="196" t="str">
        <f>"{"&amp;""""&amp;$E$1&amp;""""&amp;":"&amp;""""&amp;E5&amp;""""&amp;","&amp;""""&amp;"type"&amp;""""&amp;":"&amp;""""&amp;"ability"&amp;""""&amp;","&amp;""""&amp;$G$1&amp;""""&amp;":"&amp;""""&amp;G5&amp;""""&amp;","&amp;""""&amp;$F$1&amp;""""&amp;":"&amp;""""&amp;F5&amp;""""&amp;","&amp;""""&amp;$H$1&amp;""""&amp;":"&amp;H5&amp;"}"</f>
        <v>{"ver":"1.7.0","type":"ability","effects":"[effect:fever_drop_block, target:unit_all, turn:-1, block_type:normal, rate:0.95],[effect:fever_drop_block, target:unit_all, turn:-1, block_type:heal, rate:1.55]","conditions":"[condition:hp_rate,upper:50]","priority":0}</v>
      </c>
      <c r="J5" s="192" t="s">
        <v>365</v>
      </c>
      <c r="K5" s="197">
        <v>1</v>
      </c>
    </row>
    <row r="6" spans="1:11" ht="28" x14ac:dyDescent="0.15">
      <c r="A6" s="183">
        <v>1003801</v>
      </c>
      <c r="B6" s="191" t="s">
        <v>185</v>
      </c>
      <c r="C6" s="192" t="s">
        <v>408</v>
      </c>
      <c r="D6" s="192" t="s">
        <v>410</v>
      </c>
      <c r="E6" s="193" t="s">
        <v>363</v>
      </c>
      <c r="F6" s="194" t="s">
        <v>409</v>
      </c>
      <c r="G6" s="195" t="s">
        <v>411</v>
      </c>
      <c r="H6" s="193" t="s">
        <v>364</v>
      </c>
      <c r="I6" s="196" t="str">
        <f>"{"&amp;""""&amp;$E$1&amp;""""&amp;":"&amp;""""&amp;E6&amp;""""&amp;","&amp;""""&amp;"type"&amp;""""&amp;":"&amp;""""&amp;"ability"&amp;""""&amp;","&amp;""""&amp;$G$1&amp;""""&amp;":"&amp;""""&amp;G6&amp;""""&amp;","&amp;""""&amp;$F$1&amp;""""&amp;":"&amp;""""&amp;F6&amp;""""&amp;","&amp;""""&amp;$H$1&amp;""""&amp;":"&amp;H6&amp;"}"</f>
        <v>{"ver":"1.7.0","type":"ability","effects":"[effect:enhance_unit, target:unit_all, turn:1, status:heal, val:0.15, calc:mul, animation:enhance_unit_all_heal02_unit01]","conditions":"[condition:hp_rate,upper:50]","priority":0}</v>
      </c>
      <c r="J6" s="192" t="s">
        <v>365</v>
      </c>
      <c r="K6" s="197">
        <v>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14"/>
  <sheetViews>
    <sheetView tabSelected="1" workbookViewId="0">
      <selection activeCell="F14" sqref="F1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69" t="s">
        <v>267</v>
      </c>
      <c r="C1" s="115" t="s">
        <v>268</v>
      </c>
      <c r="D1" s="115" t="s">
        <v>269</v>
      </c>
      <c r="E1" s="170" t="s">
        <v>270</v>
      </c>
      <c r="F1" s="170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83">
        <v>10031</v>
      </c>
      <c r="B2" s="171" t="str">
        <f>VLOOKUP(A2,[1]characters!$A:$C,3)</f>
        <v>テストユニット31</v>
      </c>
      <c r="C2" s="188">
        <v>1</v>
      </c>
      <c r="D2" s="188">
        <v>109</v>
      </c>
      <c r="E2" s="172" t="str">
        <f>IF(ISERROR(VLOOKUP(D2,[3]abilities!A:D,3,FALSE))=FALSE,VLOOKUP(D2,[3]abilities!A:D,3),IF(ISERROR(VLOOKUP(D2,abilities!A:D,3,FALSE))=FALSE,VLOOKUP(D2,abilities!A:D,3),"なし"))</f>
        <v>ダメージパネルブレイク</v>
      </c>
      <c r="F2" s="172" t="str">
        <f>IF(ISERROR(VLOOKUP(D2,[3]abilities!A:D,4,FALSE))=FALSE,VLOOKUP(D2,[3]abilities!A:D,4),IF(ISERROR(VLOOKUP(D2,abilities!A:D,4,FALSE))=FALSE,VLOOKUP(D2,abilities!A:D,4),"なし"))</f>
        <v>自身が先頭の時、ダメージを受けずにダメージパネルを破壊できる</v>
      </c>
      <c r="G2" s="173" t="s">
        <v>274</v>
      </c>
      <c r="H2" s="189" t="s">
        <v>353</v>
      </c>
    </row>
    <row r="3" spans="1:8" s="4" customFormat="1" ht="21" customHeight="1" x14ac:dyDescent="0.15">
      <c r="A3" s="183">
        <v>10031</v>
      </c>
      <c r="B3" s="171" t="str">
        <f>VLOOKUP(A3,[1]characters!$A:$C,3)</f>
        <v>テストユニット31</v>
      </c>
      <c r="C3" s="188">
        <v>2</v>
      </c>
      <c r="D3" s="188">
        <v>1003102</v>
      </c>
      <c r="E3" s="172" t="str">
        <f>IF(ISERROR(VLOOKUP(D3,[3]abilities!A:D,3,FALSE))=FALSE,VLOOKUP(D3,[3]abilities!A:D,3),IF(ISERROR(VLOOKUP(D3,abilities!A:D,3,FALSE))=FALSE,VLOOKUP(D3,abilities!A:D,3),"なし"))</f>
        <v>ダメージパネルブレイク8 攻撃力UP</v>
      </c>
      <c r="F3" s="172" t="str">
        <f>IF(ISERROR(VLOOKUP(D3,[3]abilities!A:D,4,FALSE))=FALSE,VLOOKUP(D3,[3]abilities!A:D,4),IF(ISERROR(VLOOKUP(D3,abilities!A:D,4,FALSE))=FALSE,VLOOKUP(D3,abilities!A:D,4),"なし"))</f>
        <v>自身が先頭の時、1ターンの間に合計8個以上ダメージパネルを破壊した場合に攻撃力UP</v>
      </c>
      <c r="G3" s="173" t="s">
        <v>274</v>
      </c>
      <c r="H3" s="189" t="s">
        <v>353</v>
      </c>
    </row>
    <row r="4" spans="1:8" s="4" customFormat="1" ht="21" customHeight="1" x14ac:dyDescent="0.15">
      <c r="A4" s="183">
        <v>10032</v>
      </c>
      <c r="B4" s="171" t="str">
        <f>VLOOKUP(A4,[1]characters!$A:$C,3)</f>
        <v>テストユニット32</v>
      </c>
      <c r="C4" s="188">
        <v>1</v>
      </c>
      <c r="D4" s="188">
        <v>1003201</v>
      </c>
      <c r="E4" s="172" t="str">
        <f>IF(ISERROR(VLOOKUP(D4,[3]abilities!A:D,3,FALSE))=FALSE,VLOOKUP(D4,[3]abilities!A:D,3),IF(ISERROR(VLOOKUP(D4,abilities!A:D,3,FALSE))=FALSE,VLOOKUP(D4,abilities!A:D,3),"なし"))</f>
        <v>フィーバー50 HP回復</v>
      </c>
      <c r="F4" s="172" t="str">
        <f>IF(ISERROR(VLOOKUP(D4,[3]abilities!A:D,4,FALSE))=FALSE,VLOOKUP(D4,[3]abilities!A:D,4),IF(ISERROR(VLOOKUP(D4,abilities!A:D,4,FALSE))=FALSE,VLOOKUP(D4,abilities!A:D,4),"なし"))</f>
        <v>フィーバーゲージが50％以上の時、HP回復</v>
      </c>
      <c r="G4" s="173" t="s">
        <v>274</v>
      </c>
      <c r="H4" s="189" t="s">
        <v>353</v>
      </c>
    </row>
    <row r="5" spans="1:8" s="4" customFormat="1" ht="21" customHeight="1" x14ac:dyDescent="0.15">
      <c r="A5" s="183">
        <v>10032</v>
      </c>
      <c r="B5" s="171" t="str">
        <f>VLOOKUP(A5,[1]characters!$A:$C,3)</f>
        <v>テストユニット32</v>
      </c>
      <c r="C5" s="188">
        <v>2</v>
      </c>
      <c r="D5" s="188">
        <v>1003202</v>
      </c>
      <c r="E5" s="172" t="str">
        <f>IF(ISERROR(VLOOKUP(D5,[3]abilities!A:D,3,FALSE))=FALSE,VLOOKUP(D5,[3]abilities!A:D,3),IF(ISERROR(VLOOKUP(D5,abilities!A:D,3,FALSE))=FALSE,VLOOKUP(D5,abilities!A:D,3),"なし"))</f>
        <v>HP50%以下 フィーバードロップ変更</v>
      </c>
      <c r="F5" s="172" t="str">
        <f>IF(ISERROR(VLOOKUP(D5,[3]abilities!A:D,4,FALSE))=FALSE,VLOOKUP(D5,[3]abilities!A:D,4),IF(ISERROR(VLOOKUP(D5,abilities!A:D,4,FALSE))=FALSE,VLOOKUP(D5,abilities!A:D,4),"なし"))</f>
        <v>HPが50%以下の時、フィーバー時に回復パネルが高確率でドロップする</v>
      </c>
      <c r="G5" s="173" t="s">
        <v>274</v>
      </c>
      <c r="H5" s="189" t="s">
        <v>353</v>
      </c>
    </row>
    <row r="6" spans="1:8" s="4" customFormat="1" ht="21" customHeight="1" x14ac:dyDescent="0.15">
      <c r="A6" s="183">
        <v>10033</v>
      </c>
      <c r="B6" s="171" t="str">
        <f>VLOOKUP(A6,[1]characters!$A:$C,3)</f>
        <v>テストユニット33</v>
      </c>
      <c r="C6" s="188">
        <v>1</v>
      </c>
      <c r="D6" s="188">
        <v>100</v>
      </c>
      <c r="E6" s="172" t="str">
        <f>IF(ISERROR(VLOOKUP(D6,[3]abilities!A:D,3,FALSE))=FALSE,VLOOKUP(D6,[3]abilities!A:D,3),IF(ISERROR(VLOOKUP(D6,abilities!A:D,3,FALSE))=FALSE,VLOOKUP(D6,abilities!A:D,3),"なし"))</f>
        <v>プロテクトブレイク</v>
      </c>
      <c r="F6" s="172" t="str">
        <f>IF(ISERROR(VLOOKUP(D6,[3]abilities!A:D,4,FALSE))=FALSE,VLOOKUP(D6,[3]abilities!A:D,4),IF(ISERROR(VLOOKUP(D6,abilities!A:D,4,FALSE))=FALSE,VLOOKUP(D6,abilities!A:D,4),"なし"))</f>
        <v>自身が先頭の時、プロテクトを無視してパネル破壊できる</v>
      </c>
      <c r="G6" s="173" t="s">
        <v>274</v>
      </c>
      <c r="H6" s="189" t="s">
        <v>353</v>
      </c>
    </row>
    <row r="7" spans="1:8" s="4" customFormat="1" ht="21" customHeight="1" x14ac:dyDescent="0.15">
      <c r="A7" s="183">
        <v>10034</v>
      </c>
      <c r="B7" s="171" t="str">
        <f>VLOOKUP(A7,[1]characters!$A:$C,3)</f>
        <v>テストユニット34</v>
      </c>
      <c r="C7" s="188">
        <v>1</v>
      </c>
      <c r="D7" s="188">
        <v>100</v>
      </c>
      <c r="E7" s="172" t="str">
        <f>IF(ISERROR(VLOOKUP(D7,[3]abilities!A:D,3,FALSE))=FALSE,VLOOKUP(D7,[3]abilities!A:D,3),IF(ISERROR(VLOOKUP(D7,abilities!A:D,3,FALSE))=FALSE,VLOOKUP(D7,abilities!A:D,3),"なし"))</f>
        <v>プロテクトブレイク</v>
      </c>
      <c r="F7" s="172" t="str">
        <f>IF(ISERROR(VLOOKUP(D7,[3]abilities!A:D,4,FALSE))=FALSE,VLOOKUP(D7,[3]abilities!A:D,4),IF(ISERROR(VLOOKUP(D7,abilities!A:D,4,FALSE))=FALSE,VLOOKUP(D7,abilities!A:D,4),"なし"))</f>
        <v>自身が先頭の時、プロテクトを無視してパネル破壊できる</v>
      </c>
      <c r="G7" s="173" t="s">
        <v>274</v>
      </c>
      <c r="H7" s="189" t="s">
        <v>353</v>
      </c>
    </row>
    <row r="8" spans="1:8" s="4" customFormat="1" ht="21" customHeight="1" x14ac:dyDescent="0.15">
      <c r="A8" s="183">
        <v>10035</v>
      </c>
      <c r="B8" s="171" t="str">
        <f>VLOOKUP(A8,[1]characters!$A:$C,3)</f>
        <v>テストユニット35</v>
      </c>
      <c r="C8" s="188">
        <v>1</v>
      </c>
      <c r="D8" s="188">
        <v>100</v>
      </c>
      <c r="E8" s="172" t="str">
        <f>IF(ISERROR(VLOOKUP(D8,[3]abilities!A:D,3,FALSE))=FALSE,VLOOKUP(D8,[3]abilities!A:D,3),IF(ISERROR(VLOOKUP(D8,abilities!A:D,3,FALSE))=FALSE,VLOOKUP(D8,abilities!A:D,3),"なし"))</f>
        <v>プロテクトブレイク</v>
      </c>
      <c r="F8" s="172" t="str">
        <f>IF(ISERROR(VLOOKUP(D8,[3]abilities!A:D,4,FALSE))=FALSE,VLOOKUP(D8,[3]abilities!A:D,4),IF(ISERROR(VLOOKUP(D8,abilities!A:D,4,FALSE))=FALSE,VLOOKUP(D8,abilities!A:D,4),"なし"))</f>
        <v>自身が先頭の時、プロテクトを無視してパネル破壊できる</v>
      </c>
      <c r="G8" s="173" t="s">
        <v>274</v>
      </c>
      <c r="H8" s="189" t="s">
        <v>353</v>
      </c>
    </row>
    <row r="9" spans="1:8" s="4" customFormat="1" ht="21" customHeight="1" x14ac:dyDescent="0.15">
      <c r="A9" s="183">
        <v>10036</v>
      </c>
      <c r="B9" s="171" t="str">
        <f>VLOOKUP(A9,[1]characters!$A:$C,3)</f>
        <v>テストユニット36</v>
      </c>
      <c r="C9" s="188">
        <v>1</v>
      </c>
      <c r="D9" s="188">
        <v>100</v>
      </c>
      <c r="E9" s="172" t="str">
        <f>IF(ISERROR(VLOOKUP(D9,[3]abilities!A:D,3,FALSE))=FALSE,VLOOKUP(D9,[3]abilities!A:D,3),IF(ISERROR(VLOOKUP(D9,abilities!A:D,3,FALSE))=FALSE,VLOOKUP(D9,abilities!A:D,3),"なし"))</f>
        <v>プロテクトブレイク</v>
      </c>
      <c r="F9" s="172" t="str">
        <f>IF(ISERROR(VLOOKUP(D9,[3]abilities!A:D,4,FALSE))=FALSE,VLOOKUP(D9,[3]abilities!A:D,4),IF(ISERROR(VLOOKUP(D9,abilities!A:D,4,FALSE))=FALSE,VLOOKUP(D9,abilities!A:D,4),"なし"))</f>
        <v>自身が先頭の時、プロテクトを無視してパネル破壊できる</v>
      </c>
      <c r="G9" s="173" t="s">
        <v>274</v>
      </c>
      <c r="H9" s="189" t="s">
        <v>353</v>
      </c>
    </row>
    <row r="10" spans="1:8" s="4" customFormat="1" ht="21" customHeight="1" x14ac:dyDescent="0.15">
      <c r="A10" s="183">
        <v>10037</v>
      </c>
      <c r="B10" s="171" t="str">
        <f>VLOOKUP(A10,[1]characters!$A:$C,3)</f>
        <v>テストユニット37</v>
      </c>
      <c r="C10" s="188">
        <v>1</v>
      </c>
      <c r="D10" s="188">
        <v>100</v>
      </c>
      <c r="E10" s="172" t="str">
        <f>IF(ISERROR(VLOOKUP(D10,[3]abilities!A:D,3,FALSE))=FALSE,VLOOKUP(D10,[3]abilities!A:D,3),IF(ISERROR(VLOOKUP(D10,abilities!A:D,3,FALSE))=FALSE,VLOOKUP(D10,abilities!A:D,3),"なし"))</f>
        <v>プロテクトブレイク</v>
      </c>
      <c r="F10" s="172" t="str">
        <f>IF(ISERROR(VLOOKUP(D10,[3]abilities!A:D,4,FALSE))=FALSE,VLOOKUP(D10,[3]abilities!A:D,4),IF(ISERROR(VLOOKUP(D10,abilities!A:D,4,FALSE))=FALSE,VLOOKUP(D10,abilities!A:D,4),"なし"))</f>
        <v>自身が先頭の時、プロテクトを無視してパネル破壊できる</v>
      </c>
      <c r="G10" s="173" t="s">
        <v>274</v>
      </c>
      <c r="H10" s="189" t="s">
        <v>353</v>
      </c>
    </row>
    <row r="11" spans="1:8" s="4" customFormat="1" ht="21" customHeight="1" x14ac:dyDescent="0.15">
      <c r="A11" s="183">
        <v>10038</v>
      </c>
      <c r="B11" s="171" t="str">
        <f>VLOOKUP(A11,[1]characters!$A:$C,3)</f>
        <v>テストユニット38</v>
      </c>
      <c r="C11" s="188">
        <v>1</v>
      </c>
      <c r="D11" s="188">
        <v>200</v>
      </c>
      <c r="E11" s="172" t="str">
        <f>IF(ISERROR(VLOOKUP(D11,[3]abilities!A:D,3,FALSE))=FALSE,VLOOKUP(D11,[3]abilities!A:D,3),IF(ISERROR(VLOOKUP(D11,abilities!A:D,3,FALSE))=FALSE,VLOOKUP(D11,abilities!A:D,3),"なし"))</f>
        <v>ウィルス無効</v>
      </c>
      <c r="F11" s="172" t="str">
        <f>IF(ISERROR(VLOOKUP(D11,[3]abilities!A:D,4,FALSE))=FALSE,VLOOKUP(D11,[3]abilities!A:D,4),IF(ISERROR(VLOOKUP(D11,abilities!A:D,4,FALSE))=FALSE,VLOOKUP(D11,abilities!A:D,4),"なし"))</f>
        <v>自身にかかるウィルスを無効化する</v>
      </c>
      <c r="G11" s="173" t="s">
        <v>274</v>
      </c>
      <c r="H11" s="189" t="s">
        <v>353</v>
      </c>
    </row>
    <row r="12" spans="1:8" s="4" customFormat="1" ht="21" customHeight="1" x14ac:dyDescent="0.15">
      <c r="A12" s="183">
        <v>10038</v>
      </c>
      <c r="B12" s="171" t="str">
        <f>VLOOKUP(A12,[1]characters!$A:$C,3)</f>
        <v>テストユニット38</v>
      </c>
      <c r="C12" s="188">
        <v>2</v>
      </c>
      <c r="D12" s="188">
        <v>1003801</v>
      </c>
      <c r="E12" s="172" t="str">
        <f>IF(ISERROR(VLOOKUP(D12,[3]abilities!A:D,3,FALSE))=FALSE,VLOOKUP(D12,[3]abilities!A:D,3),IF(ISERROR(VLOOKUP(D12,abilities!A:D,3,FALSE))=FALSE,VLOOKUP(D12,abilities!A:D,3),"なし"))</f>
        <v>HP50%以下 回復力UP</v>
      </c>
      <c r="F12" s="172" t="str">
        <f>IF(ISERROR(VLOOKUP(D12,[3]abilities!A:D,4,FALSE))=FALSE,VLOOKUP(D12,[3]abilities!A:D,4),IF(ISERROR(VLOOKUP(D12,abilities!A:D,4,FALSE))=FALSE,VLOOKUP(D12,abilities!A:D,4),"なし"))</f>
        <v>残りHPが50%以下の時、全ユニットの回復力15%UP</v>
      </c>
      <c r="G12" s="173" t="s">
        <v>274</v>
      </c>
      <c r="H12" s="189" t="s">
        <v>353</v>
      </c>
    </row>
    <row r="13" spans="1:8" s="4" customFormat="1" ht="21" customHeight="1" x14ac:dyDescent="0.15">
      <c r="A13" s="183">
        <v>10039</v>
      </c>
      <c r="B13" s="171" t="str">
        <f>VLOOKUP(A13,[1]characters!$A:$C,3)</f>
        <v>テストユニット39</v>
      </c>
      <c r="C13" s="188">
        <v>1</v>
      </c>
      <c r="D13" s="188">
        <v>100</v>
      </c>
      <c r="E13" s="172" t="str">
        <f>IF(ISERROR(VLOOKUP(D13,[3]abilities!A:D,3,FALSE))=FALSE,VLOOKUP(D13,[3]abilities!A:D,3),IF(ISERROR(VLOOKUP(D13,abilities!A:D,3,FALSE))=FALSE,VLOOKUP(D13,abilities!A:D,3),"なし"))</f>
        <v>プロテクトブレイク</v>
      </c>
      <c r="F13" s="172" t="str">
        <f>IF(ISERROR(VLOOKUP(D13,[3]abilities!A:D,4,FALSE))=FALSE,VLOOKUP(D13,[3]abilities!A:D,4),IF(ISERROR(VLOOKUP(D13,abilities!A:D,4,FALSE))=FALSE,VLOOKUP(D13,abilities!A:D,4),"なし"))</f>
        <v>自身が先頭の時、プロテクトを無視してパネル破壊できる</v>
      </c>
      <c r="G13" s="173" t="s">
        <v>274</v>
      </c>
      <c r="H13" s="189" t="s">
        <v>353</v>
      </c>
    </row>
    <row r="14" spans="1:8" s="4" customFormat="1" ht="21" customHeight="1" x14ac:dyDescent="0.15">
      <c r="A14" s="183">
        <v>10040</v>
      </c>
      <c r="B14" s="171" t="str">
        <f>VLOOKUP(A14,[1]characters!$A:$C,3)</f>
        <v>テストユニット40</v>
      </c>
      <c r="C14" s="188">
        <v>1</v>
      </c>
      <c r="D14" s="188">
        <v>100</v>
      </c>
      <c r="E14" s="172" t="str">
        <f>IF(ISERROR(VLOOKUP(D14,[3]abilities!A:D,3,FALSE))=FALSE,VLOOKUP(D14,[3]abilities!A:D,3),IF(ISERROR(VLOOKUP(D14,abilities!A:D,3,FALSE))=FALSE,VLOOKUP(D14,abilities!A:D,3),"なし"))</f>
        <v>プロテクトブレイク</v>
      </c>
      <c r="F14" s="172" t="str">
        <f>IF(ISERROR(VLOOKUP(D14,[3]abilities!A:D,4,FALSE))=FALSE,VLOOKUP(D14,[3]abilities!A:D,4),IF(ISERROR(VLOOKUP(D14,abilities!A:D,4,FALSE))=FALSE,VLOOKUP(D14,abilities!A:D,4),"なし"))</f>
        <v>自身が先頭の時、プロテクトを無視してパネル破壊できる</v>
      </c>
      <c r="G14" s="173" t="s">
        <v>274</v>
      </c>
      <c r="H14" s="189" t="s">
        <v>353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306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0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307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1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306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2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79" t="s">
        <v>308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0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315</v>
      </c>
      <c r="B1" t="s">
        <v>316</v>
      </c>
    </row>
    <row r="2" spans="1:2" x14ac:dyDescent="0.15">
      <c r="A2" t="s">
        <v>317</v>
      </c>
      <c r="B2">
        <v>1</v>
      </c>
    </row>
    <row r="3" spans="1:2" x14ac:dyDescent="0.15">
      <c r="A3" t="s">
        <v>318</v>
      </c>
      <c r="B3">
        <v>1</v>
      </c>
    </row>
    <row r="4" spans="1:2" x14ac:dyDescent="0.15">
      <c r="A4" t="s">
        <v>319</v>
      </c>
      <c r="B4">
        <v>1</v>
      </c>
    </row>
    <row r="5" spans="1:2" x14ac:dyDescent="0.15">
      <c r="A5" t="s">
        <v>320</v>
      </c>
      <c r="B5">
        <v>1</v>
      </c>
    </row>
    <row r="6" spans="1:2" x14ac:dyDescent="0.15">
      <c r="A6" t="s">
        <v>321</v>
      </c>
      <c r="B6">
        <v>1</v>
      </c>
    </row>
    <row r="7" spans="1:2" x14ac:dyDescent="0.15">
      <c r="A7" t="s">
        <v>322</v>
      </c>
      <c r="B7">
        <v>1</v>
      </c>
    </row>
    <row r="8" spans="1:2" x14ac:dyDescent="0.15">
      <c r="A8" t="s">
        <v>323</v>
      </c>
      <c r="B8">
        <v>1</v>
      </c>
    </row>
    <row r="9" spans="1:2" x14ac:dyDescent="0.15">
      <c r="A9" t="s">
        <v>324</v>
      </c>
      <c r="B9">
        <v>1</v>
      </c>
    </row>
    <row r="10" spans="1:2" x14ac:dyDescent="0.15">
      <c r="A10" t="s">
        <v>325</v>
      </c>
      <c r="B10">
        <v>1</v>
      </c>
    </row>
    <row r="11" spans="1:2" x14ac:dyDescent="0.15">
      <c r="A11" t="s">
        <v>326</v>
      </c>
      <c r="B11">
        <v>1</v>
      </c>
    </row>
    <row r="12" spans="1:2" x14ac:dyDescent="0.15">
      <c r="A12" t="s">
        <v>327</v>
      </c>
      <c r="B12">
        <v>1</v>
      </c>
    </row>
    <row r="13" spans="1:2" x14ac:dyDescent="0.15">
      <c r="A13" t="s">
        <v>328</v>
      </c>
      <c r="B13">
        <v>0</v>
      </c>
    </row>
    <row r="14" spans="1:2" x14ac:dyDescent="0.15">
      <c r="A14" t="s">
        <v>329</v>
      </c>
      <c r="B14">
        <v>500</v>
      </c>
    </row>
    <row r="15" spans="1:2" x14ac:dyDescent="0.15">
      <c r="A15" t="s">
        <v>330</v>
      </c>
      <c r="B15">
        <v>600</v>
      </c>
    </row>
    <row r="16" spans="1:2" x14ac:dyDescent="0.15">
      <c r="A16" t="s">
        <v>331</v>
      </c>
      <c r="B16">
        <v>700</v>
      </c>
    </row>
    <row r="17" spans="1:2" x14ac:dyDescent="0.15">
      <c r="A17" t="s">
        <v>332</v>
      </c>
      <c r="B17">
        <v>5500</v>
      </c>
    </row>
    <row r="18" spans="1:2" x14ac:dyDescent="0.15">
      <c r="A18" t="s">
        <v>333</v>
      </c>
      <c r="B18">
        <v>6000</v>
      </c>
    </row>
    <row r="19" spans="1:2" x14ac:dyDescent="0.15">
      <c r="A19" t="s">
        <v>334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2017-05-15T02:52:50Z</dcterms:modified>
</cp:coreProperties>
</file>